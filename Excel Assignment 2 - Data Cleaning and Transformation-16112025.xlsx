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27ac5c7cb9fa23b/Desktop/Aishwarya.K/entry assignment sheet/"/>
    </mc:Choice>
  </mc:AlternateContent>
  <xr:revisionPtr revIDLastSave="0" documentId="13_ncr:1_{FD4C3578-45F3-4B21-9C7F-AE1A20C7DD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Dataset" sheetId="2" r:id="rId2"/>
    <sheet name="Dataset3" sheetId="3" r:id="rId3"/>
  </sheets>
  <externalReferences>
    <externalReference r:id="rId4"/>
  </externalReferenc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B5" i="3" l="1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4" i="3"/>
  <c r="F28" i="3"/>
  <c r="F23" i="3"/>
  <c r="F9" i="3"/>
</calcChain>
</file>

<file path=xl/sharedStrings.xml><?xml version="1.0" encoding="utf-8"?>
<sst xmlns="http://schemas.openxmlformats.org/spreadsheetml/2006/main" count="289" uniqueCount="149">
  <si>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</si>
  <si>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</si>
  <si>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</si>
  <si>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</si>
  <si>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</si>
  <si>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</si>
  <si>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</si>
  <si>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</si>
  <si>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</si>
  <si>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</si>
  <si>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</si>
  <si>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</si>
  <si>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</si>
  <si>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</si>
  <si>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</si>
  <si>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</si>
  <si>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</si>
  <si>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</si>
  <si>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</si>
  <si>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</si>
  <si>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</si>
  <si>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</si>
  <si>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</si>
  <si>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</si>
  <si>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</si>
  <si>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</si>
  <si>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</si>
  <si>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</si>
  <si>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</si>
  <si>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</si>
  <si>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</si>
  <si>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</si>
  <si>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</si>
  <si>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</si>
  <si>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</si>
  <si>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</si>
  <si>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</si>
  <si>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</si>
  <si>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</si>
  <si>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</si>
  <si>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</si>
  <si>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</si>
  <si>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</si>
  <si>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</si>
  <si>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</si>
  <si>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</si>
  <si>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</si>
  <si>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</si>
  <si>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</si>
  <si>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</si>
  <si>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</si>
  <si>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</si>
  <si>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</si>
  <si>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</si>
  <si>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</si>
  <si>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</si>
  <si>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</si>
  <si>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</si>
  <si>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</si>
  <si>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</si>
  <si>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</si>
  <si>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</si>
  <si>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</si>
  <si>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</si>
  <si>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</si>
  <si>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</si>
  <si>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</si>
  <si>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</si>
  <si>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</si>
  <si>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</si>
  <si>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</si>
  <si>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</si>
  <si>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</si>
  <si>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</si>
  <si>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</si>
  <si>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</si>
  <si>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</si>
  <si>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</si>
  <si>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</si>
  <si>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</si>
  <si>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</si>
  <si>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</si>
  <si>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</si>
  <si>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</si>
  <si>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</si>
  <si>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</si>
  <si>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</si>
  <si>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</si>
  <si>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</si>
  <si>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</si>
  <si>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</si>
  <si>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</si>
  <si>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</si>
  <si>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</si>
  <si>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</si>
  <si>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</si>
  <si>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</si>
  <si>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</si>
  <si>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</si>
  <si>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</si>
  <si>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</si>
  <si>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</si>
  <si>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</si>
  <si>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</si>
  <si>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</si>
  <si>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</si>
  <si>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</si>
  <si>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</si>
  <si>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</si>
  <si>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</si>
  <si>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</si>
  <si>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</si>
  <si>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</si>
  <si>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</si>
  <si>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</si>
  <si>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</si>
  <si>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UNKNOWN</t>
  </si>
  <si>
    <t>COUNTRY CODE</t>
  </si>
  <si>
    <t>MANUFACTURING DATE</t>
  </si>
  <si>
    <t>DELL</t>
  </si>
  <si>
    <t>NIKE</t>
  </si>
  <si>
    <t>KEURIG</t>
  </si>
  <si>
    <t>SAMSUNG</t>
  </si>
  <si>
    <t>NORTH FACE</t>
  </si>
  <si>
    <t>SONY</t>
  </si>
  <si>
    <t>ADIDAS</t>
  </si>
  <si>
    <t>NINJA</t>
  </si>
  <si>
    <t>APPLE</t>
  </si>
  <si>
    <t>TIMBERLAND</t>
  </si>
  <si>
    <t>NESPRESSO</t>
  </si>
  <si>
    <t>FITBIT</t>
  </si>
  <si>
    <t>BOSE</t>
  </si>
  <si>
    <t>SAMSONITE</t>
  </si>
  <si>
    <t>HUAWEI</t>
  </si>
  <si>
    <t>ASUS</t>
  </si>
  <si>
    <t>OAKLEY</t>
  </si>
  <si>
    <t>COLEMAN</t>
  </si>
  <si>
    <t>NIKON</t>
  </si>
  <si>
    <t>PANASONIC</t>
  </si>
  <si>
    <t>XIAOMI</t>
  </si>
  <si>
    <t>GOOGLE</t>
  </si>
  <si>
    <t>RAY-BAN</t>
  </si>
  <si>
    <t>VITAMIX</t>
  </si>
  <si>
    <t>ZARA</t>
  </si>
  <si>
    <t>HAMILTON</t>
  </si>
  <si>
    <t>GARMIN</t>
  </si>
  <si>
    <t>LEVI'S</t>
  </si>
  <si>
    <t>CASIO</t>
  </si>
  <si>
    <t>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</si>
</sst>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[$-409]d\-mmm\-yyyy;@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4" fontId="7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5" fontId="7" fillId="2" borderId="0" xfId="0" applyNumberFormat="1" applyFont="1" applyFill="1" applyAlignment="1">
      <alignment horizontal="center"/>
    </xf>
    <xf numFmtId="49" fontId="7" fillId="2" borderId="0" xfId="0" applyNumberFormat="1" applyFont="1" applyFill="1" applyAlignment="1">
      <alignment horizontal="center"/>
    </xf>
    <xf numFmtId="14" fontId="5" fillId="0" borderId="0" xfId="0" applyNumberFormat="1" applyFont="1"/>
    <xf numFmtId="0" fontId="8" fillId="0" borderId="0" xfId="0" applyFont="1"/>
    <xf numFmtId="5" fontId="5" fillId="0" borderId="0" xfId="0" applyNumberFormat="1" applyFont="1"/>
    <xf numFmtId="49" fontId="5" fillId="0" borderId="0" xfId="0" applyNumberFormat="1" applyFont="1"/>
    <xf numFmtId="14" fontId="5" fillId="3" borderId="0" xfId="0" applyNumberFormat="1" applyFont="1" applyFill="1"/>
    <xf numFmtId="0" fontId="8" fillId="3" borderId="0" xfId="0" applyFont="1" applyFill="1"/>
    <xf numFmtId="5" fontId="5" fillId="3" borderId="0" xfId="0" applyNumberFormat="1" applyFont="1" applyFill="1"/>
    <xf numFmtId="49" fontId="5" fillId="3" borderId="0" xfId="0" applyNumberFormat="1" applyFont="1" applyFill="1"/>
    <xf numFmtId="49" fontId="8" fillId="0" borderId="0" xfId="0" applyNumberFormat="1" applyFont="1"/>
    <xf numFmtId="49" fontId="8" fillId="3" borderId="0" xfId="0" applyNumberFormat="1" applyFont="1" applyFill="1"/>
    <xf numFmtId="164" fontId="0" fillId="0" borderId="0" xfId="0" applyNumberFormat="1"/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39304461942256"/>
          <c:y val="0.14861111111111111"/>
          <c:w val="0.84648556430446198"/>
          <c:h val="0.73111111111111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'[1]Dataset-Week3'!$D$1</c:f>
              <c:strCache>
                <c:ptCount val="1"/>
                <c:pt idx="0">
                  <c:v>Price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'[1]Dataset-Week3'!$D$2:$D$35</c:f>
              <c:numCache>
                <c:formatCode>General</c:formatCode>
                <c:ptCount val="34"/>
                <c:pt idx="0">
                  <c:v>1000</c:v>
                </c:pt>
                <c:pt idx="1">
                  <c:v>80</c:v>
                </c:pt>
                <c:pt idx="2">
                  <c:v>130</c:v>
                </c:pt>
                <c:pt idx="3">
                  <c:v>900</c:v>
                </c:pt>
                <c:pt idx="4">
                  <c:v>70</c:v>
                </c:pt>
                <c:pt idx="5">
                  <c:v>0</c:v>
                </c:pt>
                <c:pt idx="6">
                  <c:v>30</c:v>
                </c:pt>
                <c:pt idx="7">
                  <c:v>90</c:v>
                </c:pt>
                <c:pt idx="8">
                  <c:v>500</c:v>
                </c:pt>
                <c:pt idx="9">
                  <c:v>130</c:v>
                </c:pt>
                <c:pt idx="10">
                  <c:v>950</c:v>
                </c:pt>
                <c:pt idx="11">
                  <c:v>90</c:v>
                </c:pt>
                <c:pt idx="12">
                  <c:v>120</c:v>
                </c:pt>
                <c:pt idx="13">
                  <c:v>150</c:v>
                </c:pt>
                <c:pt idx="14">
                  <c:v>250</c:v>
                </c:pt>
                <c:pt idx="15">
                  <c:v>50</c:v>
                </c:pt>
                <c:pt idx="16">
                  <c:v>160</c:v>
                </c:pt>
                <c:pt idx="17">
                  <c:v>980</c:v>
                </c:pt>
                <c:pt idx="18">
                  <c:v>150</c:v>
                </c:pt>
                <c:pt idx="19">
                  <c:v>0</c:v>
                </c:pt>
                <c:pt idx="20">
                  <c:v>700</c:v>
                </c:pt>
                <c:pt idx="21">
                  <c:v>80</c:v>
                </c:pt>
                <c:pt idx="22">
                  <c:v>150</c:v>
                </c:pt>
                <c:pt idx="23">
                  <c:v>800</c:v>
                </c:pt>
                <c:pt idx="24">
                  <c:v>0</c:v>
                </c:pt>
                <c:pt idx="25">
                  <c:v>400</c:v>
                </c:pt>
                <c:pt idx="26">
                  <c:v>60</c:v>
                </c:pt>
                <c:pt idx="27">
                  <c:v>40</c:v>
                </c:pt>
                <c:pt idx="28">
                  <c:v>130</c:v>
                </c:pt>
                <c:pt idx="29">
                  <c:v>50</c:v>
                </c:pt>
                <c:pt idx="3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C-4255-A96E-A9BE4CA63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909424"/>
        <c:axId val="1226909904"/>
      </c:barChart>
      <c:catAx>
        <c:axId val="1226909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09904"/>
        <c:crosses val="autoZero"/>
        <c:auto val="1"/>
        <c:lblAlgn val="ctr"/>
        <c:lblOffset val="100"/>
        <c:noMultiLvlLbl val="0"/>
      </c:catAx>
      <c:valAx>
        <c:axId val="12269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0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541020</xdr:colOff>
      <xdr:row>7</xdr:row>
      <xdr:rowOff>26670</xdr:rowOff>
    </xdr:from>
    <xdr:to>
      <xdr:col>12</xdr:col>
      <xdr:colOff>266700</xdr:colOff>
      <xdr:row>23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14F0E4-8E94-4053-8479-C15C4E5F2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.Aishwarya\AppData\Roaming\Microsoft\Excel\Excel%20Assignment%202%20-%20Data%20Cleaning%20and%20Transformation-171125%20(version%201).xlsb" TargetMode="External"/><Relationship Id="rId1" Type="http://schemas.openxmlformats.org/officeDocument/2006/relationships/externalLinkPath" Target="/Users/K.Aishwarya/AppData/Roaming/Microsoft/Excel/Excel%20Assignment%202%20-%20Data%20Cleaning%20and%20Transformation-171125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Dataset"/>
      <sheetName val="Dataset-Week3"/>
      <sheetName val="Sheet4"/>
    </sheetNames>
    <sheetDataSet>
      <sheetData sheetId="0"/>
      <sheetData sheetId="1"/>
      <sheetData sheetId="2">
        <row r="1">
          <cell r="D1" t="str">
            <v>Price ($)</v>
          </cell>
        </row>
        <row r="2">
          <cell r="D2">
            <v>1000</v>
          </cell>
        </row>
        <row r="3">
          <cell r="D3">
            <v>80</v>
          </cell>
        </row>
        <row r="4">
          <cell r="D4">
            <v>130</v>
          </cell>
        </row>
        <row r="5">
          <cell r="D5">
            <v>900</v>
          </cell>
        </row>
        <row r="6">
          <cell r="D6">
            <v>70</v>
          </cell>
        </row>
        <row r="7">
          <cell r="D7">
            <v>0</v>
          </cell>
        </row>
        <row r="8">
          <cell r="D8">
            <v>30</v>
          </cell>
        </row>
        <row r="9">
          <cell r="D9">
            <v>90</v>
          </cell>
        </row>
        <row r="10">
          <cell r="D10">
            <v>500</v>
          </cell>
        </row>
        <row r="11">
          <cell r="D11">
            <v>130</v>
          </cell>
        </row>
        <row r="12">
          <cell r="D12">
            <v>950</v>
          </cell>
        </row>
        <row r="13">
          <cell r="D13">
            <v>90</v>
          </cell>
        </row>
        <row r="14">
          <cell r="D14">
            <v>120</v>
          </cell>
        </row>
        <row r="15">
          <cell r="D15">
            <v>150</v>
          </cell>
        </row>
        <row r="16">
          <cell r="D16">
            <v>250</v>
          </cell>
        </row>
        <row r="17">
          <cell r="D17">
            <v>50</v>
          </cell>
        </row>
        <row r="18">
          <cell r="D18">
            <v>160</v>
          </cell>
        </row>
        <row r="19">
          <cell r="D19">
            <v>980</v>
          </cell>
        </row>
        <row r="20">
          <cell r="D20">
            <v>150</v>
          </cell>
        </row>
        <row r="21">
          <cell r="D21">
            <v>0</v>
          </cell>
        </row>
        <row r="22">
          <cell r="D22">
            <v>700</v>
          </cell>
        </row>
        <row r="23">
          <cell r="D23">
            <v>80</v>
          </cell>
        </row>
        <row r="24">
          <cell r="D24">
            <v>150</v>
          </cell>
        </row>
        <row r="25">
          <cell r="D25">
            <v>800</v>
          </cell>
        </row>
        <row r="26">
          <cell r="D26">
            <v>0</v>
          </cell>
        </row>
        <row r="27">
          <cell r="D27">
            <v>400</v>
          </cell>
        </row>
        <row r="28">
          <cell r="D28">
            <v>60</v>
          </cell>
        </row>
        <row r="29">
          <cell r="D29">
            <v>40</v>
          </cell>
        </row>
        <row r="30">
          <cell r="D30">
            <v>130</v>
          </cell>
        </row>
        <row r="31">
          <cell r="D31">
            <v>50</v>
          </cell>
        </row>
        <row r="32">
          <cell r="D32">
            <v>100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abSelected="1" topLeftCell="A9" workbookViewId="0">
      <selection activeCell="M23" sqref="M23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sqref="A1:XFD1048576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B392A-406B-47F6-9EFF-0295EF1C2CA0}">
  <dimension ref="A1:H34"/>
  <sheetViews>
    <sheetView topLeftCell="A2" workbookViewId="0">
      <selection activeCell="P16" sqref="P16"/>
    </sheetView>
  </sheetViews>
  <sheetFormatPr defaultRowHeight="13.2" x14ac:dyDescent="0.25"/>
  <cols>
    <col min="1" max="1" width="10.77734375" bestFit="1" customWidth="1"/>
    <col min="2" max="2" width="22.77734375" style="23" bestFit="1" customWidth="1"/>
    <col min="3" max="3" width="16" bestFit="1" customWidth="1"/>
    <col min="4" max="4" width="13.6640625" bestFit="1" customWidth="1"/>
    <col min="5" max="5" width="11.77734375" bestFit="1" customWidth="1"/>
    <col min="6" max="6" width="8.33203125" bestFit="1" customWidth="1"/>
    <col min="7" max="7" width="8.44140625" bestFit="1" customWidth="1"/>
    <col min="8" max="8" width="11" bestFit="1" customWidth="1"/>
  </cols>
  <sheetData>
    <row r="1" spans="1:8" ht="13.2" hidden="1" customHeight="1" x14ac:dyDescent="0.25"/>
    <row r="3" spans="1:8" x14ac:dyDescent="0.25">
      <c r="A3" s="9" t="s">
        <v>19</v>
      </c>
      <c r="B3" s="24" t="s">
        <v>118</v>
      </c>
      <c r="C3" s="9" t="s">
        <v>117</v>
      </c>
      <c r="D3" s="10" t="s">
        <v>20</v>
      </c>
      <c r="E3" s="7" t="s">
        <v>21</v>
      </c>
      <c r="F3" s="11" t="s">
        <v>22</v>
      </c>
      <c r="G3" s="7" t="s">
        <v>23</v>
      </c>
      <c r="H3" s="12" t="s">
        <v>24</v>
      </c>
    </row>
    <row r="4" spans="1:8" x14ac:dyDescent="0.25">
      <c r="A4" s="13" t="s">
        <v>25</v>
      </c>
      <c r="B4" s="25" t="str">
        <f>LEFT(A4,7)  &amp; YEAR(DATE(2025,1,1))</f>
        <v>28-JAN-2025</v>
      </c>
      <c r="C4" s="13" t="str">
        <f>RIGHT(A4,2)</f>
        <v>US</v>
      </c>
      <c r="D4" s="14" t="s">
        <v>61</v>
      </c>
      <c r="E4" t="s">
        <v>119</v>
      </c>
      <c r="F4" s="15">
        <v>1000</v>
      </c>
      <c r="G4" s="5">
        <v>30</v>
      </c>
      <c r="H4" s="16" t="s">
        <v>28</v>
      </c>
    </row>
    <row r="5" spans="1:8" x14ac:dyDescent="0.25">
      <c r="A5" s="17" t="s">
        <v>29</v>
      </c>
      <c r="B5" s="25" t="str">
        <f>LEFT(A5,7)  &amp; YEAR(DATE(2025,1,1))</f>
        <v>15-FEB-2025</v>
      </c>
      <c r="C5" s="13" t="str">
        <f t="shared" ref="C5:C34" si="0">RIGHT(A5,2)</f>
        <v>US</v>
      </c>
      <c r="D5" s="18" t="s">
        <v>30</v>
      </c>
      <c r="E5" t="s">
        <v>120</v>
      </c>
      <c r="F5" s="19">
        <v>80</v>
      </c>
      <c r="G5" s="8">
        <v>15</v>
      </c>
      <c r="H5" s="20" t="s">
        <v>32</v>
      </c>
    </row>
    <row r="6" spans="1:8" x14ac:dyDescent="0.25">
      <c r="A6" s="13" t="s">
        <v>33</v>
      </c>
      <c r="B6" s="25" t="str">
        <f>LEFT(A6,7)  &amp; YEAR(DATE(2025,1,1))</f>
        <v>03-MAR-2025</v>
      </c>
      <c r="C6" s="13" t="str">
        <f t="shared" si="0"/>
        <v>US</v>
      </c>
      <c r="D6" s="14" t="s">
        <v>34</v>
      </c>
      <c r="E6" t="s">
        <v>121</v>
      </c>
      <c r="F6" s="15">
        <v>130</v>
      </c>
      <c r="G6" s="5">
        <v>40</v>
      </c>
      <c r="H6" s="16" t="s">
        <v>36</v>
      </c>
    </row>
    <row r="7" spans="1:8" x14ac:dyDescent="0.25">
      <c r="A7" s="17" t="s">
        <v>37</v>
      </c>
      <c r="B7" s="25" t="str">
        <f t="shared" ref="B7:B34" si="1">LEFT(A7,7)  &amp; YEAR(DATE(2025,1,1))</f>
        <v>11-APR-2025</v>
      </c>
      <c r="C7" s="13" t="str">
        <f t="shared" si="0"/>
        <v>US</v>
      </c>
      <c r="D7" s="8" t="s">
        <v>96</v>
      </c>
      <c r="E7" t="s">
        <v>122</v>
      </c>
      <c r="F7" s="19">
        <v>900</v>
      </c>
      <c r="G7" s="8">
        <v>25</v>
      </c>
      <c r="H7" s="20" t="s">
        <v>28</v>
      </c>
    </row>
    <row r="8" spans="1:8" x14ac:dyDescent="0.25">
      <c r="A8" s="13" t="s">
        <v>40</v>
      </c>
      <c r="B8" s="25" t="str">
        <f t="shared" si="1"/>
        <v>22-MAY-2025</v>
      </c>
      <c r="C8" s="13" t="str">
        <f t="shared" si="0"/>
        <v>US</v>
      </c>
      <c r="D8" s="5" t="s">
        <v>41</v>
      </c>
      <c r="E8" t="s">
        <v>123</v>
      </c>
      <c r="F8" s="15">
        <v>70</v>
      </c>
      <c r="G8" s="5">
        <v>20</v>
      </c>
      <c r="H8" s="21" t="s">
        <v>116</v>
      </c>
    </row>
    <row r="9" spans="1:8" x14ac:dyDescent="0.25">
      <c r="A9" s="17" t="s">
        <v>43</v>
      </c>
      <c r="B9" s="25" t="str">
        <f t="shared" si="1"/>
        <v>07-JUN-2025</v>
      </c>
      <c r="C9" s="13" t="str">
        <f t="shared" si="0"/>
        <v>UK</v>
      </c>
      <c r="D9" s="8" t="s">
        <v>44</v>
      </c>
      <c r="E9" t="s">
        <v>124</v>
      </c>
      <c r="F9" s="19">
        <f ca="1">IF(ISBLANK(F9),AVERAGE(F4:F34))</f>
        <v>0</v>
      </c>
      <c r="G9" s="8">
        <v>45</v>
      </c>
      <c r="H9" s="20" t="s">
        <v>28</v>
      </c>
    </row>
    <row r="10" spans="1:8" x14ac:dyDescent="0.25">
      <c r="A10" s="13" t="s">
        <v>47</v>
      </c>
      <c r="B10" s="25" t="str">
        <f t="shared" si="1"/>
        <v>19-JUL-2025</v>
      </c>
      <c r="C10" s="13" t="str">
        <f t="shared" si="0"/>
        <v>UK</v>
      </c>
      <c r="D10" s="5" t="s">
        <v>148</v>
      </c>
      <c r="E10" t="s">
        <v>125</v>
      </c>
      <c r="F10" s="15">
        <v>30</v>
      </c>
      <c r="G10" s="5">
        <v>5</v>
      </c>
      <c r="H10" s="16" t="s">
        <v>32</v>
      </c>
    </row>
    <row r="11" spans="1:8" x14ac:dyDescent="0.25">
      <c r="A11" s="17" t="s">
        <v>50</v>
      </c>
      <c r="B11" s="25" t="str">
        <f t="shared" si="1"/>
        <v>23-AUG-2025</v>
      </c>
      <c r="C11" s="13" t="str">
        <f t="shared" si="0"/>
        <v>UK</v>
      </c>
      <c r="D11" s="8" t="s">
        <v>51</v>
      </c>
      <c r="E11" t="s">
        <v>126</v>
      </c>
      <c r="F11" s="19">
        <v>90</v>
      </c>
      <c r="G11" s="8">
        <v>35</v>
      </c>
      <c r="H11" s="20" t="s">
        <v>36</v>
      </c>
    </row>
    <row r="12" spans="1:8" x14ac:dyDescent="0.25">
      <c r="A12" s="13" t="s">
        <v>53</v>
      </c>
      <c r="B12" s="25" t="str">
        <f t="shared" si="1"/>
        <v>05-SEP-2025</v>
      </c>
      <c r="C12" s="13" t="str">
        <f t="shared" si="0"/>
        <v>UK</v>
      </c>
      <c r="D12" s="5" t="s">
        <v>54</v>
      </c>
      <c r="E12" t="s">
        <v>127</v>
      </c>
      <c r="F12" s="15">
        <v>500</v>
      </c>
      <c r="G12" s="5">
        <v>50</v>
      </c>
      <c r="H12" s="16" t="s">
        <v>28</v>
      </c>
    </row>
    <row r="13" spans="1:8" x14ac:dyDescent="0.25">
      <c r="A13" s="17" t="s">
        <v>56</v>
      </c>
      <c r="B13" s="25" t="str">
        <f t="shared" si="1"/>
        <v>14-OCT-2025</v>
      </c>
      <c r="C13" s="13" t="str">
        <f t="shared" si="0"/>
        <v>UK</v>
      </c>
      <c r="D13" s="8" t="s">
        <v>57</v>
      </c>
      <c r="E13" t="s">
        <v>128</v>
      </c>
      <c r="F13" s="19">
        <v>130</v>
      </c>
      <c r="G13" s="8">
        <v>10</v>
      </c>
      <c r="H13" s="20" t="s">
        <v>59</v>
      </c>
    </row>
    <row r="14" spans="1:8" x14ac:dyDescent="0.25">
      <c r="A14" s="13" t="s">
        <v>60</v>
      </c>
      <c r="B14" s="25" t="str">
        <f t="shared" si="1"/>
        <v>17-JUN-2025</v>
      </c>
      <c r="C14" s="13" t="str">
        <f t="shared" si="0"/>
        <v>IN</v>
      </c>
      <c r="D14" s="5" t="s">
        <v>61</v>
      </c>
      <c r="E14" t="s">
        <v>62</v>
      </c>
      <c r="F14" s="15">
        <v>950</v>
      </c>
      <c r="G14" s="5">
        <v>25</v>
      </c>
      <c r="H14" s="16" t="s">
        <v>28</v>
      </c>
    </row>
    <row r="15" spans="1:8" x14ac:dyDescent="0.25">
      <c r="A15" s="17" t="s">
        <v>63</v>
      </c>
      <c r="B15" s="25" t="str">
        <f t="shared" si="1"/>
        <v>25-NOV-2025</v>
      </c>
      <c r="C15" s="13" t="str">
        <f t="shared" si="0"/>
        <v>AU</v>
      </c>
      <c r="D15" s="8" t="s">
        <v>30</v>
      </c>
      <c r="E15" t="s">
        <v>125</v>
      </c>
      <c r="F15" s="19">
        <v>90</v>
      </c>
      <c r="G15" s="8">
        <v>40</v>
      </c>
      <c r="H15" s="22" t="s">
        <v>116</v>
      </c>
    </row>
    <row r="16" spans="1:8" x14ac:dyDescent="0.25">
      <c r="A16" s="13" t="s">
        <v>64</v>
      </c>
      <c r="B16" s="25" t="str">
        <f t="shared" si="1"/>
        <v>08-DEC-2025</v>
      </c>
      <c r="C16" s="13" t="str">
        <f t="shared" si="0"/>
        <v>DE</v>
      </c>
      <c r="D16" s="5" t="s">
        <v>34</v>
      </c>
      <c r="E16" t="s">
        <v>129</v>
      </c>
      <c r="F16" s="15">
        <v>120</v>
      </c>
      <c r="G16" s="5">
        <v>35</v>
      </c>
      <c r="H16" s="21" t="s">
        <v>116</v>
      </c>
    </row>
    <row r="17" spans="1:8" x14ac:dyDescent="0.25">
      <c r="A17" s="17" t="s">
        <v>66</v>
      </c>
      <c r="B17" s="25" t="str">
        <f t="shared" si="1"/>
        <v>18-FEB-2025</v>
      </c>
      <c r="C17" s="13" t="str">
        <f t="shared" si="0"/>
        <v>CA</v>
      </c>
      <c r="D17" s="8" t="s">
        <v>67</v>
      </c>
      <c r="E17" t="s">
        <v>130</v>
      </c>
      <c r="F17" s="19">
        <v>150</v>
      </c>
      <c r="G17" s="8">
        <v>15</v>
      </c>
      <c r="H17" s="16" t="s">
        <v>28</v>
      </c>
    </row>
    <row r="18" spans="1:8" x14ac:dyDescent="0.25">
      <c r="A18" s="13" t="s">
        <v>69</v>
      </c>
      <c r="B18" s="25" t="str">
        <f t="shared" si="1"/>
        <v>16-APR-2025</v>
      </c>
      <c r="C18" s="13" t="str">
        <f t="shared" si="0"/>
        <v>ES</v>
      </c>
      <c r="D18" s="5" t="s">
        <v>44</v>
      </c>
      <c r="E18" t="s">
        <v>131</v>
      </c>
      <c r="F18" s="15">
        <v>250</v>
      </c>
      <c r="G18" s="5">
        <v>20</v>
      </c>
      <c r="H18" s="16" t="s">
        <v>28</v>
      </c>
    </row>
    <row r="19" spans="1:8" x14ac:dyDescent="0.25">
      <c r="A19" s="17" t="s">
        <v>72</v>
      </c>
      <c r="B19" s="25" t="str">
        <f t="shared" si="1"/>
        <v>21-AUG-2025</v>
      </c>
      <c r="C19" s="13" t="str">
        <f t="shared" si="0"/>
        <v>CA</v>
      </c>
      <c r="D19" s="8" t="s">
        <v>73</v>
      </c>
      <c r="E19" t="s">
        <v>132</v>
      </c>
      <c r="F19" s="19">
        <v>50</v>
      </c>
      <c r="G19" s="8">
        <v>35</v>
      </c>
      <c r="H19" s="20" t="s">
        <v>75</v>
      </c>
    </row>
    <row r="20" spans="1:8" x14ac:dyDescent="0.25">
      <c r="A20" s="13" t="s">
        <v>76</v>
      </c>
      <c r="B20" s="25" t="str">
        <f t="shared" si="1"/>
        <v>20-AUG-2025</v>
      </c>
      <c r="C20" s="13" t="str">
        <f t="shared" si="0"/>
        <v>CN</v>
      </c>
      <c r="D20" s="5" t="s">
        <v>67</v>
      </c>
      <c r="E20" t="s">
        <v>133</v>
      </c>
      <c r="F20" s="15">
        <v>160</v>
      </c>
      <c r="G20" s="5">
        <v>15</v>
      </c>
      <c r="H20" s="16" t="s">
        <v>28</v>
      </c>
    </row>
    <row r="21" spans="1:8" x14ac:dyDescent="0.25">
      <c r="A21" s="17" t="s">
        <v>78</v>
      </c>
      <c r="B21" s="25" t="str">
        <f t="shared" si="1"/>
        <v>27-JAN-2025</v>
      </c>
      <c r="C21" s="13" t="str">
        <f t="shared" si="0"/>
        <v>IT</v>
      </c>
      <c r="D21" s="8" t="s">
        <v>61</v>
      </c>
      <c r="E21" t="s">
        <v>134</v>
      </c>
      <c r="F21" s="19">
        <v>980</v>
      </c>
      <c r="G21" s="8">
        <v>10</v>
      </c>
      <c r="H21" s="20" t="s">
        <v>28</v>
      </c>
    </row>
    <row r="22" spans="1:8" x14ac:dyDescent="0.25">
      <c r="A22" s="13" t="s">
        <v>80</v>
      </c>
      <c r="B22" s="25" t="str">
        <f t="shared" si="1"/>
        <v>01-MAR-2025</v>
      </c>
      <c r="C22" s="13" t="str">
        <f t="shared" si="0"/>
        <v>UK</v>
      </c>
      <c r="D22" s="5" t="s">
        <v>81</v>
      </c>
      <c r="E22" t="s">
        <v>135</v>
      </c>
      <c r="F22" s="15">
        <v>150</v>
      </c>
      <c r="G22" s="5">
        <v>15</v>
      </c>
      <c r="H22" s="16" t="s">
        <v>32</v>
      </c>
    </row>
    <row r="23" spans="1:8" x14ac:dyDescent="0.25">
      <c r="A23" s="17" t="s">
        <v>83</v>
      </c>
      <c r="B23" s="25" t="str">
        <f t="shared" si="1"/>
        <v>14-AUG-2025</v>
      </c>
      <c r="C23" s="13" t="str">
        <f t="shared" si="0"/>
        <v>US</v>
      </c>
      <c r="D23" s="8" t="s">
        <v>84</v>
      </c>
      <c r="E23" t="s">
        <v>136</v>
      </c>
      <c r="F23" s="19">
        <f ca="1">IF(ISBLANK(F23),AVERAGE(F4:F34))</f>
        <v>0</v>
      </c>
      <c r="G23" s="8">
        <v>10</v>
      </c>
      <c r="H23" s="20" t="s">
        <v>59</v>
      </c>
    </row>
    <row r="24" spans="1:8" x14ac:dyDescent="0.25">
      <c r="A24" s="13" t="s">
        <v>86</v>
      </c>
      <c r="B24" s="25" t="str">
        <f t="shared" si="1"/>
        <v>14-MAY-2025</v>
      </c>
      <c r="C24" s="13" t="str">
        <f t="shared" si="0"/>
        <v>RU</v>
      </c>
      <c r="D24" s="5" t="s">
        <v>87</v>
      </c>
      <c r="E24" t="s">
        <v>137</v>
      </c>
      <c r="F24" s="15">
        <v>700</v>
      </c>
      <c r="G24" s="5">
        <v>50</v>
      </c>
      <c r="H24" s="16" t="s">
        <v>28</v>
      </c>
    </row>
    <row r="25" spans="1:8" x14ac:dyDescent="0.25">
      <c r="A25" s="17" t="s">
        <v>89</v>
      </c>
      <c r="B25" s="25" t="str">
        <f t="shared" si="1"/>
        <v>09-JAN-2025</v>
      </c>
      <c r="C25" s="13" t="str">
        <f t="shared" si="0"/>
        <v>CA</v>
      </c>
      <c r="D25" s="8" t="s">
        <v>90</v>
      </c>
      <c r="E25" t="s">
        <v>138</v>
      </c>
      <c r="F25" s="19">
        <v>80</v>
      </c>
      <c r="G25" s="8">
        <v>20</v>
      </c>
      <c r="H25" s="20" t="s">
        <v>36</v>
      </c>
    </row>
    <row r="26" spans="1:8" x14ac:dyDescent="0.25">
      <c r="A26" s="13" t="s">
        <v>92</v>
      </c>
      <c r="B26" s="25" t="str">
        <f t="shared" si="1"/>
        <v>19-JUL-2025</v>
      </c>
      <c r="C26" s="13" t="str">
        <f t="shared" si="0"/>
        <v>BR</v>
      </c>
      <c r="D26" s="5" t="s">
        <v>93</v>
      </c>
      <c r="E26" t="s">
        <v>139</v>
      </c>
      <c r="F26" s="15">
        <v>150</v>
      </c>
      <c r="G26" s="5">
        <v>30</v>
      </c>
      <c r="H26" s="21" t="s">
        <v>116</v>
      </c>
    </row>
    <row r="27" spans="1:8" x14ac:dyDescent="0.25">
      <c r="A27" s="13" t="s">
        <v>95</v>
      </c>
      <c r="B27" s="25" t="str">
        <f t="shared" si="1"/>
        <v>29-SEP-2025</v>
      </c>
      <c r="C27" s="13" t="str">
        <f t="shared" si="0"/>
        <v>CA</v>
      </c>
      <c r="D27" s="5" t="s">
        <v>96</v>
      </c>
      <c r="E27" t="s">
        <v>140</v>
      </c>
      <c r="F27" s="15">
        <v>800</v>
      </c>
      <c r="G27" s="5">
        <v>45</v>
      </c>
      <c r="H27" s="16" t="s">
        <v>28</v>
      </c>
    </row>
    <row r="28" spans="1:8" x14ac:dyDescent="0.25">
      <c r="A28" s="17" t="s">
        <v>98</v>
      </c>
      <c r="B28" s="25" t="str">
        <f t="shared" si="1"/>
        <v>03-JUN-2025</v>
      </c>
      <c r="C28" s="13" t="str">
        <f t="shared" si="0"/>
        <v>CA</v>
      </c>
      <c r="D28" s="8" t="s">
        <v>81</v>
      </c>
      <c r="E28" t="s">
        <v>141</v>
      </c>
      <c r="F28" s="19">
        <f ca="1">IF(ISBLANK(F28),AVERAGE(F4:F34))</f>
        <v>0</v>
      </c>
      <c r="G28" s="8">
        <v>25</v>
      </c>
      <c r="H28" s="20" t="s">
        <v>32</v>
      </c>
    </row>
    <row r="29" spans="1:8" x14ac:dyDescent="0.25">
      <c r="A29" s="13" t="s">
        <v>100</v>
      </c>
      <c r="B29" s="25" t="str">
        <f t="shared" si="1"/>
        <v>11-JUL-2025</v>
      </c>
      <c r="C29" s="13" t="str">
        <f t="shared" si="0"/>
        <v>CA</v>
      </c>
      <c r="D29" s="5" t="s">
        <v>51</v>
      </c>
      <c r="E29" t="s">
        <v>142</v>
      </c>
      <c r="F29" s="15">
        <v>400</v>
      </c>
      <c r="G29" s="5">
        <v>40</v>
      </c>
      <c r="H29" s="16" t="s">
        <v>36</v>
      </c>
    </row>
    <row r="30" spans="1:8" x14ac:dyDescent="0.25">
      <c r="A30" s="13" t="s">
        <v>102</v>
      </c>
      <c r="B30" s="25" t="str">
        <f t="shared" si="1"/>
        <v>07-MAR-2025</v>
      </c>
      <c r="C30" s="13" t="str">
        <f t="shared" si="0"/>
        <v>CA</v>
      </c>
      <c r="D30" s="5" t="s">
        <v>103</v>
      </c>
      <c r="E30" t="s">
        <v>143</v>
      </c>
      <c r="F30" s="15">
        <v>60</v>
      </c>
      <c r="G30" s="5">
        <v>30</v>
      </c>
      <c r="H30" s="16" t="s">
        <v>32</v>
      </c>
    </row>
    <row r="31" spans="1:8" x14ac:dyDescent="0.25">
      <c r="A31" s="17" t="s">
        <v>105</v>
      </c>
      <c r="B31" s="25" t="str">
        <f t="shared" si="1"/>
        <v>13-APR-2025</v>
      </c>
      <c r="C31" s="13" t="str">
        <f t="shared" si="0"/>
        <v>CA</v>
      </c>
      <c r="D31" s="8" t="s">
        <v>106</v>
      </c>
      <c r="E31" t="s">
        <v>144</v>
      </c>
      <c r="F31" s="19">
        <v>40</v>
      </c>
      <c r="G31" s="8">
        <v>10</v>
      </c>
      <c r="H31" s="20" t="s">
        <v>36</v>
      </c>
    </row>
    <row r="32" spans="1:8" x14ac:dyDescent="0.25">
      <c r="A32" s="13" t="s">
        <v>108</v>
      </c>
      <c r="B32" s="25" t="str">
        <f t="shared" si="1"/>
        <v>24-MAY-2025</v>
      </c>
      <c r="C32" s="13" t="str">
        <f t="shared" si="0"/>
        <v>CA</v>
      </c>
      <c r="D32" s="5" t="s">
        <v>93</v>
      </c>
      <c r="E32" t="s">
        <v>145</v>
      </c>
      <c r="F32" s="15">
        <v>130</v>
      </c>
      <c r="G32" s="5">
        <v>5</v>
      </c>
      <c r="H32" s="16" t="s">
        <v>28</v>
      </c>
    </row>
    <row r="33" spans="1:8" x14ac:dyDescent="0.25">
      <c r="A33" s="17" t="s">
        <v>110</v>
      </c>
      <c r="B33" s="25" t="str">
        <f t="shared" si="1"/>
        <v>02-DEC-2025</v>
      </c>
      <c r="C33" s="13" t="str">
        <f t="shared" si="0"/>
        <v>CA</v>
      </c>
      <c r="D33" s="8" t="s">
        <v>111</v>
      </c>
      <c r="E33" t="s">
        <v>146</v>
      </c>
      <c r="F33" s="19">
        <v>50</v>
      </c>
      <c r="G33" s="8">
        <v>50</v>
      </c>
      <c r="H33" s="20" t="s">
        <v>32</v>
      </c>
    </row>
    <row r="34" spans="1:8" x14ac:dyDescent="0.25">
      <c r="A34" s="17" t="s">
        <v>113</v>
      </c>
      <c r="B34" s="25" t="str">
        <f t="shared" si="1"/>
        <v>09-JUL-2025</v>
      </c>
      <c r="C34" s="13" t="str">
        <f t="shared" si="0"/>
        <v>FR</v>
      </c>
      <c r="D34" s="8" t="s">
        <v>114</v>
      </c>
      <c r="E34" t="s">
        <v>147</v>
      </c>
      <c r="F34" s="19">
        <v>100</v>
      </c>
      <c r="G34" s="8">
        <v>20</v>
      </c>
      <c r="H34" s="20" t="s">
        <v>75</v>
      </c>
    </row>
  </sheetData>
  <conditionalFormatting sqref="H3:H34">
    <cfRule type="cellIs" dxfId="0" priority="1" operator="equal">
      <formula>"Electronics"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Dataset3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K</cp:lastModifiedBy>
  <dcterms:modified xsi:type="dcterms:W3CDTF">2025-11-17T13:55:27Z</dcterms:modified>
</cp:coreProperties>
</file>