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627ac5c7cb9fa23b/Desktop/entry assignment sheet-Completed/"/>
    </mc:Choice>
  </mc:AlternateContent>
  <xr:revisionPtr revIDLastSave="92" documentId="14_{62946CE1-003A-4EF2-B5E1-17A39449E07F}" xr6:coauthVersionLast="47" xr6:coauthVersionMax="47" xr10:uidLastSave="{84F22910-E93E-4411-A856-235323A09CF1}"/>
  <bookViews>
    <workbookView xWindow="-108" yWindow="-108" windowWidth="23256" windowHeight="12456" firstSheet="1" activeTab="1" xr2:uid="{00000000-000D-0000-FFFF-FFFF00000000}"/>
  </bookViews>
  <sheets>
    <sheet name="Customer Names" sheetId="1" r:id="rId1"/>
    <sheet name="Donut Pivotchart" sheetId="7" r:id="rId2"/>
    <sheet name="Pivot piechart and slicer" sheetId="8" r:id="rId3"/>
    <sheet name="Medical Examinations" sheetId="2" r:id="rId4"/>
    <sheet name="Hospitalisation Details WITH XL" sheetId="4" r:id="rId5"/>
  </sheets>
  <definedNames>
    <definedName name="_xlnm._FilterDatabase" localSheetId="3" hidden="1">'Medical Examinations'!$A$1:$L$2342</definedName>
    <definedName name="Slicer_Diabetes_status">#N/A</definedName>
    <definedName name="Slicer_weight_status">#N/A</definedName>
  </definedNames>
  <calcPr calcId="191029"/>
  <pivotCaches>
    <pivotCache cacheId="0" r:id="rId6"/>
    <pivotCache cacheId="3"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L2" i="2" a="1"/>
  <c r="L2" i="2" s="1"/>
  <c r="K2" i="4"/>
  <c r="J2344" i="4"/>
  <c r="K2344" i="4" s="1"/>
  <c r="J2343" i="4"/>
  <c r="K2343" i="4" s="1"/>
  <c r="J2342" i="4"/>
  <c r="K2342" i="4" s="1"/>
  <c r="J2341" i="4"/>
  <c r="K2341" i="4" s="1"/>
  <c r="J2340" i="4"/>
  <c r="K2340" i="4" s="1"/>
  <c r="J2339" i="4"/>
  <c r="K2339" i="4" s="1"/>
  <c r="J2338" i="4"/>
  <c r="K2338" i="4" s="1"/>
  <c r="J2337" i="4"/>
  <c r="K2337" i="4" s="1"/>
  <c r="J2336" i="4"/>
  <c r="K2336" i="4" s="1"/>
  <c r="J2335" i="4"/>
  <c r="K2335" i="4" s="1"/>
  <c r="J2334" i="4"/>
  <c r="K2334" i="4" s="1"/>
  <c r="J2333" i="4"/>
  <c r="K2333" i="4" s="1"/>
  <c r="J2332" i="4"/>
  <c r="K2332" i="4" s="1"/>
  <c r="J2331" i="4"/>
  <c r="K2331" i="4" s="1"/>
  <c r="J2330" i="4"/>
  <c r="K2330" i="4" s="1"/>
  <c r="J2329" i="4"/>
  <c r="K2329" i="4" s="1"/>
  <c r="J2328" i="4"/>
  <c r="K2328" i="4" s="1"/>
  <c r="J2327" i="4"/>
  <c r="K2327" i="4" s="1"/>
  <c r="K2326" i="4"/>
  <c r="J2326" i="4"/>
  <c r="J2325" i="4"/>
  <c r="K2325" i="4" s="1"/>
  <c r="J2324" i="4"/>
  <c r="K2324" i="4" s="1"/>
  <c r="J2323" i="4"/>
  <c r="K2323" i="4" s="1"/>
  <c r="K2322" i="4"/>
  <c r="J2322" i="4"/>
  <c r="J2321" i="4"/>
  <c r="K2321" i="4" s="1"/>
  <c r="J2320" i="4"/>
  <c r="K2320" i="4" s="1"/>
  <c r="J2319" i="4"/>
  <c r="K2319" i="4" s="1"/>
  <c r="J2318" i="4"/>
  <c r="K2318" i="4" s="1"/>
  <c r="J2317" i="4"/>
  <c r="K2317" i="4" s="1"/>
  <c r="K2316" i="4"/>
  <c r="J2316" i="4"/>
  <c r="J2315" i="4"/>
  <c r="K2315" i="4" s="1"/>
  <c r="K2314" i="4"/>
  <c r="J2314" i="4"/>
  <c r="J2313" i="4"/>
  <c r="K2313" i="4" s="1"/>
  <c r="J2312" i="4"/>
  <c r="K2312" i="4" s="1"/>
  <c r="J2311" i="4"/>
  <c r="K2311" i="4" s="1"/>
  <c r="K2310" i="4"/>
  <c r="J2310" i="4"/>
  <c r="J2309" i="4"/>
  <c r="K2309" i="4" s="1"/>
  <c r="K2308" i="4"/>
  <c r="J2308" i="4"/>
  <c r="J2307" i="4"/>
  <c r="K2307" i="4" s="1"/>
  <c r="J2306" i="4"/>
  <c r="K2306" i="4" s="1"/>
  <c r="J2305" i="4"/>
  <c r="K2305" i="4" s="1"/>
  <c r="J2304" i="4"/>
  <c r="K2304" i="4" s="1"/>
  <c r="J2303" i="4"/>
  <c r="K2303" i="4" s="1"/>
  <c r="K2302" i="4"/>
  <c r="J2302" i="4"/>
  <c r="J2301" i="4"/>
  <c r="K2301" i="4" s="1"/>
  <c r="J2300" i="4"/>
  <c r="K2300" i="4" s="1"/>
  <c r="J2299" i="4"/>
  <c r="K2299" i="4" s="1"/>
  <c r="K2298" i="4"/>
  <c r="J2298" i="4"/>
  <c r="J2297" i="4"/>
  <c r="K2297" i="4" s="1"/>
  <c r="J2296" i="4"/>
  <c r="K2296" i="4" s="1"/>
  <c r="J2295" i="4"/>
  <c r="K2295" i="4" s="1"/>
  <c r="J2294" i="4"/>
  <c r="K2294" i="4" s="1"/>
  <c r="J2293" i="4"/>
  <c r="K2293" i="4" s="1"/>
  <c r="K2292" i="4"/>
  <c r="J2292" i="4"/>
  <c r="J2291" i="4"/>
  <c r="K2291" i="4" s="1"/>
  <c r="K2290" i="4"/>
  <c r="J2290" i="4"/>
  <c r="J2289" i="4"/>
  <c r="K2289" i="4" s="1"/>
  <c r="J2288" i="4"/>
  <c r="K2288" i="4" s="1"/>
  <c r="J2287" i="4"/>
  <c r="K2287" i="4" s="1"/>
  <c r="K2286" i="4"/>
  <c r="J2286" i="4"/>
  <c r="J2285" i="4"/>
  <c r="K2285" i="4" s="1"/>
  <c r="K2284" i="4"/>
  <c r="J2284" i="4"/>
  <c r="J2283" i="4"/>
  <c r="K2283" i="4" s="1"/>
  <c r="J2282" i="4"/>
  <c r="K2282" i="4" s="1"/>
  <c r="J2281" i="4"/>
  <c r="K2281" i="4" s="1"/>
  <c r="J2280" i="4"/>
  <c r="K2280" i="4" s="1"/>
  <c r="J2279" i="4"/>
  <c r="K2279" i="4" s="1"/>
  <c r="K2278" i="4"/>
  <c r="J2278" i="4"/>
  <c r="J2277" i="4"/>
  <c r="K2277" i="4" s="1"/>
  <c r="J2276" i="4"/>
  <c r="K2276" i="4" s="1"/>
  <c r="J2275" i="4"/>
  <c r="K2275" i="4" s="1"/>
  <c r="K2274" i="4"/>
  <c r="J2274" i="4"/>
  <c r="J2273" i="4"/>
  <c r="K2273" i="4" s="1"/>
  <c r="J2272" i="4"/>
  <c r="K2272" i="4" s="1"/>
  <c r="J2271" i="4"/>
  <c r="K2271" i="4" s="1"/>
  <c r="J2270" i="4"/>
  <c r="K2270" i="4" s="1"/>
  <c r="J2269" i="4"/>
  <c r="K2269" i="4" s="1"/>
  <c r="K2268" i="4"/>
  <c r="J2268" i="4"/>
  <c r="J2267" i="4"/>
  <c r="K2267" i="4" s="1"/>
  <c r="K2266" i="4"/>
  <c r="J2266" i="4"/>
  <c r="J2265" i="4"/>
  <c r="K2265" i="4" s="1"/>
  <c r="J2264" i="4"/>
  <c r="K2264" i="4" s="1"/>
  <c r="J2263" i="4"/>
  <c r="K2263" i="4" s="1"/>
  <c r="K2262" i="4"/>
  <c r="J2262" i="4"/>
  <c r="J2261" i="4"/>
  <c r="K2261" i="4" s="1"/>
  <c r="K2260" i="4"/>
  <c r="J2260" i="4"/>
  <c r="J2259" i="4"/>
  <c r="K2259" i="4" s="1"/>
  <c r="J2258" i="4"/>
  <c r="K2258" i="4" s="1"/>
  <c r="J2257" i="4"/>
  <c r="K2257" i="4" s="1"/>
  <c r="J2256" i="4"/>
  <c r="K2256" i="4" s="1"/>
  <c r="J2255" i="4"/>
  <c r="K2255" i="4" s="1"/>
  <c r="K2254" i="4"/>
  <c r="J2254" i="4"/>
  <c r="J2253" i="4"/>
  <c r="K2253" i="4" s="1"/>
  <c r="J2252" i="4"/>
  <c r="K2252" i="4" s="1"/>
  <c r="J2251" i="4"/>
  <c r="K2251" i="4" s="1"/>
  <c r="K2250" i="4"/>
  <c r="J2250" i="4"/>
  <c r="J2249" i="4"/>
  <c r="K2249" i="4" s="1"/>
  <c r="J2248" i="4"/>
  <c r="K2248" i="4" s="1"/>
  <c r="J2247" i="4"/>
  <c r="K2247" i="4" s="1"/>
  <c r="J2246" i="4"/>
  <c r="K2246" i="4" s="1"/>
  <c r="J2245" i="4"/>
  <c r="K2245" i="4" s="1"/>
  <c r="K2244" i="4"/>
  <c r="J2244" i="4"/>
  <c r="J2243" i="4"/>
  <c r="K2243" i="4" s="1"/>
  <c r="K2242" i="4"/>
  <c r="J2242" i="4"/>
  <c r="J2241" i="4"/>
  <c r="K2241" i="4" s="1"/>
  <c r="J2240" i="4"/>
  <c r="K2240" i="4" s="1"/>
  <c r="J2239" i="4"/>
  <c r="K2239" i="4" s="1"/>
  <c r="K2238" i="4"/>
  <c r="J2238" i="4"/>
  <c r="J2237" i="4"/>
  <c r="K2237" i="4" s="1"/>
  <c r="K2236" i="4"/>
  <c r="J2236" i="4"/>
  <c r="J2235" i="4"/>
  <c r="K2235" i="4" s="1"/>
  <c r="J2234" i="4"/>
  <c r="K2234" i="4" s="1"/>
  <c r="J2233" i="4"/>
  <c r="K2233" i="4" s="1"/>
  <c r="J2232" i="4"/>
  <c r="K2232" i="4" s="1"/>
  <c r="J2231" i="4"/>
  <c r="K2231" i="4" s="1"/>
  <c r="K2230" i="4"/>
  <c r="J2230" i="4"/>
  <c r="J2229" i="4"/>
  <c r="K2229" i="4" s="1"/>
  <c r="J2228" i="4"/>
  <c r="K2228" i="4" s="1"/>
  <c r="J2227" i="4"/>
  <c r="K2227" i="4" s="1"/>
  <c r="K2226" i="4"/>
  <c r="J2226" i="4"/>
  <c r="J2225" i="4"/>
  <c r="K2225" i="4" s="1"/>
  <c r="J2224" i="4"/>
  <c r="K2224" i="4" s="1"/>
  <c r="J2223" i="4"/>
  <c r="K2223" i="4" s="1"/>
  <c r="J2222" i="4"/>
  <c r="K2222" i="4" s="1"/>
  <c r="J2221" i="4"/>
  <c r="K2221" i="4" s="1"/>
  <c r="K2220" i="4"/>
  <c r="J2220" i="4"/>
  <c r="J2219" i="4"/>
  <c r="K2219" i="4" s="1"/>
  <c r="K2218" i="4"/>
  <c r="J2218" i="4"/>
  <c r="J2217" i="4"/>
  <c r="K2217" i="4" s="1"/>
  <c r="J2216" i="4"/>
  <c r="K2216" i="4" s="1"/>
  <c r="J2215" i="4"/>
  <c r="K2215" i="4" s="1"/>
  <c r="K2214" i="4"/>
  <c r="J2214" i="4"/>
  <c r="J2213" i="4"/>
  <c r="K2213" i="4" s="1"/>
  <c r="K2212" i="4"/>
  <c r="J2212" i="4"/>
  <c r="J2211" i="4"/>
  <c r="K2211" i="4" s="1"/>
  <c r="J2210" i="4"/>
  <c r="K2210" i="4" s="1"/>
  <c r="J2209" i="4"/>
  <c r="K2209" i="4" s="1"/>
  <c r="J2208" i="4"/>
  <c r="K2208" i="4" s="1"/>
  <c r="J2207" i="4"/>
  <c r="K2207" i="4" s="1"/>
  <c r="K2206" i="4"/>
  <c r="J2206" i="4"/>
  <c r="J2205" i="4"/>
  <c r="K2205" i="4" s="1"/>
  <c r="J2204" i="4"/>
  <c r="K2204" i="4" s="1"/>
  <c r="J2203" i="4"/>
  <c r="K2203" i="4" s="1"/>
  <c r="K2202" i="4"/>
  <c r="J2202" i="4"/>
  <c r="J2201" i="4"/>
  <c r="K2201" i="4" s="1"/>
  <c r="J2200" i="4"/>
  <c r="K2200" i="4" s="1"/>
  <c r="J2199" i="4"/>
  <c r="K2199" i="4" s="1"/>
  <c r="J2198" i="4"/>
  <c r="K2198" i="4" s="1"/>
  <c r="J2197" i="4"/>
  <c r="K2197" i="4" s="1"/>
  <c r="K2196" i="4"/>
  <c r="J2196" i="4"/>
  <c r="J2195" i="4"/>
  <c r="K2195" i="4" s="1"/>
  <c r="K2194" i="4"/>
  <c r="J2194" i="4"/>
  <c r="J2193" i="4"/>
  <c r="K2193" i="4" s="1"/>
  <c r="J2192" i="4"/>
  <c r="K2192" i="4" s="1"/>
  <c r="J2191" i="4"/>
  <c r="K2191" i="4" s="1"/>
  <c r="K2190" i="4"/>
  <c r="J2190" i="4"/>
  <c r="J2189" i="4"/>
  <c r="K2189" i="4" s="1"/>
  <c r="K2188" i="4"/>
  <c r="J2188" i="4"/>
  <c r="J2187" i="4"/>
  <c r="K2187" i="4" s="1"/>
  <c r="J2186" i="4"/>
  <c r="K2186" i="4" s="1"/>
  <c r="J2185" i="4"/>
  <c r="K2185" i="4" s="1"/>
  <c r="J2184" i="4"/>
  <c r="K2184" i="4" s="1"/>
  <c r="J2183" i="4"/>
  <c r="K2183" i="4" s="1"/>
  <c r="K2182" i="4"/>
  <c r="J2182" i="4"/>
  <c r="J2181" i="4"/>
  <c r="K2181" i="4" s="1"/>
  <c r="J2180" i="4"/>
  <c r="K2180" i="4" s="1"/>
  <c r="J2179" i="4"/>
  <c r="K2179" i="4" s="1"/>
  <c r="K2178" i="4"/>
  <c r="J2178" i="4"/>
  <c r="J2177" i="4"/>
  <c r="K2177" i="4" s="1"/>
  <c r="J2176" i="4"/>
  <c r="K2176" i="4" s="1"/>
  <c r="J2175" i="4"/>
  <c r="K2175" i="4" s="1"/>
  <c r="J2174" i="4"/>
  <c r="K2174" i="4" s="1"/>
  <c r="J2173" i="4"/>
  <c r="K2173" i="4" s="1"/>
  <c r="K2172" i="4"/>
  <c r="J2172" i="4"/>
  <c r="J2171" i="4"/>
  <c r="K2171" i="4" s="1"/>
  <c r="K2170" i="4"/>
  <c r="J2170" i="4"/>
  <c r="J2169" i="4"/>
  <c r="K2169" i="4" s="1"/>
  <c r="J2168" i="4"/>
  <c r="K2168" i="4" s="1"/>
  <c r="J2167" i="4"/>
  <c r="K2167" i="4" s="1"/>
  <c r="K2166" i="4"/>
  <c r="J2166" i="4"/>
  <c r="J2165" i="4"/>
  <c r="K2165" i="4" s="1"/>
  <c r="K2164" i="4"/>
  <c r="J2164" i="4"/>
  <c r="J2163" i="4"/>
  <c r="K2163" i="4" s="1"/>
  <c r="J2162" i="4"/>
  <c r="K2162" i="4" s="1"/>
  <c r="J2161" i="4"/>
  <c r="K2161" i="4" s="1"/>
  <c r="J2160" i="4"/>
  <c r="K2160" i="4" s="1"/>
  <c r="J2159" i="4"/>
  <c r="K2159" i="4" s="1"/>
  <c r="K2158" i="4"/>
  <c r="J2158" i="4"/>
  <c r="J2157" i="4"/>
  <c r="K2157" i="4" s="1"/>
  <c r="J2156" i="4"/>
  <c r="K2156" i="4" s="1"/>
  <c r="J2155" i="4"/>
  <c r="K2155" i="4" s="1"/>
  <c r="K2154" i="4"/>
  <c r="J2154" i="4"/>
  <c r="J2153" i="4"/>
  <c r="K2153" i="4" s="1"/>
  <c r="J2152" i="4"/>
  <c r="K2152" i="4" s="1"/>
  <c r="J2151" i="4"/>
  <c r="K2151" i="4" s="1"/>
  <c r="J2150" i="4"/>
  <c r="K2150" i="4" s="1"/>
  <c r="J2149" i="4"/>
  <c r="K2149" i="4" s="1"/>
  <c r="K2148" i="4"/>
  <c r="J2148" i="4"/>
  <c r="J2147" i="4"/>
  <c r="K2147" i="4" s="1"/>
  <c r="K2146" i="4"/>
  <c r="J2146" i="4"/>
  <c r="J2145" i="4"/>
  <c r="K2145" i="4" s="1"/>
  <c r="J2144" i="4"/>
  <c r="K2144" i="4" s="1"/>
  <c r="J2143" i="4"/>
  <c r="K2143" i="4" s="1"/>
  <c r="K2142" i="4"/>
  <c r="J2142" i="4"/>
  <c r="J2141" i="4"/>
  <c r="K2141" i="4" s="1"/>
  <c r="K2140" i="4"/>
  <c r="J2140" i="4"/>
  <c r="J2139" i="4"/>
  <c r="K2139" i="4" s="1"/>
  <c r="J2138" i="4"/>
  <c r="K2138" i="4" s="1"/>
  <c r="J2137" i="4"/>
  <c r="K2137" i="4" s="1"/>
  <c r="J2136" i="4"/>
  <c r="K2136" i="4" s="1"/>
  <c r="J2135" i="4"/>
  <c r="K2135" i="4" s="1"/>
  <c r="K2134" i="4"/>
  <c r="J2134" i="4"/>
  <c r="J2133" i="4"/>
  <c r="K2133" i="4" s="1"/>
  <c r="J2132" i="4"/>
  <c r="K2132" i="4" s="1"/>
  <c r="J2131" i="4"/>
  <c r="K2131" i="4" s="1"/>
  <c r="K2130" i="4"/>
  <c r="J2130" i="4"/>
  <c r="J2129" i="4"/>
  <c r="K2129" i="4" s="1"/>
  <c r="J2128" i="4"/>
  <c r="K2128" i="4" s="1"/>
  <c r="J2127" i="4"/>
  <c r="K2127" i="4" s="1"/>
  <c r="J2126" i="4"/>
  <c r="K2126" i="4" s="1"/>
  <c r="J2125" i="4"/>
  <c r="K2125" i="4" s="1"/>
  <c r="K2124" i="4"/>
  <c r="J2124" i="4"/>
  <c r="J2123" i="4"/>
  <c r="K2123" i="4" s="1"/>
  <c r="K2122" i="4"/>
  <c r="J2122" i="4"/>
  <c r="J2121" i="4"/>
  <c r="K2121" i="4" s="1"/>
  <c r="J2120" i="4"/>
  <c r="K2120" i="4" s="1"/>
  <c r="J2119" i="4"/>
  <c r="K2119" i="4" s="1"/>
  <c r="K2118" i="4"/>
  <c r="J2118" i="4"/>
  <c r="J2117" i="4"/>
  <c r="K2117" i="4" s="1"/>
  <c r="K2116" i="4"/>
  <c r="J2116" i="4"/>
  <c r="J2115" i="4"/>
  <c r="K2115" i="4" s="1"/>
  <c r="J2114" i="4"/>
  <c r="K2114" i="4" s="1"/>
  <c r="J2113" i="4"/>
  <c r="K2113" i="4" s="1"/>
  <c r="J2112" i="4"/>
  <c r="K2112" i="4" s="1"/>
  <c r="J2111" i="4"/>
  <c r="K2111" i="4" s="1"/>
  <c r="K2110" i="4"/>
  <c r="J2110" i="4"/>
  <c r="J2109" i="4"/>
  <c r="K2109" i="4" s="1"/>
  <c r="J2108" i="4"/>
  <c r="K2108" i="4" s="1"/>
  <c r="J2107" i="4"/>
  <c r="K2107" i="4" s="1"/>
  <c r="K2106" i="4"/>
  <c r="J2106" i="4"/>
  <c r="J2105" i="4"/>
  <c r="K2105" i="4" s="1"/>
  <c r="J2104" i="4"/>
  <c r="K2104" i="4" s="1"/>
  <c r="J2103" i="4"/>
  <c r="K2103" i="4" s="1"/>
  <c r="J2102" i="4"/>
  <c r="K2102" i="4" s="1"/>
  <c r="J2101" i="4"/>
  <c r="K2101" i="4" s="1"/>
  <c r="K2100" i="4"/>
  <c r="J2100" i="4"/>
  <c r="J2099" i="4"/>
  <c r="K2099" i="4" s="1"/>
  <c r="K2098" i="4"/>
  <c r="J2098" i="4"/>
  <c r="J2097" i="4"/>
  <c r="K2097" i="4" s="1"/>
  <c r="J2096" i="4"/>
  <c r="K2096" i="4" s="1"/>
  <c r="J2095" i="4"/>
  <c r="K2095" i="4" s="1"/>
  <c r="K2094" i="4"/>
  <c r="J2094" i="4"/>
  <c r="J2093" i="4"/>
  <c r="K2093" i="4" s="1"/>
  <c r="K2092" i="4"/>
  <c r="J2092" i="4"/>
  <c r="J2091" i="4"/>
  <c r="K2091" i="4" s="1"/>
  <c r="J2090" i="4"/>
  <c r="K2090" i="4" s="1"/>
  <c r="J2089" i="4"/>
  <c r="K2089" i="4" s="1"/>
  <c r="J2088" i="4"/>
  <c r="K2088" i="4" s="1"/>
  <c r="J2087" i="4"/>
  <c r="K2087" i="4" s="1"/>
  <c r="K2086" i="4"/>
  <c r="J2086" i="4"/>
  <c r="J2085" i="4"/>
  <c r="K2085" i="4" s="1"/>
  <c r="J2084" i="4"/>
  <c r="K2084" i="4" s="1"/>
  <c r="J2083" i="4"/>
  <c r="K2083" i="4" s="1"/>
  <c r="K2082" i="4"/>
  <c r="J2082" i="4"/>
  <c r="J2081" i="4"/>
  <c r="K2081" i="4" s="1"/>
  <c r="J2080" i="4"/>
  <c r="K2080" i="4" s="1"/>
  <c r="J2079" i="4"/>
  <c r="K2079" i="4" s="1"/>
  <c r="J2078" i="4"/>
  <c r="K2078" i="4" s="1"/>
  <c r="J2077" i="4"/>
  <c r="K2077" i="4" s="1"/>
  <c r="K2076" i="4"/>
  <c r="J2076" i="4"/>
  <c r="J2075" i="4"/>
  <c r="K2075" i="4" s="1"/>
  <c r="K2074" i="4"/>
  <c r="J2074" i="4"/>
  <c r="J2073" i="4"/>
  <c r="K2073" i="4" s="1"/>
  <c r="J2072" i="4"/>
  <c r="K2072" i="4" s="1"/>
  <c r="J2071" i="4"/>
  <c r="K2071" i="4" s="1"/>
  <c r="K2070" i="4"/>
  <c r="J2070" i="4"/>
  <c r="J2069" i="4"/>
  <c r="K2069" i="4" s="1"/>
  <c r="K2068" i="4"/>
  <c r="J2068" i="4"/>
  <c r="J2067" i="4"/>
  <c r="K2067" i="4" s="1"/>
  <c r="J2066" i="4"/>
  <c r="K2066" i="4" s="1"/>
  <c r="J2065" i="4"/>
  <c r="K2065" i="4" s="1"/>
  <c r="J2064" i="4"/>
  <c r="K2064" i="4" s="1"/>
  <c r="J2063" i="4"/>
  <c r="K2063" i="4" s="1"/>
  <c r="K2062" i="4"/>
  <c r="J2062" i="4"/>
  <c r="J2061" i="4"/>
  <c r="K2061" i="4" s="1"/>
  <c r="J2060" i="4"/>
  <c r="K2060" i="4" s="1"/>
  <c r="J2059" i="4"/>
  <c r="K2059" i="4" s="1"/>
  <c r="K2058" i="4"/>
  <c r="J2058" i="4"/>
  <c r="J2057" i="4"/>
  <c r="K2057" i="4" s="1"/>
  <c r="J2056" i="4"/>
  <c r="K2056" i="4" s="1"/>
  <c r="J2055" i="4"/>
  <c r="K2055" i="4" s="1"/>
  <c r="J2054" i="4"/>
  <c r="K2054" i="4" s="1"/>
  <c r="J2053" i="4"/>
  <c r="K2053" i="4" s="1"/>
  <c r="K2052" i="4"/>
  <c r="J2052" i="4"/>
  <c r="J2051" i="4"/>
  <c r="K2051" i="4" s="1"/>
  <c r="K2050" i="4"/>
  <c r="J2050" i="4"/>
  <c r="J2049" i="4"/>
  <c r="K2049" i="4" s="1"/>
  <c r="J2048" i="4"/>
  <c r="K2048" i="4" s="1"/>
  <c r="J2047" i="4"/>
  <c r="K2047" i="4" s="1"/>
  <c r="K2046" i="4"/>
  <c r="J2046" i="4"/>
  <c r="J2045" i="4"/>
  <c r="K2045" i="4" s="1"/>
  <c r="K2044" i="4"/>
  <c r="J2044" i="4"/>
  <c r="J2043" i="4"/>
  <c r="K2043" i="4" s="1"/>
  <c r="J2042" i="4"/>
  <c r="K2042" i="4" s="1"/>
  <c r="J2041" i="4"/>
  <c r="K2041" i="4" s="1"/>
  <c r="J2040" i="4"/>
  <c r="K2040" i="4" s="1"/>
  <c r="J2039" i="4"/>
  <c r="K2039" i="4" s="1"/>
  <c r="K2038" i="4"/>
  <c r="J2038" i="4"/>
  <c r="J2037" i="4"/>
  <c r="K2037" i="4" s="1"/>
  <c r="J2036" i="4"/>
  <c r="K2036" i="4" s="1"/>
  <c r="J2035" i="4"/>
  <c r="K2035" i="4" s="1"/>
  <c r="K2034" i="4"/>
  <c r="J2034" i="4"/>
  <c r="J2033" i="4"/>
  <c r="K2033" i="4" s="1"/>
  <c r="J2032" i="4"/>
  <c r="K2032" i="4" s="1"/>
  <c r="J2031" i="4"/>
  <c r="K2031" i="4" s="1"/>
  <c r="J2030" i="4"/>
  <c r="K2030" i="4" s="1"/>
  <c r="J2029" i="4"/>
  <c r="K2029" i="4" s="1"/>
  <c r="K2028" i="4"/>
  <c r="J2028" i="4"/>
  <c r="J2027" i="4"/>
  <c r="K2027" i="4" s="1"/>
  <c r="K2026" i="4"/>
  <c r="J2026" i="4"/>
  <c r="J2025" i="4"/>
  <c r="K2025" i="4" s="1"/>
  <c r="J2024" i="4"/>
  <c r="K2024" i="4" s="1"/>
  <c r="J2023" i="4"/>
  <c r="K2023" i="4" s="1"/>
  <c r="K2022" i="4"/>
  <c r="J2022" i="4"/>
  <c r="J2021" i="4"/>
  <c r="K2021" i="4" s="1"/>
  <c r="K2020" i="4"/>
  <c r="J2020" i="4"/>
  <c r="J2019" i="4"/>
  <c r="K2019" i="4" s="1"/>
  <c r="J2018" i="4"/>
  <c r="K2018" i="4" s="1"/>
  <c r="J2017" i="4"/>
  <c r="K2017" i="4" s="1"/>
  <c r="J2016" i="4"/>
  <c r="K2016" i="4" s="1"/>
  <c r="J2015" i="4"/>
  <c r="K2015" i="4" s="1"/>
  <c r="K2014" i="4"/>
  <c r="J2014" i="4"/>
  <c r="J2013" i="4"/>
  <c r="K2013" i="4" s="1"/>
  <c r="J2012" i="4"/>
  <c r="K2012" i="4" s="1"/>
  <c r="J2011" i="4"/>
  <c r="K2011" i="4" s="1"/>
  <c r="K2010" i="4"/>
  <c r="J2010" i="4"/>
  <c r="J2009" i="4"/>
  <c r="K2009" i="4" s="1"/>
  <c r="J2008" i="4"/>
  <c r="K2008" i="4" s="1"/>
  <c r="J2007" i="4"/>
  <c r="K2007" i="4" s="1"/>
  <c r="J2006" i="4"/>
  <c r="K2006" i="4" s="1"/>
  <c r="J2005" i="4"/>
  <c r="K2005" i="4" s="1"/>
  <c r="K2004" i="4"/>
  <c r="J2004" i="4"/>
  <c r="J2003" i="4"/>
  <c r="K2003" i="4" s="1"/>
  <c r="K2002" i="4"/>
  <c r="J2002" i="4"/>
  <c r="J2001" i="4"/>
  <c r="K2001" i="4" s="1"/>
  <c r="J2000" i="4"/>
  <c r="K2000" i="4" s="1"/>
  <c r="J1999" i="4"/>
  <c r="K1999" i="4" s="1"/>
  <c r="K1998" i="4"/>
  <c r="J1998" i="4"/>
  <c r="J1997" i="4"/>
  <c r="K1997" i="4" s="1"/>
  <c r="K1996" i="4"/>
  <c r="J1996" i="4"/>
  <c r="J1995" i="4"/>
  <c r="K1995" i="4" s="1"/>
  <c r="J1994" i="4"/>
  <c r="K1994" i="4" s="1"/>
  <c r="J1993" i="4"/>
  <c r="K1993" i="4" s="1"/>
  <c r="J1992" i="4"/>
  <c r="K1992" i="4" s="1"/>
  <c r="J1991" i="4"/>
  <c r="K1991" i="4" s="1"/>
  <c r="K1990" i="4"/>
  <c r="J1990" i="4"/>
  <c r="J1989" i="4"/>
  <c r="K1989" i="4" s="1"/>
  <c r="J1988" i="4"/>
  <c r="K1988" i="4" s="1"/>
  <c r="J1987" i="4"/>
  <c r="K1987" i="4" s="1"/>
  <c r="K1986" i="4"/>
  <c r="J1986" i="4"/>
  <c r="J1985" i="4"/>
  <c r="K1985" i="4" s="1"/>
  <c r="J1984" i="4"/>
  <c r="K1984" i="4" s="1"/>
  <c r="J1983" i="4"/>
  <c r="K1983" i="4" s="1"/>
  <c r="J1982" i="4"/>
  <c r="K1982" i="4" s="1"/>
  <c r="J1981" i="4"/>
  <c r="K1981" i="4" s="1"/>
  <c r="K1980" i="4"/>
  <c r="J1980" i="4"/>
  <c r="J1979" i="4"/>
  <c r="K1979" i="4" s="1"/>
  <c r="K1978" i="4"/>
  <c r="J1978" i="4"/>
  <c r="J1977" i="4"/>
  <c r="K1977" i="4" s="1"/>
  <c r="J1976" i="4"/>
  <c r="K1976" i="4" s="1"/>
  <c r="J1975" i="4"/>
  <c r="K1975" i="4" s="1"/>
  <c r="K1974" i="4"/>
  <c r="J1974" i="4"/>
  <c r="J1973" i="4"/>
  <c r="K1973" i="4" s="1"/>
  <c r="K1972" i="4"/>
  <c r="J1972" i="4"/>
  <c r="J1971" i="4"/>
  <c r="K1971" i="4" s="1"/>
  <c r="J1970" i="4"/>
  <c r="K1970" i="4" s="1"/>
  <c r="J1969" i="4"/>
  <c r="K1969" i="4" s="1"/>
  <c r="J1968" i="4"/>
  <c r="K1968" i="4" s="1"/>
  <c r="J1967" i="4"/>
  <c r="K1967" i="4" s="1"/>
  <c r="K1966" i="4"/>
  <c r="J1966" i="4"/>
  <c r="J1965" i="4"/>
  <c r="K1965" i="4" s="1"/>
  <c r="J1964" i="4"/>
  <c r="K1964" i="4" s="1"/>
  <c r="J1963" i="4"/>
  <c r="K1963" i="4" s="1"/>
  <c r="K1962" i="4"/>
  <c r="J1962" i="4"/>
  <c r="J1961" i="4"/>
  <c r="K1961" i="4" s="1"/>
  <c r="J1960" i="4"/>
  <c r="K1960" i="4" s="1"/>
  <c r="J1959" i="4"/>
  <c r="K1959" i="4" s="1"/>
  <c r="J1958" i="4"/>
  <c r="K1958" i="4" s="1"/>
  <c r="J1957" i="4"/>
  <c r="K1957" i="4" s="1"/>
  <c r="K1956" i="4"/>
  <c r="J1956" i="4"/>
  <c r="J1955" i="4"/>
  <c r="K1955" i="4" s="1"/>
  <c r="K1954" i="4"/>
  <c r="J1954" i="4"/>
  <c r="J1953" i="4"/>
  <c r="K1953" i="4" s="1"/>
  <c r="J1952" i="4"/>
  <c r="K1952" i="4" s="1"/>
  <c r="J1951" i="4"/>
  <c r="K1951" i="4" s="1"/>
  <c r="K1950" i="4"/>
  <c r="J1950" i="4"/>
  <c r="J1949" i="4"/>
  <c r="K1949" i="4" s="1"/>
  <c r="K1948" i="4"/>
  <c r="J1948" i="4"/>
  <c r="J1947" i="4"/>
  <c r="K1947" i="4" s="1"/>
  <c r="J1946" i="4"/>
  <c r="K1946" i="4" s="1"/>
  <c r="J1945" i="4"/>
  <c r="K1945" i="4" s="1"/>
  <c r="J1944" i="4"/>
  <c r="K1944" i="4" s="1"/>
  <c r="J1943" i="4"/>
  <c r="K1943" i="4" s="1"/>
  <c r="K1942" i="4"/>
  <c r="J1942" i="4"/>
  <c r="J1941" i="4"/>
  <c r="K1941" i="4" s="1"/>
  <c r="J1940" i="4"/>
  <c r="K1940" i="4" s="1"/>
  <c r="J1939" i="4"/>
  <c r="K1939" i="4" s="1"/>
  <c r="K1938" i="4"/>
  <c r="J1938" i="4"/>
  <c r="J1937" i="4"/>
  <c r="K1937" i="4" s="1"/>
  <c r="J1936" i="4"/>
  <c r="K1936" i="4" s="1"/>
  <c r="J1935" i="4"/>
  <c r="K1935" i="4" s="1"/>
  <c r="J1934" i="4"/>
  <c r="K1934" i="4" s="1"/>
  <c r="J1933" i="4"/>
  <c r="K1933" i="4" s="1"/>
  <c r="K1932" i="4"/>
  <c r="J1932" i="4"/>
  <c r="J1931" i="4"/>
  <c r="K1931" i="4" s="1"/>
  <c r="K1930" i="4"/>
  <c r="J1930" i="4"/>
  <c r="J1929" i="4"/>
  <c r="K1929" i="4" s="1"/>
  <c r="J1928" i="4"/>
  <c r="K1928" i="4" s="1"/>
  <c r="J1927" i="4"/>
  <c r="K1927" i="4" s="1"/>
  <c r="K1926" i="4"/>
  <c r="J1926" i="4"/>
  <c r="J1925" i="4"/>
  <c r="K1925" i="4" s="1"/>
  <c r="K1924" i="4"/>
  <c r="J1924" i="4"/>
  <c r="J1923" i="4"/>
  <c r="K1923" i="4" s="1"/>
  <c r="J1922" i="4"/>
  <c r="K1922" i="4" s="1"/>
  <c r="J1921" i="4"/>
  <c r="K1921" i="4" s="1"/>
  <c r="J1920" i="4"/>
  <c r="K1920" i="4" s="1"/>
  <c r="J1919" i="4"/>
  <c r="K1919" i="4" s="1"/>
  <c r="K1918" i="4"/>
  <c r="J1918" i="4"/>
  <c r="J1917" i="4"/>
  <c r="K1917" i="4" s="1"/>
  <c r="J1916" i="4"/>
  <c r="K1916" i="4" s="1"/>
  <c r="J1915" i="4"/>
  <c r="K1915" i="4" s="1"/>
  <c r="K1914" i="4"/>
  <c r="J1914" i="4"/>
  <c r="J1913" i="4"/>
  <c r="K1913" i="4" s="1"/>
  <c r="J1912" i="4"/>
  <c r="K1912" i="4" s="1"/>
  <c r="J1911" i="4"/>
  <c r="K1911" i="4" s="1"/>
  <c r="J1910" i="4"/>
  <c r="K1910" i="4" s="1"/>
  <c r="J1909" i="4"/>
  <c r="K1909" i="4" s="1"/>
  <c r="K1908" i="4"/>
  <c r="J1908" i="4"/>
  <c r="J1907" i="4"/>
  <c r="K1907" i="4" s="1"/>
  <c r="K1906" i="4"/>
  <c r="J1906" i="4"/>
  <c r="J1905" i="4"/>
  <c r="K1905" i="4" s="1"/>
  <c r="J1904" i="4"/>
  <c r="K1904" i="4" s="1"/>
  <c r="J1903" i="4"/>
  <c r="K1903" i="4" s="1"/>
  <c r="K1902" i="4"/>
  <c r="J1902" i="4"/>
  <c r="J1901" i="4"/>
  <c r="K1901" i="4" s="1"/>
  <c r="K1900" i="4"/>
  <c r="J1900" i="4"/>
  <c r="J1899" i="4"/>
  <c r="K1899" i="4" s="1"/>
  <c r="J1898" i="4"/>
  <c r="K1898" i="4" s="1"/>
  <c r="J1897" i="4"/>
  <c r="K1897" i="4" s="1"/>
  <c r="J1896" i="4"/>
  <c r="K1896" i="4" s="1"/>
  <c r="J1895" i="4"/>
  <c r="K1895" i="4" s="1"/>
  <c r="K1894" i="4"/>
  <c r="J1894" i="4"/>
  <c r="J1893" i="4"/>
  <c r="K1893" i="4" s="1"/>
  <c r="J1892" i="4"/>
  <c r="K1892" i="4" s="1"/>
  <c r="J1891" i="4"/>
  <c r="K1891" i="4" s="1"/>
  <c r="K1890" i="4"/>
  <c r="J1890" i="4"/>
  <c r="J1889" i="4"/>
  <c r="K1889" i="4" s="1"/>
  <c r="J1888" i="4"/>
  <c r="K1888" i="4" s="1"/>
  <c r="J1887" i="4"/>
  <c r="K1887" i="4" s="1"/>
  <c r="J1886" i="4"/>
  <c r="K1886" i="4" s="1"/>
  <c r="J1885" i="4"/>
  <c r="K1885" i="4" s="1"/>
  <c r="K1884" i="4"/>
  <c r="J1884" i="4"/>
  <c r="J1883" i="4"/>
  <c r="K1883" i="4" s="1"/>
  <c r="K1882" i="4"/>
  <c r="J1882" i="4"/>
  <c r="J1881" i="4"/>
  <c r="K1881" i="4" s="1"/>
  <c r="J1880" i="4"/>
  <c r="K1880" i="4" s="1"/>
  <c r="J1879" i="4"/>
  <c r="K1879" i="4" s="1"/>
  <c r="K1878" i="4"/>
  <c r="J1878" i="4"/>
  <c r="J1877" i="4"/>
  <c r="K1877" i="4" s="1"/>
  <c r="K1876" i="4"/>
  <c r="J1876" i="4"/>
  <c r="J1875" i="4"/>
  <c r="K1875" i="4" s="1"/>
  <c r="J1874" i="4"/>
  <c r="K1874" i="4" s="1"/>
  <c r="J1873" i="4"/>
  <c r="K1873" i="4" s="1"/>
  <c r="J1872" i="4"/>
  <c r="K1872" i="4" s="1"/>
  <c r="J1871" i="4"/>
  <c r="K1871" i="4" s="1"/>
  <c r="K1870" i="4"/>
  <c r="J1870" i="4"/>
  <c r="J1869" i="4"/>
  <c r="K1869" i="4" s="1"/>
  <c r="J1868" i="4"/>
  <c r="K1868" i="4" s="1"/>
  <c r="J1867" i="4"/>
  <c r="K1867" i="4" s="1"/>
  <c r="K1866" i="4"/>
  <c r="J1866" i="4"/>
  <c r="J1865" i="4"/>
  <c r="K1865" i="4" s="1"/>
  <c r="J1864" i="4"/>
  <c r="K1864" i="4" s="1"/>
  <c r="J1863" i="4"/>
  <c r="K1863" i="4" s="1"/>
  <c r="J1862" i="4"/>
  <c r="K1862" i="4" s="1"/>
  <c r="J1861" i="4"/>
  <c r="K1861" i="4" s="1"/>
  <c r="K1860" i="4"/>
  <c r="J1860" i="4"/>
  <c r="J1859" i="4"/>
  <c r="K1859" i="4" s="1"/>
  <c r="K1858" i="4"/>
  <c r="J1858" i="4"/>
  <c r="J1857" i="4"/>
  <c r="K1857" i="4" s="1"/>
  <c r="J1856" i="4"/>
  <c r="K1856" i="4" s="1"/>
  <c r="J1855" i="4"/>
  <c r="K1855" i="4" s="1"/>
  <c r="K1854" i="4"/>
  <c r="J1854" i="4"/>
  <c r="J1853" i="4"/>
  <c r="K1853" i="4" s="1"/>
  <c r="K1852" i="4"/>
  <c r="J1852" i="4"/>
  <c r="J1851" i="4"/>
  <c r="K1851" i="4" s="1"/>
  <c r="J1850" i="4"/>
  <c r="K1850" i="4" s="1"/>
  <c r="J1849" i="4"/>
  <c r="K1849" i="4" s="1"/>
  <c r="J1848" i="4"/>
  <c r="K1848" i="4" s="1"/>
  <c r="J1847" i="4"/>
  <c r="K1847" i="4" s="1"/>
  <c r="K1846" i="4"/>
  <c r="J1846" i="4"/>
  <c r="J1845" i="4"/>
  <c r="K1845" i="4" s="1"/>
  <c r="J1844" i="4"/>
  <c r="K1844" i="4" s="1"/>
  <c r="J1843" i="4"/>
  <c r="K1843" i="4" s="1"/>
  <c r="K1842" i="4"/>
  <c r="J1842" i="4"/>
  <c r="J1841" i="4"/>
  <c r="K1841" i="4" s="1"/>
  <c r="J1840" i="4"/>
  <c r="K1840" i="4" s="1"/>
  <c r="J1839" i="4"/>
  <c r="K1839" i="4" s="1"/>
  <c r="J1838" i="4"/>
  <c r="K1838" i="4" s="1"/>
  <c r="J1837" i="4"/>
  <c r="K1837" i="4" s="1"/>
  <c r="K1836" i="4"/>
  <c r="J1836" i="4"/>
  <c r="J1835" i="4"/>
  <c r="K1835" i="4" s="1"/>
  <c r="K1834" i="4"/>
  <c r="J1834" i="4"/>
  <c r="K1833" i="4"/>
  <c r="J1833" i="4"/>
  <c r="J1832" i="4"/>
  <c r="K1832" i="4" s="1"/>
  <c r="K1831" i="4"/>
  <c r="J1831" i="4"/>
  <c r="J1830" i="4"/>
  <c r="K1830" i="4" s="1"/>
  <c r="J1829" i="4"/>
  <c r="K1829" i="4" s="1"/>
  <c r="K1828" i="4"/>
  <c r="J1828" i="4"/>
  <c r="K1827" i="4"/>
  <c r="J1827" i="4"/>
  <c r="J1826" i="4"/>
  <c r="K1826" i="4" s="1"/>
  <c r="J1825" i="4"/>
  <c r="K1825" i="4" s="1"/>
  <c r="K1824" i="4"/>
  <c r="J1824" i="4"/>
  <c r="J1823" i="4"/>
  <c r="K1823" i="4" s="1"/>
  <c r="K1822" i="4"/>
  <c r="J1822" i="4"/>
  <c r="K1821" i="4"/>
  <c r="J1821" i="4"/>
  <c r="J1820" i="4"/>
  <c r="K1820" i="4" s="1"/>
  <c r="J1819" i="4"/>
  <c r="K1819" i="4" s="1"/>
  <c r="J1818" i="4"/>
  <c r="K1818" i="4" s="1"/>
  <c r="J1817" i="4"/>
  <c r="K1817" i="4" s="1"/>
  <c r="K1816" i="4"/>
  <c r="J1816" i="4"/>
  <c r="K1815" i="4"/>
  <c r="J1815" i="4"/>
  <c r="J1814" i="4"/>
  <c r="K1814" i="4" s="1"/>
  <c r="K1813" i="4"/>
  <c r="J1813" i="4"/>
  <c r="J1812" i="4"/>
  <c r="K1812" i="4" s="1"/>
  <c r="J1811" i="4"/>
  <c r="K1811" i="4" s="1"/>
  <c r="K1810" i="4"/>
  <c r="J1810" i="4"/>
  <c r="K1809" i="4"/>
  <c r="J1809" i="4"/>
  <c r="J1808" i="4"/>
  <c r="K1808" i="4" s="1"/>
  <c r="K1807" i="4"/>
  <c r="J1807" i="4"/>
  <c r="K1806" i="4"/>
  <c r="J1806" i="4"/>
  <c r="J1805" i="4"/>
  <c r="K1805" i="4" s="1"/>
  <c r="K1804" i="4"/>
  <c r="J1804" i="4"/>
  <c r="K1803" i="4"/>
  <c r="J1803" i="4"/>
  <c r="J1802" i="4"/>
  <c r="K1802" i="4" s="1"/>
  <c r="J1801" i="4"/>
  <c r="K1801" i="4" s="1"/>
  <c r="K1800" i="4"/>
  <c r="J1800" i="4"/>
  <c r="J1799" i="4"/>
  <c r="K1799" i="4" s="1"/>
  <c r="K1798" i="4"/>
  <c r="J1798" i="4"/>
  <c r="K1797" i="4"/>
  <c r="J1797" i="4"/>
  <c r="J1796" i="4"/>
  <c r="K1796" i="4" s="1"/>
  <c r="K1795" i="4"/>
  <c r="J1795" i="4"/>
  <c r="J1794" i="4"/>
  <c r="K1794" i="4" s="1"/>
  <c r="J1793" i="4"/>
  <c r="K1793" i="4" s="1"/>
  <c r="K1792" i="4"/>
  <c r="J1792" i="4"/>
  <c r="K1791" i="4"/>
  <c r="J1791" i="4"/>
  <c r="J1790" i="4"/>
  <c r="K1790" i="4" s="1"/>
  <c r="J1789" i="4"/>
  <c r="K1789" i="4" s="1"/>
  <c r="K1788" i="4"/>
  <c r="J1788" i="4"/>
  <c r="J1787" i="4"/>
  <c r="K1787" i="4" s="1"/>
  <c r="K1786" i="4"/>
  <c r="J1786" i="4"/>
  <c r="K1785" i="4"/>
  <c r="J1785" i="4"/>
  <c r="J1784" i="4"/>
  <c r="K1784" i="4" s="1"/>
  <c r="J1783" i="4"/>
  <c r="K1783" i="4" s="1"/>
  <c r="J1782" i="4"/>
  <c r="K1782" i="4" s="1"/>
  <c r="J1781" i="4"/>
  <c r="K1781" i="4" s="1"/>
  <c r="K1780" i="4"/>
  <c r="J1780" i="4"/>
  <c r="K1779" i="4"/>
  <c r="J1779" i="4"/>
  <c r="J1778" i="4"/>
  <c r="K1778" i="4" s="1"/>
  <c r="K1777" i="4"/>
  <c r="J1777" i="4"/>
  <c r="K1776" i="4"/>
  <c r="J1776" i="4"/>
  <c r="J1775" i="4"/>
  <c r="K1775" i="4" s="1"/>
  <c r="K1774" i="4"/>
  <c r="J1774" i="4"/>
  <c r="J1773" i="4"/>
  <c r="K1773" i="4" s="1"/>
  <c r="J1772" i="4"/>
  <c r="K1772" i="4" s="1"/>
  <c r="K1771" i="4"/>
  <c r="J1771" i="4"/>
  <c r="K1770" i="4"/>
  <c r="J1770" i="4"/>
  <c r="J1769" i="4"/>
  <c r="K1769" i="4" s="1"/>
  <c r="K1768" i="4"/>
  <c r="J1768" i="4"/>
  <c r="J1767" i="4"/>
  <c r="K1767" i="4" s="1"/>
  <c r="J1766" i="4"/>
  <c r="K1766" i="4" s="1"/>
  <c r="J1765" i="4"/>
  <c r="K1765" i="4" s="1"/>
  <c r="K1764" i="4"/>
  <c r="J1764" i="4"/>
  <c r="J1763" i="4"/>
  <c r="K1763" i="4" s="1"/>
  <c r="K1762" i="4"/>
  <c r="J1762" i="4"/>
  <c r="K1761" i="4"/>
  <c r="J1761" i="4"/>
  <c r="J1760" i="4"/>
  <c r="K1760" i="4" s="1"/>
  <c r="K1759" i="4"/>
  <c r="J1759" i="4"/>
  <c r="J1758" i="4"/>
  <c r="K1758" i="4" s="1"/>
  <c r="J1757" i="4"/>
  <c r="K1757" i="4" s="1"/>
  <c r="K1756" i="4"/>
  <c r="J1756" i="4"/>
  <c r="J1755" i="4"/>
  <c r="K1755" i="4" s="1"/>
  <c r="J1754" i="4"/>
  <c r="K1754" i="4" s="1"/>
  <c r="J1753" i="4"/>
  <c r="K1753" i="4" s="1"/>
  <c r="K1752" i="4"/>
  <c r="J1752" i="4"/>
  <c r="J1751" i="4"/>
  <c r="K1751" i="4" s="1"/>
  <c r="K1750" i="4"/>
  <c r="J1750" i="4"/>
  <c r="J1749" i="4"/>
  <c r="K1749" i="4" s="1"/>
  <c r="J1748" i="4"/>
  <c r="K1748" i="4" s="1"/>
  <c r="J1747" i="4"/>
  <c r="K1747" i="4" s="1"/>
  <c r="J1746" i="4"/>
  <c r="K1746" i="4" s="1"/>
  <c r="J1745" i="4"/>
  <c r="K1745" i="4" s="1"/>
  <c r="K1744" i="4"/>
  <c r="J1744" i="4"/>
  <c r="J1743" i="4"/>
  <c r="K1743" i="4" s="1"/>
  <c r="J1742" i="4"/>
  <c r="K1742" i="4" s="1"/>
  <c r="K1741" i="4"/>
  <c r="J1741" i="4"/>
  <c r="K1740" i="4"/>
  <c r="J1740" i="4"/>
  <c r="J1739" i="4"/>
  <c r="K1739" i="4" s="1"/>
  <c r="K1738" i="4"/>
  <c r="J1738" i="4"/>
  <c r="J1737" i="4"/>
  <c r="K1737" i="4" s="1"/>
  <c r="J1736" i="4"/>
  <c r="K1736" i="4" s="1"/>
  <c r="K1735" i="4"/>
  <c r="J1735" i="4"/>
  <c r="K1734" i="4"/>
  <c r="J1734" i="4"/>
  <c r="J1733" i="4"/>
  <c r="K1733" i="4" s="1"/>
  <c r="K1732" i="4"/>
  <c r="J1732" i="4"/>
  <c r="J1731" i="4"/>
  <c r="K1731" i="4" s="1"/>
  <c r="J1730" i="4"/>
  <c r="K1730" i="4" s="1"/>
  <c r="J1729" i="4"/>
  <c r="K1729" i="4" s="1"/>
  <c r="K1728" i="4"/>
  <c r="J1728" i="4"/>
  <c r="J1727" i="4"/>
  <c r="K1727" i="4" s="1"/>
  <c r="K1726" i="4"/>
  <c r="J1726" i="4"/>
  <c r="K1725" i="4"/>
  <c r="J1725" i="4"/>
  <c r="J1724" i="4"/>
  <c r="K1724" i="4" s="1"/>
  <c r="K1723" i="4"/>
  <c r="J1723" i="4"/>
  <c r="J1722" i="4"/>
  <c r="K1722" i="4" s="1"/>
  <c r="J1721" i="4"/>
  <c r="K1721" i="4" s="1"/>
  <c r="K1720" i="4"/>
  <c r="J1720" i="4"/>
  <c r="J1719" i="4"/>
  <c r="K1719" i="4" s="1"/>
  <c r="J1718" i="4"/>
  <c r="K1718" i="4" s="1"/>
  <c r="J1717" i="4"/>
  <c r="K1717" i="4" s="1"/>
  <c r="K1716" i="4"/>
  <c r="J1716" i="4"/>
  <c r="J1715" i="4"/>
  <c r="K1715" i="4" s="1"/>
  <c r="K1714" i="4"/>
  <c r="J1714" i="4"/>
  <c r="J1713" i="4"/>
  <c r="K1713" i="4" s="1"/>
  <c r="J1712" i="4"/>
  <c r="K1712" i="4" s="1"/>
  <c r="K1711" i="4"/>
  <c r="J1711" i="4"/>
  <c r="J1710" i="4"/>
  <c r="K1710" i="4" s="1"/>
  <c r="J1709" i="4"/>
  <c r="K1709" i="4" s="1"/>
  <c r="K1708" i="4"/>
  <c r="J1708" i="4"/>
  <c r="J1707" i="4"/>
  <c r="K1707" i="4" s="1"/>
  <c r="J1706" i="4"/>
  <c r="K1706" i="4" s="1"/>
  <c r="K1705" i="4"/>
  <c r="J1705" i="4"/>
  <c r="K1704" i="4"/>
  <c r="J1704" i="4"/>
  <c r="J1703" i="4"/>
  <c r="K1703" i="4" s="1"/>
  <c r="K1702" i="4"/>
  <c r="J1702" i="4"/>
  <c r="J1701" i="4"/>
  <c r="K1701" i="4" s="1"/>
  <c r="J1700" i="4"/>
  <c r="K1700" i="4" s="1"/>
  <c r="K1699" i="4"/>
  <c r="J1699" i="4"/>
  <c r="K1698" i="4"/>
  <c r="J1698" i="4"/>
  <c r="J1697" i="4"/>
  <c r="K1697" i="4" s="1"/>
  <c r="K1696" i="4"/>
  <c r="J1696" i="4"/>
  <c r="J1695" i="4"/>
  <c r="K1695" i="4" s="1"/>
  <c r="J1694" i="4"/>
  <c r="K1694" i="4" s="1"/>
  <c r="J1693" i="4"/>
  <c r="K1693" i="4" s="1"/>
  <c r="K1692" i="4"/>
  <c r="J1692" i="4"/>
  <c r="J1691" i="4"/>
  <c r="K1691" i="4" s="1"/>
  <c r="K1690" i="4"/>
  <c r="J1690" i="4"/>
  <c r="K1689" i="4"/>
  <c r="J1689" i="4"/>
  <c r="J1688" i="4"/>
  <c r="K1688" i="4" s="1"/>
  <c r="K1687" i="4"/>
  <c r="J1687" i="4"/>
  <c r="J1686" i="4"/>
  <c r="K1686" i="4" s="1"/>
  <c r="J1685" i="4"/>
  <c r="K1685" i="4" s="1"/>
  <c r="K1684" i="4"/>
  <c r="J1684" i="4"/>
  <c r="J1683" i="4"/>
  <c r="K1683" i="4" s="1"/>
  <c r="J1682" i="4"/>
  <c r="K1682" i="4" s="1"/>
  <c r="J1681" i="4"/>
  <c r="K1681" i="4" s="1"/>
  <c r="K1680" i="4"/>
  <c r="J1680" i="4"/>
  <c r="J1679" i="4"/>
  <c r="K1679" i="4" s="1"/>
  <c r="K1678" i="4"/>
  <c r="J1678" i="4"/>
  <c r="J1677" i="4"/>
  <c r="K1677" i="4" s="1"/>
  <c r="J1676" i="4"/>
  <c r="K1676" i="4" s="1"/>
  <c r="J1675" i="4"/>
  <c r="K1675" i="4" s="1"/>
  <c r="J1674" i="4"/>
  <c r="K1674" i="4" s="1"/>
  <c r="J1673" i="4"/>
  <c r="K1673" i="4" s="1"/>
  <c r="K1672" i="4"/>
  <c r="J1672" i="4"/>
  <c r="J1671" i="4"/>
  <c r="K1671" i="4" s="1"/>
  <c r="J1670" i="4"/>
  <c r="K1670" i="4" s="1"/>
  <c r="K1669" i="4"/>
  <c r="J1669" i="4"/>
  <c r="K1668" i="4"/>
  <c r="J1668" i="4"/>
  <c r="J1667" i="4"/>
  <c r="K1667" i="4" s="1"/>
  <c r="K1666" i="4"/>
  <c r="J1666" i="4"/>
  <c r="J1665" i="4"/>
  <c r="K1665" i="4" s="1"/>
  <c r="J1664" i="4"/>
  <c r="K1664" i="4" s="1"/>
  <c r="K1663" i="4"/>
  <c r="J1663" i="4"/>
  <c r="K1662" i="4"/>
  <c r="J1662" i="4"/>
  <c r="J1661" i="4"/>
  <c r="K1661" i="4" s="1"/>
  <c r="K1660" i="4"/>
  <c r="J1660" i="4"/>
  <c r="J1659" i="4"/>
  <c r="K1659" i="4" s="1"/>
  <c r="J1658" i="4"/>
  <c r="K1658" i="4" s="1"/>
  <c r="J1657" i="4"/>
  <c r="K1657" i="4" s="1"/>
  <c r="K1656" i="4"/>
  <c r="J1656" i="4"/>
  <c r="J1655" i="4"/>
  <c r="K1655" i="4" s="1"/>
  <c r="K1654" i="4"/>
  <c r="J1654" i="4"/>
  <c r="K1653" i="4"/>
  <c r="J1653" i="4"/>
  <c r="J1652" i="4"/>
  <c r="K1652" i="4" s="1"/>
  <c r="K1651" i="4"/>
  <c r="J1651" i="4"/>
  <c r="J1650" i="4"/>
  <c r="K1650" i="4" s="1"/>
  <c r="J1649" i="4"/>
  <c r="K1649" i="4" s="1"/>
  <c r="K1648" i="4"/>
  <c r="J1648" i="4"/>
  <c r="J1647" i="4"/>
  <c r="K1647" i="4" s="1"/>
  <c r="J1646" i="4"/>
  <c r="K1646" i="4" s="1"/>
  <c r="J1645" i="4"/>
  <c r="K1645" i="4" s="1"/>
  <c r="K1644" i="4"/>
  <c r="J1644" i="4"/>
  <c r="J1643" i="4"/>
  <c r="K1643" i="4" s="1"/>
  <c r="K1642" i="4"/>
  <c r="J1642" i="4"/>
  <c r="J1641" i="4"/>
  <c r="K1641" i="4" s="1"/>
  <c r="J1640" i="4"/>
  <c r="K1640" i="4" s="1"/>
  <c r="J1639" i="4"/>
  <c r="K1639" i="4" s="1"/>
  <c r="J1638" i="4"/>
  <c r="K1638" i="4" s="1"/>
  <c r="J1637" i="4"/>
  <c r="K1637" i="4" s="1"/>
  <c r="K1636" i="4"/>
  <c r="J1636" i="4"/>
  <c r="J1635" i="4"/>
  <c r="K1635" i="4" s="1"/>
  <c r="J1634" i="4"/>
  <c r="K1634" i="4" s="1"/>
  <c r="K1633" i="4"/>
  <c r="J1633" i="4"/>
  <c r="K1632" i="4"/>
  <c r="J1632" i="4"/>
  <c r="J1631" i="4"/>
  <c r="K1631" i="4" s="1"/>
  <c r="K1630" i="4"/>
  <c r="J1630" i="4"/>
  <c r="J1629" i="4"/>
  <c r="K1629" i="4" s="1"/>
  <c r="J1628" i="4"/>
  <c r="K1628" i="4" s="1"/>
  <c r="K1627" i="4"/>
  <c r="J1627" i="4"/>
  <c r="K1626" i="4"/>
  <c r="J1626" i="4"/>
  <c r="J1625" i="4"/>
  <c r="K1625" i="4" s="1"/>
  <c r="K1624" i="4"/>
  <c r="J1624" i="4"/>
  <c r="J1623" i="4"/>
  <c r="K1623" i="4" s="1"/>
  <c r="J1622" i="4"/>
  <c r="K1622" i="4" s="1"/>
  <c r="J1621" i="4"/>
  <c r="K1621" i="4" s="1"/>
  <c r="K1620" i="4"/>
  <c r="J1620" i="4"/>
  <c r="J1619" i="4"/>
  <c r="K1619" i="4" s="1"/>
  <c r="J1618" i="4"/>
  <c r="K1618" i="4" s="1"/>
  <c r="K1617" i="4"/>
  <c r="J1617" i="4"/>
  <c r="J1616" i="4"/>
  <c r="K1616" i="4" s="1"/>
  <c r="K1615" i="4"/>
  <c r="J1615" i="4"/>
  <c r="J1614" i="4"/>
  <c r="K1614" i="4" s="1"/>
  <c r="J1613" i="4"/>
  <c r="K1613" i="4" s="1"/>
  <c r="J1612" i="4"/>
  <c r="K1612" i="4" s="1"/>
  <c r="J1611" i="4"/>
  <c r="K1611" i="4" s="1"/>
  <c r="J1610" i="4"/>
  <c r="K1610" i="4" s="1"/>
  <c r="J1609" i="4"/>
  <c r="K1609" i="4" s="1"/>
  <c r="K1608" i="4"/>
  <c r="J1608" i="4"/>
  <c r="J1607" i="4"/>
  <c r="K1607" i="4" s="1"/>
  <c r="K1606" i="4"/>
  <c r="J1606" i="4"/>
  <c r="K1605" i="4"/>
  <c r="J1605" i="4"/>
  <c r="J1604" i="4"/>
  <c r="K1604" i="4" s="1"/>
  <c r="K1603" i="4"/>
  <c r="J1603" i="4"/>
  <c r="J1602" i="4"/>
  <c r="K1602" i="4" s="1"/>
  <c r="J1601" i="4"/>
  <c r="K1601" i="4" s="1"/>
  <c r="K1600" i="4"/>
  <c r="J1600" i="4"/>
  <c r="J1599" i="4"/>
  <c r="K1599" i="4" s="1"/>
  <c r="J1598" i="4"/>
  <c r="K1598" i="4" s="1"/>
  <c r="K1597" i="4"/>
  <c r="J1597" i="4"/>
  <c r="J1596" i="4"/>
  <c r="K1596" i="4" s="1"/>
  <c r="K1595" i="4"/>
  <c r="J1595" i="4"/>
  <c r="J1594" i="4"/>
  <c r="K1594" i="4" s="1"/>
  <c r="K1593" i="4"/>
  <c r="J1593" i="4"/>
  <c r="J1592" i="4"/>
  <c r="K1592" i="4" s="1"/>
  <c r="J1591" i="4"/>
  <c r="K1591" i="4" s="1"/>
  <c r="K1590" i="4"/>
  <c r="J1590" i="4"/>
  <c r="J1589" i="4"/>
  <c r="K1589" i="4" s="1"/>
  <c r="J1588" i="4"/>
  <c r="K1588" i="4" s="1"/>
  <c r="J1587" i="4"/>
  <c r="K1587" i="4" s="1"/>
  <c r="J1586" i="4"/>
  <c r="K1586" i="4" s="1"/>
  <c r="K1585" i="4"/>
  <c r="J1585" i="4"/>
  <c r="J1584" i="4"/>
  <c r="K1584" i="4" s="1"/>
  <c r="J1583" i="4"/>
  <c r="K1583" i="4" s="1"/>
  <c r="K1582" i="4"/>
  <c r="J1582" i="4"/>
  <c r="J1581" i="4"/>
  <c r="K1581" i="4" s="1"/>
  <c r="J1580" i="4"/>
  <c r="K1580" i="4" s="1"/>
  <c r="J1579" i="4"/>
  <c r="K1579" i="4" s="1"/>
  <c r="J1578" i="4"/>
  <c r="K1578" i="4" s="1"/>
  <c r="K1577" i="4"/>
  <c r="J1577" i="4"/>
  <c r="J1576" i="4"/>
  <c r="K1576" i="4" s="1"/>
  <c r="J1575" i="4"/>
  <c r="K1575" i="4" s="1"/>
  <c r="J1574" i="4"/>
  <c r="K1574" i="4" s="1"/>
  <c r="K1573" i="4"/>
  <c r="J1573" i="4"/>
  <c r="K1572" i="4"/>
  <c r="J1572" i="4"/>
  <c r="J1571" i="4"/>
  <c r="K1571" i="4" s="1"/>
  <c r="J1570" i="4"/>
  <c r="K1570" i="4" s="1"/>
  <c r="K1569" i="4"/>
  <c r="J1569" i="4"/>
  <c r="J1568" i="4"/>
  <c r="K1568" i="4" s="1"/>
  <c r="J1567" i="4"/>
  <c r="K1567" i="4" s="1"/>
  <c r="J1566" i="4"/>
  <c r="K1566" i="4" s="1"/>
  <c r="J1565" i="4"/>
  <c r="K1565" i="4" s="1"/>
  <c r="K1564" i="4"/>
  <c r="J1564" i="4"/>
  <c r="J1563" i="4"/>
  <c r="K1563" i="4" s="1"/>
  <c r="J1562" i="4"/>
  <c r="K1562" i="4" s="1"/>
  <c r="J1561" i="4"/>
  <c r="K1561" i="4" s="1"/>
  <c r="K1560" i="4"/>
  <c r="J1560" i="4"/>
  <c r="K1559" i="4"/>
  <c r="J1559" i="4"/>
  <c r="K1558" i="4"/>
  <c r="J1558" i="4"/>
  <c r="J1557" i="4"/>
  <c r="K1557" i="4" s="1"/>
  <c r="J1556" i="4"/>
  <c r="K1556" i="4" s="1"/>
  <c r="J1555" i="4"/>
  <c r="K1555" i="4" s="1"/>
  <c r="J1554" i="4"/>
  <c r="K1554" i="4" s="1"/>
  <c r="J1553" i="4"/>
  <c r="K1553" i="4" s="1"/>
  <c r="J1552" i="4"/>
  <c r="K1552" i="4" s="1"/>
  <c r="K1551" i="4"/>
  <c r="J1551" i="4"/>
  <c r="J1550" i="4"/>
  <c r="K1550" i="4" s="1"/>
  <c r="K1549" i="4"/>
  <c r="J1549" i="4"/>
  <c r="J1548" i="4"/>
  <c r="K1548" i="4" s="1"/>
  <c r="K1547" i="4"/>
  <c r="J1547" i="4"/>
  <c r="K1546" i="4"/>
  <c r="J1546" i="4"/>
  <c r="J1545" i="4"/>
  <c r="K1545" i="4" s="1"/>
  <c r="J1544" i="4"/>
  <c r="K1544" i="4" s="1"/>
  <c r="J1543" i="4"/>
  <c r="K1543" i="4" s="1"/>
  <c r="J1542" i="4"/>
  <c r="K1542" i="4" s="1"/>
  <c r="K1541" i="4"/>
  <c r="J1541" i="4"/>
  <c r="J1540" i="4"/>
  <c r="K1540" i="4" s="1"/>
  <c r="J1539" i="4"/>
  <c r="K1539" i="4" s="1"/>
  <c r="J1538" i="4"/>
  <c r="K1538" i="4" s="1"/>
  <c r="J1537" i="4"/>
  <c r="K1537" i="4" s="1"/>
  <c r="K1536" i="4"/>
  <c r="J1536" i="4"/>
  <c r="J1535" i="4"/>
  <c r="K1535" i="4" s="1"/>
  <c r="K1534" i="4"/>
  <c r="J1534" i="4"/>
  <c r="K1533" i="4"/>
  <c r="J1533" i="4"/>
  <c r="J1532" i="4"/>
  <c r="K1532" i="4" s="1"/>
  <c r="K1531" i="4"/>
  <c r="J1531" i="4"/>
  <c r="J1530" i="4"/>
  <c r="K1530" i="4" s="1"/>
  <c r="J1529" i="4"/>
  <c r="K1529" i="4" s="1"/>
  <c r="J1528" i="4"/>
  <c r="K1528" i="4" s="1"/>
  <c r="J1527" i="4"/>
  <c r="K1527" i="4" s="1"/>
  <c r="J1526" i="4"/>
  <c r="K1526" i="4" s="1"/>
  <c r="J1525" i="4"/>
  <c r="K1525" i="4" s="1"/>
  <c r="J1524" i="4"/>
  <c r="K1524" i="4" s="1"/>
  <c r="K1523" i="4"/>
  <c r="J1523" i="4"/>
  <c r="J1522" i="4"/>
  <c r="K1522" i="4" s="1"/>
  <c r="K1521" i="4"/>
  <c r="J1521" i="4"/>
  <c r="J1520" i="4"/>
  <c r="K1520" i="4" s="1"/>
  <c r="J1519" i="4"/>
  <c r="K1519" i="4" s="1"/>
  <c r="K1518" i="4"/>
  <c r="J1518" i="4"/>
  <c r="J1517" i="4"/>
  <c r="K1517" i="4" s="1"/>
  <c r="J1516" i="4"/>
  <c r="K1516" i="4" s="1"/>
  <c r="K1515" i="4"/>
  <c r="J1515" i="4"/>
  <c r="J1514" i="4"/>
  <c r="K1514" i="4" s="1"/>
  <c r="K1513" i="4"/>
  <c r="J1513" i="4"/>
  <c r="J1512" i="4"/>
  <c r="K1512" i="4" s="1"/>
  <c r="J1511" i="4"/>
  <c r="K1511" i="4" s="1"/>
  <c r="K1510" i="4"/>
  <c r="J1510" i="4"/>
  <c r="J1509" i="4"/>
  <c r="K1509" i="4" s="1"/>
  <c r="J1508" i="4"/>
  <c r="K1508" i="4" s="1"/>
  <c r="J1507" i="4"/>
  <c r="K1507" i="4" s="1"/>
  <c r="J1506" i="4"/>
  <c r="K1506" i="4" s="1"/>
  <c r="K1505" i="4"/>
  <c r="J1505" i="4"/>
  <c r="J1504" i="4"/>
  <c r="K1504" i="4" s="1"/>
  <c r="J1503" i="4"/>
  <c r="K1503" i="4" s="1"/>
  <c r="J1502" i="4"/>
  <c r="K1502" i="4" s="1"/>
  <c r="K1501" i="4"/>
  <c r="J1501" i="4"/>
  <c r="K1500" i="4"/>
  <c r="J1500" i="4"/>
  <c r="J1499" i="4"/>
  <c r="K1499" i="4" s="1"/>
  <c r="J1498" i="4"/>
  <c r="K1498" i="4" s="1"/>
  <c r="K1497" i="4"/>
  <c r="J1497" i="4"/>
  <c r="J1496" i="4"/>
  <c r="K1496" i="4" s="1"/>
  <c r="J1495" i="4"/>
  <c r="K1495" i="4" s="1"/>
  <c r="J1494" i="4"/>
  <c r="K1494" i="4" s="1"/>
  <c r="K1493" i="4"/>
  <c r="J1493" i="4"/>
  <c r="K1492" i="4"/>
  <c r="J1492" i="4"/>
  <c r="J1491" i="4"/>
  <c r="K1491" i="4" s="1"/>
  <c r="J1490" i="4"/>
  <c r="K1490" i="4" s="1"/>
  <c r="J1489" i="4"/>
  <c r="K1489" i="4" s="1"/>
  <c r="K1488" i="4"/>
  <c r="J1488" i="4"/>
  <c r="J1487" i="4"/>
  <c r="K1487" i="4" s="1"/>
  <c r="J1486" i="4"/>
  <c r="K1486" i="4" s="1"/>
  <c r="J1485" i="4"/>
  <c r="K1485" i="4" s="1"/>
  <c r="J1484" i="4"/>
  <c r="K1484" i="4" s="1"/>
  <c r="J1483" i="4"/>
  <c r="K1483" i="4" s="1"/>
  <c r="K1482" i="4"/>
  <c r="J1482" i="4"/>
  <c r="J1481" i="4"/>
  <c r="K1481" i="4" s="1"/>
  <c r="J1480" i="4"/>
  <c r="K1480" i="4" s="1"/>
  <c r="K1479" i="4"/>
  <c r="J1479" i="4"/>
  <c r="J1478" i="4"/>
  <c r="K1478" i="4" s="1"/>
  <c r="K1477" i="4"/>
  <c r="J1477" i="4"/>
  <c r="J1476" i="4"/>
  <c r="K1476" i="4" s="1"/>
  <c r="K1475" i="4"/>
  <c r="J1475" i="4"/>
  <c r="J1474" i="4"/>
  <c r="K1474" i="4" s="1"/>
  <c r="J1473" i="4"/>
  <c r="K1473" i="4" s="1"/>
  <c r="J1472" i="4"/>
  <c r="K1472" i="4" s="1"/>
  <c r="J1471" i="4"/>
  <c r="K1471" i="4" s="1"/>
  <c r="J1470" i="4"/>
  <c r="K1470" i="4" s="1"/>
  <c r="K1469" i="4"/>
  <c r="J1469" i="4"/>
  <c r="J1468" i="4"/>
  <c r="K1468" i="4" s="1"/>
  <c r="J1467" i="4"/>
  <c r="K1467" i="4" s="1"/>
  <c r="J1466" i="4"/>
  <c r="K1466" i="4" s="1"/>
  <c r="J1465" i="4"/>
  <c r="K1465" i="4" s="1"/>
  <c r="K1464" i="4"/>
  <c r="J1464" i="4"/>
  <c r="J1463" i="4"/>
  <c r="K1463" i="4" s="1"/>
  <c r="K1462" i="4"/>
  <c r="J1462" i="4"/>
  <c r="K1461" i="4"/>
  <c r="J1461" i="4"/>
  <c r="J1460" i="4"/>
  <c r="K1460" i="4" s="1"/>
  <c r="K1459" i="4"/>
  <c r="J1459" i="4"/>
  <c r="J1458" i="4"/>
  <c r="K1458" i="4" s="1"/>
  <c r="J1457" i="4"/>
  <c r="K1457" i="4" s="1"/>
  <c r="J1456" i="4"/>
  <c r="K1456" i="4" s="1"/>
  <c r="J1455" i="4"/>
  <c r="K1455" i="4" s="1"/>
  <c r="J1454" i="4"/>
  <c r="K1454" i="4" s="1"/>
  <c r="K1453" i="4"/>
  <c r="J1453" i="4"/>
  <c r="J1452" i="4"/>
  <c r="K1452" i="4" s="1"/>
  <c r="K1451" i="4"/>
  <c r="J1451" i="4"/>
  <c r="J1450" i="4"/>
  <c r="K1450" i="4" s="1"/>
  <c r="K1449" i="4"/>
  <c r="J1449" i="4"/>
  <c r="J1448" i="4"/>
  <c r="K1448" i="4" s="1"/>
  <c r="K1447" i="4"/>
  <c r="J1447" i="4"/>
  <c r="K1446" i="4"/>
  <c r="J1446" i="4"/>
  <c r="J1445" i="4"/>
  <c r="K1445" i="4" s="1"/>
  <c r="J1444" i="4"/>
  <c r="K1444" i="4" s="1"/>
  <c r="J1443" i="4"/>
  <c r="K1443" i="4" s="1"/>
  <c r="K1442" i="4"/>
  <c r="J1442" i="4"/>
  <c r="K1441" i="4"/>
  <c r="J1441" i="4"/>
  <c r="K1440" i="4"/>
  <c r="J1440" i="4"/>
  <c r="J1439" i="4"/>
  <c r="K1439" i="4" s="1"/>
  <c r="J1438" i="4"/>
  <c r="K1438" i="4" s="1"/>
  <c r="K1437" i="4"/>
  <c r="J1437" i="4"/>
  <c r="J1436" i="4"/>
  <c r="K1436" i="4" s="1"/>
  <c r="K1435" i="4"/>
  <c r="J1435" i="4"/>
  <c r="K1434" i="4"/>
  <c r="J1434" i="4"/>
  <c r="J1433" i="4"/>
  <c r="K1433" i="4" s="1"/>
  <c r="J1432" i="4"/>
  <c r="K1432" i="4" s="1"/>
  <c r="J1431" i="4"/>
  <c r="K1431" i="4" s="1"/>
  <c r="K1430" i="4"/>
  <c r="J1430" i="4"/>
  <c r="J1429" i="4"/>
  <c r="K1429" i="4" s="1"/>
  <c r="K1428" i="4"/>
  <c r="J1428" i="4"/>
  <c r="J1427" i="4"/>
  <c r="K1427" i="4" s="1"/>
  <c r="J1426" i="4"/>
  <c r="K1426" i="4" s="1"/>
  <c r="K1425" i="4"/>
  <c r="J1425" i="4"/>
  <c r="J1424" i="4"/>
  <c r="K1424" i="4" s="1"/>
  <c r="K1423" i="4"/>
  <c r="J1423" i="4"/>
  <c r="K1422" i="4"/>
  <c r="J1422" i="4"/>
  <c r="J1421" i="4"/>
  <c r="K1421" i="4" s="1"/>
  <c r="J1420" i="4"/>
  <c r="K1420" i="4" s="1"/>
  <c r="K1419" i="4"/>
  <c r="J1419" i="4"/>
  <c r="K1418" i="4"/>
  <c r="J1418" i="4"/>
  <c r="J1417" i="4"/>
  <c r="K1417" i="4" s="1"/>
  <c r="K1416" i="4"/>
  <c r="J1416" i="4"/>
  <c r="J1415" i="4"/>
  <c r="K1415" i="4" s="1"/>
  <c r="J1414" i="4"/>
  <c r="K1414" i="4" s="1"/>
  <c r="K1413" i="4"/>
  <c r="J1413" i="4"/>
  <c r="K1412" i="4"/>
  <c r="J1412" i="4"/>
  <c r="K1411" i="4"/>
  <c r="J1411" i="4"/>
  <c r="K1410" i="4"/>
  <c r="J1410" i="4"/>
  <c r="J1409" i="4"/>
  <c r="K1409" i="4" s="1"/>
  <c r="J1408" i="4"/>
  <c r="K1408" i="4" s="1"/>
  <c r="J1407" i="4"/>
  <c r="K1407" i="4" s="1"/>
  <c r="K1406" i="4"/>
  <c r="J1406" i="4"/>
  <c r="K1405" i="4"/>
  <c r="J1405" i="4"/>
  <c r="K1404" i="4"/>
  <c r="J1404" i="4"/>
  <c r="J1403" i="4"/>
  <c r="K1403" i="4" s="1"/>
  <c r="J1402" i="4"/>
  <c r="K1402" i="4" s="1"/>
  <c r="K1401" i="4"/>
  <c r="J1401" i="4"/>
  <c r="J1400" i="4"/>
  <c r="K1400" i="4" s="1"/>
  <c r="K1399" i="4"/>
  <c r="J1399" i="4"/>
  <c r="K1398" i="4"/>
  <c r="J1398" i="4"/>
  <c r="J1397" i="4"/>
  <c r="K1397" i="4" s="1"/>
  <c r="J1396" i="4"/>
  <c r="K1396" i="4" s="1"/>
  <c r="J1395" i="4"/>
  <c r="K1395" i="4" s="1"/>
  <c r="K1394" i="4"/>
  <c r="J1394" i="4"/>
  <c r="J1393" i="4"/>
  <c r="K1393" i="4" s="1"/>
  <c r="K1392" i="4"/>
  <c r="J1392" i="4"/>
  <c r="J1391" i="4"/>
  <c r="K1391" i="4" s="1"/>
  <c r="J1390" i="4"/>
  <c r="K1390" i="4" s="1"/>
  <c r="K1389" i="4"/>
  <c r="J1389" i="4"/>
  <c r="J1388" i="4"/>
  <c r="K1388" i="4" s="1"/>
  <c r="K1387" i="4"/>
  <c r="J1387" i="4"/>
  <c r="K1386" i="4"/>
  <c r="J1386" i="4"/>
  <c r="J1385" i="4"/>
  <c r="K1385" i="4" s="1"/>
  <c r="J1384" i="4"/>
  <c r="K1384" i="4" s="1"/>
  <c r="K1383" i="4"/>
  <c r="J1383" i="4"/>
  <c r="K1382" i="4"/>
  <c r="J1382" i="4"/>
  <c r="J1381" i="4"/>
  <c r="K1381" i="4" s="1"/>
  <c r="K1380" i="4"/>
  <c r="J1380" i="4"/>
  <c r="J1379" i="4"/>
  <c r="K1379" i="4" s="1"/>
  <c r="J1378" i="4"/>
  <c r="K1378" i="4" s="1"/>
  <c r="K1377" i="4"/>
  <c r="J1377" i="4"/>
  <c r="K1376" i="4"/>
  <c r="J1376" i="4"/>
  <c r="K1375" i="4"/>
  <c r="J1375" i="4"/>
  <c r="K1374" i="4"/>
  <c r="J1374" i="4"/>
  <c r="J1373" i="4"/>
  <c r="K1373" i="4" s="1"/>
  <c r="J1372" i="4"/>
  <c r="K1372" i="4" s="1"/>
  <c r="J1371" i="4"/>
  <c r="K1371" i="4" s="1"/>
  <c r="K1370" i="4"/>
  <c r="J1370" i="4"/>
  <c r="K1369" i="4"/>
  <c r="J1369" i="4"/>
  <c r="K1368" i="4"/>
  <c r="J1368" i="4"/>
  <c r="J1367" i="4"/>
  <c r="K1367" i="4" s="1"/>
  <c r="J1366" i="4"/>
  <c r="K1366" i="4" s="1"/>
  <c r="K1365" i="4"/>
  <c r="J1365" i="4"/>
  <c r="J1364" i="4"/>
  <c r="K1364" i="4" s="1"/>
  <c r="K1363" i="4"/>
  <c r="J1363" i="4"/>
  <c r="K1362" i="4"/>
  <c r="J1362" i="4"/>
  <c r="J1361" i="4"/>
  <c r="K1361" i="4" s="1"/>
  <c r="J1360" i="4"/>
  <c r="K1360" i="4" s="1"/>
  <c r="J1359" i="4"/>
  <c r="K1359" i="4" s="1"/>
  <c r="K1358" i="4"/>
  <c r="J1358" i="4"/>
  <c r="J1357" i="4"/>
  <c r="K1357" i="4" s="1"/>
  <c r="K1356" i="4"/>
  <c r="J1356" i="4"/>
  <c r="J1355" i="4"/>
  <c r="K1355" i="4" s="1"/>
  <c r="J1354" i="4"/>
  <c r="K1354" i="4" s="1"/>
  <c r="K1353" i="4"/>
  <c r="J1353" i="4"/>
  <c r="J1352" i="4"/>
  <c r="K1352" i="4" s="1"/>
  <c r="K1351" i="4"/>
  <c r="J1351" i="4"/>
  <c r="K1350" i="4"/>
  <c r="J1350" i="4"/>
  <c r="J1349" i="4"/>
  <c r="K1349" i="4" s="1"/>
  <c r="J1348" i="4"/>
  <c r="K1348" i="4" s="1"/>
  <c r="K1347" i="4"/>
  <c r="J1347" i="4"/>
  <c r="K1346" i="4"/>
  <c r="J1346" i="4"/>
  <c r="J1345" i="4"/>
  <c r="K1345" i="4" s="1"/>
  <c r="K1344" i="4"/>
  <c r="J1344" i="4"/>
  <c r="J1343" i="4"/>
  <c r="K1343" i="4" s="1"/>
  <c r="J1342" i="4"/>
  <c r="K1342" i="4" s="1"/>
  <c r="K1341" i="4"/>
  <c r="J1341" i="4"/>
  <c r="K1340" i="4"/>
  <c r="J1340" i="4"/>
  <c r="K1339" i="4"/>
  <c r="J1339" i="4"/>
  <c r="K1338" i="4"/>
  <c r="J1338" i="4"/>
  <c r="J1337" i="4"/>
  <c r="K1337" i="4" s="1"/>
  <c r="J1336" i="4"/>
  <c r="K1336" i="4" s="1"/>
  <c r="J1335" i="4"/>
  <c r="K1335" i="4" s="1"/>
  <c r="K1334" i="4"/>
  <c r="J1334" i="4"/>
  <c r="K1333" i="4"/>
  <c r="J1333" i="4"/>
  <c r="K1332" i="4"/>
  <c r="J1332" i="4"/>
  <c r="J1331" i="4"/>
  <c r="K1331" i="4" s="1"/>
  <c r="J1330" i="4"/>
  <c r="K1330" i="4" s="1"/>
  <c r="K1329" i="4"/>
  <c r="J1329" i="4"/>
  <c r="J1328" i="4"/>
  <c r="K1328" i="4" s="1"/>
  <c r="K1327" i="4"/>
  <c r="J1327" i="4"/>
  <c r="K1326" i="4"/>
  <c r="J1326" i="4"/>
  <c r="J1325" i="4"/>
  <c r="K1325" i="4" s="1"/>
  <c r="J1324" i="4"/>
  <c r="K1324" i="4" s="1"/>
  <c r="K1323" i="4"/>
  <c r="J1323" i="4"/>
  <c r="K1322" i="4"/>
  <c r="J1322" i="4"/>
  <c r="J1321" i="4"/>
  <c r="K1321" i="4" s="1"/>
  <c r="K1320" i="4"/>
  <c r="J1320" i="4"/>
  <c r="J1319" i="4"/>
  <c r="K1319" i="4" s="1"/>
  <c r="J1318" i="4"/>
  <c r="K1318" i="4" s="1"/>
  <c r="J1317" i="4"/>
  <c r="K1317" i="4" s="1"/>
  <c r="K1316" i="4"/>
  <c r="J1316" i="4"/>
  <c r="K1315" i="4"/>
  <c r="J1315" i="4"/>
  <c r="K1314" i="4"/>
  <c r="J1314" i="4"/>
  <c r="J1313" i="4"/>
  <c r="K1313" i="4" s="1"/>
  <c r="J1312" i="4"/>
  <c r="K1312" i="4" s="1"/>
  <c r="K1311" i="4"/>
  <c r="J1311" i="4"/>
  <c r="J1310" i="4"/>
  <c r="K1310" i="4" s="1"/>
  <c r="K1309" i="4"/>
  <c r="J1309" i="4"/>
  <c r="K1308" i="4"/>
  <c r="J1308" i="4"/>
  <c r="J1307" i="4"/>
  <c r="K1307" i="4" s="1"/>
  <c r="J1306" i="4"/>
  <c r="K1306" i="4" s="1"/>
  <c r="J1305" i="4"/>
  <c r="K1305" i="4" s="1"/>
  <c r="K1304" i="4"/>
  <c r="J1304" i="4"/>
  <c r="J1303" i="4"/>
  <c r="K1303" i="4" s="1"/>
  <c r="K1302" i="4"/>
  <c r="J1302" i="4"/>
  <c r="J1301" i="4"/>
  <c r="K1301" i="4" s="1"/>
  <c r="J1300" i="4"/>
  <c r="K1300" i="4" s="1"/>
  <c r="J1299" i="4"/>
  <c r="K1299" i="4" s="1"/>
  <c r="J1298" i="4"/>
  <c r="K1298" i="4" s="1"/>
  <c r="K1297" i="4"/>
  <c r="J1297" i="4"/>
  <c r="K1296" i="4"/>
  <c r="J1296" i="4"/>
  <c r="J1295" i="4"/>
  <c r="K1295" i="4" s="1"/>
  <c r="J1294" i="4"/>
  <c r="K1294" i="4" s="1"/>
  <c r="K1293" i="4"/>
  <c r="J1293" i="4"/>
  <c r="J1292" i="4"/>
  <c r="K1292" i="4" s="1"/>
  <c r="K1291" i="4"/>
  <c r="J1291" i="4"/>
  <c r="K1290" i="4"/>
  <c r="J1290" i="4"/>
  <c r="J1289" i="4"/>
  <c r="K1289" i="4" s="1"/>
  <c r="J1288" i="4"/>
  <c r="K1288" i="4" s="1"/>
  <c r="J1287" i="4"/>
  <c r="K1287" i="4" s="1"/>
  <c r="K1286" i="4"/>
  <c r="J1286" i="4"/>
  <c r="J1285" i="4"/>
  <c r="K1285" i="4" s="1"/>
  <c r="K1284" i="4"/>
  <c r="J1284" i="4"/>
  <c r="J1283" i="4"/>
  <c r="K1283" i="4" s="1"/>
  <c r="J1282" i="4"/>
  <c r="K1282" i="4" s="1"/>
  <c r="J1281" i="4"/>
  <c r="K1281" i="4" s="1"/>
  <c r="K1280" i="4"/>
  <c r="J1280" i="4"/>
  <c r="K1279" i="4"/>
  <c r="J1279" i="4"/>
  <c r="K1278" i="4"/>
  <c r="J1278" i="4"/>
  <c r="J1277" i="4"/>
  <c r="K1277" i="4" s="1"/>
  <c r="J1276" i="4"/>
  <c r="K1276" i="4" s="1"/>
  <c r="K1275" i="4"/>
  <c r="J1275" i="4"/>
  <c r="J1274" i="4"/>
  <c r="K1274" i="4" s="1"/>
  <c r="K1273" i="4"/>
  <c r="J1273" i="4"/>
  <c r="K1272" i="4"/>
  <c r="J1272" i="4"/>
  <c r="J1271" i="4"/>
  <c r="K1271" i="4" s="1"/>
  <c r="J1270" i="4"/>
  <c r="K1270" i="4" s="1"/>
  <c r="J1269" i="4"/>
  <c r="K1269" i="4" s="1"/>
  <c r="K1268" i="4"/>
  <c r="J1268" i="4"/>
  <c r="J1267" i="4"/>
  <c r="K1267" i="4" s="1"/>
  <c r="K1266" i="4"/>
  <c r="J1266" i="4"/>
  <c r="J1265" i="4"/>
  <c r="K1265" i="4" s="1"/>
  <c r="J1264" i="4"/>
  <c r="K1264" i="4" s="1"/>
  <c r="J1263" i="4"/>
  <c r="K1263" i="4" s="1"/>
  <c r="K1262" i="4"/>
  <c r="J1262" i="4"/>
  <c r="K1261" i="4"/>
  <c r="J1261" i="4"/>
  <c r="K1260" i="4"/>
  <c r="J1260" i="4"/>
  <c r="J1259" i="4"/>
  <c r="K1259" i="4" s="1"/>
  <c r="J1258" i="4"/>
  <c r="K1258" i="4" s="1"/>
  <c r="K1257" i="4"/>
  <c r="J1257" i="4"/>
  <c r="J1256" i="4"/>
  <c r="K1256" i="4" s="1"/>
  <c r="K1255" i="4"/>
  <c r="J1255" i="4"/>
  <c r="K1254" i="4"/>
  <c r="J1254" i="4"/>
  <c r="J1253" i="4"/>
  <c r="K1253" i="4" s="1"/>
  <c r="J1252" i="4"/>
  <c r="K1252" i="4" s="1"/>
  <c r="J1251" i="4"/>
  <c r="K1251" i="4" s="1"/>
  <c r="K1250" i="4"/>
  <c r="J1250" i="4"/>
  <c r="J1249" i="4"/>
  <c r="K1249" i="4" s="1"/>
  <c r="K1248" i="4"/>
  <c r="J1248" i="4"/>
  <c r="J1247" i="4"/>
  <c r="K1247" i="4" s="1"/>
  <c r="J1246" i="4"/>
  <c r="K1246" i="4" s="1"/>
  <c r="J1245" i="4"/>
  <c r="K1245" i="4" s="1"/>
  <c r="J1244" i="4"/>
  <c r="K1244" i="4" s="1"/>
  <c r="K1243" i="4"/>
  <c r="J1243" i="4"/>
  <c r="J1242" i="4"/>
  <c r="K1242" i="4" s="1"/>
  <c r="J1241" i="4"/>
  <c r="K1241" i="4" s="1"/>
  <c r="J1240" i="4"/>
  <c r="K1240" i="4" s="1"/>
  <c r="K1239" i="4"/>
  <c r="J1239" i="4"/>
  <c r="J1238" i="4"/>
  <c r="K1238" i="4" s="1"/>
  <c r="J1237" i="4"/>
  <c r="K1237" i="4" s="1"/>
  <c r="K1236" i="4"/>
  <c r="J1236" i="4"/>
  <c r="J1235" i="4"/>
  <c r="K1235" i="4" s="1"/>
  <c r="J1234" i="4"/>
  <c r="K1234" i="4" s="1"/>
  <c r="J1233" i="4"/>
  <c r="K1233" i="4" s="1"/>
  <c r="K1232" i="4"/>
  <c r="J1232" i="4"/>
  <c r="J1231" i="4"/>
  <c r="K1231" i="4" s="1"/>
  <c r="J1230" i="4"/>
  <c r="K1230" i="4" s="1"/>
  <c r="J1229" i="4"/>
  <c r="K1229" i="4" s="1"/>
  <c r="J1228" i="4"/>
  <c r="K1228" i="4" s="1"/>
  <c r="J1227" i="4"/>
  <c r="K1227" i="4" s="1"/>
  <c r="J1226" i="4"/>
  <c r="K1226" i="4" s="1"/>
  <c r="K1225" i="4"/>
  <c r="J1225" i="4"/>
  <c r="K1224" i="4"/>
  <c r="J1224" i="4"/>
  <c r="J1223" i="4"/>
  <c r="K1223" i="4" s="1"/>
  <c r="J1222" i="4"/>
  <c r="K1222" i="4" s="1"/>
  <c r="K1221" i="4"/>
  <c r="J1221" i="4"/>
  <c r="J1220" i="4"/>
  <c r="K1220" i="4" s="1"/>
  <c r="K1219" i="4"/>
  <c r="J1219" i="4"/>
  <c r="K1218" i="4"/>
  <c r="J1218" i="4"/>
  <c r="J1217" i="4"/>
  <c r="K1217" i="4" s="1"/>
  <c r="J1216" i="4"/>
  <c r="K1216" i="4" s="1"/>
  <c r="J1215" i="4"/>
  <c r="K1215" i="4" s="1"/>
  <c r="K1214" i="4"/>
  <c r="J1214" i="4"/>
  <c r="J1213" i="4"/>
  <c r="K1213" i="4" s="1"/>
  <c r="K1212" i="4"/>
  <c r="J1212" i="4"/>
  <c r="J1211" i="4"/>
  <c r="K1211" i="4" s="1"/>
  <c r="J1210" i="4"/>
  <c r="K1210" i="4" s="1"/>
  <c r="K1209" i="4"/>
  <c r="J1209" i="4"/>
  <c r="K1208" i="4"/>
  <c r="J1208" i="4"/>
  <c r="K1207" i="4"/>
  <c r="J1207" i="4"/>
  <c r="J1206" i="4"/>
  <c r="K1206" i="4" s="1"/>
  <c r="J1205" i="4"/>
  <c r="K1205" i="4" s="1"/>
  <c r="J1204" i="4"/>
  <c r="K1204" i="4" s="1"/>
  <c r="K1203" i="4"/>
  <c r="J1203" i="4"/>
  <c r="J1202" i="4"/>
  <c r="K1202" i="4" s="1"/>
  <c r="K1201" i="4"/>
  <c r="J1201" i="4"/>
  <c r="J1200" i="4"/>
  <c r="K1200" i="4" s="1"/>
  <c r="J1199" i="4"/>
  <c r="K1199" i="4" s="1"/>
  <c r="J1198" i="4"/>
  <c r="K1198" i="4" s="1"/>
  <c r="J1197" i="4"/>
  <c r="K1197" i="4" s="1"/>
  <c r="K1196" i="4"/>
  <c r="J1196" i="4"/>
  <c r="J1195" i="4"/>
  <c r="K1195" i="4" s="1"/>
  <c r="K1194" i="4"/>
  <c r="J1194" i="4"/>
  <c r="J1193" i="4"/>
  <c r="K1193" i="4" s="1"/>
  <c r="J1192" i="4"/>
  <c r="K1192" i="4" s="1"/>
  <c r="J1191" i="4"/>
  <c r="K1191" i="4" s="1"/>
  <c r="J1190" i="4"/>
  <c r="K1190" i="4" s="1"/>
  <c r="K1189" i="4"/>
  <c r="J1189" i="4"/>
  <c r="J1188" i="4"/>
  <c r="K1188" i="4" s="1"/>
  <c r="J1187" i="4"/>
  <c r="K1187" i="4" s="1"/>
  <c r="J1186" i="4"/>
  <c r="K1186" i="4" s="1"/>
  <c r="K1185" i="4"/>
  <c r="J1185" i="4"/>
  <c r="J1184" i="4"/>
  <c r="K1184" i="4" s="1"/>
  <c r="J1183" i="4"/>
  <c r="K1183" i="4" s="1"/>
  <c r="K1182" i="4"/>
  <c r="J1182" i="4"/>
  <c r="J1181" i="4"/>
  <c r="K1181" i="4" s="1"/>
  <c r="J1180" i="4"/>
  <c r="K1180" i="4" s="1"/>
  <c r="J1179" i="4"/>
  <c r="K1179" i="4" s="1"/>
  <c r="K1178" i="4"/>
  <c r="J1178" i="4"/>
  <c r="J1177" i="4"/>
  <c r="K1177" i="4" s="1"/>
  <c r="K1176" i="4"/>
  <c r="J1176" i="4"/>
  <c r="J1175" i="4"/>
  <c r="K1175" i="4" s="1"/>
  <c r="J1174" i="4"/>
  <c r="K1174" i="4" s="1"/>
  <c r="K1173" i="4"/>
  <c r="J1173" i="4"/>
  <c r="J1172" i="4"/>
  <c r="K1172" i="4" s="1"/>
  <c r="K1171" i="4"/>
  <c r="J1171" i="4"/>
  <c r="J1170" i="4"/>
  <c r="K1170" i="4" s="1"/>
  <c r="J1169" i="4"/>
  <c r="K1169" i="4" s="1"/>
  <c r="J1168" i="4"/>
  <c r="K1168" i="4" s="1"/>
  <c r="K1167" i="4"/>
  <c r="J1167" i="4"/>
  <c r="J1166" i="4"/>
  <c r="K1166" i="4" s="1"/>
  <c r="K1165" i="4"/>
  <c r="J1165" i="4"/>
  <c r="J1164" i="4"/>
  <c r="K1164" i="4" s="1"/>
  <c r="J1163" i="4"/>
  <c r="K1163" i="4" s="1"/>
  <c r="J1162" i="4"/>
  <c r="K1162" i="4" s="1"/>
  <c r="J1161" i="4"/>
  <c r="K1161" i="4" s="1"/>
  <c r="K1160" i="4"/>
  <c r="J1160" i="4"/>
  <c r="J1159" i="4"/>
  <c r="K1159" i="4" s="1"/>
  <c r="K1158" i="4"/>
  <c r="J1158" i="4"/>
  <c r="J1157" i="4"/>
  <c r="K1157" i="4" s="1"/>
  <c r="J1156" i="4"/>
  <c r="K1156" i="4" s="1"/>
  <c r="J1155" i="4"/>
  <c r="K1155" i="4" s="1"/>
  <c r="K1154" i="4"/>
  <c r="J1154" i="4"/>
  <c r="K1153" i="4"/>
  <c r="J1153" i="4"/>
  <c r="J1152" i="4"/>
  <c r="K1152" i="4" s="1"/>
  <c r="J1151" i="4"/>
  <c r="K1151" i="4" s="1"/>
  <c r="J1150" i="4"/>
  <c r="K1150" i="4" s="1"/>
  <c r="J1149" i="4"/>
  <c r="K1149" i="4" s="1"/>
  <c r="J1148" i="4"/>
  <c r="K1148" i="4" s="1"/>
  <c r="K1147" i="4"/>
  <c r="J1147" i="4"/>
  <c r="K1146" i="4"/>
  <c r="J1146" i="4"/>
  <c r="J1145" i="4"/>
  <c r="K1145" i="4" s="1"/>
  <c r="J1144" i="4"/>
  <c r="K1144" i="4" s="1"/>
  <c r="J1143" i="4"/>
  <c r="K1143" i="4" s="1"/>
  <c r="K1142" i="4"/>
  <c r="J1142" i="4"/>
  <c r="J1141" i="4"/>
  <c r="K1141" i="4" s="1"/>
  <c r="K1140" i="4"/>
  <c r="J1140" i="4"/>
  <c r="J1139" i="4"/>
  <c r="K1139" i="4" s="1"/>
  <c r="J1138" i="4"/>
  <c r="K1138" i="4" s="1"/>
  <c r="K1137" i="4"/>
  <c r="J1137" i="4"/>
  <c r="J1136" i="4"/>
  <c r="K1136" i="4" s="1"/>
  <c r="K1135" i="4"/>
  <c r="J1135" i="4"/>
  <c r="J1134" i="4"/>
  <c r="K1134" i="4" s="1"/>
  <c r="J1133" i="4"/>
  <c r="K1133" i="4" s="1"/>
  <c r="J1132" i="4"/>
  <c r="K1132" i="4" s="1"/>
  <c r="K1131" i="4"/>
  <c r="J1131" i="4"/>
  <c r="J1130" i="4"/>
  <c r="K1130" i="4" s="1"/>
  <c r="J1129" i="4"/>
  <c r="K1129" i="4" s="1"/>
  <c r="J1128" i="4"/>
  <c r="K1128" i="4" s="1"/>
  <c r="J1127" i="4"/>
  <c r="K1127" i="4" s="1"/>
  <c r="J1126" i="4"/>
  <c r="K1126" i="4" s="1"/>
  <c r="J1125" i="4"/>
  <c r="K1125" i="4" s="1"/>
  <c r="K1124" i="4"/>
  <c r="J1124" i="4"/>
  <c r="J1123" i="4"/>
  <c r="K1123" i="4" s="1"/>
  <c r="J1122" i="4"/>
  <c r="K1122" i="4" s="1"/>
  <c r="J1121" i="4"/>
  <c r="K1121" i="4" s="1"/>
  <c r="J1120" i="4"/>
  <c r="K1120" i="4" s="1"/>
  <c r="J1119" i="4"/>
  <c r="K1119" i="4" s="1"/>
  <c r="J1118" i="4"/>
  <c r="K1118" i="4" s="1"/>
  <c r="K1117" i="4"/>
  <c r="J1117" i="4"/>
  <c r="K1116" i="4"/>
  <c r="J1116" i="4"/>
  <c r="J1115" i="4"/>
  <c r="K1115" i="4" s="1"/>
  <c r="J1114" i="4"/>
  <c r="K1114" i="4" s="1"/>
  <c r="J1113" i="4"/>
  <c r="K1113" i="4" s="1"/>
  <c r="J1112" i="4"/>
  <c r="K1112" i="4" s="1"/>
  <c r="K1111" i="4"/>
  <c r="J1111" i="4"/>
  <c r="J1110" i="4"/>
  <c r="K1110" i="4" s="1"/>
  <c r="J1109" i="4"/>
  <c r="K1109" i="4" s="1"/>
  <c r="J1108" i="4"/>
  <c r="K1108" i="4" s="1"/>
  <c r="J1107" i="4"/>
  <c r="K1107" i="4" s="1"/>
  <c r="J1106" i="4"/>
  <c r="K1106" i="4" s="1"/>
  <c r="J1105" i="4"/>
  <c r="K1105" i="4" s="1"/>
  <c r="K1104" i="4"/>
  <c r="J1104" i="4"/>
  <c r="J1103" i="4"/>
  <c r="K1103" i="4" s="1"/>
  <c r="J1102" i="4"/>
  <c r="K1102" i="4" s="1"/>
  <c r="K1101" i="4"/>
  <c r="J1101" i="4"/>
  <c r="K1100" i="4"/>
  <c r="J1100" i="4"/>
  <c r="K1099" i="4"/>
  <c r="J1099" i="4"/>
  <c r="J1098" i="4"/>
  <c r="K1098" i="4" s="1"/>
  <c r="J1097" i="4"/>
  <c r="K1097" i="4" s="1"/>
  <c r="J1096" i="4"/>
  <c r="K1096" i="4" s="1"/>
  <c r="J1095" i="4"/>
  <c r="K1095" i="4" s="1"/>
  <c r="J1094" i="4"/>
  <c r="K1094" i="4" s="1"/>
  <c r="K1093" i="4"/>
  <c r="J1093" i="4"/>
  <c r="J1092" i="4"/>
  <c r="K1092" i="4" s="1"/>
  <c r="J1091" i="4"/>
  <c r="K1091" i="4" s="1"/>
  <c r="J1090" i="4"/>
  <c r="K1090" i="4" s="1"/>
  <c r="J1089" i="4"/>
  <c r="K1089" i="4" s="1"/>
  <c r="J1088" i="4"/>
  <c r="K1088" i="4" s="1"/>
  <c r="J1087" i="4"/>
  <c r="K1087" i="4" s="1"/>
  <c r="K1086" i="4"/>
  <c r="J1086" i="4"/>
  <c r="J1085" i="4"/>
  <c r="K1085" i="4" s="1"/>
  <c r="J1084" i="4"/>
  <c r="K1084" i="4" s="1"/>
  <c r="J1083" i="4"/>
  <c r="K1083" i="4" s="1"/>
  <c r="J1082" i="4"/>
  <c r="K1082" i="4" s="1"/>
  <c r="K1081" i="4"/>
  <c r="J1081" i="4"/>
  <c r="J1080" i="4"/>
  <c r="K1080" i="4" s="1"/>
  <c r="J1079" i="4"/>
  <c r="K1079" i="4" s="1"/>
  <c r="J1078" i="4"/>
  <c r="K1078" i="4" s="1"/>
  <c r="K1077" i="4"/>
  <c r="J1077" i="4"/>
  <c r="J1076" i="4"/>
  <c r="K1076" i="4" s="1"/>
  <c r="J1075" i="4"/>
  <c r="K1075" i="4" s="1"/>
  <c r="J1074" i="4"/>
  <c r="K1074" i="4" s="1"/>
  <c r="J1073" i="4"/>
  <c r="K1073" i="4" s="1"/>
  <c r="J1072" i="4"/>
  <c r="K1072" i="4" s="1"/>
  <c r="J1071" i="4"/>
  <c r="K1071" i="4" s="1"/>
  <c r="K1070" i="4"/>
  <c r="J1070" i="4"/>
  <c r="J1069" i="4"/>
  <c r="K1069" i="4" s="1"/>
  <c r="K1068" i="4"/>
  <c r="J1068" i="4"/>
  <c r="J1067" i="4"/>
  <c r="K1067" i="4" s="1"/>
  <c r="J1066" i="4"/>
  <c r="K1066" i="4" s="1"/>
  <c r="K1065" i="4"/>
  <c r="J1065" i="4"/>
  <c r="J1064" i="4"/>
  <c r="K1064" i="4" s="1"/>
  <c r="K1063" i="4"/>
  <c r="J1063" i="4"/>
  <c r="J1062" i="4"/>
  <c r="K1062" i="4" s="1"/>
  <c r="J1061" i="4"/>
  <c r="K1061" i="4" s="1"/>
  <c r="J1060" i="4"/>
  <c r="K1060" i="4" s="1"/>
  <c r="J1059" i="4"/>
  <c r="K1059" i="4" s="1"/>
  <c r="J1058" i="4"/>
  <c r="K1058" i="4" s="1"/>
  <c r="J1057" i="4"/>
  <c r="K1057" i="4" s="1"/>
  <c r="J1056" i="4"/>
  <c r="K1056" i="4" s="1"/>
  <c r="J1055" i="4"/>
  <c r="K1055" i="4" s="1"/>
  <c r="J1054" i="4"/>
  <c r="K1054" i="4" s="1"/>
  <c r="J1053" i="4"/>
  <c r="K1053" i="4" s="1"/>
  <c r="J1052" i="4"/>
  <c r="K1052" i="4" s="1"/>
  <c r="J1051" i="4"/>
  <c r="K1051" i="4" s="1"/>
  <c r="J1050" i="4"/>
  <c r="K1050" i="4" s="1"/>
  <c r="J1049" i="4"/>
  <c r="K1049" i="4" s="1"/>
  <c r="J1048" i="4"/>
  <c r="K1048" i="4" s="1"/>
  <c r="J1047" i="4"/>
  <c r="K1047" i="4" s="1"/>
  <c r="K1046" i="4"/>
  <c r="J1046" i="4"/>
  <c r="K1045" i="4"/>
  <c r="J1045" i="4"/>
  <c r="J1044" i="4"/>
  <c r="K1044" i="4" s="1"/>
  <c r="J1043" i="4"/>
  <c r="K1043" i="4" s="1"/>
  <c r="J1042" i="4"/>
  <c r="K1042" i="4" s="1"/>
  <c r="J1041" i="4"/>
  <c r="K1041" i="4" s="1"/>
  <c r="J1040" i="4"/>
  <c r="K1040" i="4" s="1"/>
  <c r="K1039" i="4"/>
  <c r="J1039" i="4"/>
  <c r="J1038" i="4"/>
  <c r="K1038" i="4" s="1"/>
  <c r="J1037" i="4"/>
  <c r="K1037" i="4" s="1"/>
  <c r="J1036" i="4"/>
  <c r="K1036" i="4" s="1"/>
  <c r="J1035" i="4"/>
  <c r="K1035" i="4" s="1"/>
  <c r="J1034" i="4"/>
  <c r="K1034" i="4" s="1"/>
  <c r="J1033" i="4"/>
  <c r="K1033" i="4" s="1"/>
  <c r="K1032" i="4"/>
  <c r="J1032" i="4"/>
  <c r="K1031" i="4"/>
  <c r="J1031" i="4"/>
  <c r="K1030" i="4"/>
  <c r="J1030" i="4"/>
  <c r="J1029" i="4"/>
  <c r="K1029" i="4" s="1"/>
  <c r="K1028" i="4"/>
  <c r="J1028" i="4"/>
  <c r="J1027" i="4"/>
  <c r="K1027" i="4" s="1"/>
  <c r="J1026" i="4"/>
  <c r="K1026" i="4" s="1"/>
  <c r="K1025" i="4"/>
  <c r="J1025" i="4"/>
  <c r="J1024" i="4"/>
  <c r="K1024" i="4" s="1"/>
  <c r="J1023" i="4"/>
  <c r="K1023" i="4" s="1"/>
  <c r="J1022" i="4"/>
  <c r="K1022" i="4" s="1"/>
  <c r="J1021" i="4"/>
  <c r="K1021" i="4" s="1"/>
  <c r="J1020" i="4"/>
  <c r="K1020" i="4" s="1"/>
  <c r="K1019" i="4"/>
  <c r="J1019" i="4"/>
  <c r="K1018" i="4"/>
  <c r="J1018" i="4"/>
  <c r="K1017" i="4"/>
  <c r="J1017" i="4"/>
  <c r="J1016" i="4"/>
  <c r="K1016" i="4" s="1"/>
  <c r="J1015" i="4"/>
  <c r="K1015" i="4" s="1"/>
  <c r="J1014" i="4"/>
  <c r="K1014" i="4" s="1"/>
  <c r="J1013" i="4"/>
  <c r="K1013" i="4" s="1"/>
  <c r="K1012" i="4"/>
  <c r="J1012" i="4"/>
  <c r="J1011" i="4"/>
  <c r="K1011" i="4" s="1"/>
  <c r="J1010" i="4"/>
  <c r="K1010" i="4" s="1"/>
  <c r="J1009" i="4"/>
  <c r="K1009" i="4" s="1"/>
  <c r="K1008" i="4"/>
  <c r="J1008" i="4"/>
  <c r="J1007" i="4"/>
  <c r="K1007" i="4" s="1"/>
  <c r="K1006" i="4"/>
  <c r="J1006" i="4"/>
  <c r="K1005" i="4"/>
  <c r="J1005" i="4"/>
  <c r="K1004" i="4"/>
  <c r="J1004" i="4"/>
  <c r="J1003" i="4"/>
  <c r="K1003" i="4" s="1"/>
  <c r="J1002" i="4"/>
  <c r="K1002" i="4" s="1"/>
  <c r="J1001" i="4"/>
  <c r="K1001" i="4" s="1"/>
  <c r="J1000" i="4"/>
  <c r="K1000" i="4" s="1"/>
  <c r="K999" i="4"/>
  <c r="J999" i="4"/>
  <c r="J998" i="4"/>
  <c r="K998" i="4" s="1"/>
  <c r="J997" i="4"/>
  <c r="K997" i="4" s="1"/>
  <c r="J996" i="4"/>
  <c r="K996" i="4" s="1"/>
  <c r="K995" i="4"/>
  <c r="J995" i="4"/>
  <c r="J994" i="4"/>
  <c r="K994" i="4" s="1"/>
  <c r="K993" i="4"/>
  <c r="J993" i="4"/>
  <c r="K992" i="4"/>
  <c r="J992" i="4"/>
  <c r="J991" i="4"/>
  <c r="K991" i="4" s="1"/>
  <c r="J990" i="4"/>
  <c r="K990" i="4" s="1"/>
  <c r="J989" i="4"/>
  <c r="K989" i="4" s="1"/>
  <c r="J988" i="4"/>
  <c r="K988" i="4" s="1"/>
  <c r="J987" i="4"/>
  <c r="K987" i="4" s="1"/>
  <c r="K986" i="4"/>
  <c r="J986" i="4"/>
  <c r="J985" i="4"/>
  <c r="K985" i="4" s="1"/>
  <c r="K984" i="4"/>
  <c r="J984" i="4"/>
  <c r="J983" i="4"/>
  <c r="K983" i="4" s="1"/>
  <c r="K982" i="4"/>
  <c r="J982" i="4"/>
  <c r="J981" i="4"/>
  <c r="K981" i="4" s="1"/>
  <c r="K980" i="4"/>
  <c r="J980" i="4"/>
  <c r="J979" i="4"/>
  <c r="K979" i="4" s="1"/>
  <c r="J978" i="4"/>
  <c r="K978" i="4" s="1"/>
  <c r="J977" i="4"/>
  <c r="K977" i="4" s="1"/>
  <c r="J976" i="4"/>
  <c r="K976" i="4" s="1"/>
  <c r="J975" i="4"/>
  <c r="K975" i="4" s="1"/>
  <c r="J974" i="4"/>
  <c r="K974" i="4" s="1"/>
  <c r="J973" i="4"/>
  <c r="K973" i="4" s="1"/>
  <c r="K972" i="4"/>
  <c r="J972" i="4"/>
  <c r="K971" i="4"/>
  <c r="J971" i="4"/>
  <c r="J970" i="4"/>
  <c r="K970" i="4" s="1"/>
  <c r="K969" i="4"/>
  <c r="J969" i="4"/>
  <c r="J968" i="4"/>
  <c r="K968" i="4" s="1"/>
  <c r="J967" i="4"/>
  <c r="K967" i="4" s="1"/>
  <c r="K966" i="4"/>
  <c r="J966" i="4"/>
  <c r="J965" i="4"/>
  <c r="K965" i="4" s="1"/>
  <c r="J964" i="4"/>
  <c r="K964" i="4" s="1"/>
  <c r="J963" i="4"/>
  <c r="K963" i="4" s="1"/>
  <c r="J962" i="4"/>
  <c r="K962" i="4" s="1"/>
  <c r="J961" i="4"/>
  <c r="K961" i="4" s="1"/>
  <c r="K960" i="4"/>
  <c r="J960" i="4"/>
  <c r="K959" i="4"/>
  <c r="J959" i="4"/>
  <c r="K958" i="4"/>
  <c r="J958" i="4"/>
  <c r="J957" i="4"/>
  <c r="K957" i="4" s="1"/>
  <c r="K956" i="4"/>
  <c r="J956" i="4"/>
  <c r="J955" i="4"/>
  <c r="K955" i="4" s="1"/>
  <c r="J954" i="4"/>
  <c r="K954" i="4" s="1"/>
  <c r="K953" i="4"/>
  <c r="J953" i="4"/>
  <c r="J952" i="4"/>
  <c r="K952" i="4" s="1"/>
  <c r="J951" i="4"/>
  <c r="K951" i="4" s="1"/>
  <c r="J950" i="4"/>
  <c r="K950" i="4" s="1"/>
  <c r="J949" i="4"/>
  <c r="K949" i="4" s="1"/>
  <c r="J948" i="4"/>
  <c r="K948" i="4" s="1"/>
  <c r="K947" i="4"/>
  <c r="J947" i="4"/>
  <c r="K946" i="4"/>
  <c r="J946" i="4"/>
  <c r="K945" i="4"/>
  <c r="J945" i="4"/>
  <c r="J944" i="4"/>
  <c r="K944" i="4" s="1"/>
  <c r="J943" i="4"/>
  <c r="K943" i="4" s="1"/>
  <c r="J942" i="4"/>
  <c r="K942" i="4" s="1"/>
  <c r="J941" i="4"/>
  <c r="K941" i="4" s="1"/>
  <c r="K940" i="4"/>
  <c r="J940" i="4"/>
  <c r="J939" i="4"/>
  <c r="K939" i="4" s="1"/>
  <c r="J938" i="4"/>
  <c r="K938" i="4" s="1"/>
  <c r="J937" i="4"/>
  <c r="K937" i="4" s="1"/>
  <c r="K936" i="4"/>
  <c r="J936" i="4"/>
  <c r="J935" i="4"/>
  <c r="K935" i="4" s="1"/>
  <c r="K934" i="4"/>
  <c r="J934" i="4"/>
  <c r="K933" i="4"/>
  <c r="J933" i="4"/>
  <c r="K932" i="4"/>
  <c r="J932" i="4"/>
  <c r="J931" i="4"/>
  <c r="K931" i="4" s="1"/>
  <c r="J930" i="4"/>
  <c r="K930" i="4" s="1"/>
  <c r="J929" i="4"/>
  <c r="K929" i="4" s="1"/>
  <c r="J928" i="4"/>
  <c r="K928" i="4" s="1"/>
  <c r="K927" i="4"/>
  <c r="J927" i="4"/>
  <c r="J926" i="4"/>
  <c r="K926" i="4" s="1"/>
  <c r="J925" i="4"/>
  <c r="K925" i="4" s="1"/>
  <c r="J924" i="4"/>
  <c r="K924" i="4" s="1"/>
  <c r="K923" i="4"/>
  <c r="J923" i="4"/>
  <c r="J922" i="4"/>
  <c r="K922" i="4" s="1"/>
  <c r="K921" i="4"/>
  <c r="J921" i="4"/>
  <c r="K920" i="4"/>
  <c r="J920" i="4"/>
  <c r="J919" i="4"/>
  <c r="K919" i="4" s="1"/>
  <c r="J918" i="4"/>
  <c r="K918" i="4" s="1"/>
  <c r="J917" i="4"/>
  <c r="K917" i="4" s="1"/>
  <c r="J916" i="4"/>
  <c r="K916" i="4" s="1"/>
  <c r="J915" i="4"/>
  <c r="K915" i="4" s="1"/>
  <c r="K914" i="4"/>
  <c r="J914" i="4"/>
  <c r="J913" i="4"/>
  <c r="K913" i="4" s="1"/>
  <c r="K912" i="4"/>
  <c r="J912" i="4"/>
  <c r="J911" i="4"/>
  <c r="K911" i="4" s="1"/>
  <c r="K910" i="4"/>
  <c r="J910" i="4"/>
  <c r="J909" i="4"/>
  <c r="K909" i="4" s="1"/>
  <c r="K908" i="4"/>
  <c r="J908" i="4"/>
  <c r="J907" i="4"/>
  <c r="K907" i="4" s="1"/>
  <c r="J906" i="4"/>
  <c r="K906" i="4" s="1"/>
  <c r="J905" i="4"/>
  <c r="K905" i="4" s="1"/>
  <c r="J904" i="4"/>
  <c r="K904" i="4" s="1"/>
  <c r="J903" i="4"/>
  <c r="K903" i="4" s="1"/>
  <c r="J902" i="4"/>
  <c r="K902" i="4" s="1"/>
  <c r="J901" i="4"/>
  <c r="K901" i="4" s="1"/>
  <c r="K900" i="4"/>
  <c r="J900" i="4"/>
  <c r="K899" i="4"/>
  <c r="J899" i="4"/>
  <c r="J898" i="4"/>
  <c r="K898" i="4" s="1"/>
  <c r="K897" i="4"/>
  <c r="J897" i="4"/>
  <c r="J896" i="4"/>
  <c r="K896" i="4" s="1"/>
  <c r="J895" i="4"/>
  <c r="K895" i="4" s="1"/>
  <c r="K894" i="4"/>
  <c r="J894" i="4"/>
  <c r="J893" i="4"/>
  <c r="K893" i="4" s="1"/>
  <c r="J892" i="4"/>
  <c r="K892" i="4" s="1"/>
  <c r="J891" i="4"/>
  <c r="K891" i="4" s="1"/>
  <c r="J890" i="4"/>
  <c r="K890" i="4" s="1"/>
  <c r="J889" i="4"/>
  <c r="K889" i="4" s="1"/>
  <c r="K888" i="4"/>
  <c r="J888" i="4"/>
  <c r="K887" i="4"/>
  <c r="J887" i="4"/>
  <c r="K886" i="4"/>
  <c r="J886" i="4"/>
  <c r="J885" i="4"/>
  <c r="K885" i="4" s="1"/>
  <c r="K884" i="4"/>
  <c r="J884" i="4"/>
  <c r="J883" i="4"/>
  <c r="K883" i="4" s="1"/>
  <c r="J882" i="4"/>
  <c r="K882" i="4" s="1"/>
  <c r="K881" i="4"/>
  <c r="J881" i="4"/>
  <c r="J880" i="4"/>
  <c r="K880" i="4" s="1"/>
  <c r="J879" i="4"/>
  <c r="K879" i="4" s="1"/>
  <c r="J878" i="4"/>
  <c r="K878" i="4" s="1"/>
  <c r="J877" i="4"/>
  <c r="K877" i="4" s="1"/>
  <c r="J876" i="4"/>
  <c r="K876" i="4" s="1"/>
  <c r="K875" i="4"/>
  <c r="J875" i="4"/>
  <c r="K874" i="4"/>
  <c r="J874" i="4"/>
  <c r="K873" i="4"/>
  <c r="J873" i="4"/>
  <c r="J872" i="4"/>
  <c r="K872" i="4" s="1"/>
  <c r="J871" i="4"/>
  <c r="K871" i="4" s="1"/>
  <c r="J870" i="4"/>
  <c r="K870" i="4" s="1"/>
  <c r="J869" i="4"/>
  <c r="K869" i="4" s="1"/>
  <c r="K868" i="4"/>
  <c r="J868" i="4"/>
  <c r="J867" i="4"/>
  <c r="K867" i="4" s="1"/>
  <c r="J866" i="4"/>
  <c r="K866" i="4" s="1"/>
  <c r="J865" i="4"/>
  <c r="K865" i="4" s="1"/>
  <c r="K864" i="4"/>
  <c r="J864" i="4"/>
  <c r="J863" i="4"/>
  <c r="K863" i="4" s="1"/>
  <c r="K862" i="4"/>
  <c r="J862" i="4"/>
  <c r="K861" i="4"/>
  <c r="J861" i="4"/>
  <c r="K860" i="4"/>
  <c r="J860" i="4"/>
  <c r="J859" i="4"/>
  <c r="K859" i="4" s="1"/>
  <c r="J858" i="4"/>
  <c r="K858" i="4" s="1"/>
  <c r="J857" i="4"/>
  <c r="K857" i="4" s="1"/>
  <c r="J856" i="4"/>
  <c r="K856" i="4" s="1"/>
  <c r="K855" i="4"/>
  <c r="J855" i="4"/>
  <c r="J854" i="4"/>
  <c r="K854" i="4" s="1"/>
  <c r="J853" i="4"/>
  <c r="K853" i="4" s="1"/>
  <c r="J852" i="4"/>
  <c r="K852" i="4" s="1"/>
  <c r="K851" i="4"/>
  <c r="J851" i="4"/>
  <c r="J850" i="4"/>
  <c r="K850" i="4" s="1"/>
  <c r="K849" i="4"/>
  <c r="J849" i="4"/>
  <c r="K848" i="4"/>
  <c r="J848" i="4"/>
  <c r="J847" i="4"/>
  <c r="K847" i="4" s="1"/>
  <c r="J846" i="4"/>
  <c r="K846" i="4" s="1"/>
  <c r="J845" i="4"/>
  <c r="K845" i="4" s="1"/>
  <c r="J844" i="4"/>
  <c r="K844" i="4" s="1"/>
  <c r="J843" i="4"/>
  <c r="K843" i="4" s="1"/>
  <c r="K842" i="4"/>
  <c r="J842" i="4"/>
  <c r="J841" i="4"/>
  <c r="K841" i="4" s="1"/>
  <c r="K840" i="4"/>
  <c r="J840" i="4"/>
  <c r="J839" i="4"/>
  <c r="K839" i="4" s="1"/>
  <c r="K838" i="4"/>
  <c r="J838" i="4"/>
  <c r="J837" i="4"/>
  <c r="K837" i="4" s="1"/>
  <c r="K836" i="4"/>
  <c r="J836" i="4"/>
  <c r="J835" i="4"/>
  <c r="K835" i="4" s="1"/>
  <c r="J834" i="4"/>
  <c r="K834" i="4" s="1"/>
  <c r="J833" i="4"/>
  <c r="K833" i="4" s="1"/>
  <c r="J832" i="4"/>
  <c r="K832" i="4" s="1"/>
  <c r="J831" i="4"/>
  <c r="K831" i="4" s="1"/>
  <c r="J830" i="4"/>
  <c r="K830" i="4" s="1"/>
  <c r="J829" i="4"/>
  <c r="K829" i="4" s="1"/>
  <c r="K828" i="4"/>
  <c r="J828" i="4"/>
  <c r="K827" i="4"/>
  <c r="J827" i="4"/>
  <c r="J826" i="4"/>
  <c r="K826" i="4" s="1"/>
  <c r="K825" i="4"/>
  <c r="J825" i="4"/>
  <c r="J824" i="4"/>
  <c r="K824" i="4" s="1"/>
  <c r="J823" i="4"/>
  <c r="K823" i="4" s="1"/>
  <c r="K822" i="4"/>
  <c r="J822" i="4"/>
  <c r="J821" i="4"/>
  <c r="K821" i="4" s="1"/>
  <c r="J820" i="4"/>
  <c r="K820" i="4" s="1"/>
  <c r="J819" i="4"/>
  <c r="K819" i="4" s="1"/>
  <c r="J818" i="4"/>
  <c r="K818" i="4" s="1"/>
  <c r="J817" i="4"/>
  <c r="K817" i="4" s="1"/>
  <c r="K816" i="4"/>
  <c r="J816" i="4"/>
  <c r="K815" i="4"/>
  <c r="J815" i="4"/>
  <c r="K814" i="4"/>
  <c r="J814" i="4"/>
  <c r="J813" i="4"/>
  <c r="K813" i="4" s="1"/>
  <c r="K812" i="4"/>
  <c r="J812" i="4"/>
  <c r="J811" i="4"/>
  <c r="K811" i="4" s="1"/>
  <c r="J810" i="4"/>
  <c r="K810" i="4" s="1"/>
  <c r="K809" i="4"/>
  <c r="J809" i="4"/>
  <c r="J808" i="4"/>
  <c r="K808" i="4" s="1"/>
  <c r="J807" i="4"/>
  <c r="K807" i="4" s="1"/>
  <c r="J806" i="4"/>
  <c r="K806" i="4" s="1"/>
  <c r="J805" i="4"/>
  <c r="K805" i="4" s="1"/>
  <c r="J804" i="4"/>
  <c r="K804" i="4" s="1"/>
  <c r="K803" i="4"/>
  <c r="J803" i="4"/>
  <c r="K802" i="4"/>
  <c r="J802" i="4"/>
  <c r="K801" i="4"/>
  <c r="J801" i="4"/>
  <c r="J800" i="4"/>
  <c r="K800" i="4" s="1"/>
  <c r="J799" i="4"/>
  <c r="K799" i="4" s="1"/>
  <c r="J798" i="4"/>
  <c r="K798" i="4" s="1"/>
  <c r="J797" i="4"/>
  <c r="K797" i="4" s="1"/>
  <c r="K796" i="4"/>
  <c r="J796" i="4"/>
  <c r="J795" i="4"/>
  <c r="K795" i="4" s="1"/>
  <c r="J794" i="4"/>
  <c r="K794" i="4" s="1"/>
  <c r="J793" i="4"/>
  <c r="K793" i="4" s="1"/>
  <c r="K792" i="4"/>
  <c r="J792" i="4"/>
  <c r="J791" i="4"/>
  <c r="K791" i="4" s="1"/>
  <c r="K790" i="4"/>
  <c r="J790" i="4"/>
  <c r="K789" i="4"/>
  <c r="J789" i="4"/>
  <c r="K788" i="4"/>
  <c r="J788" i="4"/>
  <c r="J787" i="4"/>
  <c r="K787" i="4" s="1"/>
  <c r="J786" i="4"/>
  <c r="K786" i="4" s="1"/>
  <c r="J785" i="4"/>
  <c r="K785" i="4" s="1"/>
  <c r="J784" i="4"/>
  <c r="K784" i="4" s="1"/>
  <c r="K783" i="4"/>
  <c r="J783" i="4"/>
  <c r="J782" i="4"/>
  <c r="K782" i="4" s="1"/>
  <c r="J781" i="4"/>
  <c r="K781" i="4" s="1"/>
  <c r="J780" i="4"/>
  <c r="K780" i="4" s="1"/>
  <c r="K779" i="4"/>
  <c r="J779" i="4"/>
  <c r="J778" i="4"/>
  <c r="K778" i="4" s="1"/>
  <c r="K777" i="4"/>
  <c r="J777" i="4"/>
  <c r="K776" i="4"/>
  <c r="J776" i="4"/>
  <c r="K775" i="4"/>
  <c r="J775" i="4"/>
  <c r="J774" i="4"/>
  <c r="K774" i="4" s="1"/>
  <c r="K773" i="4"/>
  <c r="J773" i="4"/>
  <c r="J772" i="4"/>
  <c r="K772" i="4" s="1"/>
  <c r="K771" i="4"/>
  <c r="J771" i="4"/>
  <c r="K770" i="4"/>
  <c r="J770" i="4"/>
  <c r="K769" i="4"/>
  <c r="J769" i="4"/>
  <c r="J768" i="4"/>
  <c r="K768" i="4" s="1"/>
  <c r="K767" i="4"/>
  <c r="J767" i="4"/>
  <c r="J766" i="4"/>
  <c r="K766" i="4" s="1"/>
  <c r="K765" i="4"/>
  <c r="J765" i="4"/>
  <c r="K764" i="4"/>
  <c r="J764" i="4"/>
  <c r="K763" i="4"/>
  <c r="J763" i="4"/>
  <c r="J762" i="4"/>
  <c r="K762" i="4" s="1"/>
  <c r="K761" i="4"/>
  <c r="J761" i="4"/>
  <c r="J760" i="4"/>
  <c r="K760" i="4" s="1"/>
  <c r="K759" i="4"/>
  <c r="J759" i="4"/>
  <c r="K758" i="4"/>
  <c r="J758" i="4"/>
  <c r="K757" i="4"/>
  <c r="J757" i="4"/>
  <c r="J756" i="4"/>
  <c r="K756" i="4" s="1"/>
  <c r="K755" i="4"/>
  <c r="J755" i="4"/>
  <c r="J754" i="4"/>
  <c r="K754" i="4" s="1"/>
  <c r="K753" i="4"/>
  <c r="J753" i="4"/>
  <c r="K752" i="4"/>
  <c r="J752" i="4"/>
  <c r="K751" i="4"/>
  <c r="J751" i="4"/>
  <c r="J750" i="4"/>
  <c r="K750" i="4" s="1"/>
  <c r="K749" i="4"/>
  <c r="J749" i="4"/>
  <c r="J748" i="4"/>
  <c r="K748" i="4" s="1"/>
  <c r="K747" i="4"/>
  <c r="J747" i="4"/>
  <c r="K746" i="4"/>
  <c r="J746" i="4"/>
  <c r="K745" i="4"/>
  <c r="J745" i="4"/>
  <c r="J744" i="4"/>
  <c r="K744" i="4" s="1"/>
  <c r="K743" i="4"/>
  <c r="J743" i="4"/>
  <c r="J742" i="4"/>
  <c r="K742" i="4" s="1"/>
  <c r="K741" i="4"/>
  <c r="J741" i="4"/>
  <c r="K740" i="4"/>
  <c r="J740" i="4"/>
  <c r="K739" i="4"/>
  <c r="J739" i="4"/>
  <c r="J738" i="4"/>
  <c r="K738" i="4" s="1"/>
  <c r="K737" i="4"/>
  <c r="J737" i="4"/>
  <c r="J736" i="4"/>
  <c r="K736" i="4" s="1"/>
  <c r="K735" i="4"/>
  <c r="J735" i="4"/>
  <c r="K734" i="4"/>
  <c r="J734" i="4"/>
  <c r="K733" i="4"/>
  <c r="J733" i="4"/>
  <c r="J732" i="4"/>
  <c r="K732" i="4" s="1"/>
  <c r="K731" i="4"/>
  <c r="J731" i="4"/>
  <c r="J730" i="4"/>
  <c r="K730" i="4" s="1"/>
  <c r="K729" i="4"/>
  <c r="J729" i="4"/>
  <c r="K728" i="4"/>
  <c r="J728" i="4"/>
  <c r="K727" i="4"/>
  <c r="J727" i="4"/>
  <c r="J726" i="4"/>
  <c r="K726" i="4" s="1"/>
  <c r="K725" i="4"/>
  <c r="J725" i="4"/>
  <c r="J724" i="4"/>
  <c r="K724" i="4" s="1"/>
  <c r="K723" i="4"/>
  <c r="J723" i="4"/>
  <c r="K722" i="4"/>
  <c r="J722" i="4"/>
  <c r="K721" i="4"/>
  <c r="J721" i="4"/>
  <c r="J720" i="4"/>
  <c r="K720" i="4" s="1"/>
  <c r="K719" i="4"/>
  <c r="J719" i="4"/>
  <c r="J718" i="4"/>
  <c r="K718" i="4" s="1"/>
  <c r="K717" i="4"/>
  <c r="J717" i="4"/>
  <c r="K716" i="4"/>
  <c r="J716" i="4"/>
  <c r="K715" i="4"/>
  <c r="J715" i="4"/>
  <c r="J714" i="4"/>
  <c r="K714" i="4" s="1"/>
  <c r="K713" i="4"/>
  <c r="J713" i="4"/>
  <c r="J712" i="4"/>
  <c r="K712" i="4" s="1"/>
  <c r="K711" i="4"/>
  <c r="J711" i="4"/>
  <c r="K710" i="4"/>
  <c r="J710" i="4"/>
  <c r="K709" i="4"/>
  <c r="J709" i="4"/>
  <c r="J708" i="4"/>
  <c r="K708" i="4" s="1"/>
  <c r="K707" i="4"/>
  <c r="J707" i="4"/>
  <c r="J706" i="4"/>
  <c r="K706" i="4" s="1"/>
  <c r="K705" i="4"/>
  <c r="J705" i="4"/>
  <c r="K704" i="4"/>
  <c r="J704" i="4"/>
  <c r="K703" i="4"/>
  <c r="J703" i="4"/>
  <c r="J702" i="4"/>
  <c r="K702" i="4" s="1"/>
  <c r="K701" i="4"/>
  <c r="J701" i="4"/>
  <c r="J700" i="4"/>
  <c r="K700" i="4" s="1"/>
  <c r="K699" i="4"/>
  <c r="J699" i="4"/>
  <c r="K698" i="4"/>
  <c r="J698" i="4"/>
  <c r="K697" i="4"/>
  <c r="J697" i="4"/>
  <c r="J696" i="4"/>
  <c r="K696" i="4" s="1"/>
  <c r="K695" i="4"/>
  <c r="J695" i="4"/>
  <c r="J694" i="4"/>
  <c r="K694" i="4" s="1"/>
  <c r="K693" i="4"/>
  <c r="J693" i="4"/>
  <c r="K692" i="4"/>
  <c r="J692" i="4"/>
  <c r="K691" i="4"/>
  <c r="J691" i="4"/>
  <c r="J690" i="4"/>
  <c r="K690" i="4" s="1"/>
  <c r="K689" i="4"/>
  <c r="J689" i="4"/>
  <c r="J688" i="4"/>
  <c r="K688" i="4" s="1"/>
  <c r="K687" i="4"/>
  <c r="J687" i="4"/>
  <c r="K686" i="4"/>
  <c r="J686" i="4"/>
  <c r="K685" i="4"/>
  <c r="J685" i="4"/>
  <c r="J684" i="4"/>
  <c r="K684" i="4" s="1"/>
  <c r="K683" i="4"/>
  <c r="J683" i="4"/>
  <c r="J682" i="4"/>
  <c r="K682" i="4" s="1"/>
  <c r="K681" i="4"/>
  <c r="J681" i="4"/>
  <c r="K680" i="4"/>
  <c r="J680" i="4"/>
  <c r="K679" i="4"/>
  <c r="J679" i="4"/>
  <c r="J678" i="4"/>
  <c r="K678" i="4" s="1"/>
  <c r="K677" i="4"/>
  <c r="J677" i="4"/>
  <c r="J676" i="4"/>
  <c r="K676" i="4" s="1"/>
  <c r="K675" i="4"/>
  <c r="J675" i="4"/>
  <c r="K674" i="4"/>
  <c r="J674" i="4"/>
  <c r="K673" i="4"/>
  <c r="J673" i="4"/>
  <c r="J672" i="4"/>
  <c r="K672" i="4" s="1"/>
  <c r="K671" i="4"/>
  <c r="J671" i="4"/>
  <c r="J670" i="4"/>
  <c r="K670" i="4" s="1"/>
  <c r="K669" i="4"/>
  <c r="J669" i="4"/>
  <c r="K668" i="4"/>
  <c r="J668" i="4"/>
  <c r="K667" i="4"/>
  <c r="J667" i="4"/>
  <c r="J666" i="4"/>
  <c r="K666" i="4" s="1"/>
  <c r="K665" i="4"/>
  <c r="J665" i="4"/>
  <c r="J664" i="4"/>
  <c r="K664" i="4" s="1"/>
  <c r="K663" i="4"/>
  <c r="J663" i="4"/>
  <c r="K662" i="4"/>
  <c r="J662" i="4"/>
  <c r="K661" i="4"/>
  <c r="J661" i="4"/>
  <c r="J660" i="4"/>
  <c r="K660" i="4" s="1"/>
  <c r="K659" i="4"/>
  <c r="J659" i="4"/>
  <c r="J658" i="4"/>
  <c r="K658" i="4" s="1"/>
  <c r="K657" i="4"/>
  <c r="J657" i="4"/>
  <c r="K656" i="4"/>
  <c r="J656" i="4"/>
  <c r="K655" i="4"/>
  <c r="J655" i="4"/>
  <c r="J654" i="4"/>
  <c r="K654" i="4" s="1"/>
  <c r="K653" i="4"/>
  <c r="J653" i="4"/>
  <c r="J652" i="4"/>
  <c r="K652" i="4" s="1"/>
  <c r="K651" i="4"/>
  <c r="J651" i="4"/>
  <c r="K650" i="4"/>
  <c r="J650" i="4"/>
  <c r="K649" i="4"/>
  <c r="J649" i="4"/>
  <c r="J648" i="4"/>
  <c r="K648" i="4" s="1"/>
  <c r="K647" i="4"/>
  <c r="J647" i="4"/>
  <c r="J646" i="4"/>
  <c r="K646" i="4" s="1"/>
  <c r="K645" i="4"/>
  <c r="J645" i="4"/>
  <c r="K644" i="4"/>
  <c r="J644" i="4"/>
  <c r="K643" i="4"/>
  <c r="J643" i="4"/>
  <c r="J642" i="4"/>
  <c r="K642" i="4" s="1"/>
  <c r="K641" i="4"/>
  <c r="J641" i="4"/>
  <c r="J640" i="4"/>
  <c r="K640" i="4" s="1"/>
  <c r="K639" i="4"/>
  <c r="J639" i="4"/>
  <c r="K638" i="4"/>
  <c r="J638" i="4"/>
  <c r="K637" i="4"/>
  <c r="J637" i="4"/>
  <c r="J636" i="4"/>
  <c r="K636" i="4" s="1"/>
  <c r="K635" i="4"/>
  <c r="J635" i="4"/>
  <c r="J634" i="4"/>
  <c r="K634" i="4" s="1"/>
  <c r="K633" i="4"/>
  <c r="J633" i="4"/>
  <c r="K632" i="4"/>
  <c r="J632" i="4"/>
  <c r="K631" i="4"/>
  <c r="J631" i="4"/>
  <c r="J630" i="4"/>
  <c r="K630" i="4" s="1"/>
  <c r="K629" i="4"/>
  <c r="J629" i="4"/>
  <c r="J628" i="4"/>
  <c r="K628" i="4" s="1"/>
  <c r="K627" i="4"/>
  <c r="J627" i="4"/>
  <c r="K626" i="4"/>
  <c r="J626" i="4"/>
  <c r="K625" i="4"/>
  <c r="J625" i="4"/>
  <c r="J624" i="4"/>
  <c r="K624" i="4" s="1"/>
  <c r="K623" i="4"/>
  <c r="J623" i="4"/>
  <c r="J622" i="4"/>
  <c r="K622" i="4" s="1"/>
  <c r="K621" i="4"/>
  <c r="J621" i="4"/>
  <c r="K620" i="4"/>
  <c r="J620" i="4"/>
  <c r="K619" i="4"/>
  <c r="J619" i="4"/>
  <c r="J618" i="4"/>
  <c r="K618" i="4" s="1"/>
  <c r="K617" i="4"/>
  <c r="J617" i="4"/>
  <c r="J616" i="4"/>
  <c r="K616" i="4" s="1"/>
  <c r="K615" i="4"/>
  <c r="J615" i="4"/>
  <c r="K614" i="4"/>
  <c r="J614" i="4"/>
  <c r="K613" i="4"/>
  <c r="J613" i="4"/>
  <c r="J612" i="4"/>
  <c r="K612" i="4" s="1"/>
  <c r="K611" i="4"/>
  <c r="J611" i="4"/>
  <c r="J610" i="4"/>
  <c r="K610" i="4" s="1"/>
  <c r="K609" i="4"/>
  <c r="J609" i="4"/>
  <c r="K608" i="4"/>
  <c r="J608" i="4"/>
  <c r="K607" i="4"/>
  <c r="J607" i="4"/>
  <c r="J606" i="4"/>
  <c r="K606" i="4" s="1"/>
  <c r="K605" i="4"/>
  <c r="J605" i="4"/>
  <c r="J604" i="4"/>
  <c r="K604" i="4" s="1"/>
  <c r="K603" i="4"/>
  <c r="J603" i="4"/>
  <c r="K602" i="4"/>
  <c r="J602" i="4"/>
  <c r="K601" i="4"/>
  <c r="J601" i="4"/>
  <c r="J600" i="4"/>
  <c r="K600" i="4" s="1"/>
  <c r="K599" i="4"/>
  <c r="J599" i="4"/>
  <c r="J598" i="4"/>
  <c r="K598" i="4" s="1"/>
  <c r="K597" i="4"/>
  <c r="J597" i="4"/>
  <c r="K596" i="4"/>
  <c r="J596" i="4"/>
  <c r="K595" i="4"/>
  <c r="J595" i="4"/>
  <c r="J594" i="4"/>
  <c r="K594" i="4" s="1"/>
  <c r="K593" i="4"/>
  <c r="J593" i="4"/>
  <c r="J592" i="4"/>
  <c r="K592" i="4" s="1"/>
  <c r="K591" i="4"/>
  <c r="J591" i="4"/>
  <c r="K590" i="4"/>
  <c r="J590" i="4"/>
  <c r="K589" i="4"/>
  <c r="J589" i="4"/>
  <c r="J588" i="4"/>
  <c r="K588" i="4" s="1"/>
  <c r="K587" i="4"/>
  <c r="J587" i="4"/>
  <c r="J586" i="4"/>
  <c r="K586" i="4" s="1"/>
  <c r="K585" i="4"/>
  <c r="J585" i="4"/>
  <c r="K584" i="4"/>
  <c r="J584" i="4"/>
  <c r="K583" i="4"/>
  <c r="J583" i="4"/>
  <c r="J582" i="4"/>
  <c r="K582" i="4" s="1"/>
  <c r="K581" i="4"/>
  <c r="J581" i="4"/>
  <c r="J580" i="4"/>
  <c r="K580" i="4" s="1"/>
  <c r="K579" i="4"/>
  <c r="J579" i="4"/>
  <c r="K578" i="4"/>
  <c r="J578" i="4"/>
  <c r="K577" i="4"/>
  <c r="J577" i="4"/>
  <c r="J576" i="4"/>
  <c r="K576" i="4" s="1"/>
  <c r="K575" i="4"/>
  <c r="J575" i="4"/>
  <c r="J574" i="4"/>
  <c r="K574" i="4" s="1"/>
  <c r="K573" i="4"/>
  <c r="J573" i="4"/>
  <c r="K572" i="4"/>
  <c r="J572" i="4"/>
  <c r="K571" i="4"/>
  <c r="J571" i="4"/>
  <c r="J570" i="4"/>
  <c r="K570" i="4" s="1"/>
  <c r="K569" i="4"/>
  <c r="J569" i="4"/>
  <c r="J568" i="4"/>
  <c r="K568" i="4" s="1"/>
  <c r="K567" i="4"/>
  <c r="J567" i="4"/>
  <c r="K566" i="4"/>
  <c r="J566" i="4"/>
  <c r="K565" i="4"/>
  <c r="J565" i="4"/>
  <c r="J564" i="4"/>
  <c r="K564" i="4" s="1"/>
  <c r="K563" i="4"/>
  <c r="J563" i="4"/>
  <c r="J562" i="4"/>
  <c r="K562" i="4" s="1"/>
  <c r="K561" i="4"/>
  <c r="J561" i="4"/>
  <c r="K560" i="4"/>
  <c r="J560" i="4"/>
  <c r="K559" i="4"/>
  <c r="J559" i="4"/>
  <c r="J558" i="4"/>
  <c r="K558" i="4" s="1"/>
  <c r="K557" i="4"/>
  <c r="J557" i="4"/>
  <c r="J556" i="4"/>
  <c r="K556" i="4" s="1"/>
  <c r="K555" i="4"/>
  <c r="J555" i="4"/>
  <c r="K554" i="4"/>
  <c r="J554" i="4"/>
  <c r="K553" i="4"/>
  <c r="J553" i="4"/>
  <c r="J552" i="4"/>
  <c r="K552" i="4" s="1"/>
  <c r="K551" i="4"/>
  <c r="J551" i="4"/>
  <c r="J550" i="4"/>
  <c r="K550" i="4" s="1"/>
  <c r="K549" i="4"/>
  <c r="J549" i="4"/>
  <c r="K548" i="4"/>
  <c r="J548" i="4"/>
  <c r="K547" i="4"/>
  <c r="J547" i="4"/>
  <c r="J546" i="4"/>
  <c r="K546" i="4" s="1"/>
  <c r="K545" i="4"/>
  <c r="J545" i="4"/>
  <c r="J544" i="4"/>
  <c r="K544" i="4" s="1"/>
  <c r="K543" i="4"/>
  <c r="J543" i="4"/>
  <c r="K542" i="4"/>
  <c r="J542" i="4"/>
  <c r="K541" i="4"/>
  <c r="J541" i="4"/>
  <c r="J540" i="4"/>
  <c r="K540" i="4" s="1"/>
  <c r="K539" i="4"/>
  <c r="J539" i="4"/>
  <c r="J538" i="4"/>
  <c r="K538" i="4" s="1"/>
  <c r="K537" i="4"/>
  <c r="J537" i="4"/>
  <c r="K536" i="4"/>
  <c r="J536" i="4"/>
  <c r="K535" i="4"/>
  <c r="J535" i="4"/>
  <c r="J534" i="4"/>
  <c r="K534" i="4" s="1"/>
  <c r="K533" i="4"/>
  <c r="J533" i="4"/>
  <c r="J532" i="4"/>
  <c r="K532" i="4" s="1"/>
  <c r="K531" i="4"/>
  <c r="J531" i="4"/>
  <c r="K530" i="4"/>
  <c r="J530" i="4"/>
  <c r="K529" i="4"/>
  <c r="J529" i="4"/>
  <c r="J528" i="4"/>
  <c r="K528" i="4" s="1"/>
  <c r="K527" i="4"/>
  <c r="J527" i="4"/>
  <c r="J526" i="4"/>
  <c r="K526" i="4" s="1"/>
  <c r="K525" i="4"/>
  <c r="J525" i="4"/>
  <c r="K524" i="4"/>
  <c r="J524" i="4"/>
  <c r="K523" i="4"/>
  <c r="J523" i="4"/>
  <c r="J522" i="4"/>
  <c r="K522" i="4" s="1"/>
  <c r="K521" i="4"/>
  <c r="J521" i="4"/>
  <c r="J520" i="4"/>
  <c r="K520" i="4" s="1"/>
  <c r="K519" i="4"/>
  <c r="J519" i="4"/>
  <c r="K518" i="4"/>
  <c r="J518" i="4"/>
  <c r="K517" i="4"/>
  <c r="J517" i="4"/>
  <c r="J516" i="4"/>
  <c r="K516" i="4" s="1"/>
  <c r="K515" i="4"/>
  <c r="J515" i="4"/>
  <c r="J514" i="4"/>
  <c r="K514" i="4" s="1"/>
  <c r="K513" i="4"/>
  <c r="J513" i="4"/>
  <c r="K512" i="4"/>
  <c r="J512" i="4"/>
  <c r="K511" i="4"/>
  <c r="J511" i="4"/>
  <c r="J510" i="4"/>
  <c r="K510" i="4" s="1"/>
  <c r="K509" i="4"/>
  <c r="J509" i="4"/>
  <c r="J508" i="4"/>
  <c r="K508" i="4" s="1"/>
  <c r="K507" i="4"/>
  <c r="J507" i="4"/>
  <c r="K506" i="4"/>
  <c r="J506" i="4"/>
  <c r="K505" i="4"/>
  <c r="J505" i="4"/>
  <c r="J504" i="4"/>
  <c r="K504" i="4" s="1"/>
  <c r="K503" i="4"/>
  <c r="J503" i="4"/>
  <c r="J502" i="4"/>
  <c r="K502" i="4" s="1"/>
  <c r="K501" i="4"/>
  <c r="J501" i="4"/>
  <c r="K500" i="4"/>
  <c r="J500" i="4"/>
  <c r="K499" i="4"/>
  <c r="J499" i="4"/>
  <c r="J498" i="4"/>
  <c r="K498" i="4" s="1"/>
  <c r="K497" i="4"/>
  <c r="J497" i="4"/>
  <c r="J496" i="4"/>
  <c r="K496" i="4" s="1"/>
  <c r="K495" i="4"/>
  <c r="J495" i="4"/>
  <c r="K494" i="4"/>
  <c r="J494" i="4"/>
  <c r="K493" i="4"/>
  <c r="J493" i="4"/>
  <c r="J492" i="4"/>
  <c r="K492" i="4" s="1"/>
  <c r="K491" i="4"/>
  <c r="J491" i="4"/>
  <c r="J490" i="4"/>
  <c r="K490" i="4" s="1"/>
  <c r="K489" i="4"/>
  <c r="J489" i="4"/>
  <c r="K488" i="4"/>
  <c r="J488" i="4"/>
  <c r="K487" i="4"/>
  <c r="J487" i="4"/>
  <c r="J486" i="4"/>
  <c r="K486" i="4" s="1"/>
  <c r="K485" i="4"/>
  <c r="J485" i="4"/>
  <c r="J484" i="4"/>
  <c r="K484" i="4" s="1"/>
  <c r="K483" i="4"/>
  <c r="J483" i="4"/>
  <c r="K482" i="4"/>
  <c r="J482" i="4"/>
  <c r="K481" i="4"/>
  <c r="J481" i="4"/>
  <c r="J480" i="4"/>
  <c r="K480" i="4" s="1"/>
  <c r="K479" i="4"/>
  <c r="J479" i="4"/>
  <c r="J478" i="4"/>
  <c r="K478" i="4" s="1"/>
  <c r="K477" i="4"/>
  <c r="J477" i="4"/>
  <c r="K476" i="4"/>
  <c r="J476" i="4"/>
  <c r="K475" i="4"/>
  <c r="J475" i="4"/>
  <c r="J474" i="4"/>
  <c r="K474" i="4" s="1"/>
  <c r="K473" i="4"/>
  <c r="J473" i="4"/>
  <c r="J472" i="4"/>
  <c r="K472" i="4" s="1"/>
  <c r="K471" i="4"/>
  <c r="J471" i="4"/>
  <c r="K470" i="4"/>
  <c r="J470" i="4"/>
  <c r="K469" i="4"/>
  <c r="J469" i="4"/>
  <c r="J468" i="4"/>
  <c r="K468" i="4" s="1"/>
  <c r="K467" i="4"/>
  <c r="J467" i="4"/>
  <c r="J466" i="4"/>
  <c r="K466" i="4" s="1"/>
  <c r="K465" i="4"/>
  <c r="J465" i="4"/>
  <c r="K464" i="4"/>
  <c r="J464" i="4"/>
  <c r="K463" i="4"/>
  <c r="J463" i="4"/>
  <c r="J462" i="4"/>
  <c r="K462" i="4" s="1"/>
  <c r="K461" i="4"/>
  <c r="J461" i="4"/>
  <c r="J460" i="4"/>
  <c r="K460" i="4" s="1"/>
  <c r="K459" i="4"/>
  <c r="J459" i="4"/>
  <c r="K458" i="4"/>
  <c r="J458" i="4"/>
  <c r="K457" i="4"/>
  <c r="J457" i="4"/>
  <c r="J456" i="4"/>
  <c r="K456" i="4" s="1"/>
  <c r="K455" i="4"/>
  <c r="J455" i="4"/>
  <c r="J454" i="4"/>
  <c r="K454" i="4" s="1"/>
  <c r="K453" i="4"/>
  <c r="J453" i="4"/>
  <c r="K452" i="4"/>
  <c r="J452" i="4"/>
  <c r="K451" i="4"/>
  <c r="J451" i="4"/>
  <c r="J450" i="4"/>
  <c r="K450" i="4" s="1"/>
  <c r="K449" i="4"/>
  <c r="J449" i="4"/>
  <c r="J448" i="4"/>
  <c r="K448" i="4" s="1"/>
  <c r="K447" i="4"/>
  <c r="J447" i="4"/>
  <c r="K446" i="4"/>
  <c r="J446" i="4"/>
  <c r="K445" i="4"/>
  <c r="J445" i="4"/>
  <c r="J444" i="4"/>
  <c r="K444" i="4" s="1"/>
  <c r="K443" i="4"/>
  <c r="J443" i="4"/>
  <c r="J442" i="4"/>
  <c r="K442" i="4" s="1"/>
  <c r="K441" i="4"/>
  <c r="J441" i="4"/>
  <c r="K440" i="4"/>
  <c r="J440" i="4"/>
  <c r="K439" i="4"/>
  <c r="J439" i="4"/>
  <c r="J438" i="4"/>
  <c r="K438" i="4" s="1"/>
  <c r="K437" i="4"/>
  <c r="J437" i="4"/>
  <c r="J436" i="4"/>
  <c r="K436" i="4" s="1"/>
  <c r="K435" i="4"/>
  <c r="J435" i="4"/>
  <c r="K434" i="4"/>
  <c r="J434" i="4"/>
  <c r="K433" i="4"/>
  <c r="J433" i="4"/>
  <c r="J432" i="4"/>
  <c r="K432" i="4" s="1"/>
  <c r="K431" i="4"/>
  <c r="J431" i="4"/>
  <c r="J430" i="4"/>
  <c r="K430" i="4" s="1"/>
  <c r="K429" i="4"/>
  <c r="J429" i="4"/>
  <c r="K428" i="4"/>
  <c r="J428" i="4"/>
  <c r="K427" i="4"/>
  <c r="J427" i="4"/>
  <c r="J426" i="4"/>
  <c r="K426" i="4" s="1"/>
  <c r="K425" i="4"/>
  <c r="J425" i="4"/>
  <c r="J424" i="4"/>
  <c r="K424" i="4" s="1"/>
  <c r="K423" i="4"/>
  <c r="J423" i="4"/>
  <c r="K422" i="4"/>
  <c r="J422" i="4"/>
  <c r="K421" i="4"/>
  <c r="J421" i="4"/>
  <c r="J420" i="4"/>
  <c r="K420" i="4" s="1"/>
  <c r="K419" i="4"/>
  <c r="J419" i="4"/>
  <c r="J418" i="4"/>
  <c r="K418" i="4" s="1"/>
  <c r="K417" i="4"/>
  <c r="J417" i="4"/>
  <c r="K416" i="4"/>
  <c r="J416" i="4"/>
  <c r="K415" i="4"/>
  <c r="J415" i="4"/>
  <c r="J414" i="4"/>
  <c r="K414" i="4" s="1"/>
  <c r="K413" i="4"/>
  <c r="J413" i="4"/>
  <c r="J412" i="4"/>
  <c r="K412" i="4" s="1"/>
  <c r="K411" i="4"/>
  <c r="J411" i="4"/>
  <c r="K410" i="4"/>
  <c r="J410" i="4"/>
  <c r="K409" i="4"/>
  <c r="J409" i="4"/>
  <c r="J408" i="4"/>
  <c r="K408" i="4" s="1"/>
  <c r="K407" i="4"/>
  <c r="J407" i="4"/>
  <c r="J406" i="4"/>
  <c r="K406" i="4" s="1"/>
  <c r="K405" i="4"/>
  <c r="J405" i="4"/>
  <c r="K404" i="4"/>
  <c r="J404" i="4"/>
  <c r="K403" i="4"/>
  <c r="J403" i="4"/>
  <c r="J402" i="4"/>
  <c r="K402" i="4" s="1"/>
  <c r="K401" i="4"/>
  <c r="J401" i="4"/>
  <c r="J400" i="4"/>
  <c r="K400" i="4" s="1"/>
  <c r="K399" i="4"/>
  <c r="J399" i="4"/>
  <c r="K398" i="4"/>
  <c r="J398" i="4"/>
  <c r="K397" i="4"/>
  <c r="J397" i="4"/>
  <c r="J396" i="4"/>
  <c r="K396" i="4" s="1"/>
  <c r="K395" i="4"/>
  <c r="J395" i="4"/>
  <c r="J394" i="4"/>
  <c r="K394" i="4" s="1"/>
  <c r="K393" i="4"/>
  <c r="J393" i="4"/>
  <c r="K392" i="4"/>
  <c r="J392" i="4"/>
  <c r="K391" i="4"/>
  <c r="J391" i="4"/>
  <c r="J390" i="4"/>
  <c r="K390" i="4" s="1"/>
  <c r="K389" i="4"/>
  <c r="J389" i="4"/>
  <c r="J388" i="4"/>
  <c r="K388" i="4" s="1"/>
  <c r="K387" i="4"/>
  <c r="J387" i="4"/>
  <c r="K386" i="4"/>
  <c r="J386" i="4"/>
  <c r="K385" i="4"/>
  <c r="J385" i="4"/>
  <c r="J384" i="4"/>
  <c r="K384" i="4" s="1"/>
  <c r="K383" i="4"/>
  <c r="J383" i="4"/>
  <c r="J382" i="4"/>
  <c r="K382" i="4" s="1"/>
  <c r="K381" i="4"/>
  <c r="J381" i="4"/>
  <c r="K380" i="4"/>
  <c r="J380" i="4"/>
  <c r="K379" i="4"/>
  <c r="J379" i="4"/>
  <c r="J378" i="4"/>
  <c r="K378" i="4" s="1"/>
  <c r="K377" i="4"/>
  <c r="J377" i="4"/>
  <c r="J376" i="4"/>
  <c r="K376" i="4" s="1"/>
  <c r="K375" i="4"/>
  <c r="J375" i="4"/>
  <c r="K374" i="4"/>
  <c r="J374" i="4"/>
  <c r="K373" i="4"/>
  <c r="J373" i="4"/>
  <c r="J372" i="4"/>
  <c r="K372" i="4" s="1"/>
  <c r="K371" i="4"/>
  <c r="J371" i="4"/>
  <c r="J370" i="4"/>
  <c r="K370" i="4" s="1"/>
  <c r="K369" i="4"/>
  <c r="J369" i="4"/>
  <c r="K368" i="4"/>
  <c r="J368" i="4"/>
  <c r="K367" i="4"/>
  <c r="J367" i="4"/>
  <c r="J366" i="4"/>
  <c r="K366" i="4" s="1"/>
  <c r="K365" i="4"/>
  <c r="J365" i="4"/>
  <c r="J364" i="4"/>
  <c r="K364" i="4" s="1"/>
  <c r="K363" i="4"/>
  <c r="J363" i="4"/>
  <c r="K362" i="4"/>
  <c r="J362" i="4"/>
  <c r="K361" i="4"/>
  <c r="J361" i="4"/>
  <c r="J360" i="4"/>
  <c r="K360" i="4" s="1"/>
  <c r="K359" i="4"/>
  <c r="J359" i="4"/>
  <c r="J358" i="4"/>
  <c r="K358" i="4" s="1"/>
  <c r="K357" i="4"/>
  <c r="J357" i="4"/>
  <c r="K356" i="4"/>
  <c r="J356" i="4"/>
  <c r="K355" i="4"/>
  <c r="J355" i="4"/>
  <c r="J354" i="4"/>
  <c r="K354" i="4" s="1"/>
  <c r="K353" i="4"/>
  <c r="J353" i="4"/>
  <c r="J352" i="4"/>
  <c r="K352" i="4" s="1"/>
  <c r="K351" i="4"/>
  <c r="J351" i="4"/>
  <c r="K350" i="4"/>
  <c r="J350" i="4"/>
  <c r="K349" i="4"/>
  <c r="J349" i="4"/>
  <c r="J348" i="4"/>
  <c r="K348" i="4" s="1"/>
  <c r="K347" i="4"/>
  <c r="J347" i="4"/>
  <c r="J346" i="4"/>
  <c r="K346" i="4" s="1"/>
  <c r="K345" i="4"/>
  <c r="J345" i="4"/>
  <c r="K344" i="4"/>
  <c r="J344" i="4"/>
  <c r="K343" i="4"/>
  <c r="J343" i="4"/>
  <c r="J342" i="4"/>
  <c r="K342" i="4" s="1"/>
  <c r="K341" i="4"/>
  <c r="J341" i="4"/>
  <c r="J340" i="4"/>
  <c r="K340" i="4" s="1"/>
  <c r="K339" i="4"/>
  <c r="J339" i="4"/>
  <c r="K338" i="4"/>
  <c r="J338" i="4"/>
  <c r="K337" i="4"/>
  <c r="J337" i="4"/>
  <c r="J336" i="4"/>
  <c r="K336" i="4" s="1"/>
  <c r="K335" i="4"/>
  <c r="J335" i="4"/>
  <c r="J334" i="4"/>
  <c r="K334" i="4" s="1"/>
  <c r="K333" i="4"/>
  <c r="J333" i="4"/>
  <c r="K332" i="4"/>
  <c r="J332" i="4"/>
  <c r="K331" i="4"/>
  <c r="J331" i="4"/>
  <c r="J330" i="4"/>
  <c r="K330" i="4" s="1"/>
  <c r="K329" i="4"/>
  <c r="J329" i="4"/>
  <c r="J328" i="4"/>
  <c r="K328" i="4" s="1"/>
  <c r="K327" i="4"/>
  <c r="J327" i="4"/>
  <c r="K326" i="4"/>
  <c r="J326" i="4"/>
  <c r="K325" i="4"/>
  <c r="J325" i="4"/>
  <c r="J324" i="4"/>
  <c r="K324" i="4" s="1"/>
  <c r="K323" i="4"/>
  <c r="J323" i="4"/>
  <c r="J322" i="4"/>
  <c r="K322" i="4" s="1"/>
  <c r="K321" i="4"/>
  <c r="J321" i="4"/>
  <c r="K320" i="4"/>
  <c r="J320" i="4"/>
  <c r="K319" i="4"/>
  <c r="J319" i="4"/>
  <c r="J318" i="4"/>
  <c r="K318" i="4" s="1"/>
  <c r="K317" i="4"/>
  <c r="J317" i="4"/>
  <c r="J316" i="4"/>
  <c r="K316" i="4" s="1"/>
  <c r="K315" i="4"/>
  <c r="J315" i="4"/>
  <c r="K314" i="4"/>
  <c r="J314" i="4"/>
  <c r="K313" i="4"/>
  <c r="J313" i="4"/>
  <c r="J312" i="4"/>
  <c r="K312" i="4" s="1"/>
  <c r="K311" i="4"/>
  <c r="J311" i="4"/>
  <c r="J310" i="4"/>
  <c r="K310" i="4" s="1"/>
  <c r="K309" i="4"/>
  <c r="J309" i="4"/>
  <c r="K308" i="4"/>
  <c r="J308" i="4"/>
  <c r="K307" i="4"/>
  <c r="J307" i="4"/>
  <c r="J306" i="4"/>
  <c r="K306" i="4" s="1"/>
  <c r="K305" i="4"/>
  <c r="J305" i="4"/>
  <c r="J304" i="4"/>
  <c r="K304" i="4" s="1"/>
  <c r="K303" i="4"/>
  <c r="J303" i="4"/>
  <c r="K302" i="4"/>
  <c r="J302" i="4"/>
  <c r="K301" i="4"/>
  <c r="J301" i="4"/>
  <c r="J300" i="4"/>
  <c r="K300" i="4" s="1"/>
  <c r="K299" i="4"/>
  <c r="J299" i="4"/>
  <c r="J298" i="4"/>
  <c r="K298" i="4" s="1"/>
  <c r="K297" i="4"/>
  <c r="J297" i="4"/>
  <c r="K296" i="4"/>
  <c r="J296" i="4"/>
  <c r="K295" i="4"/>
  <c r="J295" i="4"/>
  <c r="J294" i="4"/>
  <c r="K294" i="4" s="1"/>
  <c r="K293" i="4"/>
  <c r="J293" i="4"/>
  <c r="J292" i="4"/>
  <c r="K292" i="4" s="1"/>
  <c r="K291" i="4"/>
  <c r="J291" i="4"/>
  <c r="K290" i="4"/>
  <c r="J290" i="4"/>
  <c r="K289" i="4"/>
  <c r="J289" i="4"/>
  <c r="J288" i="4"/>
  <c r="K288" i="4" s="1"/>
  <c r="K287" i="4"/>
  <c r="J287" i="4"/>
  <c r="J286" i="4"/>
  <c r="K286" i="4" s="1"/>
  <c r="K285" i="4"/>
  <c r="J285" i="4"/>
  <c r="K284" i="4"/>
  <c r="J284" i="4"/>
  <c r="K283" i="4"/>
  <c r="J283" i="4"/>
  <c r="J282" i="4"/>
  <c r="K282" i="4" s="1"/>
  <c r="K281" i="4"/>
  <c r="J281" i="4"/>
  <c r="J280" i="4"/>
  <c r="K280" i="4" s="1"/>
  <c r="K279" i="4"/>
  <c r="J279" i="4"/>
  <c r="K278" i="4"/>
  <c r="J278" i="4"/>
  <c r="K277" i="4"/>
  <c r="J277" i="4"/>
  <c r="J276" i="4"/>
  <c r="K276" i="4" s="1"/>
  <c r="K275" i="4"/>
  <c r="J275" i="4"/>
  <c r="J274" i="4"/>
  <c r="K274" i="4" s="1"/>
  <c r="K273" i="4"/>
  <c r="J273" i="4"/>
  <c r="K272" i="4"/>
  <c r="J272" i="4"/>
  <c r="K271" i="4"/>
  <c r="J271" i="4"/>
  <c r="J270" i="4"/>
  <c r="K270" i="4" s="1"/>
  <c r="K269" i="4"/>
  <c r="J269" i="4"/>
  <c r="J268" i="4"/>
  <c r="K268" i="4" s="1"/>
  <c r="K267" i="4"/>
  <c r="J267" i="4"/>
  <c r="K266" i="4"/>
  <c r="J266" i="4"/>
  <c r="K265" i="4"/>
  <c r="J265" i="4"/>
  <c r="J264" i="4"/>
  <c r="K264" i="4" s="1"/>
  <c r="K263" i="4"/>
  <c r="J263" i="4"/>
  <c r="J262" i="4"/>
  <c r="K262" i="4" s="1"/>
  <c r="K261" i="4"/>
  <c r="J261" i="4"/>
  <c r="K260" i="4"/>
  <c r="J260" i="4"/>
  <c r="K259" i="4"/>
  <c r="J259" i="4"/>
  <c r="J258" i="4"/>
  <c r="K258" i="4" s="1"/>
  <c r="K257" i="4"/>
  <c r="J257" i="4"/>
  <c r="J256" i="4"/>
  <c r="K256" i="4" s="1"/>
  <c r="K255" i="4"/>
  <c r="J255" i="4"/>
  <c r="K254" i="4"/>
  <c r="J254" i="4"/>
  <c r="K253" i="4"/>
  <c r="J253" i="4"/>
  <c r="J252" i="4"/>
  <c r="K252" i="4" s="1"/>
  <c r="K251" i="4"/>
  <c r="J251" i="4"/>
  <c r="J250" i="4"/>
  <c r="K250" i="4" s="1"/>
  <c r="K249" i="4"/>
  <c r="J249" i="4"/>
  <c r="K248" i="4"/>
  <c r="J248" i="4"/>
  <c r="K247" i="4"/>
  <c r="J247" i="4"/>
  <c r="J246" i="4"/>
  <c r="K246" i="4" s="1"/>
  <c r="K245" i="4"/>
  <c r="J245" i="4"/>
  <c r="J244" i="4"/>
  <c r="K244" i="4" s="1"/>
  <c r="K243" i="4"/>
  <c r="J243" i="4"/>
  <c r="K242" i="4"/>
  <c r="J242" i="4"/>
  <c r="K241" i="4"/>
  <c r="J241" i="4"/>
  <c r="J240" i="4"/>
  <c r="K240" i="4" s="1"/>
  <c r="K239" i="4"/>
  <c r="J239" i="4"/>
  <c r="J238" i="4"/>
  <c r="K238" i="4" s="1"/>
  <c r="K237" i="4"/>
  <c r="J237" i="4"/>
  <c r="K236" i="4"/>
  <c r="J236" i="4"/>
  <c r="K235" i="4"/>
  <c r="J235" i="4"/>
  <c r="J234" i="4"/>
  <c r="K234" i="4" s="1"/>
  <c r="K233" i="4"/>
  <c r="J233" i="4"/>
  <c r="J232" i="4"/>
  <c r="K232" i="4" s="1"/>
  <c r="K231" i="4"/>
  <c r="J231" i="4"/>
  <c r="K230" i="4"/>
  <c r="J230" i="4"/>
  <c r="K229" i="4"/>
  <c r="J229" i="4"/>
  <c r="J228" i="4"/>
  <c r="K228" i="4" s="1"/>
  <c r="K227" i="4"/>
  <c r="J227" i="4"/>
  <c r="J226" i="4"/>
  <c r="K226" i="4" s="1"/>
  <c r="K225" i="4"/>
  <c r="J225" i="4"/>
  <c r="K224" i="4"/>
  <c r="J224" i="4"/>
  <c r="K223" i="4"/>
  <c r="J223" i="4"/>
  <c r="J222" i="4"/>
  <c r="K222" i="4" s="1"/>
  <c r="K221" i="4"/>
  <c r="J221" i="4"/>
  <c r="J220" i="4"/>
  <c r="K220" i="4" s="1"/>
  <c r="K219" i="4"/>
  <c r="J219" i="4"/>
  <c r="K218" i="4"/>
  <c r="J218" i="4"/>
  <c r="K217" i="4"/>
  <c r="J217" i="4"/>
  <c r="J216" i="4"/>
  <c r="K216" i="4" s="1"/>
  <c r="K215" i="4"/>
  <c r="J215" i="4"/>
  <c r="J214" i="4"/>
  <c r="K214" i="4" s="1"/>
  <c r="K213" i="4"/>
  <c r="J213" i="4"/>
  <c r="K212" i="4"/>
  <c r="J212" i="4"/>
  <c r="K211" i="4"/>
  <c r="J211" i="4"/>
  <c r="J210" i="4"/>
  <c r="K210" i="4" s="1"/>
  <c r="K209" i="4"/>
  <c r="J209" i="4"/>
  <c r="J208" i="4"/>
  <c r="K208" i="4" s="1"/>
  <c r="K207" i="4"/>
  <c r="J207" i="4"/>
  <c r="K206" i="4"/>
  <c r="J206" i="4"/>
  <c r="K205" i="4"/>
  <c r="J205" i="4"/>
  <c r="J204" i="4"/>
  <c r="K204" i="4" s="1"/>
  <c r="K203" i="4"/>
  <c r="J203" i="4"/>
  <c r="J202" i="4"/>
  <c r="K202" i="4" s="1"/>
  <c r="K201" i="4"/>
  <c r="J201" i="4"/>
  <c r="K200" i="4"/>
  <c r="J200" i="4"/>
  <c r="K199" i="4"/>
  <c r="J199" i="4"/>
  <c r="J198" i="4"/>
  <c r="K198" i="4" s="1"/>
  <c r="K197" i="4"/>
  <c r="J197" i="4"/>
  <c r="J196" i="4"/>
  <c r="K196" i="4" s="1"/>
  <c r="K195" i="4"/>
  <c r="J195" i="4"/>
  <c r="K194" i="4"/>
  <c r="J194" i="4"/>
  <c r="K193" i="4"/>
  <c r="J193" i="4"/>
  <c r="J192" i="4"/>
  <c r="K192" i="4" s="1"/>
  <c r="K191" i="4"/>
  <c r="J191" i="4"/>
  <c r="J190" i="4"/>
  <c r="K190" i="4" s="1"/>
  <c r="K189" i="4"/>
  <c r="J189" i="4"/>
  <c r="K188" i="4"/>
  <c r="J188" i="4"/>
  <c r="K187" i="4"/>
  <c r="J187" i="4"/>
  <c r="J186" i="4"/>
  <c r="K186" i="4" s="1"/>
  <c r="K185" i="4"/>
  <c r="J185" i="4"/>
  <c r="J184" i="4"/>
  <c r="K184" i="4" s="1"/>
  <c r="K183" i="4"/>
  <c r="J183" i="4"/>
  <c r="K182" i="4"/>
  <c r="J182" i="4"/>
  <c r="K181" i="4"/>
  <c r="J181" i="4"/>
  <c r="J180" i="4"/>
  <c r="K180" i="4" s="1"/>
  <c r="K179" i="4"/>
  <c r="J179" i="4"/>
  <c r="J178" i="4"/>
  <c r="K178" i="4" s="1"/>
  <c r="K177" i="4"/>
  <c r="J177" i="4"/>
  <c r="K176" i="4"/>
  <c r="J176" i="4"/>
  <c r="K175" i="4"/>
  <c r="J175" i="4"/>
  <c r="J174" i="4"/>
  <c r="K174" i="4" s="1"/>
  <c r="K173" i="4"/>
  <c r="J173" i="4"/>
  <c r="J172" i="4"/>
  <c r="K172" i="4" s="1"/>
  <c r="K171" i="4"/>
  <c r="J171" i="4"/>
  <c r="K170" i="4"/>
  <c r="J170" i="4"/>
  <c r="K169" i="4"/>
  <c r="J169" i="4"/>
  <c r="J168" i="4"/>
  <c r="K168" i="4" s="1"/>
  <c r="K167" i="4"/>
  <c r="J167" i="4"/>
  <c r="J166" i="4"/>
  <c r="K166" i="4" s="1"/>
  <c r="K165" i="4"/>
  <c r="J165" i="4"/>
  <c r="K164" i="4"/>
  <c r="J164" i="4"/>
  <c r="K163" i="4"/>
  <c r="J163" i="4"/>
  <c r="J162" i="4"/>
  <c r="K162" i="4" s="1"/>
  <c r="K161" i="4"/>
  <c r="J161" i="4"/>
  <c r="J160" i="4"/>
  <c r="K160" i="4" s="1"/>
  <c r="K159" i="4"/>
  <c r="J159" i="4"/>
  <c r="K158" i="4"/>
  <c r="J158" i="4"/>
  <c r="K157" i="4"/>
  <c r="J157" i="4"/>
  <c r="J156" i="4"/>
  <c r="K156" i="4" s="1"/>
  <c r="K155" i="4"/>
  <c r="J155" i="4"/>
  <c r="J154" i="4"/>
  <c r="K154" i="4" s="1"/>
  <c r="K153" i="4"/>
  <c r="J153" i="4"/>
  <c r="K152" i="4"/>
  <c r="J152" i="4"/>
  <c r="K151" i="4"/>
  <c r="J151" i="4"/>
  <c r="J150" i="4"/>
  <c r="K150" i="4" s="1"/>
  <c r="K149" i="4"/>
  <c r="J149" i="4"/>
  <c r="J148" i="4"/>
  <c r="K148" i="4" s="1"/>
  <c r="K147" i="4"/>
  <c r="J147" i="4"/>
  <c r="K146" i="4"/>
  <c r="J146" i="4"/>
  <c r="K145" i="4"/>
  <c r="J145" i="4"/>
  <c r="J144" i="4"/>
  <c r="K144" i="4" s="1"/>
  <c r="K143" i="4"/>
  <c r="J143" i="4"/>
  <c r="J142" i="4"/>
  <c r="K142" i="4" s="1"/>
  <c r="K141" i="4"/>
  <c r="J141" i="4"/>
  <c r="K140" i="4"/>
  <c r="J140" i="4"/>
  <c r="K139" i="4"/>
  <c r="J139" i="4"/>
  <c r="J138" i="4"/>
  <c r="K138" i="4" s="1"/>
  <c r="K137" i="4"/>
  <c r="J137" i="4"/>
  <c r="J136" i="4"/>
  <c r="K136" i="4" s="1"/>
  <c r="K135" i="4"/>
  <c r="J135" i="4"/>
  <c r="K134" i="4"/>
  <c r="J134" i="4"/>
  <c r="K133" i="4"/>
  <c r="J133" i="4"/>
  <c r="J132" i="4"/>
  <c r="K132" i="4" s="1"/>
  <c r="K131" i="4"/>
  <c r="J131" i="4"/>
  <c r="J130" i="4"/>
  <c r="K130" i="4" s="1"/>
  <c r="K129" i="4"/>
  <c r="J129" i="4"/>
  <c r="K128" i="4"/>
  <c r="J128" i="4"/>
  <c r="K127" i="4"/>
  <c r="J127" i="4"/>
  <c r="J126" i="4"/>
  <c r="K126" i="4" s="1"/>
  <c r="K125" i="4"/>
  <c r="J125" i="4"/>
  <c r="J124" i="4"/>
  <c r="K124" i="4" s="1"/>
  <c r="K123" i="4"/>
  <c r="J123" i="4"/>
  <c r="K122" i="4"/>
  <c r="J122" i="4"/>
  <c r="K121" i="4"/>
  <c r="J121" i="4"/>
  <c r="J120" i="4"/>
  <c r="K120" i="4" s="1"/>
  <c r="K119" i="4"/>
  <c r="J119" i="4"/>
  <c r="J118" i="4"/>
  <c r="K118" i="4" s="1"/>
  <c r="K117" i="4"/>
  <c r="J117" i="4"/>
  <c r="K116" i="4"/>
  <c r="J116" i="4"/>
  <c r="K115" i="4"/>
  <c r="J115" i="4"/>
  <c r="J114" i="4"/>
  <c r="K114" i="4" s="1"/>
  <c r="K113" i="4"/>
  <c r="J113" i="4"/>
  <c r="J112" i="4"/>
  <c r="K112" i="4" s="1"/>
  <c r="K111" i="4"/>
  <c r="J111" i="4"/>
  <c r="K110" i="4"/>
  <c r="J110" i="4"/>
  <c r="K109" i="4"/>
  <c r="J109" i="4"/>
  <c r="J108" i="4"/>
  <c r="K108" i="4" s="1"/>
  <c r="K107" i="4"/>
  <c r="J107" i="4"/>
  <c r="J106" i="4"/>
  <c r="K106" i="4" s="1"/>
  <c r="K105" i="4"/>
  <c r="J105" i="4"/>
  <c r="K104" i="4"/>
  <c r="J104" i="4"/>
  <c r="K103" i="4"/>
  <c r="J103" i="4"/>
  <c r="J102" i="4"/>
  <c r="K102" i="4" s="1"/>
  <c r="K101" i="4"/>
  <c r="J101" i="4"/>
  <c r="J100" i="4"/>
  <c r="K100" i="4" s="1"/>
  <c r="K99" i="4"/>
  <c r="J99" i="4"/>
  <c r="K98" i="4"/>
  <c r="J98" i="4"/>
  <c r="K97" i="4"/>
  <c r="J97" i="4"/>
  <c r="J96" i="4"/>
  <c r="K96" i="4" s="1"/>
  <c r="K95" i="4"/>
  <c r="J95" i="4"/>
  <c r="J94" i="4"/>
  <c r="K94" i="4" s="1"/>
  <c r="K93" i="4"/>
  <c r="J93" i="4"/>
  <c r="K92" i="4"/>
  <c r="J92" i="4"/>
  <c r="K91" i="4"/>
  <c r="J91" i="4"/>
  <c r="J90" i="4"/>
  <c r="K90" i="4" s="1"/>
  <c r="K89" i="4"/>
  <c r="J89" i="4"/>
  <c r="J88" i="4"/>
  <c r="K88" i="4" s="1"/>
  <c r="K87" i="4"/>
  <c r="J87" i="4"/>
  <c r="K86" i="4"/>
  <c r="J86" i="4"/>
  <c r="K85" i="4"/>
  <c r="J85" i="4"/>
  <c r="J84" i="4"/>
  <c r="K84" i="4" s="1"/>
  <c r="K83" i="4"/>
  <c r="J83" i="4"/>
  <c r="J82" i="4"/>
  <c r="K82" i="4" s="1"/>
  <c r="K81" i="4"/>
  <c r="J81" i="4"/>
  <c r="K80" i="4"/>
  <c r="J80" i="4"/>
  <c r="K79" i="4"/>
  <c r="J79" i="4"/>
  <c r="J78" i="4"/>
  <c r="K78" i="4" s="1"/>
  <c r="K77" i="4"/>
  <c r="J77" i="4"/>
  <c r="J76" i="4"/>
  <c r="K76" i="4" s="1"/>
  <c r="K75" i="4"/>
  <c r="J75" i="4"/>
  <c r="K74" i="4"/>
  <c r="J74" i="4"/>
  <c r="K73" i="4"/>
  <c r="J73" i="4"/>
  <c r="J72" i="4"/>
  <c r="K72" i="4" s="1"/>
  <c r="K71" i="4"/>
  <c r="J71" i="4"/>
  <c r="J70" i="4"/>
  <c r="K70" i="4" s="1"/>
  <c r="K69" i="4"/>
  <c r="J69" i="4"/>
  <c r="K68" i="4"/>
  <c r="J68" i="4"/>
  <c r="K67" i="4"/>
  <c r="J67" i="4"/>
  <c r="J66" i="4"/>
  <c r="K66" i="4" s="1"/>
  <c r="K65" i="4"/>
  <c r="J65" i="4"/>
  <c r="J64" i="4"/>
  <c r="K64" i="4" s="1"/>
  <c r="K63" i="4"/>
  <c r="J63" i="4"/>
  <c r="K62" i="4"/>
  <c r="J62" i="4"/>
  <c r="K61" i="4"/>
  <c r="J61" i="4"/>
  <c r="J60" i="4"/>
  <c r="K60" i="4" s="1"/>
  <c r="K59" i="4"/>
  <c r="J59" i="4"/>
  <c r="J58" i="4"/>
  <c r="K58" i="4" s="1"/>
  <c r="K57" i="4"/>
  <c r="J57" i="4"/>
  <c r="K56" i="4"/>
  <c r="J56" i="4"/>
  <c r="K55" i="4"/>
  <c r="J55" i="4"/>
  <c r="J54" i="4"/>
  <c r="K54" i="4" s="1"/>
  <c r="K53" i="4"/>
  <c r="J53" i="4"/>
  <c r="J52" i="4"/>
  <c r="K52" i="4" s="1"/>
  <c r="K51" i="4"/>
  <c r="J51" i="4"/>
  <c r="K50" i="4"/>
  <c r="J50" i="4"/>
  <c r="K49" i="4"/>
  <c r="J49" i="4"/>
  <c r="J48" i="4"/>
  <c r="K48" i="4" s="1"/>
  <c r="K47" i="4"/>
  <c r="J47" i="4"/>
  <c r="J46" i="4"/>
  <c r="K46" i="4" s="1"/>
  <c r="K45" i="4"/>
  <c r="J45" i="4"/>
  <c r="K44" i="4"/>
  <c r="J44" i="4"/>
  <c r="K43" i="4"/>
  <c r="J43" i="4"/>
  <c r="J42" i="4"/>
  <c r="K42" i="4" s="1"/>
  <c r="K41" i="4"/>
  <c r="J41" i="4"/>
  <c r="J40" i="4"/>
  <c r="K40" i="4" s="1"/>
  <c r="K39" i="4"/>
  <c r="J39" i="4"/>
  <c r="K38" i="4"/>
  <c r="J38" i="4"/>
  <c r="K37" i="4"/>
  <c r="J37" i="4"/>
  <c r="J36" i="4"/>
  <c r="K36" i="4" s="1"/>
  <c r="K35" i="4"/>
  <c r="J35" i="4"/>
  <c r="J34" i="4"/>
  <c r="K34" i="4" s="1"/>
  <c r="K33" i="4"/>
  <c r="J33" i="4"/>
  <c r="K32" i="4"/>
  <c r="J32" i="4"/>
  <c r="K31" i="4"/>
  <c r="J31" i="4"/>
  <c r="J30" i="4"/>
  <c r="K30" i="4" s="1"/>
  <c r="K29" i="4"/>
  <c r="J29" i="4"/>
  <c r="J28" i="4"/>
  <c r="K28" i="4" s="1"/>
  <c r="K27" i="4"/>
  <c r="J27" i="4"/>
  <c r="K26" i="4"/>
  <c r="J26" i="4"/>
  <c r="K25" i="4"/>
  <c r="J25" i="4"/>
  <c r="J24" i="4"/>
  <c r="K24" i="4" s="1"/>
  <c r="K23" i="4"/>
  <c r="J23" i="4"/>
  <c r="J22" i="4"/>
  <c r="K22" i="4" s="1"/>
  <c r="K21" i="4"/>
  <c r="J21" i="4"/>
  <c r="K20" i="4"/>
  <c r="J20" i="4"/>
  <c r="K19" i="4"/>
  <c r="J19" i="4"/>
  <c r="J18" i="4"/>
  <c r="K18" i="4" s="1"/>
  <c r="K17" i="4"/>
  <c r="J17" i="4"/>
  <c r="J16" i="4"/>
  <c r="K16" i="4" s="1"/>
  <c r="K15" i="4"/>
  <c r="J15" i="4"/>
  <c r="K14" i="4"/>
  <c r="J14" i="4"/>
  <c r="K13" i="4"/>
  <c r="J13" i="4"/>
  <c r="J12" i="4"/>
  <c r="K12" i="4" s="1"/>
  <c r="K11" i="4"/>
  <c r="J11" i="4"/>
  <c r="J10" i="4"/>
  <c r="K10" i="4" s="1"/>
  <c r="K9" i="4"/>
  <c r="J9" i="4"/>
  <c r="K8" i="4"/>
  <c r="J8" i="4"/>
  <c r="K7" i="4"/>
  <c r="J7" i="4"/>
  <c r="J6" i="4"/>
  <c r="K6" i="4" s="1"/>
  <c r="K5" i="4"/>
  <c r="J5" i="4"/>
  <c r="J4" i="4"/>
  <c r="K4" i="4" s="1"/>
  <c r="K3" i="4"/>
  <c r="J3" i="4"/>
  <c r="J2" i="4"/>
  <c r="J2334" i="2"/>
  <c r="J2333" i="2"/>
  <c r="J2332" i="2"/>
  <c r="J2331" i="2"/>
  <c r="J2330" i="2"/>
  <c r="J2329" i="2"/>
  <c r="J2328" i="2"/>
  <c r="J2327" i="2"/>
  <c r="J2326" i="2"/>
  <c r="J2325" i="2"/>
  <c r="J2324" i="2"/>
  <c r="J2323" i="2"/>
  <c r="J2322" i="2"/>
  <c r="J2321" i="2"/>
  <c r="J2320" i="2"/>
  <c r="J2319" i="2"/>
  <c r="J2318" i="2"/>
  <c r="J2317" i="2"/>
  <c r="J2316" i="2"/>
  <c r="J2315" i="2"/>
  <c r="J2314" i="2"/>
  <c r="J2313" i="2"/>
  <c r="J2312" i="2"/>
  <c r="J2311" i="2"/>
  <c r="J2310" i="2"/>
  <c r="J2309" i="2"/>
  <c r="J2308" i="2"/>
  <c r="J2307" i="2"/>
  <c r="J2306" i="2"/>
  <c r="J2305" i="2"/>
  <c r="J2304" i="2"/>
  <c r="J2303" i="2"/>
  <c r="J2302" i="2"/>
  <c r="J2301" i="2"/>
  <c r="J2300" i="2"/>
  <c r="J2299" i="2"/>
  <c r="J2298" i="2"/>
  <c r="J2297" i="2"/>
  <c r="J2296" i="2"/>
  <c r="J2295" i="2"/>
  <c r="J2294" i="2"/>
  <c r="J2293" i="2"/>
  <c r="J2292" i="2"/>
  <c r="J2291" i="2"/>
  <c r="J2290" i="2"/>
  <c r="J2289" i="2"/>
  <c r="J2288" i="2"/>
  <c r="J2287" i="2"/>
  <c r="J2286" i="2"/>
  <c r="J2285" i="2"/>
  <c r="J2284" i="2"/>
  <c r="J2283" i="2"/>
  <c r="J2282" i="2"/>
  <c r="J2281" i="2"/>
  <c r="J2280" i="2"/>
  <c r="J2279" i="2"/>
  <c r="J2278" i="2"/>
  <c r="J2277" i="2"/>
  <c r="J2276" i="2"/>
  <c r="J2275" i="2"/>
  <c r="J2274" i="2"/>
  <c r="J2273" i="2"/>
  <c r="J2272" i="2"/>
  <c r="J2271" i="2"/>
  <c r="J2270" i="2"/>
  <c r="J2269" i="2"/>
  <c r="J2268" i="2"/>
  <c r="J2267" i="2"/>
  <c r="J2266" i="2"/>
  <c r="J2265" i="2"/>
  <c r="J2264" i="2"/>
  <c r="J2263" i="2"/>
  <c r="J2262" i="2"/>
  <c r="J2261" i="2"/>
  <c r="J2260" i="2"/>
  <c r="J2259" i="2"/>
  <c r="J2258" i="2"/>
  <c r="J2257" i="2"/>
  <c r="J2256" i="2"/>
  <c r="J2255" i="2"/>
  <c r="J2254" i="2"/>
  <c r="J2253" i="2"/>
  <c r="J2252" i="2"/>
  <c r="J2251" i="2"/>
  <c r="J2250" i="2"/>
  <c r="J2249" i="2"/>
  <c r="J2248" i="2"/>
  <c r="J2247" i="2"/>
  <c r="J2246" i="2"/>
  <c r="J2245" i="2"/>
  <c r="J2244" i="2"/>
  <c r="J2243" i="2"/>
  <c r="J2242" i="2"/>
  <c r="J2241" i="2"/>
  <c r="J2240" i="2"/>
  <c r="J2239" i="2"/>
  <c r="J2238" i="2"/>
  <c r="J2237" i="2"/>
  <c r="J2236" i="2"/>
  <c r="J2235" i="2"/>
  <c r="J2234" i="2"/>
  <c r="J2233" i="2"/>
  <c r="J2232" i="2"/>
  <c r="J2231" i="2"/>
  <c r="J2230" i="2"/>
  <c r="J2229" i="2"/>
  <c r="J2228" i="2"/>
  <c r="J2227" i="2"/>
  <c r="J2226" i="2"/>
  <c r="J2225" i="2"/>
  <c r="J2224" i="2"/>
  <c r="J2223" i="2"/>
  <c r="J2222" i="2"/>
  <c r="J2221" i="2"/>
  <c r="J2220" i="2"/>
  <c r="J2219" i="2"/>
  <c r="J2218" i="2"/>
  <c r="J2217" i="2"/>
  <c r="J2216" i="2"/>
  <c r="J2215" i="2"/>
  <c r="J2214" i="2"/>
  <c r="J2213" i="2"/>
  <c r="J2212" i="2"/>
  <c r="J2211" i="2"/>
  <c r="J2210" i="2"/>
  <c r="J2209" i="2"/>
  <c r="J2208" i="2"/>
  <c r="J2207" i="2"/>
  <c r="J2206" i="2"/>
  <c r="J2205" i="2"/>
  <c r="J2204" i="2"/>
  <c r="J2203" i="2"/>
  <c r="J2202" i="2"/>
  <c r="J2201" i="2"/>
  <c r="J2200" i="2"/>
  <c r="J2199" i="2"/>
  <c r="J2198" i="2"/>
  <c r="J2197" i="2"/>
  <c r="J2196" i="2"/>
  <c r="J2195" i="2"/>
  <c r="J2194" i="2"/>
  <c r="J2193" i="2"/>
  <c r="J2192" i="2"/>
  <c r="J2191" i="2"/>
  <c r="J2190" i="2"/>
  <c r="J2189" i="2"/>
  <c r="J2188" i="2"/>
  <c r="J2187" i="2"/>
  <c r="J2186" i="2"/>
  <c r="J2185" i="2"/>
  <c r="J2184" i="2"/>
  <c r="J2183" i="2"/>
  <c r="J2182" i="2"/>
  <c r="J2181" i="2"/>
  <c r="J2180" i="2"/>
  <c r="J2179" i="2"/>
  <c r="J2178" i="2"/>
  <c r="J2177" i="2"/>
  <c r="J2176" i="2"/>
  <c r="J2175" i="2"/>
  <c r="J2174" i="2"/>
  <c r="J2173" i="2"/>
  <c r="J2172" i="2"/>
  <c r="J2171" i="2"/>
  <c r="J2170" i="2"/>
  <c r="J2169" i="2"/>
  <c r="J2168" i="2"/>
  <c r="J2167" i="2"/>
  <c r="J2166" i="2"/>
  <c r="J2165" i="2"/>
  <c r="J2164" i="2"/>
  <c r="J2163" i="2"/>
  <c r="J2162" i="2"/>
  <c r="J2161" i="2"/>
  <c r="J2160" i="2"/>
  <c r="J2159" i="2"/>
  <c r="J2158" i="2"/>
  <c r="J2157" i="2"/>
  <c r="J2156" i="2"/>
  <c r="J2155" i="2"/>
  <c r="J2154" i="2"/>
  <c r="J2153" i="2"/>
  <c r="J2152" i="2"/>
  <c r="J2151" i="2"/>
  <c r="J2150" i="2"/>
  <c r="J2149" i="2"/>
  <c r="J2148" i="2"/>
  <c r="J2147" i="2"/>
  <c r="J2146" i="2"/>
  <c r="J2145" i="2"/>
  <c r="J2144" i="2"/>
  <c r="J2143" i="2"/>
  <c r="J2142" i="2"/>
  <c r="J2141" i="2"/>
  <c r="J2140" i="2"/>
  <c r="J2139" i="2"/>
  <c r="J2138" i="2"/>
  <c r="J2137" i="2"/>
  <c r="J2136" i="2"/>
  <c r="J2135" i="2"/>
  <c r="J2134" i="2"/>
  <c r="J2133" i="2"/>
  <c r="J2132" i="2"/>
  <c r="J2131" i="2"/>
  <c r="J2130" i="2"/>
  <c r="J2129" i="2"/>
  <c r="J2128" i="2"/>
  <c r="J2127" i="2"/>
  <c r="J2126" i="2"/>
  <c r="J2125" i="2"/>
  <c r="J2124" i="2"/>
  <c r="J2123" i="2"/>
  <c r="J2122" i="2"/>
  <c r="J2121" i="2"/>
  <c r="J2120" i="2"/>
  <c r="J2119" i="2"/>
  <c r="J2118" i="2"/>
  <c r="J2117" i="2"/>
  <c r="J2116" i="2"/>
  <c r="J2115" i="2"/>
  <c r="J2114" i="2"/>
  <c r="J2113" i="2"/>
  <c r="J2112" i="2"/>
  <c r="J2111" i="2"/>
  <c r="J2110" i="2"/>
  <c r="J2109" i="2"/>
  <c r="J2108" i="2"/>
  <c r="J2107" i="2"/>
  <c r="J2106" i="2"/>
  <c r="J2105" i="2"/>
  <c r="J2104" i="2"/>
  <c r="J2103" i="2"/>
  <c r="J2102" i="2"/>
  <c r="J2101" i="2"/>
  <c r="J2100" i="2"/>
  <c r="J2099" i="2"/>
  <c r="J2098" i="2"/>
  <c r="J2097" i="2"/>
  <c r="J2096" i="2"/>
  <c r="J2095" i="2"/>
  <c r="J2094" i="2"/>
  <c r="J2093" i="2"/>
  <c r="J2092" i="2"/>
  <c r="J2091" i="2"/>
  <c r="J2090" i="2"/>
  <c r="J2089" i="2"/>
  <c r="J2088" i="2"/>
  <c r="J2087" i="2"/>
  <c r="J2086" i="2"/>
  <c r="J2085" i="2"/>
  <c r="J2084" i="2"/>
  <c r="J2083" i="2"/>
  <c r="J2082" i="2"/>
  <c r="J2081" i="2"/>
  <c r="J2080" i="2"/>
  <c r="J2079" i="2"/>
  <c r="J2078" i="2"/>
  <c r="J2077" i="2"/>
  <c r="J2076" i="2"/>
  <c r="J2075" i="2"/>
  <c r="J2074" i="2"/>
  <c r="J2073" i="2"/>
  <c r="J2072" i="2"/>
  <c r="J2071" i="2"/>
  <c r="J2070" i="2"/>
  <c r="J2069" i="2"/>
  <c r="J2068" i="2"/>
  <c r="J2067" i="2"/>
  <c r="J2066" i="2"/>
  <c r="J2065" i="2"/>
  <c r="J2064" i="2"/>
  <c r="J2063" i="2"/>
  <c r="J2062" i="2"/>
  <c r="J2061" i="2"/>
  <c r="J2060" i="2"/>
  <c r="J2059" i="2"/>
  <c r="J2058" i="2"/>
  <c r="J2057" i="2"/>
  <c r="J2056" i="2"/>
  <c r="J2055" i="2"/>
  <c r="J2054" i="2"/>
  <c r="J2053" i="2"/>
  <c r="J2052" i="2"/>
  <c r="J2051" i="2"/>
  <c r="J2050" i="2"/>
  <c r="J2049" i="2"/>
  <c r="J2048" i="2"/>
  <c r="J2047" i="2"/>
  <c r="J2046" i="2"/>
  <c r="J2045" i="2"/>
  <c r="J2044" i="2"/>
  <c r="J2043" i="2"/>
  <c r="J2042" i="2"/>
  <c r="J2041" i="2"/>
  <c r="J2040" i="2"/>
  <c r="J2039" i="2"/>
  <c r="J2038" i="2"/>
  <c r="J2037" i="2"/>
  <c r="J2036" i="2"/>
  <c r="J2035" i="2"/>
  <c r="J2034" i="2"/>
  <c r="J2033" i="2"/>
  <c r="J2032" i="2"/>
  <c r="J2031" i="2"/>
  <c r="J2030" i="2"/>
  <c r="J2029" i="2"/>
  <c r="J2028" i="2"/>
  <c r="J2027" i="2"/>
  <c r="J2026" i="2"/>
  <c r="J2025" i="2"/>
  <c r="J2024" i="2"/>
  <c r="J2023" i="2"/>
  <c r="J2022" i="2"/>
  <c r="J2021" i="2"/>
  <c r="J2020" i="2"/>
  <c r="J2019" i="2"/>
  <c r="J2018" i="2"/>
  <c r="J2017" i="2"/>
  <c r="J2016" i="2"/>
  <c r="J2015" i="2"/>
  <c r="J2014" i="2"/>
  <c r="J2013" i="2"/>
  <c r="J2012" i="2"/>
  <c r="J2011" i="2"/>
  <c r="J2010" i="2"/>
  <c r="J2009" i="2"/>
  <c r="J2008" i="2"/>
  <c r="J2007" i="2"/>
  <c r="J2006" i="2"/>
  <c r="J2005" i="2"/>
  <c r="J2004" i="2"/>
  <c r="J2003" i="2"/>
  <c r="J2002" i="2"/>
  <c r="J2001" i="2"/>
  <c r="J2000" i="2"/>
  <c r="J1999" i="2"/>
  <c r="J1998" i="2"/>
  <c r="J1997" i="2"/>
  <c r="J1996" i="2"/>
  <c r="J1995" i="2"/>
  <c r="J1994" i="2"/>
  <c r="J1993" i="2"/>
  <c r="J1992" i="2"/>
  <c r="J1991" i="2"/>
  <c r="J1990" i="2"/>
  <c r="J1989" i="2"/>
  <c r="J1988" i="2"/>
  <c r="J1987" i="2"/>
  <c r="J1986" i="2"/>
  <c r="J1985" i="2"/>
  <c r="J1984" i="2"/>
  <c r="J1983" i="2"/>
  <c r="J1982" i="2"/>
  <c r="J1981" i="2"/>
  <c r="J1980" i="2"/>
  <c r="J1979" i="2"/>
  <c r="J1978" i="2"/>
  <c r="J1977" i="2"/>
  <c r="J1976" i="2"/>
  <c r="J1975" i="2"/>
  <c r="J1974" i="2"/>
  <c r="J1973" i="2"/>
  <c r="J1972" i="2"/>
  <c r="J1971" i="2"/>
  <c r="J1970" i="2"/>
  <c r="J1969" i="2"/>
  <c r="J1968" i="2"/>
  <c r="J1967" i="2"/>
  <c r="J1966" i="2"/>
  <c r="J1965" i="2"/>
  <c r="J1964" i="2"/>
  <c r="J1963" i="2"/>
  <c r="J1962" i="2"/>
  <c r="J1961" i="2"/>
  <c r="J1960" i="2"/>
  <c r="J1959" i="2"/>
  <c r="J1958" i="2"/>
  <c r="J1957" i="2"/>
  <c r="J1956" i="2"/>
  <c r="J1955" i="2"/>
  <c r="J1954" i="2"/>
  <c r="J1953" i="2"/>
  <c r="J1952" i="2"/>
  <c r="J1951" i="2"/>
  <c r="J1950" i="2"/>
  <c r="J1949" i="2"/>
  <c r="J1948" i="2"/>
  <c r="J1947" i="2"/>
  <c r="J1946" i="2"/>
  <c r="J1945" i="2"/>
  <c r="J1944" i="2"/>
  <c r="J1943" i="2"/>
  <c r="J1942" i="2"/>
  <c r="J1941" i="2"/>
  <c r="J1940" i="2"/>
  <c r="J1939" i="2"/>
  <c r="J1938" i="2"/>
  <c r="J1937" i="2"/>
  <c r="J1936" i="2"/>
  <c r="J1935" i="2"/>
  <c r="J1934" i="2"/>
  <c r="J1933" i="2"/>
  <c r="J1932" i="2"/>
  <c r="J1931" i="2"/>
  <c r="J1930" i="2"/>
  <c r="J1929" i="2"/>
  <c r="J1928" i="2"/>
  <c r="J1927" i="2"/>
  <c r="J1926" i="2"/>
  <c r="J1925" i="2"/>
  <c r="J1924" i="2"/>
  <c r="J1923" i="2"/>
  <c r="J1922" i="2"/>
  <c r="J1921" i="2"/>
  <c r="J1920" i="2"/>
  <c r="J1919" i="2"/>
  <c r="J1918" i="2"/>
  <c r="J1917" i="2"/>
  <c r="J1916" i="2"/>
  <c r="J1915" i="2"/>
  <c r="J1914" i="2"/>
  <c r="J1913" i="2"/>
  <c r="J1912" i="2"/>
  <c r="J1911" i="2"/>
  <c r="J1910" i="2"/>
  <c r="J1909" i="2"/>
  <c r="J1908" i="2"/>
  <c r="J1907" i="2"/>
  <c r="J1906" i="2"/>
  <c r="J1905" i="2"/>
  <c r="J1904" i="2"/>
  <c r="J1903" i="2"/>
  <c r="J1902" i="2"/>
  <c r="J1901" i="2"/>
  <c r="J1900" i="2"/>
  <c r="J1899" i="2"/>
  <c r="J1898" i="2"/>
  <c r="J1897" i="2"/>
  <c r="J1896" i="2"/>
  <c r="J1895" i="2"/>
  <c r="J1894" i="2"/>
  <c r="J1893" i="2"/>
  <c r="J1892" i="2"/>
  <c r="J1891" i="2"/>
  <c r="J1890" i="2"/>
  <c r="J1889" i="2"/>
  <c r="J1888" i="2"/>
  <c r="J1887" i="2"/>
  <c r="J1886" i="2"/>
  <c r="J1885" i="2"/>
  <c r="J1884" i="2"/>
  <c r="J1883" i="2"/>
  <c r="J1882" i="2"/>
  <c r="J1881" i="2"/>
  <c r="J1880" i="2"/>
  <c r="J1879" i="2"/>
  <c r="J1878" i="2"/>
  <c r="J1877" i="2"/>
  <c r="J1876" i="2"/>
  <c r="J1875" i="2"/>
  <c r="J1874" i="2"/>
  <c r="J1873" i="2"/>
  <c r="J1872" i="2"/>
  <c r="J1871" i="2"/>
  <c r="J1870" i="2"/>
  <c r="J1869" i="2"/>
  <c r="J1868" i="2"/>
  <c r="J1867" i="2"/>
  <c r="J1866" i="2"/>
  <c r="J1865" i="2"/>
  <c r="J1864" i="2"/>
  <c r="J1863" i="2"/>
  <c r="J1862" i="2"/>
  <c r="J1861" i="2"/>
  <c r="J1860" i="2"/>
  <c r="J1859" i="2"/>
  <c r="J1858" i="2"/>
  <c r="J1857" i="2"/>
  <c r="J1856" i="2"/>
  <c r="J1855" i="2"/>
  <c r="J1854" i="2"/>
  <c r="J1853" i="2"/>
  <c r="J1852" i="2"/>
  <c r="J1851" i="2"/>
  <c r="J1850" i="2"/>
  <c r="J1849" i="2"/>
  <c r="J1848" i="2"/>
  <c r="J1847" i="2"/>
  <c r="J1846" i="2"/>
  <c r="J1845" i="2"/>
  <c r="J1844" i="2"/>
  <c r="J1843" i="2"/>
  <c r="J1842" i="2"/>
  <c r="J1841" i="2"/>
  <c r="J1840" i="2"/>
  <c r="J1839" i="2"/>
  <c r="J1838" i="2"/>
  <c r="J1837" i="2"/>
  <c r="J1836" i="2"/>
  <c r="J1835" i="2"/>
  <c r="J1834" i="2"/>
  <c r="J1833" i="2"/>
  <c r="J1832" i="2"/>
  <c r="J1831" i="2"/>
  <c r="J1830" i="2"/>
  <c r="J1829" i="2"/>
  <c r="J1828" i="2"/>
  <c r="J1827" i="2"/>
  <c r="J1826" i="2"/>
  <c r="J1825" i="2"/>
  <c r="J1824" i="2"/>
  <c r="J1823" i="2"/>
  <c r="J1822" i="2"/>
  <c r="J1821" i="2"/>
  <c r="J1820" i="2"/>
  <c r="J1819" i="2"/>
  <c r="J1818" i="2"/>
  <c r="J1817" i="2"/>
  <c r="J1816" i="2"/>
  <c r="J1815" i="2"/>
  <c r="J1814" i="2"/>
  <c r="J1813" i="2"/>
  <c r="J1812" i="2"/>
  <c r="J1811" i="2"/>
  <c r="J1810" i="2"/>
  <c r="J1809" i="2"/>
  <c r="J1808" i="2"/>
  <c r="J1807" i="2"/>
  <c r="J1806" i="2"/>
  <c r="J1805" i="2"/>
  <c r="J1804" i="2"/>
  <c r="J1803" i="2"/>
  <c r="J1802" i="2"/>
  <c r="J1801" i="2"/>
  <c r="J1800" i="2"/>
  <c r="J1799" i="2"/>
  <c r="J1798" i="2"/>
  <c r="J1797" i="2"/>
  <c r="J1796" i="2"/>
  <c r="J1795" i="2"/>
  <c r="J1794" i="2"/>
  <c r="J1793" i="2"/>
  <c r="J1792" i="2"/>
  <c r="J1791" i="2"/>
  <c r="J1790" i="2"/>
  <c r="J1789" i="2"/>
  <c r="J1788" i="2"/>
  <c r="J1787" i="2"/>
  <c r="J1786" i="2"/>
  <c r="J1785" i="2"/>
  <c r="J1784" i="2"/>
  <c r="J1783" i="2"/>
  <c r="J1782" i="2"/>
  <c r="J1781" i="2"/>
  <c r="J1780" i="2"/>
  <c r="J1779" i="2"/>
  <c r="J1778" i="2"/>
  <c r="J1777" i="2"/>
  <c r="J1776" i="2"/>
  <c r="J1775" i="2"/>
  <c r="J1774" i="2"/>
  <c r="J1773" i="2"/>
  <c r="J1772" i="2"/>
  <c r="J1771" i="2"/>
  <c r="J1770" i="2"/>
  <c r="J1769" i="2"/>
  <c r="J1768" i="2"/>
  <c r="J1767" i="2"/>
  <c r="J1766" i="2"/>
  <c r="J1765" i="2"/>
  <c r="J1764" i="2"/>
  <c r="J1763" i="2"/>
  <c r="J1762" i="2"/>
  <c r="J1761" i="2"/>
  <c r="J1760" i="2"/>
  <c r="J1759" i="2"/>
  <c r="J1758" i="2"/>
  <c r="J1757" i="2"/>
  <c r="J1756" i="2"/>
  <c r="J1755" i="2"/>
  <c r="J1754" i="2"/>
  <c r="J1753" i="2"/>
  <c r="J1752" i="2"/>
  <c r="J1751" i="2"/>
  <c r="J1750" i="2"/>
  <c r="J1749" i="2"/>
  <c r="J1748" i="2"/>
  <c r="J1747" i="2"/>
  <c r="J1746" i="2"/>
  <c r="J1745" i="2"/>
  <c r="J1744" i="2"/>
  <c r="J1743" i="2"/>
  <c r="J1742" i="2"/>
  <c r="J1741" i="2"/>
  <c r="J1740" i="2"/>
  <c r="J1739" i="2"/>
  <c r="J1738" i="2"/>
  <c r="J1737" i="2"/>
  <c r="J1736" i="2"/>
  <c r="J1735" i="2"/>
  <c r="J1734" i="2"/>
  <c r="J1733" i="2"/>
  <c r="J1732" i="2"/>
  <c r="J1731" i="2"/>
  <c r="J1730" i="2"/>
  <c r="J1729" i="2"/>
  <c r="J1728" i="2"/>
  <c r="J1727" i="2"/>
  <c r="J1726" i="2"/>
  <c r="J1725" i="2"/>
  <c r="J1724" i="2"/>
  <c r="J1723" i="2"/>
  <c r="J1722" i="2"/>
  <c r="J1721" i="2"/>
  <c r="J1720" i="2"/>
  <c r="J1719" i="2"/>
  <c r="J1718" i="2"/>
  <c r="J1717" i="2"/>
  <c r="J1716" i="2"/>
  <c r="J1715" i="2"/>
  <c r="J1714" i="2"/>
  <c r="J1713" i="2"/>
  <c r="J1712" i="2"/>
  <c r="J1711" i="2"/>
  <c r="J1710" i="2"/>
  <c r="J1709" i="2"/>
  <c r="J1708" i="2"/>
  <c r="J1707" i="2"/>
  <c r="J1706" i="2"/>
  <c r="J1705" i="2"/>
  <c r="J1704" i="2"/>
  <c r="J1703" i="2"/>
  <c r="J1702" i="2"/>
  <c r="J1701" i="2"/>
  <c r="J1700" i="2"/>
  <c r="J1699" i="2"/>
  <c r="J1698" i="2"/>
  <c r="J1697" i="2"/>
  <c r="J1696" i="2"/>
  <c r="J1695" i="2"/>
  <c r="J1694" i="2"/>
  <c r="J1693" i="2"/>
  <c r="J1692" i="2"/>
  <c r="J1691" i="2"/>
  <c r="J1690" i="2"/>
  <c r="J1689" i="2"/>
  <c r="J1688" i="2"/>
  <c r="J1687" i="2"/>
  <c r="J1686" i="2"/>
  <c r="J1685" i="2"/>
  <c r="J1684" i="2"/>
  <c r="J1683" i="2"/>
  <c r="J1682" i="2"/>
  <c r="J1681" i="2"/>
  <c r="J1680" i="2"/>
  <c r="J1679" i="2"/>
  <c r="J1678" i="2"/>
  <c r="J1677" i="2"/>
  <c r="J1676" i="2"/>
  <c r="J1675" i="2"/>
  <c r="J1674" i="2"/>
  <c r="J1673" i="2"/>
  <c r="J1672" i="2"/>
  <c r="J1671" i="2"/>
  <c r="J1670" i="2"/>
  <c r="J1669" i="2"/>
  <c r="J1668" i="2"/>
  <c r="J1667" i="2"/>
  <c r="J1666" i="2"/>
  <c r="J1665" i="2"/>
  <c r="J1664" i="2"/>
  <c r="J1663" i="2"/>
  <c r="J1662" i="2"/>
  <c r="J1661" i="2"/>
  <c r="J1660" i="2"/>
  <c r="J1659" i="2"/>
  <c r="J1658" i="2"/>
  <c r="J1657" i="2"/>
  <c r="J1656" i="2"/>
  <c r="J1655" i="2"/>
  <c r="J1654" i="2"/>
  <c r="J1653" i="2"/>
  <c r="J1652" i="2"/>
  <c r="J1651" i="2"/>
  <c r="J1650" i="2"/>
  <c r="J1649" i="2"/>
  <c r="J1648" i="2"/>
  <c r="J1647" i="2"/>
  <c r="J1646" i="2"/>
  <c r="J1645" i="2"/>
  <c r="J1644" i="2"/>
  <c r="J1643" i="2"/>
  <c r="J1642" i="2"/>
  <c r="J1641" i="2"/>
  <c r="J1640" i="2"/>
  <c r="J1639" i="2"/>
  <c r="J1638" i="2"/>
  <c r="J1637" i="2"/>
  <c r="J1636" i="2"/>
  <c r="J1635" i="2"/>
  <c r="J1634" i="2"/>
  <c r="J1633" i="2"/>
  <c r="J1632" i="2"/>
  <c r="J1631" i="2"/>
  <c r="J1630" i="2"/>
  <c r="J1629" i="2"/>
  <c r="J1628" i="2"/>
  <c r="J1627" i="2"/>
  <c r="J1626" i="2"/>
  <c r="J1625" i="2"/>
  <c r="J1624" i="2"/>
  <c r="J1623" i="2"/>
  <c r="J1622" i="2"/>
  <c r="J1621" i="2"/>
  <c r="J1620" i="2"/>
  <c r="J1619" i="2"/>
  <c r="J1618" i="2"/>
  <c r="J1617" i="2"/>
  <c r="J1616" i="2"/>
  <c r="J1615" i="2"/>
  <c r="J1614" i="2"/>
  <c r="J1613" i="2"/>
  <c r="J1612" i="2"/>
  <c r="J1611" i="2"/>
  <c r="J1610" i="2"/>
  <c r="J1609" i="2"/>
  <c r="J1608" i="2"/>
  <c r="J1607" i="2"/>
  <c r="J1606" i="2"/>
  <c r="J1605" i="2"/>
  <c r="J1604" i="2"/>
  <c r="J1603" i="2"/>
  <c r="J1602" i="2"/>
  <c r="J1601" i="2"/>
  <c r="J1600" i="2"/>
  <c r="J1599" i="2"/>
  <c r="J1598" i="2"/>
  <c r="J1597" i="2"/>
  <c r="J1596" i="2"/>
  <c r="J1595" i="2"/>
  <c r="J1594" i="2"/>
  <c r="J1593" i="2"/>
  <c r="J1592" i="2"/>
  <c r="J1591" i="2"/>
  <c r="J1590" i="2"/>
  <c r="J1589" i="2"/>
  <c r="J1588" i="2"/>
  <c r="J1587" i="2"/>
  <c r="J1586" i="2"/>
  <c r="J1585" i="2"/>
  <c r="J1584" i="2"/>
  <c r="J1583" i="2"/>
  <c r="J1582" i="2"/>
  <c r="J1581" i="2"/>
  <c r="J1580" i="2"/>
  <c r="J1579" i="2"/>
  <c r="J1578" i="2"/>
  <c r="J1577" i="2"/>
  <c r="J1576" i="2"/>
  <c r="J1575" i="2"/>
  <c r="J1574" i="2"/>
  <c r="J1573" i="2"/>
  <c r="J1572" i="2"/>
  <c r="J1571" i="2"/>
  <c r="J1570" i="2"/>
  <c r="J1569" i="2"/>
  <c r="J1568" i="2"/>
  <c r="J1567" i="2"/>
  <c r="J1566" i="2"/>
  <c r="J1565" i="2"/>
  <c r="J1564" i="2"/>
  <c r="J1563" i="2"/>
  <c r="J1562" i="2"/>
  <c r="J1561" i="2"/>
  <c r="J1560" i="2"/>
  <c r="J1559" i="2"/>
  <c r="J1558" i="2"/>
  <c r="J1557" i="2"/>
  <c r="J1556" i="2"/>
  <c r="J1555" i="2"/>
  <c r="J1554" i="2"/>
  <c r="J1553" i="2"/>
  <c r="J1552" i="2"/>
  <c r="J1551" i="2"/>
  <c r="J1550" i="2"/>
  <c r="J1549" i="2"/>
  <c r="J1548" i="2"/>
  <c r="J1547" i="2"/>
  <c r="J1546" i="2"/>
  <c r="J1545" i="2"/>
  <c r="J1544" i="2"/>
  <c r="J1543" i="2"/>
  <c r="J1542" i="2"/>
  <c r="J1541" i="2"/>
  <c r="J1540" i="2"/>
  <c r="J1539" i="2"/>
  <c r="J1538" i="2"/>
  <c r="J1537" i="2"/>
  <c r="J1536" i="2"/>
  <c r="J1535" i="2"/>
  <c r="J1534" i="2"/>
  <c r="J1533" i="2"/>
  <c r="J1532" i="2"/>
  <c r="J1531" i="2"/>
  <c r="J1530" i="2"/>
  <c r="J1529" i="2"/>
  <c r="J1528" i="2"/>
  <c r="J1527" i="2"/>
  <c r="J1526" i="2"/>
  <c r="J1525" i="2"/>
  <c r="J1524" i="2"/>
  <c r="J1523" i="2"/>
  <c r="J1522" i="2"/>
  <c r="J1521" i="2"/>
  <c r="J1520" i="2"/>
  <c r="J1519" i="2"/>
  <c r="J1518" i="2"/>
  <c r="J1517" i="2"/>
  <c r="J1516" i="2"/>
  <c r="J1515" i="2"/>
  <c r="J1514" i="2"/>
  <c r="J1513" i="2"/>
  <c r="J1512" i="2"/>
  <c r="J1511" i="2"/>
  <c r="J1510" i="2"/>
  <c r="J1509" i="2"/>
  <c r="J1508" i="2"/>
  <c r="J1507" i="2"/>
  <c r="J1506" i="2"/>
  <c r="J1505" i="2"/>
  <c r="J1504" i="2"/>
  <c r="J1503" i="2"/>
  <c r="J1502" i="2"/>
  <c r="J1501" i="2"/>
  <c r="J1500" i="2"/>
  <c r="J1499" i="2"/>
  <c r="J1498" i="2"/>
  <c r="J1497" i="2"/>
  <c r="J1496" i="2"/>
  <c r="J1495" i="2"/>
  <c r="J1494" i="2"/>
  <c r="J1493" i="2"/>
  <c r="J1492" i="2"/>
  <c r="J1491" i="2"/>
  <c r="J1490" i="2"/>
  <c r="J1489" i="2"/>
  <c r="J1488" i="2"/>
  <c r="J1487" i="2"/>
  <c r="J1486" i="2"/>
  <c r="J1485" i="2"/>
  <c r="J1484" i="2"/>
  <c r="J1483" i="2"/>
  <c r="J1482" i="2"/>
  <c r="J1481" i="2"/>
  <c r="J1480" i="2"/>
  <c r="J1479" i="2"/>
  <c r="J1478" i="2"/>
  <c r="J1477" i="2"/>
  <c r="J1476" i="2"/>
  <c r="J1475" i="2"/>
  <c r="J1474" i="2"/>
  <c r="J1473" i="2"/>
  <c r="J1472" i="2"/>
  <c r="J1471" i="2"/>
  <c r="J1470" i="2"/>
  <c r="J1469" i="2"/>
  <c r="J1468" i="2"/>
  <c r="J1467" i="2"/>
  <c r="J1466" i="2"/>
  <c r="J1465" i="2"/>
  <c r="J1464" i="2"/>
  <c r="J1463" i="2"/>
  <c r="J1462" i="2"/>
  <c r="J1461" i="2"/>
  <c r="J1460" i="2"/>
  <c r="J1459" i="2"/>
  <c r="J1458" i="2"/>
  <c r="J1457" i="2"/>
  <c r="J1456" i="2"/>
  <c r="J1455" i="2"/>
  <c r="J1454" i="2"/>
  <c r="J1453" i="2"/>
  <c r="J1452" i="2"/>
  <c r="J1451" i="2"/>
  <c r="J1450" i="2"/>
  <c r="J1449" i="2"/>
  <c r="J1448" i="2"/>
  <c r="J1447" i="2"/>
  <c r="J1446" i="2"/>
  <c r="J1445" i="2"/>
  <c r="J1444" i="2"/>
  <c r="J1443" i="2"/>
  <c r="J1442" i="2"/>
  <c r="J1441" i="2"/>
  <c r="J1440" i="2"/>
  <c r="J1439" i="2"/>
  <c r="J1438" i="2"/>
  <c r="J1437" i="2"/>
  <c r="J1436" i="2"/>
  <c r="J1435" i="2"/>
  <c r="J1434" i="2"/>
  <c r="J1433" i="2"/>
  <c r="J1432" i="2"/>
  <c r="J1431" i="2"/>
  <c r="J1430" i="2"/>
  <c r="J1429" i="2"/>
  <c r="J1428" i="2"/>
  <c r="J1427" i="2"/>
  <c r="J1426" i="2"/>
  <c r="J1425" i="2"/>
  <c r="J1424" i="2"/>
  <c r="J1423" i="2"/>
  <c r="J1422" i="2"/>
  <c r="J1421" i="2"/>
  <c r="J1420" i="2"/>
  <c r="J1419" i="2"/>
  <c r="J1418" i="2"/>
  <c r="J1417" i="2"/>
  <c r="J1416" i="2"/>
  <c r="J1415" i="2"/>
  <c r="J1414" i="2"/>
  <c r="J1413" i="2"/>
  <c r="J1412" i="2"/>
  <c r="J1411" i="2"/>
  <c r="J1410" i="2"/>
  <c r="J1409" i="2"/>
  <c r="J1408" i="2"/>
  <c r="J1407" i="2"/>
  <c r="J1406" i="2"/>
  <c r="J1405" i="2"/>
  <c r="J1404" i="2"/>
  <c r="J1403" i="2"/>
  <c r="J1402" i="2"/>
  <c r="J1401" i="2"/>
  <c r="J1400" i="2"/>
  <c r="J1399" i="2"/>
  <c r="J1398" i="2"/>
  <c r="J1397" i="2"/>
  <c r="J1396" i="2"/>
  <c r="J1395" i="2"/>
  <c r="J1394" i="2"/>
  <c r="J1393" i="2"/>
  <c r="J1392" i="2"/>
  <c r="J1391" i="2"/>
  <c r="J1390" i="2"/>
  <c r="J1389" i="2"/>
  <c r="J1388" i="2"/>
  <c r="J1387" i="2"/>
  <c r="J1386" i="2"/>
  <c r="J1385" i="2"/>
  <c r="J1384" i="2"/>
  <c r="J1383" i="2"/>
  <c r="J1382" i="2"/>
  <c r="J1381" i="2"/>
  <c r="J1380" i="2"/>
  <c r="J1379" i="2"/>
  <c r="J1378" i="2"/>
  <c r="J1377" i="2"/>
  <c r="J1376" i="2"/>
  <c r="J1375" i="2"/>
  <c r="J1374" i="2"/>
  <c r="J1373" i="2"/>
  <c r="J1372" i="2"/>
  <c r="J1371" i="2"/>
  <c r="J1370" i="2"/>
  <c r="J1369" i="2"/>
  <c r="J1368" i="2"/>
  <c r="J1367" i="2"/>
  <c r="J1366" i="2"/>
  <c r="J1365" i="2"/>
  <c r="J1364" i="2"/>
  <c r="J1363" i="2"/>
  <c r="J1362" i="2"/>
  <c r="J1361" i="2"/>
  <c r="J1360" i="2"/>
  <c r="J1359" i="2"/>
  <c r="J1358" i="2"/>
  <c r="J1357" i="2"/>
  <c r="J1356" i="2"/>
  <c r="J1355" i="2"/>
  <c r="J1354" i="2"/>
  <c r="J1353" i="2"/>
  <c r="J1352" i="2"/>
  <c r="J1351" i="2"/>
  <c r="J1350" i="2"/>
  <c r="J1349" i="2"/>
  <c r="J1348" i="2"/>
  <c r="J1347" i="2"/>
  <c r="J1346" i="2"/>
  <c r="J1345" i="2"/>
  <c r="J1344" i="2"/>
  <c r="J1343" i="2"/>
  <c r="J1342" i="2"/>
  <c r="J1341" i="2"/>
  <c r="J1340" i="2"/>
  <c r="J1339" i="2"/>
  <c r="J1338" i="2"/>
  <c r="J1337" i="2"/>
  <c r="J1336" i="2"/>
  <c r="J1335" i="2"/>
  <c r="J1334" i="2"/>
  <c r="J1333" i="2"/>
  <c r="J1332" i="2"/>
  <c r="J1331" i="2"/>
  <c r="J1330" i="2"/>
  <c r="J1329" i="2"/>
  <c r="J1328" i="2"/>
  <c r="J1327" i="2"/>
  <c r="J1326" i="2"/>
  <c r="J1325" i="2"/>
  <c r="J1324" i="2"/>
  <c r="J1323" i="2"/>
  <c r="J1322" i="2"/>
  <c r="J1321" i="2"/>
  <c r="J1320" i="2"/>
  <c r="J1319" i="2"/>
  <c r="J1318" i="2"/>
  <c r="J1317" i="2"/>
  <c r="J1316" i="2"/>
  <c r="J1315" i="2"/>
  <c r="J1314" i="2"/>
  <c r="J1313" i="2"/>
  <c r="J1312" i="2"/>
  <c r="J1311" i="2"/>
  <c r="J1310" i="2"/>
  <c r="J1309" i="2"/>
  <c r="J1308" i="2"/>
  <c r="J1307" i="2"/>
  <c r="J1306" i="2"/>
  <c r="J1305" i="2"/>
  <c r="J1304" i="2"/>
  <c r="J1303" i="2"/>
  <c r="J1302" i="2"/>
  <c r="J1301" i="2"/>
  <c r="J1300" i="2"/>
  <c r="J1299" i="2"/>
  <c r="J1298" i="2"/>
  <c r="J1297" i="2"/>
  <c r="J1296" i="2"/>
  <c r="J1295" i="2"/>
  <c r="J1294" i="2"/>
  <c r="J1293" i="2"/>
  <c r="J1292" i="2"/>
  <c r="J1291" i="2"/>
  <c r="J1290" i="2"/>
  <c r="J1289" i="2"/>
  <c r="J1288" i="2"/>
  <c r="J1287" i="2"/>
  <c r="J1286" i="2"/>
  <c r="J1285" i="2"/>
  <c r="J1284" i="2"/>
  <c r="J1283" i="2"/>
  <c r="J1282" i="2"/>
  <c r="J1281" i="2"/>
  <c r="J1280" i="2"/>
  <c r="J1279" i="2"/>
  <c r="J1278" i="2"/>
  <c r="J1277" i="2"/>
  <c r="J1276" i="2"/>
  <c r="J1275" i="2"/>
  <c r="J1274" i="2"/>
  <c r="J1273" i="2"/>
  <c r="J1272" i="2"/>
  <c r="J1271" i="2"/>
  <c r="J1270" i="2"/>
  <c r="J1269" i="2"/>
  <c r="J1268" i="2"/>
  <c r="J1267" i="2"/>
  <c r="J1266" i="2"/>
  <c r="J1265" i="2"/>
  <c r="J1264" i="2"/>
  <c r="J1263" i="2"/>
  <c r="J1262" i="2"/>
  <c r="J1261" i="2"/>
  <c r="J1260" i="2"/>
  <c r="J1259" i="2"/>
  <c r="J1258" i="2"/>
  <c r="J1257" i="2"/>
  <c r="J1256" i="2"/>
  <c r="J1255" i="2"/>
  <c r="J1254" i="2"/>
  <c r="J1253" i="2"/>
  <c r="J1252" i="2"/>
  <c r="J1251" i="2"/>
  <c r="J1250" i="2"/>
  <c r="J1249" i="2"/>
  <c r="J1248" i="2"/>
  <c r="J1247" i="2"/>
  <c r="J1246" i="2"/>
  <c r="J1245" i="2"/>
  <c r="J1244" i="2"/>
  <c r="J1243" i="2"/>
  <c r="J1242" i="2"/>
  <c r="J1241" i="2"/>
  <c r="J1240" i="2"/>
  <c r="J1239" i="2"/>
  <c r="J1238" i="2"/>
  <c r="J1237" i="2"/>
  <c r="J1236" i="2"/>
  <c r="J1235" i="2"/>
  <c r="J1234" i="2"/>
  <c r="J1233" i="2"/>
  <c r="J1232" i="2"/>
  <c r="J1231" i="2"/>
  <c r="J1230" i="2"/>
  <c r="J1229" i="2"/>
  <c r="J1228" i="2"/>
  <c r="J1227" i="2"/>
  <c r="J1226" i="2"/>
  <c r="J1225" i="2"/>
  <c r="J1224" i="2"/>
  <c r="J1223" i="2"/>
  <c r="J1222" i="2"/>
  <c r="J1221" i="2"/>
  <c r="J1220" i="2"/>
  <c r="J1219" i="2"/>
  <c r="J1218" i="2"/>
  <c r="J1217" i="2"/>
  <c r="J1216" i="2"/>
  <c r="J1215" i="2"/>
  <c r="J1214" i="2"/>
  <c r="J1213" i="2"/>
  <c r="J1212" i="2"/>
  <c r="J1211" i="2"/>
  <c r="J1210" i="2"/>
  <c r="J1209" i="2"/>
  <c r="J1208" i="2"/>
  <c r="J1207" i="2"/>
  <c r="J1206" i="2"/>
  <c r="J1205" i="2"/>
  <c r="J1204" i="2"/>
  <c r="J1203" i="2"/>
  <c r="J1202" i="2"/>
  <c r="J1201" i="2"/>
  <c r="J1200" i="2"/>
  <c r="J1199" i="2"/>
  <c r="J1198" i="2"/>
  <c r="J1197" i="2"/>
  <c r="J1196" i="2"/>
  <c r="J1195" i="2"/>
  <c r="J1194" i="2"/>
  <c r="J1193" i="2"/>
  <c r="J1192" i="2"/>
  <c r="J1191" i="2"/>
  <c r="J1190" i="2"/>
  <c r="J1189" i="2"/>
  <c r="J1188" i="2"/>
  <c r="J1187" i="2"/>
  <c r="J1186" i="2"/>
  <c r="J1185" i="2"/>
  <c r="J1184" i="2"/>
  <c r="J1183" i="2"/>
  <c r="J1182" i="2"/>
  <c r="J1181" i="2"/>
  <c r="J1180" i="2"/>
  <c r="J1179" i="2"/>
  <c r="J1178" i="2"/>
  <c r="J1177" i="2"/>
  <c r="J1176" i="2"/>
  <c r="J1175" i="2"/>
  <c r="J1174" i="2"/>
  <c r="J1173" i="2"/>
  <c r="J1172" i="2"/>
  <c r="J1171" i="2"/>
  <c r="J1170" i="2"/>
  <c r="J1169" i="2"/>
  <c r="J1168" i="2"/>
  <c r="J1167" i="2"/>
  <c r="J1166" i="2"/>
  <c r="J1165" i="2"/>
  <c r="J1164" i="2"/>
  <c r="J1163" i="2"/>
  <c r="J1162" i="2"/>
  <c r="J1161" i="2"/>
  <c r="J1160" i="2"/>
  <c r="J1159" i="2"/>
  <c r="J1158" i="2"/>
  <c r="J1157" i="2"/>
  <c r="J1156" i="2"/>
  <c r="J1155" i="2"/>
  <c r="J1154" i="2"/>
  <c r="J1153" i="2"/>
  <c r="J1152" i="2"/>
  <c r="J1151" i="2"/>
  <c r="J1150" i="2"/>
  <c r="J1149" i="2"/>
  <c r="J1148" i="2"/>
  <c r="J1147" i="2"/>
  <c r="J1146" i="2"/>
  <c r="J1145" i="2"/>
  <c r="J1144" i="2"/>
  <c r="J1143" i="2"/>
  <c r="J1142" i="2"/>
  <c r="J1141" i="2"/>
  <c r="J1140" i="2"/>
  <c r="J1139" i="2"/>
  <c r="J1138" i="2"/>
  <c r="J1137" i="2"/>
  <c r="J1136" i="2"/>
  <c r="J1135" i="2"/>
  <c r="J1134" i="2"/>
  <c r="J1133" i="2"/>
  <c r="J1132" i="2"/>
  <c r="J1131" i="2"/>
  <c r="J1130" i="2"/>
  <c r="J1129" i="2"/>
  <c r="J1128" i="2"/>
  <c r="J1127" i="2"/>
  <c r="J1126" i="2"/>
  <c r="J1125" i="2"/>
  <c r="J1124" i="2"/>
  <c r="J1123" i="2"/>
  <c r="J1122" i="2"/>
  <c r="J1121" i="2"/>
  <c r="J1120" i="2"/>
  <c r="J1119" i="2"/>
  <c r="J1118" i="2"/>
  <c r="J1117" i="2"/>
  <c r="J1116" i="2"/>
  <c r="J1115" i="2"/>
  <c r="J1114" i="2"/>
  <c r="J1113" i="2"/>
  <c r="J1112" i="2"/>
  <c r="J1111" i="2"/>
  <c r="J1110" i="2"/>
  <c r="J1109" i="2"/>
  <c r="J1108" i="2"/>
  <c r="J1107" i="2"/>
  <c r="J1106" i="2"/>
  <c r="J1105" i="2"/>
  <c r="J1104" i="2"/>
  <c r="J1103" i="2"/>
  <c r="J1102" i="2"/>
  <c r="J1101" i="2"/>
  <c r="J1100" i="2"/>
  <c r="J1099" i="2"/>
  <c r="J1098" i="2"/>
  <c r="J1097" i="2"/>
  <c r="J1096" i="2"/>
  <c r="J1095" i="2"/>
  <c r="J1094" i="2"/>
  <c r="J1093" i="2"/>
  <c r="J1092" i="2"/>
  <c r="J1091" i="2"/>
  <c r="J1090" i="2"/>
  <c r="J1089" i="2"/>
  <c r="J1088" i="2"/>
  <c r="J1087" i="2"/>
  <c r="J1086" i="2"/>
  <c r="J1085" i="2"/>
  <c r="J1084" i="2"/>
  <c r="J1083" i="2"/>
  <c r="J1082" i="2"/>
  <c r="J1081" i="2"/>
  <c r="J1080" i="2"/>
  <c r="J1079" i="2"/>
  <c r="J1078" i="2"/>
  <c r="J1077" i="2"/>
  <c r="J1076" i="2"/>
  <c r="J1075" i="2"/>
  <c r="J1074" i="2"/>
  <c r="J1073" i="2"/>
  <c r="J1072" i="2"/>
  <c r="J1071" i="2"/>
  <c r="J1070" i="2"/>
  <c r="J1069" i="2"/>
  <c r="J1068" i="2"/>
  <c r="J1067" i="2"/>
  <c r="J1066" i="2"/>
  <c r="J1065" i="2"/>
  <c r="J1064" i="2"/>
  <c r="J1063" i="2"/>
  <c r="J1062" i="2"/>
  <c r="J1061" i="2"/>
  <c r="J1060" i="2"/>
  <c r="J1059" i="2"/>
  <c r="J1058" i="2"/>
  <c r="J1057" i="2"/>
  <c r="J1056" i="2"/>
  <c r="J1055" i="2"/>
  <c r="J1054" i="2"/>
  <c r="J1053" i="2"/>
  <c r="J1052" i="2"/>
  <c r="J1051" i="2"/>
  <c r="J1050" i="2"/>
  <c r="J1049" i="2"/>
  <c r="J1048" i="2"/>
  <c r="J1047" i="2"/>
  <c r="J1046" i="2"/>
  <c r="J1045" i="2"/>
  <c r="J1044" i="2"/>
  <c r="J1043" i="2"/>
  <c r="J1042" i="2"/>
  <c r="J1041" i="2"/>
  <c r="J1040" i="2"/>
  <c r="J1039" i="2"/>
  <c r="J1038" i="2"/>
  <c r="J1037" i="2"/>
  <c r="J1036" i="2"/>
  <c r="J1035" i="2"/>
  <c r="J1034" i="2"/>
  <c r="J1033" i="2"/>
  <c r="J1032" i="2"/>
  <c r="J1031" i="2"/>
  <c r="J1030" i="2"/>
  <c r="J1029" i="2"/>
  <c r="J1028" i="2"/>
  <c r="J1027" i="2"/>
  <c r="J1026" i="2"/>
  <c r="J1025" i="2"/>
  <c r="J1024" i="2"/>
  <c r="J1023" i="2"/>
  <c r="J1022" i="2"/>
  <c r="J1021" i="2"/>
  <c r="J1020" i="2"/>
  <c r="J1019" i="2"/>
  <c r="J1018" i="2"/>
  <c r="J1017" i="2"/>
  <c r="J1016" i="2"/>
  <c r="J1015" i="2"/>
  <c r="J1014" i="2"/>
  <c r="J1013" i="2"/>
  <c r="J1012" i="2"/>
  <c r="J1011" i="2"/>
  <c r="J1010" i="2"/>
  <c r="J1009" i="2"/>
  <c r="J1008" i="2"/>
  <c r="J1007" i="2"/>
  <c r="J1006" i="2"/>
  <c r="J1005" i="2"/>
  <c r="J1004" i="2"/>
  <c r="J1003" i="2"/>
  <c r="J1002" i="2"/>
  <c r="J1001" i="2"/>
  <c r="J1000" i="2"/>
  <c r="J999" i="2"/>
  <c r="J998" i="2"/>
  <c r="J997" i="2"/>
  <c r="J996" i="2"/>
  <c r="J995" i="2"/>
  <c r="J994" i="2"/>
  <c r="J993" i="2"/>
  <c r="J992" i="2"/>
  <c r="J991" i="2"/>
  <c r="J990" i="2"/>
  <c r="J989" i="2"/>
  <c r="J988" i="2"/>
  <c r="J987" i="2"/>
  <c r="J986" i="2"/>
  <c r="J985" i="2"/>
  <c r="J984" i="2"/>
  <c r="J983" i="2"/>
  <c r="J982" i="2"/>
  <c r="J981" i="2"/>
  <c r="J980" i="2"/>
  <c r="J979" i="2"/>
  <c r="J978" i="2"/>
  <c r="J977" i="2"/>
  <c r="J976" i="2"/>
  <c r="J975" i="2"/>
  <c r="J974" i="2"/>
  <c r="J973" i="2"/>
  <c r="J972" i="2"/>
  <c r="J971" i="2"/>
  <c r="J970" i="2"/>
  <c r="J969" i="2"/>
  <c r="J968" i="2"/>
  <c r="J967" i="2"/>
  <c r="J966" i="2"/>
  <c r="J965" i="2"/>
  <c r="J964" i="2"/>
  <c r="J963" i="2"/>
  <c r="J962" i="2"/>
  <c r="J961" i="2"/>
  <c r="J960" i="2"/>
  <c r="J959" i="2"/>
  <c r="J958" i="2"/>
  <c r="J957" i="2"/>
  <c r="J956" i="2"/>
  <c r="J955" i="2"/>
  <c r="J954" i="2"/>
  <c r="J953" i="2"/>
  <c r="J952" i="2"/>
  <c r="J951" i="2"/>
  <c r="J950" i="2"/>
  <c r="J949" i="2"/>
  <c r="J948" i="2"/>
  <c r="J947" i="2"/>
  <c r="J946" i="2"/>
  <c r="J945" i="2"/>
  <c r="J944" i="2"/>
  <c r="J943" i="2"/>
  <c r="J942" i="2"/>
  <c r="J941" i="2"/>
  <c r="J940" i="2"/>
  <c r="J939" i="2"/>
  <c r="J938" i="2"/>
  <c r="J937" i="2"/>
  <c r="J936" i="2"/>
  <c r="J935" i="2"/>
  <c r="J934" i="2"/>
  <c r="J933" i="2"/>
  <c r="J932" i="2"/>
  <c r="J931" i="2"/>
  <c r="J930" i="2"/>
  <c r="J929" i="2"/>
  <c r="J928" i="2"/>
  <c r="J927" i="2"/>
  <c r="J926" i="2"/>
  <c r="J925" i="2"/>
  <c r="J924" i="2"/>
  <c r="J923" i="2"/>
  <c r="J922" i="2"/>
  <c r="J921" i="2"/>
  <c r="J920" i="2"/>
  <c r="J919" i="2"/>
  <c r="J918" i="2"/>
  <c r="J917" i="2"/>
  <c r="J916" i="2"/>
  <c r="J915" i="2"/>
  <c r="J914" i="2"/>
  <c r="J913" i="2"/>
  <c r="J912" i="2"/>
  <c r="J911" i="2"/>
  <c r="J910" i="2"/>
  <c r="J909" i="2"/>
  <c r="J908" i="2"/>
  <c r="J907" i="2"/>
  <c r="J906" i="2"/>
  <c r="J905" i="2"/>
  <c r="J904" i="2"/>
  <c r="J903" i="2"/>
  <c r="J902" i="2"/>
  <c r="J901" i="2"/>
  <c r="J900" i="2"/>
  <c r="J899" i="2"/>
  <c r="J898" i="2"/>
  <c r="J897" i="2"/>
  <c r="J896" i="2"/>
  <c r="J895" i="2"/>
  <c r="J894" i="2"/>
  <c r="J893" i="2"/>
  <c r="J892" i="2"/>
  <c r="J891" i="2"/>
  <c r="J890" i="2"/>
  <c r="J889" i="2"/>
  <c r="J888" i="2"/>
  <c r="J887" i="2"/>
  <c r="J886" i="2"/>
  <c r="J885" i="2"/>
  <c r="J884" i="2"/>
  <c r="J883" i="2"/>
  <c r="J882" i="2"/>
  <c r="J881" i="2"/>
  <c r="J880" i="2"/>
  <c r="J879" i="2"/>
  <c r="J878" i="2"/>
  <c r="J877" i="2"/>
  <c r="J876" i="2"/>
  <c r="J875" i="2"/>
  <c r="J874" i="2"/>
  <c r="J873" i="2"/>
  <c r="J872" i="2"/>
  <c r="J871" i="2"/>
  <c r="J870" i="2"/>
  <c r="J869" i="2"/>
  <c r="J868" i="2"/>
  <c r="J867" i="2"/>
  <c r="J866" i="2"/>
  <c r="J865" i="2"/>
  <c r="J864" i="2"/>
  <c r="J863" i="2"/>
  <c r="J862" i="2"/>
  <c r="J861" i="2"/>
  <c r="J860" i="2"/>
  <c r="J859" i="2"/>
  <c r="J858" i="2"/>
  <c r="J857" i="2"/>
  <c r="J856" i="2"/>
  <c r="J855" i="2"/>
  <c r="J854" i="2"/>
  <c r="J853" i="2"/>
  <c r="J852" i="2"/>
  <c r="J851" i="2"/>
  <c r="J850" i="2"/>
  <c r="J849" i="2"/>
  <c r="J848" i="2"/>
  <c r="J847" i="2"/>
  <c r="J846" i="2"/>
  <c r="J845" i="2"/>
  <c r="J844" i="2"/>
  <c r="J843" i="2"/>
  <c r="J842" i="2"/>
  <c r="J841" i="2"/>
  <c r="J840" i="2"/>
  <c r="J839" i="2"/>
  <c r="J838" i="2"/>
  <c r="J837" i="2"/>
  <c r="J836" i="2"/>
  <c r="J835" i="2"/>
  <c r="J834" i="2"/>
  <c r="J833" i="2"/>
  <c r="J832" i="2"/>
  <c r="J831" i="2"/>
  <c r="J830" i="2"/>
  <c r="J829" i="2"/>
  <c r="J828" i="2"/>
  <c r="J827" i="2"/>
  <c r="J826" i="2"/>
  <c r="J825" i="2"/>
  <c r="J824" i="2"/>
  <c r="J823" i="2"/>
  <c r="J822" i="2"/>
  <c r="J821" i="2"/>
  <c r="J820" i="2"/>
  <c r="J819" i="2"/>
  <c r="J818" i="2"/>
  <c r="J817" i="2"/>
  <c r="J816" i="2"/>
  <c r="J815" i="2"/>
  <c r="J814" i="2"/>
  <c r="J813" i="2"/>
  <c r="J812" i="2"/>
  <c r="J811" i="2"/>
  <c r="J810" i="2"/>
  <c r="J809" i="2"/>
  <c r="J808" i="2"/>
  <c r="J807" i="2"/>
  <c r="J806" i="2"/>
  <c r="J805" i="2"/>
  <c r="J804" i="2"/>
  <c r="J803" i="2"/>
  <c r="J802" i="2"/>
  <c r="J801" i="2"/>
  <c r="J800" i="2"/>
  <c r="J799" i="2"/>
  <c r="J798" i="2"/>
  <c r="J797" i="2"/>
  <c r="J796" i="2"/>
  <c r="J795" i="2"/>
  <c r="J794" i="2"/>
  <c r="J793" i="2"/>
  <c r="J792" i="2"/>
  <c r="J791" i="2"/>
  <c r="J790" i="2"/>
  <c r="J789" i="2"/>
  <c r="J788" i="2"/>
  <c r="J787" i="2"/>
  <c r="J786" i="2"/>
  <c r="J785" i="2"/>
  <c r="J784" i="2"/>
  <c r="J783" i="2"/>
  <c r="J782" i="2"/>
  <c r="J781" i="2"/>
  <c r="J780" i="2"/>
  <c r="J779" i="2"/>
  <c r="J778" i="2"/>
  <c r="J777" i="2"/>
  <c r="J776" i="2"/>
  <c r="J775" i="2"/>
  <c r="J774" i="2"/>
  <c r="J773" i="2"/>
  <c r="J772" i="2"/>
  <c r="J771" i="2"/>
  <c r="J770" i="2"/>
  <c r="J769" i="2"/>
  <c r="J768" i="2"/>
  <c r="J767" i="2"/>
  <c r="J766" i="2"/>
  <c r="J765" i="2"/>
  <c r="J764" i="2"/>
  <c r="J763" i="2"/>
  <c r="J762" i="2"/>
  <c r="J761" i="2"/>
  <c r="J760" i="2"/>
  <c r="J759" i="2"/>
  <c r="J758" i="2"/>
  <c r="J757" i="2"/>
  <c r="J756" i="2"/>
  <c r="J755" i="2"/>
  <c r="J754" i="2"/>
  <c r="J753" i="2"/>
  <c r="J752" i="2"/>
  <c r="J751" i="2"/>
  <c r="J750" i="2"/>
  <c r="J749" i="2"/>
  <c r="J748" i="2"/>
  <c r="J747" i="2"/>
  <c r="J746" i="2"/>
  <c r="J745" i="2"/>
  <c r="J744" i="2"/>
  <c r="J743" i="2"/>
  <c r="J742" i="2"/>
  <c r="J741" i="2"/>
  <c r="J740" i="2"/>
  <c r="J739" i="2"/>
  <c r="J738" i="2"/>
  <c r="J737" i="2"/>
  <c r="J736" i="2"/>
  <c r="J735" i="2"/>
  <c r="J734" i="2"/>
  <c r="J733" i="2"/>
  <c r="J732" i="2"/>
  <c r="J731" i="2"/>
  <c r="J730" i="2"/>
  <c r="J729" i="2"/>
  <c r="J728" i="2"/>
  <c r="J727" i="2"/>
  <c r="J726" i="2"/>
  <c r="J725" i="2"/>
  <c r="J724" i="2"/>
  <c r="J723" i="2"/>
  <c r="J722" i="2"/>
  <c r="J721" i="2"/>
  <c r="J720" i="2"/>
  <c r="J719" i="2"/>
  <c r="J718" i="2"/>
  <c r="J717" i="2"/>
  <c r="J716" i="2"/>
  <c r="J715" i="2"/>
  <c r="J714" i="2"/>
  <c r="J713" i="2"/>
  <c r="J712" i="2"/>
  <c r="J711" i="2"/>
  <c r="J710" i="2"/>
  <c r="J709" i="2"/>
  <c r="J708" i="2"/>
  <c r="J707" i="2"/>
  <c r="J706" i="2"/>
  <c r="J705" i="2"/>
  <c r="J704" i="2"/>
  <c r="J703" i="2"/>
  <c r="J702" i="2"/>
  <c r="J701" i="2"/>
  <c r="J700" i="2"/>
  <c r="J699" i="2"/>
  <c r="J698" i="2"/>
  <c r="J697" i="2"/>
  <c r="J696" i="2"/>
  <c r="J695" i="2"/>
  <c r="J694" i="2"/>
  <c r="J693" i="2"/>
  <c r="J692" i="2"/>
  <c r="J691" i="2"/>
  <c r="J690" i="2"/>
  <c r="J689" i="2"/>
  <c r="J688" i="2"/>
  <c r="J687" i="2"/>
  <c r="J686" i="2"/>
  <c r="J685" i="2"/>
  <c r="J684" i="2"/>
  <c r="J683" i="2"/>
  <c r="J682" i="2"/>
  <c r="J681" i="2"/>
  <c r="J680" i="2"/>
  <c r="J679" i="2"/>
  <c r="J678" i="2"/>
  <c r="J677" i="2"/>
  <c r="J676" i="2"/>
  <c r="J675" i="2"/>
  <c r="J674" i="2"/>
  <c r="J673" i="2"/>
  <c r="J672" i="2"/>
  <c r="J671" i="2"/>
  <c r="J670" i="2"/>
  <c r="J669" i="2"/>
  <c r="J668" i="2"/>
  <c r="J667" i="2"/>
  <c r="J666" i="2"/>
  <c r="J665" i="2"/>
  <c r="J664" i="2"/>
  <c r="J663" i="2"/>
  <c r="J662" i="2"/>
  <c r="J661" i="2"/>
  <c r="J660" i="2"/>
  <c r="J659" i="2"/>
  <c r="J658" i="2"/>
  <c r="J657" i="2"/>
  <c r="J656" i="2"/>
  <c r="J655" i="2"/>
  <c r="J654" i="2"/>
  <c r="J653" i="2"/>
  <c r="J652" i="2"/>
  <c r="J651" i="2"/>
  <c r="J650" i="2"/>
  <c r="J649" i="2"/>
  <c r="J648" i="2"/>
  <c r="J647" i="2"/>
  <c r="J646" i="2"/>
  <c r="J645" i="2"/>
  <c r="J644" i="2"/>
  <c r="J643" i="2"/>
  <c r="J642" i="2"/>
  <c r="J641" i="2"/>
  <c r="J640" i="2"/>
  <c r="J639" i="2"/>
  <c r="J638" i="2"/>
  <c r="J637" i="2"/>
  <c r="J636" i="2"/>
  <c r="J635" i="2"/>
  <c r="J634" i="2"/>
  <c r="J633" i="2"/>
  <c r="J632" i="2"/>
  <c r="J631" i="2"/>
  <c r="J630" i="2"/>
  <c r="J629" i="2"/>
  <c r="J628" i="2"/>
  <c r="J627" i="2"/>
  <c r="J626" i="2"/>
  <c r="J625" i="2"/>
  <c r="J624" i="2"/>
  <c r="J623" i="2"/>
  <c r="J622" i="2"/>
  <c r="J621" i="2"/>
  <c r="J620" i="2"/>
  <c r="J619" i="2"/>
  <c r="J618" i="2"/>
  <c r="J617" i="2"/>
  <c r="J616" i="2"/>
  <c r="J615" i="2"/>
  <c r="J614" i="2"/>
  <c r="J613" i="2"/>
  <c r="J612" i="2"/>
  <c r="J611" i="2"/>
  <c r="J610" i="2"/>
  <c r="J609" i="2"/>
  <c r="J608" i="2"/>
  <c r="J607" i="2"/>
  <c r="J606" i="2"/>
  <c r="J605" i="2"/>
  <c r="J604" i="2"/>
  <c r="J603" i="2"/>
  <c r="J602" i="2"/>
  <c r="J601" i="2"/>
  <c r="J600" i="2"/>
  <c r="J599" i="2"/>
  <c r="J598" i="2"/>
  <c r="J597" i="2"/>
  <c r="J596" i="2"/>
  <c r="J595" i="2"/>
  <c r="J594" i="2"/>
  <c r="J593" i="2"/>
  <c r="J592" i="2"/>
  <c r="J591" i="2"/>
  <c r="J590" i="2"/>
  <c r="J589" i="2"/>
  <c r="J588" i="2"/>
  <c r="J587" i="2"/>
  <c r="J586" i="2"/>
  <c r="J585" i="2"/>
  <c r="J584" i="2"/>
  <c r="J583" i="2"/>
  <c r="J582" i="2"/>
  <c r="J581" i="2"/>
  <c r="J580" i="2"/>
  <c r="J579" i="2"/>
  <c r="J578" i="2"/>
  <c r="J577" i="2"/>
  <c r="J576" i="2"/>
  <c r="J575" i="2"/>
  <c r="J574" i="2"/>
  <c r="J573" i="2"/>
  <c r="J572" i="2"/>
  <c r="J571" i="2"/>
  <c r="J570" i="2"/>
  <c r="J569" i="2"/>
  <c r="J568" i="2"/>
  <c r="J567" i="2"/>
  <c r="J566" i="2"/>
  <c r="J565" i="2"/>
  <c r="J564" i="2"/>
  <c r="J563" i="2"/>
  <c r="J562" i="2"/>
  <c r="J561" i="2"/>
  <c r="J560" i="2"/>
  <c r="J559" i="2"/>
  <c r="J558" i="2"/>
  <c r="J557" i="2"/>
  <c r="J556" i="2"/>
  <c r="J555" i="2"/>
  <c r="J554" i="2"/>
  <c r="J553" i="2"/>
  <c r="J552" i="2"/>
  <c r="J551" i="2"/>
  <c r="J550" i="2"/>
  <c r="J549" i="2"/>
  <c r="J548" i="2"/>
  <c r="J547" i="2"/>
  <c r="J546" i="2"/>
  <c r="J545" i="2"/>
  <c r="J544" i="2"/>
  <c r="J543" i="2"/>
  <c r="J542" i="2"/>
  <c r="J541" i="2"/>
  <c r="J540" i="2"/>
  <c r="J539" i="2"/>
  <c r="J538" i="2"/>
  <c r="J537" i="2"/>
  <c r="J536" i="2"/>
  <c r="J535" i="2"/>
  <c r="J534" i="2"/>
  <c r="J533" i="2"/>
  <c r="J532" i="2"/>
  <c r="J531" i="2"/>
  <c r="J530" i="2"/>
  <c r="J529" i="2"/>
  <c r="J528" i="2"/>
  <c r="J527" i="2"/>
  <c r="J526" i="2"/>
  <c r="J525" i="2"/>
  <c r="J524" i="2"/>
  <c r="J523" i="2"/>
  <c r="J522" i="2"/>
  <c r="J521" i="2"/>
  <c r="J520" i="2"/>
  <c r="J519" i="2"/>
  <c r="J518" i="2"/>
  <c r="J517" i="2"/>
  <c r="J516" i="2"/>
  <c r="J515" i="2"/>
  <c r="J514" i="2"/>
  <c r="J513" i="2"/>
  <c r="J512" i="2"/>
  <c r="J511" i="2"/>
  <c r="J510" i="2"/>
  <c r="J509" i="2"/>
  <c r="J508" i="2"/>
  <c r="J507" i="2"/>
  <c r="J506" i="2"/>
  <c r="J505" i="2"/>
  <c r="J504" i="2"/>
  <c r="J503" i="2"/>
  <c r="J502" i="2"/>
  <c r="J501" i="2"/>
  <c r="J500" i="2"/>
  <c r="J499" i="2"/>
  <c r="J498" i="2"/>
  <c r="J497" i="2"/>
  <c r="J496" i="2"/>
  <c r="J495" i="2"/>
  <c r="J494" i="2"/>
  <c r="J493" i="2"/>
  <c r="J492" i="2"/>
  <c r="J491" i="2"/>
  <c r="J490" i="2"/>
  <c r="J489" i="2"/>
  <c r="J488" i="2"/>
  <c r="J487" i="2"/>
  <c r="J486" i="2"/>
  <c r="J485" i="2"/>
  <c r="J484" i="2"/>
  <c r="J483" i="2"/>
  <c r="J482" i="2"/>
  <c r="J481" i="2"/>
  <c r="J480" i="2"/>
  <c r="J479" i="2"/>
  <c r="J478" i="2"/>
  <c r="J477" i="2"/>
  <c r="J476" i="2"/>
  <c r="J475" i="2"/>
  <c r="J474" i="2"/>
  <c r="J473" i="2"/>
  <c r="J472" i="2"/>
  <c r="J471" i="2"/>
  <c r="J470" i="2"/>
  <c r="J469" i="2"/>
  <c r="J468" i="2"/>
  <c r="J467" i="2"/>
  <c r="J466" i="2"/>
  <c r="J465" i="2"/>
  <c r="J464" i="2"/>
  <c r="J463" i="2"/>
  <c r="J462" i="2"/>
  <c r="J461" i="2"/>
  <c r="J460" i="2"/>
  <c r="J459" i="2"/>
  <c r="J458" i="2"/>
  <c r="J457" i="2"/>
  <c r="J456" i="2"/>
  <c r="J455" i="2"/>
  <c r="J454" i="2"/>
  <c r="J453" i="2"/>
  <c r="J452" i="2"/>
  <c r="J451" i="2"/>
  <c r="J450" i="2"/>
  <c r="J449" i="2"/>
  <c r="J448" i="2"/>
  <c r="J447" i="2"/>
  <c r="J446" i="2"/>
  <c r="J445" i="2"/>
  <c r="J444" i="2"/>
  <c r="J443" i="2"/>
  <c r="J442" i="2"/>
  <c r="J441" i="2"/>
  <c r="J440" i="2"/>
  <c r="J439" i="2"/>
  <c r="J438" i="2"/>
  <c r="J437" i="2"/>
  <c r="J436" i="2"/>
  <c r="J435" i="2"/>
  <c r="J434" i="2"/>
  <c r="J433" i="2"/>
  <c r="J432" i="2"/>
  <c r="J431" i="2"/>
  <c r="J430" i="2"/>
  <c r="J429" i="2"/>
  <c r="J428" i="2"/>
  <c r="J427" i="2"/>
  <c r="J426" i="2"/>
  <c r="J425" i="2"/>
  <c r="J424" i="2"/>
  <c r="J423" i="2"/>
  <c r="J422" i="2"/>
  <c r="J421" i="2"/>
  <c r="J420" i="2"/>
  <c r="J419" i="2"/>
  <c r="J418" i="2"/>
  <c r="J417" i="2"/>
  <c r="J416" i="2"/>
  <c r="J415" i="2"/>
  <c r="J414" i="2"/>
  <c r="J413" i="2"/>
  <c r="J412" i="2"/>
  <c r="J411"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8" i="2"/>
  <c r="J377" i="2"/>
  <c r="J376" i="2"/>
  <c r="J375" i="2"/>
  <c r="J374" i="2"/>
  <c r="J373" i="2"/>
  <c r="J372" i="2"/>
  <c r="J371" i="2"/>
  <c r="J370" i="2"/>
  <c r="J369" i="2"/>
  <c r="J368" i="2"/>
  <c r="J367" i="2"/>
  <c r="J366" i="2"/>
  <c r="J365" i="2"/>
  <c r="J364" i="2"/>
  <c r="J363" i="2"/>
  <c r="J362" i="2"/>
  <c r="J361" i="2"/>
  <c r="J360" i="2"/>
  <c r="J359" i="2"/>
  <c r="J358" i="2"/>
  <c r="J357" i="2"/>
  <c r="J356" i="2"/>
  <c r="J355" i="2"/>
  <c r="J354" i="2"/>
  <c r="J353" i="2"/>
  <c r="J352" i="2"/>
  <c r="J351" i="2"/>
  <c r="J350" i="2"/>
  <c r="J349" i="2"/>
  <c r="J348" i="2"/>
  <c r="J347" i="2"/>
  <c r="J346" i="2"/>
  <c r="J345" i="2"/>
  <c r="J344" i="2"/>
  <c r="J343" i="2"/>
  <c r="J342" i="2"/>
  <c r="J341" i="2"/>
  <c r="J340" i="2"/>
  <c r="J339" i="2"/>
  <c r="J338" i="2"/>
  <c r="J337" i="2"/>
  <c r="J336" i="2"/>
  <c r="J335" i="2"/>
  <c r="J334" i="2"/>
  <c r="J333" i="2"/>
  <c r="J332" i="2"/>
  <c r="J331" i="2"/>
  <c r="J330" i="2"/>
  <c r="J329" i="2"/>
  <c r="J328" i="2"/>
  <c r="J327" i="2"/>
  <c r="J326" i="2"/>
  <c r="J325" i="2"/>
  <c r="J324" i="2"/>
  <c r="J323" i="2"/>
  <c r="J322" i="2"/>
  <c r="J321" i="2"/>
  <c r="J320" i="2"/>
  <c r="J319" i="2"/>
  <c r="J318" i="2"/>
  <c r="J317" i="2"/>
  <c r="J316" i="2"/>
  <c r="J315" i="2"/>
  <c r="J314" i="2"/>
  <c r="J313" i="2"/>
  <c r="J312" i="2"/>
  <c r="J311" i="2"/>
  <c r="J310" i="2"/>
  <c r="J309" i="2"/>
  <c r="J308" i="2"/>
  <c r="J307" i="2"/>
  <c r="J306" i="2"/>
  <c r="J305" i="2"/>
  <c r="J304" i="2"/>
  <c r="J303" i="2"/>
  <c r="J302" i="2"/>
  <c r="J301" i="2"/>
  <c r="J300" i="2"/>
  <c r="J299" i="2"/>
  <c r="J298" i="2"/>
  <c r="J297" i="2"/>
  <c r="J296" i="2"/>
  <c r="J295" i="2"/>
  <c r="J294" i="2"/>
  <c r="J293" i="2"/>
  <c r="J292" i="2"/>
  <c r="J291" i="2"/>
  <c r="J290" i="2"/>
  <c r="J289" i="2"/>
  <c r="J288" i="2"/>
  <c r="J287" i="2"/>
  <c r="J286" i="2"/>
  <c r="J285" i="2"/>
  <c r="J284" i="2"/>
  <c r="J283" i="2"/>
  <c r="J282" i="2"/>
  <c r="J281" i="2"/>
  <c r="J280" i="2"/>
  <c r="J279" i="2"/>
  <c r="J278" i="2"/>
  <c r="J277" i="2"/>
  <c r="J276" i="2"/>
  <c r="J275" i="2"/>
  <c r="J274" i="2"/>
  <c r="J273" i="2"/>
  <c r="J272" i="2"/>
  <c r="J271" i="2"/>
  <c r="J270" i="2"/>
  <c r="J269" i="2"/>
  <c r="J268" i="2"/>
  <c r="J267" i="2"/>
  <c r="J266" i="2"/>
  <c r="J265" i="2"/>
  <c r="J264" i="2"/>
  <c r="J263" i="2"/>
  <c r="J262" i="2"/>
  <c r="J261" i="2"/>
  <c r="J260" i="2"/>
  <c r="J259" i="2"/>
  <c r="J258" i="2"/>
  <c r="J257" i="2"/>
  <c r="J256" i="2"/>
  <c r="J255" i="2"/>
  <c r="J254" i="2"/>
  <c r="J253" i="2"/>
  <c r="J252" i="2"/>
  <c r="J251" i="2"/>
  <c r="J250" i="2"/>
  <c r="J249" i="2"/>
  <c r="J248" i="2"/>
  <c r="J247" i="2"/>
  <c r="J246" i="2"/>
  <c r="J245" i="2"/>
  <c r="J244" i="2"/>
  <c r="J243" i="2"/>
  <c r="J242" i="2"/>
  <c r="J241" i="2"/>
  <c r="J240" i="2"/>
  <c r="J239" i="2"/>
  <c r="J238" i="2"/>
  <c r="J237" i="2"/>
  <c r="J236" i="2"/>
  <c r="J235" i="2"/>
  <c r="J234" i="2"/>
  <c r="J233" i="2"/>
  <c r="J232" i="2"/>
  <c r="J231" i="2"/>
  <c r="J230" i="2"/>
  <c r="J229" i="2"/>
  <c r="J228" i="2"/>
  <c r="J227" i="2"/>
  <c r="J226" i="2"/>
  <c r="J225" i="2"/>
  <c r="J224" i="2"/>
  <c r="J223" i="2"/>
  <c r="J222" i="2"/>
  <c r="J221" i="2"/>
  <c r="J220" i="2"/>
  <c r="J219" i="2"/>
  <c r="J218" i="2"/>
  <c r="J217" i="2"/>
  <c r="J216" i="2"/>
  <c r="J215" i="2"/>
  <c r="J214" i="2"/>
  <c r="J213" i="2"/>
  <c r="J212" i="2"/>
  <c r="J211" i="2"/>
  <c r="J210" i="2"/>
  <c r="J209" i="2"/>
  <c r="J208" i="2"/>
  <c r="J207" i="2"/>
  <c r="J206" i="2"/>
  <c r="J205" i="2"/>
  <c r="J204" i="2"/>
  <c r="J203" i="2"/>
  <c r="J202" i="2"/>
  <c r="J201" i="2"/>
  <c r="J200" i="2"/>
  <c r="J199" i="2"/>
  <c r="J198" i="2"/>
  <c r="J197" i="2"/>
  <c r="J196" i="2"/>
  <c r="J195" i="2"/>
  <c r="J194" i="2"/>
  <c r="J193" i="2"/>
  <c r="J192" i="2"/>
  <c r="J191" i="2"/>
  <c r="J190" i="2"/>
  <c r="J189" i="2"/>
  <c r="J188" i="2"/>
  <c r="J187" i="2"/>
  <c r="J186" i="2"/>
  <c r="J185" i="2"/>
  <c r="J184" i="2"/>
  <c r="J183" i="2"/>
  <c r="J182" i="2"/>
  <c r="J181" i="2"/>
  <c r="J180" i="2"/>
  <c r="J179" i="2"/>
  <c r="J178" i="2"/>
  <c r="J177" i="2"/>
  <c r="J176" i="2"/>
  <c r="J175" i="2"/>
  <c r="J174" i="2"/>
  <c r="J173" i="2"/>
  <c r="J172" i="2"/>
  <c r="J171" i="2"/>
  <c r="J170" i="2"/>
  <c r="J169" i="2"/>
  <c r="J168" i="2"/>
  <c r="J167" i="2"/>
  <c r="J166" i="2"/>
  <c r="J165" i="2"/>
  <c r="J164" i="2"/>
  <c r="J163" i="2"/>
  <c r="J162" i="2"/>
  <c r="J161" i="2"/>
  <c r="J160" i="2"/>
  <c r="J159" i="2"/>
  <c r="J158" i="2"/>
  <c r="J157" i="2"/>
  <c r="J156" i="2"/>
  <c r="J155" i="2"/>
  <c r="J154" i="2"/>
  <c r="J153" i="2"/>
  <c r="J152" i="2"/>
  <c r="J151" i="2"/>
  <c r="J150" i="2"/>
  <c r="J149" i="2"/>
  <c r="J148" i="2"/>
  <c r="J147" i="2"/>
  <c r="J146" i="2"/>
  <c r="J145" i="2"/>
  <c r="J144" i="2"/>
  <c r="J143" i="2"/>
  <c r="J142" i="2"/>
  <c r="J141" i="2"/>
  <c r="J140" i="2"/>
  <c r="J139" i="2"/>
  <c r="J138" i="2"/>
  <c r="J137" i="2"/>
  <c r="J136" i="2"/>
  <c r="J135" i="2"/>
  <c r="J134" i="2"/>
  <c r="J133" i="2"/>
  <c r="J132" i="2"/>
  <c r="J131" i="2"/>
  <c r="J130" i="2"/>
  <c r="J129" i="2"/>
  <c r="J128" i="2"/>
  <c r="J127" i="2"/>
  <c r="J126" i="2"/>
  <c r="J125" i="2"/>
  <c r="J124" i="2"/>
  <c r="J123" i="2"/>
  <c r="J122" i="2"/>
  <c r="J121" i="2"/>
  <c r="J120" i="2"/>
  <c r="J119" i="2"/>
  <c r="J118" i="2"/>
  <c r="J117" i="2"/>
  <c r="J116" i="2"/>
  <c r="J115" i="2"/>
  <c r="J114" i="2"/>
  <c r="J113" i="2"/>
  <c r="J112" i="2"/>
  <c r="J111" i="2"/>
  <c r="J110" i="2"/>
  <c r="J109" i="2"/>
  <c r="J108" i="2"/>
  <c r="J107" i="2"/>
  <c r="J106" i="2"/>
  <c r="J105"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3" i="2"/>
  <c r="J22" i="2"/>
  <c r="J21" i="2"/>
  <c r="J20" i="2"/>
  <c r="J19" i="2"/>
  <c r="J18" i="2"/>
  <c r="J17" i="2"/>
  <c r="J16" i="2"/>
  <c r="J15" i="2"/>
  <c r="J14" i="2"/>
  <c r="J13" i="2"/>
  <c r="J12" i="2"/>
  <c r="J11" i="2"/>
  <c r="J10" i="2"/>
  <c r="J9" i="2"/>
  <c r="J8" i="2"/>
  <c r="J7" i="2"/>
  <c r="J6" i="2"/>
  <c r="J5" i="2"/>
  <c r="J4" i="2"/>
  <c r="J3" i="2"/>
  <c r="J2" i="2"/>
  <c r="E2336" i="1"/>
  <c r="E2335" i="1"/>
  <c r="E2334" i="1"/>
  <c r="E2333" i="1"/>
  <c r="E2332" i="1"/>
  <c r="E2331" i="1"/>
  <c r="E2330" i="1"/>
  <c r="E2329" i="1"/>
  <c r="E2328" i="1"/>
  <c r="E2327" i="1"/>
  <c r="E2326" i="1"/>
  <c r="E2325" i="1"/>
  <c r="E2324" i="1"/>
  <c r="E2323" i="1"/>
  <c r="E2322" i="1"/>
  <c r="E2321" i="1"/>
  <c r="E2320" i="1"/>
  <c r="E2319" i="1"/>
  <c r="E2318" i="1"/>
  <c r="E2317" i="1"/>
  <c r="E2316" i="1"/>
  <c r="E2315" i="1"/>
  <c r="E2314" i="1"/>
  <c r="E2313" i="1"/>
  <c r="E2312" i="1"/>
  <c r="E2311" i="1"/>
  <c r="E2310" i="1"/>
  <c r="E2309" i="1"/>
  <c r="E2308" i="1"/>
  <c r="E2307" i="1"/>
  <c r="E2306" i="1"/>
  <c r="E2305" i="1"/>
  <c r="E2304" i="1"/>
  <c r="E2303" i="1"/>
  <c r="E2302" i="1"/>
  <c r="E2301" i="1"/>
  <c r="E2300" i="1"/>
  <c r="E2299" i="1"/>
  <c r="E2298" i="1"/>
  <c r="E2297" i="1"/>
  <c r="E2296" i="1"/>
  <c r="E2295" i="1"/>
  <c r="E2294" i="1"/>
  <c r="E2293" i="1"/>
  <c r="E2292" i="1"/>
  <c r="E2291" i="1"/>
  <c r="E2290" i="1"/>
  <c r="E2289" i="1"/>
  <c r="E2288" i="1"/>
  <c r="E2287" i="1"/>
  <c r="E2286" i="1"/>
  <c r="E2285" i="1"/>
  <c r="E2284" i="1"/>
  <c r="E2283" i="1"/>
  <c r="E2282" i="1"/>
  <c r="E2281" i="1"/>
  <c r="E2280" i="1"/>
  <c r="E2279" i="1"/>
  <c r="E2278" i="1"/>
  <c r="E2277" i="1"/>
  <c r="E2276" i="1"/>
  <c r="E2275" i="1"/>
  <c r="E2274" i="1"/>
  <c r="E2273" i="1"/>
  <c r="E2272" i="1"/>
  <c r="E2271" i="1"/>
  <c r="E2270" i="1"/>
  <c r="E2269" i="1"/>
  <c r="E2268" i="1"/>
  <c r="E2267" i="1"/>
  <c r="E2266" i="1"/>
  <c r="E2265" i="1"/>
  <c r="E2264" i="1"/>
  <c r="E2263" i="1"/>
  <c r="E2262" i="1"/>
  <c r="E2261" i="1"/>
  <c r="E2260" i="1"/>
  <c r="E2259" i="1"/>
  <c r="E2258" i="1"/>
  <c r="E2257" i="1"/>
  <c r="E2256" i="1"/>
  <c r="E2255" i="1"/>
  <c r="E2254" i="1"/>
  <c r="E2253" i="1"/>
  <c r="E2252" i="1"/>
  <c r="E2251" i="1"/>
  <c r="E2250" i="1"/>
  <c r="E2249" i="1"/>
  <c r="E2248" i="1"/>
  <c r="E2247" i="1"/>
  <c r="E2246" i="1"/>
  <c r="E2245" i="1"/>
  <c r="E2244" i="1"/>
  <c r="E2243" i="1"/>
  <c r="E2242" i="1"/>
  <c r="E2241" i="1"/>
  <c r="E2240" i="1"/>
  <c r="E2239" i="1"/>
  <c r="E2238" i="1"/>
  <c r="E2237" i="1"/>
  <c r="E2236" i="1"/>
  <c r="E2235" i="1"/>
  <c r="E2234" i="1"/>
  <c r="E2233" i="1"/>
  <c r="E2232" i="1"/>
  <c r="E2231" i="1"/>
  <c r="E2230" i="1"/>
  <c r="E2229" i="1"/>
  <c r="E2228" i="1"/>
  <c r="E2227" i="1"/>
  <c r="E2226" i="1"/>
  <c r="E2225" i="1"/>
  <c r="E2224" i="1"/>
  <c r="E2223" i="1"/>
  <c r="E2222" i="1"/>
  <c r="E2221" i="1"/>
  <c r="E2220" i="1"/>
  <c r="E2219" i="1"/>
  <c r="E2218" i="1"/>
  <c r="E2217" i="1"/>
  <c r="E2216" i="1"/>
  <c r="E2215" i="1"/>
  <c r="E2214" i="1"/>
  <c r="E2213" i="1"/>
  <c r="E2212" i="1"/>
  <c r="E2211" i="1"/>
  <c r="E2210" i="1"/>
  <c r="E2209" i="1"/>
  <c r="E2208" i="1"/>
  <c r="E2207" i="1"/>
  <c r="E2206" i="1"/>
  <c r="E2205" i="1"/>
  <c r="E2204" i="1"/>
  <c r="E2203" i="1"/>
  <c r="E2202" i="1"/>
  <c r="E2201" i="1"/>
  <c r="E2200" i="1"/>
  <c r="E2199" i="1"/>
  <c r="E2198" i="1"/>
  <c r="E2197" i="1"/>
  <c r="E2196" i="1"/>
  <c r="E2195" i="1"/>
  <c r="E2194" i="1"/>
  <c r="E2193" i="1"/>
  <c r="E2192" i="1"/>
  <c r="E2191" i="1"/>
  <c r="E2190" i="1"/>
  <c r="E2189" i="1"/>
  <c r="E2188" i="1"/>
  <c r="E2187" i="1"/>
  <c r="E2186" i="1"/>
  <c r="E2185" i="1"/>
  <c r="E2184" i="1"/>
  <c r="E2183" i="1"/>
  <c r="E2182" i="1"/>
  <c r="E2181" i="1"/>
  <c r="E2180" i="1"/>
  <c r="E2179" i="1"/>
  <c r="E2178" i="1"/>
  <c r="E2177" i="1"/>
  <c r="E2176" i="1"/>
  <c r="E2175" i="1"/>
  <c r="E2174" i="1"/>
  <c r="E2173" i="1"/>
  <c r="E2172" i="1"/>
  <c r="E2171" i="1"/>
  <c r="E2170" i="1"/>
  <c r="E2169" i="1"/>
  <c r="E2168" i="1"/>
  <c r="E2167" i="1"/>
  <c r="E2166" i="1"/>
  <c r="E2165" i="1"/>
  <c r="E2164" i="1"/>
  <c r="E2163" i="1"/>
  <c r="E2162" i="1"/>
  <c r="E2161" i="1"/>
  <c r="E2160" i="1"/>
  <c r="E2159" i="1"/>
  <c r="E2158" i="1"/>
  <c r="E2157" i="1"/>
  <c r="E2156" i="1"/>
  <c r="E2155" i="1"/>
  <c r="E2154" i="1"/>
  <c r="E2153" i="1"/>
  <c r="E2152" i="1"/>
  <c r="E2151" i="1"/>
  <c r="E2150" i="1"/>
  <c r="E2149" i="1"/>
  <c r="E2148" i="1"/>
  <c r="E2147" i="1"/>
  <c r="E2146" i="1"/>
  <c r="E2145" i="1"/>
  <c r="E2144" i="1"/>
  <c r="E2143" i="1"/>
  <c r="E2142" i="1"/>
  <c r="E2141" i="1"/>
  <c r="E2140" i="1"/>
  <c r="E2139" i="1"/>
  <c r="E2138" i="1"/>
  <c r="E2137" i="1"/>
  <c r="E2136" i="1"/>
  <c r="E2135" i="1"/>
  <c r="E2134" i="1"/>
  <c r="E2133" i="1"/>
  <c r="E2132" i="1"/>
  <c r="E2131" i="1"/>
  <c r="E2130" i="1"/>
  <c r="E2129" i="1"/>
  <c r="E2128" i="1"/>
  <c r="E2127" i="1"/>
  <c r="E2126" i="1"/>
  <c r="E2125" i="1"/>
  <c r="E2124" i="1"/>
  <c r="E2123" i="1"/>
  <c r="E2122" i="1"/>
  <c r="E2121" i="1"/>
  <c r="E2120" i="1"/>
  <c r="E2119" i="1"/>
  <c r="E2118" i="1"/>
  <c r="E2117" i="1"/>
  <c r="E2116" i="1"/>
  <c r="E2115" i="1"/>
  <c r="E2114" i="1"/>
  <c r="E2113" i="1"/>
  <c r="E2112" i="1"/>
  <c r="E2111" i="1"/>
  <c r="E2110" i="1"/>
  <c r="E2109" i="1"/>
  <c r="E2108" i="1"/>
  <c r="E2107" i="1"/>
  <c r="E2106" i="1"/>
  <c r="E2105" i="1"/>
  <c r="E2104" i="1"/>
  <c r="E2103" i="1"/>
  <c r="E2102" i="1"/>
  <c r="E2101" i="1"/>
  <c r="E2100" i="1"/>
  <c r="E2099" i="1"/>
  <c r="E2098" i="1"/>
  <c r="E2097" i="1"/>
  <c r="E2096" i="1"/>
  <c r="E2095" i="1"/>
  <c r="E2094" i="1"/>
  <c r="E2093" i="1"/>
  <c r="E2092" i="1"/>
  <c r="E2091" i="1"/>
  <c r="E2090" i="1"/>
  <c r="E2089" i="1"/>
  <c r="E2088" i="1"/>
  <c r="E2087" i="1"/>
  <c r="E2086" i="1"/>
  <c r="E2085" i="1"/>
  <c r="E2084" i="1"/>
  <c r="E2083" i="1"/>
  <c r="E2082" i="1"/>
  <c r="E2081" i="1"/>
  <c r="E2080" i="1"/>
  <c r="E2079" i="1"/>
  <c r="E2078" i="1"/>
  <c r="E2077" i="1"/>
  <c r="E2076" i="1"/>
  <c r="E2075" i="1"/>
  <c r="E2074" i="1"/>
  <c r="E2073" i="1"/>
  <c r="E2072" i="1"/>
  <c r="E2071" i="1"/>
  <c r="E2070" i="1"/>
  <c r="E2069" i="1"/>
  <c r="E2068" i="1"/>
  <c r="E2067" i="1"/>
  <c r="E2066" i="1"/>
  <c r="E2065" i="1"/>
  <c r="E2064" i="1"/>
  <c r="E2063" i="1"/>
  <c r="E2062" i="1"/>
  <c r="E2061" i="1"/>
  <c r="E2060" i="1"/>
  <c r="E2059" i="1"/>
  <c r="E2058" i="1"/>
  <c r="E2057" i="1"/>
  <c r="E2056" i="1"/>
  <c r="E2055" i="1"/>
  <c r="E2054" i="1"/>
  <c r="E2053" i="1"/>
  <c r="E2052" i="1"/>
  <c r="E2051" i="1"/>
  <c r="E2050" i="1"/>
  <c r="E2049" i="1"/>
  <c r="E2048" i="1"/>
  <c r="E2047" i="1"/>
  <c r="E2046" i="1"/>
  <c r="E2045" i="1"/>
  <c r="E2044" i="1"/>
  <c r="E2043" i="1"/>
  <c r="E2042" i="1"/>
  <c r="E2041" i="1"/>
  <c r="E2040" i="1"/>
  <c r="E2039" i="1"/>
  <c r="E2038" i="1"/>
  <c r="E2037" i="1"/>
  <c r="E2036" i="1"/>
  <c r="E2035" i="1"/>
  <c r="E2034" i="1"/>
  <c r="E2033" i="1"/>
  <c r="E2032" i="1"/>
  <c r="E2031" i="1"/>
  <c r="E2030" i="1"/>
  <c r="E2029" i="1"/>
  <c r="E2028" i="1"/>
  <c r="E2027" i="1"/>
  <c r="E2026" i="1"/>
  <c r="E2025" i="1"/>
  <c r="E2024" i="1"/>
  <c r="E2023" i="1"/>
  <c r="E2022" i="1"/>
  <c r="E2021" i="1"/>
  <c r="E2020" i="1"/>
  <c r="E2019" i="1"/>
  <c r="E2018" i="1"/>
  <c r="E2017" i="1"/>
  <c r="E2016" i="1"/>
  <c r="E2015" i="1"/>
  <c r="E2014" i="1"/>
  <c r="E2013" i="1"/>
  <c r="E2012" i="1"/>
  <c r="E2011" i="1"/>
  <c r="E2010" i="1"/>
  <c r="E2009" i="1"/>
  <c r="E2008" i="1"/>
  <c r="E2007" i="1"/>
  <c r="E2006" i="1"/>
  <c r="E2005" i="1"/>
  <c r="E2004" i="1"/>
  <c r="E2003" i="1"/>
  <c r="E2002" i="1"/>
  <c r="E2001" i="1"/>
  <c r="E2000" i="1"/>
  <c r="E1999" i="1"/>
  <c r="E1998" i="1"/>
  <c r="E1997" i="1"/>
  <c r="E1996" i="1"/>
  <c r="E1995" i="1"/>
  <c r="E1994" i="1"/>
  <c r="E1993" i="1"/>
  <c r="E1992" i="1"/>
  <c r="E1991" i="1"/>
  <c r="E1990" i="1"/>
  <c r="E1989" i="1"/>
  <c r="E1988" i="1"/>
  <c r="E1987" i="1"/>
  <c r="E1986" i="1"/>
  <c r="E1985" i="1"/>
  <c r="E1984" i="1"/>
  <c r="E1983" i="1"/>
  <c r="E1982" i="1"/>
  <c r="E1981" i="1"/>
  <c r="E1980" i="1"/>
  <c r="E1979" i="1"/>
  <c r="E1978" i="1"/>
  <c r="E1977" i="1"/>
  <c r="E1976" i="1"/>
  <c r="E1975" i="1"/>
  <c r="E1974" i="1"/>
  <c r="E1973" i="1"/>
  <c r="E1972" i="1"/>
  <c r="E1971" i="1"/>
  <c r="E1970" i="1"/>
  <c r="E1969" i="1"/>
  <c r="E1968" i="1"/>
  <c r="E1967" i="1"/>
  <c r="E1966" i="1"/>
  <c r="E1965" i="1"/>
  <c r="E1964" i="1"/>
  <c r="E1963" i="1"/>
  <c r="E1962" i="1"/>
  <c r="E1961" i="1"/>
  <c r="E1960" i="1"/>
  <c r="E1959" i="1"/>
  <c r="E1958" i="1"/>
  <c r="E1957" i="1"/>
  <c r="E1956" i="1"/>
  <c r="E1955" i="1"/>
  <c r="E1954" i="1"/>
  <c r="E1953" i="1"/>
  <c r="E1952" i="1"/>
  <c r="E1951" i="1"/>
  <c r="E1950" i="1"/>
  <c r="E1949" i="1"/>
  <c r="E1948" i="1"/>
  <c r="E1947" i="1"/>
  <c r="E1946" i="1"/>
  <c r="E1945" i="1"/>
  <c r="E1944" i="1"/>
  <c r="E1943" i="1"/>
  <c r="E1942" i="1"/>
  <c r="E1941" i="1"/>
  <c r="E1940" i="1"/>
  <c r="E1939" i="1"/>
  <c r="E1938" i="1"/>
  <c r="E1937" i="1"/>
  <c r="E1936" i="1"/>
  <c r="E1935" i="1"/>
  <c r="E1934" i="1"/>
  <c r="E1933" i="1"/>
  <c r="E1932" i="1"/>
  <c r="E1931" i="1"/>
  <c r="E1930" i="1"/>
  <c r="E1929" i="1"/>
  <c r="E1928" i="1"/>
  <c r="E1927" i="1"/>
  <c r="E1926" i="1"/>
  <c r="E1925" i="1"/>
  <c r="E1924" i="1"/>
  <c r="E1923" i="1"/>
  <c r="E1922" i="1"/>
  <c r="E1921" i="1"/>
  <c r="E1920" i="1"/>
  <c r="E1919" i="1"/>
  <c r="E1918" i="1"/>
  <c r="E1917" i="1"/>
  <c r="E1916" i="1"/>
  <c r="E1915" i="1"/>
  <c r="E1914" i="1"/>
  <c r="E1913" i="1"/>
  <c r="E1912" i="1"/>
  <c r="E1911" i="1"/>
  <c r="E1910" i="1"/>
  <c r="E1909" i="1"/>
  <c r="E1908" i="1"/>
  <c r="E1907" i="1"/>
  <c r="E1906" i="1"/>
  <c r="E1905" i="1"/>
  <c r="E1904" i="1"/>
  <c r="E1903" i="1"/>
  <c r="E1902" i="1"/>
  <c r="E1901" i="1"/>
  <c r="E1900" i="1"/>
  <c r="E1899" i="1"/>
  <c r="E1898" i="1"/>
  <c r="E1897" i="1"/>
  <c r="E1896" i="1"/>
  <c r="E1895" i="1"/>
  <c r="E1894" i="1"/>
  <c r="E1893" i="1"/>
  <c r="E1892" i="1"/>
  <c r="E1891" i="1"/>
  <c r="E1890" i="1"/>
  <c r="E1889" i="1"/>
  <c r="E1888" i="1"/>
  <c r="E1887" i="1"/>
  <c r="E1886" i="1"/>
  <c r="E1885" i="1"/>
  <c r="E1884" i="1"/>
  <c r="E1883" i="1"/>
  <c r="E1882" i="1"/>
  <c r="E1881" i="1"/>
  <c r="E1880" i="1"/>
  <c r="E1879" i="1"/>
  <c r="E1878" i="1"/>
  <c r="E1877" i="1"/>
  <c r="E1876" i="1"/>
  <c r="E1875" i="1"/>
  <c r="E1874" i="1"/>
  <c r="E1873" i="1"/>
  <c r="E1872" i="1"/>
  <c r="E1871" i="1"/>
  <c r="E1870" i="1"/>
  <c r="E1869" i="1"/>
  <c r="E1868" i="1"/>
  <c r="E1867" i="1"/>
  <c r="E1866" i="1"/>
  <c r="E1865" i="1"/>
  <c r="E1864" i="1"/>
  <c r="E1863" i="1"/>
  <c r="E1862" i="1"/>
  <c r="E1861" i="1"/>
  <c r="E1860" i="1"/>
  <c r="E1859" i="1"/>
  <c r="E1858" i="1"/>
  <c r="E1857" i="1"/>
  <c r="E1856" i="1"/>
  <c r="E1855" i="1"/>
  <c r="E1854" i="1"/>
  <c r="E1853" i="1"/>
  <c r="E1852" i="1"/>
  <c r="E1851" i="1"/>
  <c r="E1850" i="1"/>
  <c r="E1849" i="1"/>
  <c r="E1848" i="1"/>
  <c r="E1847" i="1"/>
  <c r="E1846" i="1"/>
  <c r="E1845" i="1"/>
  <c r="E1844" i="1"/>
  <c r="E1843" i="1"/>
  <c r="E1842" i="1"/>
  <c r="E1841" i="1"/>
  <c r="E1840" i="1"/>
  <c r="E1839" i="1"/>
  <c r="E1838" i="1"/>
  <c r="E1837" i="1"/>
  <c r="E1836" i="1"/>
  <c r="E1835" i="1"/>
  <c r="E1834" i="1"/>
  <c r="E1833" i="1"/>
  <c r="E1832" i="1"/>
  <c r="E1831" i="1"/>
  <c r="E1830" i="1"/>
  <c r="E1829" i="1"/>
  <c r="E1828" i="1"/>
  <c r="E1827" i="1"/>
  <c r="E1826" i="1"/>
  <c r="E1825" i="1"/>
  <c r="E1824" i="1"/>
  <c r="E1823" i="1"/>
  <c r="E1822" i="1"/>
  <c r="E1821" i="1"/>
  <c r="E1820" i="1"/>
  <c r="E1819" i="1"/>
  <c r="E1818" i="1"/>
  <c r="E1817" i="1"/>
  <c r="E1816" i="1"/>
  <c r="E1815" i="1"/>
  <c r="E1814" i="1"/>
  <c r="E1813" i="1"/>
  <c r="E1812" i="1"/>
  <c r="E1811" i="1"/>
  <c r="E1810" i="1"/>
  <c r="E1809" i="1"/>
  <c r="E1808" i="1"/>
  <c r="E1807" i="1"/>
  <c r="E1806" i="1"/>
  <c r="E1805" i="1"/>
  <c r="E1804" i="1"/>
  <c r="E1803" i="1"/>
  <c r="E1802" i="1"/>
  <c r="E1801" i="1"/>
  <c r="E1800" i="1"/>
  <c r="E1799" i="1"/>
  <c r="E1798" i="1"/>
  <c r="E1797" i="1"/>
  <c r="E1796" i="1"/>
  <c r="E1795" i="1"/>
  <c r="E1794" i="1"/>
  <c r="E1793" i="1"/>
  <c r="E1792" i="1"/>
  <c r="E1791" i="1"/>
  <c r="E1790" i="1"/>
  <c r="E1789" i="1"/>
  <c r="E1788" i="1"/>
  <c r="E1787" i="1"/>
  <c r="E1786" i="1"/>
  <c r="E1785" i="1"/>
  <c r="E1784" i="1"/>
  <c r="E1783" i="1"/>
  <c r="E1782" i="1"/>
  <c r="E1781" i="1"/>
  <c r="E1780" i="1"/>
  <c r="E1779" i="1"/>
  <c r="E1778" i="1"/>
  <c r="E1777" i="1"/>
  <c r="E1776" i="1"/>
  <c r="E1775" i="1"/>
  <c r="E1774" i="1"/>
  <c r="E1773" i="1"/>
  <c r="E1772" i="1"/>
  <c r="E1771" i="1"/>
  <c r="E1770" i="1"/>
  <c r="E1769" i="1"/>
  <c r="E1768" i="1"/>
  <c r="E1767" i="1"/>
  <c r="E1766" i="1"/>
  <c r="E1765" i="1"/>
  <c r="E1764" i="1"/>
  <c r="E1763" i="1"/>
  <c r="E1762" i="1"/>
  <c r="E1761" i="1"/>
  <c r="E1760" i="1"/>
  <c r="E1759" i="1"/>
  <c r="E1758" i="1"/>
  <c r="E1757" i="1"/>
  <c r="E1756" i="1"/>
  <c r="E1755" i="1"/>
  <c r="E1754" i="1"/>
  <c r="E1753" i="1"/>
  <c r="E1752" i="1"/>
  <c r="E1751" i="1"/>
  <c r="E1750" i="1"/>
  <c r="E1749" i="1"/>
  <c r="E1748" i="1"/>
  <c r="E1747" i="1"/>
  <c r="E1746" i="1"/>
  <c r="E1745" i="1"/>
  <c r="E1744" i="1"/>
  <c r="E1743" i="1"/>
  <c r="E1742" i="1"/>
  <c r="E1741" i="1"/>
  <c r="E1740" i="1"/>
  <c r="E1739" i="1"/>
  <c r="E1738" i="1"/>
  <c r="E1737" i="1"/>
  <c r="E1736" i="1"/>
  <c r="E1735" i="1"/>
  <c r="E1734" i="1"/>
  <c r="E1733" i="1"/>
  <c r="E1732" i="1"/>
  <c r="E1731" i="1"/>
  <c r="E1730" i="1"/>
  <c r="E1729" i="1"/>
  <c r="E1728" i="1"/>
  <c r="E1727" i="1"/>
  <c r="E1726" i="1"/>
  <c r="E1725" i="1"/>
  <c r="E1724" i="1"/>
  <c r="E1723" i="1"/>
  <c r="E1722" i="1"/>
  <c r="E1721" i="1"/>
  <c r="E1720" i="1"/>
  <c r="E1719" i="1"/>
  <c r="E1718" i="1"/>
  <c r="E1717" i="1"/>
  <c r="E1716" i="1"/>
  <c r="E1715" i="1"/>
  <c r="E1714" i="1"/>
  <c r="E1713" i="1"/>
  <c r="E1712" i="1"/>
  <c r="E1711" i="1"/>
  <c r="E1710" i="1"/>
  <c r="E1709" i="1"/>
  <c r="E1708" i="1"/>
  <c r="E1707" i="1"/>
  <c r="E1706" i="1"/>
  <c r="E1705" i="1"/>
  <c r="E1704" i="1"/>
  <c r="E1703" i="1"/>
  <c r="E1702" i="1"/>
  <c r="E1701" i="1"/>
  <c r="E1700" i="1"/>
  <c r="E1699" i="1"/>
  <c r="E1698" i="1"/>
  <c r="E1697" i="1"/>
  <c r="E1696" i="1"/>
  <c r="E1695" i="1"/>
  <c r="E1694" i="1"/>
  <c r="E1693" i="1"/>
  <c r="E1692" i="1"/>
  <c r="E1691" i="1"/>
  <c r="E1690" i="1"/>
  <c r="E1689" i="1"/>
  <c r="E1688" i="1"/>
  <c r="E1687" i="1"/>
  <c r="E1686" i="1"/>
  <c r="E1685" i="1"/>
  <c r="E1684" i="1"/>
  <c r="E1683" i="1"/>
  <c r="E1682" i="1"/>
  <c r="E1681" i="1"/>
  <c r="E1680" i="1"/>
  <c r="E1679" i="1"/>
  <c r="E1678" i="1"/>
  <c r="E1677" i="1"/>
  <c r="E1676" i="1"/>
  <c r="E1675" i="1"/>
  <c r="E1674" i="1"/>
  <c r="E1673" i="1"/>
  <c r="E1672" i="1"/>
  <c r="E1671" i="1"/>
  <c r="E1670" i="1"/>
  <c r="E1669" i="1"/>
  <c r="E1668" i="1"/>
  <c r="E1667" i="1"/>
  <c r="E1666" i="1"/>
  <c r="E1665" i="1"/>
  <c r="E1664" i="1"/>
  <c r="E1663" i="1"/>
  <c r="E1662" i="1"/>
  <c r="E1661" i="1"/>
  <c r="E1660" i="1"/>
  <c r="E1659" i="1"/>
  <c r="E1658" i="1"/>
  <c r="E1657" i="1"/>
  <c r="E1656" i="1"/>
  <c r="E1655" i="1"/>
  <c r="E1654" i="1"/>
  <c r="E1653" i="1"/>
  <c r="E1652" i="1"/>
  <c r="E1651" i="1"/>
  <c r="E1650" i="1"/>
  <c r="E1649" i="1"/>
  <c r="E1648" i="1"/>
  <c r="E1647" i="1"/>
  <c r="E1646" i="1"/>
  <c r="E1645" i="1"/>
  <c r="E1644" i="1"/>
  <c r="E1643" i="1"/>
  <c r="E1642" i="1"/>
  <c r="E1641" i="1"/>
  <c r="E1640" i="1"/>
  <c r="E1639" i="1"/>
  <c r="E1638" i="1"/>
  <c r="E1637" i="1"/>
  <c r="E1636" i="1"/>
  <c r="E1635" i="1"/>
  <c r="E1634" i="1"/>
  <c r="E1633" i="1"/>
  <c r="E1632" i="1"/>
  <c r="E1631" i="1"/>
  <c r="E1630" i="1"/>
  <c r="E1629" i="1"/>
  <c r="E1628" i="1"/>
  <c r="E1627" i="1"/>
  <c r="E1626" i="1"/>
  <c r="E1625" i="1"/>
  <c r="E1624" i="1"/>
  <c r="E1623" i="1"/>
  <c r="E1622" i="1"/>
  <c r="E1621" i="1"/>
  <c r="E1620" i="1"/>
  <c r="E1619" i="1"/>
  <c r="E1618" i="1"/>
  <c r="E1617" i="1"/>
  <c r="E1616" i="1"/>
  <c r="E1615" i="1"/>
  <c r="E1614" i="1"/>
  <c r="E1613" i="1"/>
  <c r="E1612" i="1"/>
  <c r="E1611" i="1"/>
  <c r="E1610" i="1"/>
  <c r="E1609" i="1"/>
  <c r="E1608" i="1"/>
  <c r="E1607" i="1"/>
  <c r="E1606" i="1"/>
  <c r="E1605" i="1"/>
  <c r="E1604" i="1"/>
  <c r="E1603" i="1"/>
  <c r="E1602" i="1"/>
  <c r="E1601" i="1"/>
  <c r="E1600" i="1"/>
  <c r="E1599" i="1"/>
  <c r="E1598" i="1"/>
  <c r="E1597" i="1"/>
  <c r="E1596" i="1"/>
  <c r="E1595" i="1"/>
  <c r="E1594" i="1"/>
  <c r="E1593" i="1"/>
  <c r="E1592" i="1"/>
  <c r="E1591" i="1"/>
  <c r="E1590" i="1"/>
  <c r="E1589" i="1"/>
  <c r="E1588" i="1"/>
  <c r="E1587" i="1"/>
  <c r="E1586" i="1"/>
  <c r="E1585" i="1"/>
  <c r="E1584" i="1"/>
  <c r="E1583" i="1"/>
  <c r="E1582" i="1"/>
  <c r="E1581" i="1"/>
  <c r="E1580" i="1"/>
  <c r="E1579" i="1"/>
  <c r="E1578" i="1"/>
  <c r="E1577" i="1"/>
  <c r="E1576" i="1"/>
  <c r="E1575" i="1"/>
  <c r="E1574" i="1"/>
  <c r="E1573" i="1"/>
  <c r="E1572" i="1"/>
  <c r="E1571" i="1"/>
  <c r="E1570" i="1"/>
  <c r="E1569" i="1"/>
  <c r="E1568" i="1"/>
  <c r="E1567" i="1"/>
  <c r="E1566" i="1"/>
  <c r="E1565" i="1"/>
  <c r="E1564" i="1"/>
  <c r="E1563" i="1"/>
  <c r="E1562" i="1"/>
  <c r="E1561" i="1"/>
  <c r="E1560" i="1"/>
  <c r="E1559" i="1"/>
  <c r="E1558" i="1"/>
  <c r="E1557" i="1"/>
  <c r="E1556" i="1"/>
  <c r="E1555" i="1"/>
  <c r="E1554" i="1"/>
  <c r="E1553" i="1"/>
  <c r="E1552" i="1"/>
  <c r="E1551" i="1"/>
  <c r="E1550" i="1"/>
  <c r="E1549" i="1"/>
  <c r="E1548" i="1"/>
  <c r="E1547" i="1"/>
  <c r="E1546" i="1"/>
  <c r="E1545" i="1"/>
  <c r="E1544" i="1"/>
  <c r="E1543" i="1"/>
  <c r="E1542" i="1"/>
  <c r="E1541" i="1"/>
  <c r="E1540" i="1"/>
  <c r="E1539" i="1"/>
  <c r="E1538" i="1"/>
  <c r="E1537" i="1"/>
  <c r="E1536" i="1"/>
  <c r="E1535" i="1"/>
  <c r="E1534" i="1"/>
  <c r="E1533" i="1"/>
  <c r="E1532" i="1"/>
  <c r="E1531" i="1"/>
  <c r="E1530" i="1"/>
  <c r="E1529" i="1"/>
  <c r="E1528" i="1"/>
  <c r="E1527" i="1"/>
  <c r="E1526" i="1"/>
  <c r="E1525" i="1"/>
  <c r="E1524" i="1"/>
  <c r="E1523" i="1"/>
  <c r="E1522" i="1"/>
  <c r="E1521" i="1"/>
  <c r="E1520" i="1"/>
  <c r="E1519" i="1"/>
  <c r="E1518" i="1"/>
  <c r="E1517" i="1"/>
  <c r="E1516" i="1"/>
  <c r="E1515" i="1"/>
  <c r="E1514" i="1"/>
  <c r="E1513" i="1"/>
  <c r="E1512" i="1"/>
  <c r="E1511" i="1"/>
  <c r="E1510" i="1"/>
  <c r="E1509" i="1"/>
  <c r="E1508" i="1"/>
  <c r="E1507" i="1"/>
  <c r="E1506" i="1"/>
  <c r="E1505" i="1"/>
  <c r="E1504" i="1"/>
  <c r="E1503" i="1"/>
  <c r="E1502" i="1"/>
  <c r="E1501" i="1"/>
  <c r="E1500" i="1"/>
  <c r="E1499" i="1"/>
  <c r="E1498" i="1"/>
  <c r="E1497" i="1"/>
  <c r="E1496" i="1"/>
  <c r="E1495" i="1"/>
  <c r="E1494" i="1"/>
  <c r="E1493" i="1"/>
  <c r="E1492" i="1"/>
  <c r="E1491" i="1"/>
  <c r="E1490" i="1"/>
  <c r="E1489" i="1"/>
  <c r="E1488" i="1"/>
  <c r="E1487" i="1"/>
  <c r="E1486" i="1"/>
  <c r="E1485" i="1"/>
  <c r="E1484" i="1"/>
  <c r="E1483" i="1"/>
  <c r="E1482" i="1"/>
  <c r="E1481" i="1"/>
  <c r="E1480" i="1"/>
  <c r="E1479" i="1"/>
  <c r="E1478" i="1"/>
  <c r="E1477" i="1"/>
  <c r="E1476" i="1"/>
  <c r="E1475" i="1"/>
  <c r="E1474" i="1"/>
  <c r="E1473" i="1"/>
  <c r="E1472" i="1"/>
  <c r="E1471" i="1"/>
  <c r="E1470" i="1"/>
  <c r="E1469" i="1"/>
  <c r="E1468" i="1"/>
  <c r="E1467" i="1"/>
  <c r="E1466" i="1"/>
  <c r="E1465" i="1"/>
  <c r="E1464" i="1"/>
  <c r="E1463" i="1"/>
  <c r="E1462" i="1"/>
  <c r="E1461" i="1"/>
  <c r="E1460" i="1"/>
  <c r="E1459" i="1"/>
  <c r="E1458" i="1"/>
  <c r="E1457" i="1"/>
  <c r="E1456" i="1"/>
  <c r="E1455" i="1"/>
  <c r="E1454" i="1"/>
  <c r="E1453" i="1"/>
  <c r="E1452" i="1"/>
  <c r="E1451" i="1"/>
  <c r="E1450" i="1"/>
  <c r="E1449" i="1"/>
  <c r="E1448" i="1"/>
  <c r="E1447" i="1"/>
  <c r="E1446" i="1"/>
  <c r="E1445" i="1"/>
  <c r="E1444" i="1"/>
  <c r="E1443" i="1"/>
  <c r="E1442" i="1"/>
  <c r="E1441" i="1"/>
  <c r="E1440" i="1"/>
  <c r="E1439" i="1"/>
  <c r="E1438" i="1"/>
  <c r="E1437" i="1"/>
  <c r="E1436" i="1"/>
  <c r="E1435" i="1"/>
  <c r="E1434" i="1"/>
  <c r="E1433" i="1"/>
  <c r="E1432" i="1"/>
  <c r="E1431" i="1"/>
  <c r="E1430" i="1"/>
  <c r="E1429" i="1"/>
  <c r="E1428" i="1"/>
  <c r="E1427" i="1"/>
  <c r="E1426" i="1"/>
  <c r="E1425" i="1"/>
  <c r="E1424" i="1"/>
  <c r="E1423" i="1"/>
  <c r="E1422" i="1"/>
  <c r="E1421" i="1"/>
  <c r="E1420" i="1"/>
  <c r="E1419" i="1"/>
  <c r="E1418" i="1"/>
  <c r="E1417" i="1"/>
  <c r="E1416" i="1"/>
  <c r="E1415" i="1"/>
  <c r="E1414" i="1"/>
  <c r="E1413" i="1"/>
  <c r="E1412" i="1"/>
  <c r="E1411" i="1"/>
  <c r="E1410" i="1"/>
  <c r="E1409" i="1"/>
  <c r="E1408" i="1"/>
  <c r="E1407" i="1"/>
  <c r="E1406" i="1"/>
  <c r="E1405" i="1"/>
  <c r="E1404" i="1"/>
  <c r="E1403" i="1"/>
  <c r="E1402" i="1"/>
  <c r="E1401" i="1"/>
  <c r="E1400" i="1"/>
  <c r="E1399" i="1"/>
  <c r="E1398" i="1"/>
  <c r="E1397" i="1"/>
  <c r="E1396" i="1"/>
  <c r="E1395" i="1"/>
  <c r="E1394" i="1"/>
  <c r="E1393" i="1"/>
  <c r="E1392" i="1"/>
  <c r="E1391" i="1"/>
  <c r="E1390" i="1"/>
  <c r="E1389" i="1"/>
  <c r="E1388" i="1"/>
  <c r="E1387" i="1"/>
  <c r="E1386" i="1"/>
  <c r="E1385" i="1"/>
  <c r="E1384" i="1"/>
  <c r="E1383" i="1"/>
  <c r="E1382" i="1"/>
  <c r="E1381" i="1"/>
  <c r="E1380" i="1"/>
  <c r="E1379" i="1"/>
  <c r="E1378" i="1"/>
  <c r="E1377" i="1"/>
  <c r="E1376" i="1"/>
  <c r="E1375" i="1"/>
  <c r="E1374" i="1"/>
  <c r="E1373" i="1"/>
  <c r="E1372" i="1"/>
  <c r="E1371" i="1"/>
  <c r="E1370" i="1"/>
  <c r="E1369" i="1"/>
  <c r="E1368" i="1"/>
  <c r="E1367" i="1"/>
  <c r="E1366" i="1"/>
  <c r="E1365" i="1"/>
  <c r="E1364" i="1"/>
  <c r="E1363" i="1"/>
  <c r="E1362" i="1"/>
  <c r="E1361" i="1"/>
  <c r="E1360" i="1"/>
  <c r="E1359" i="1"/>
  <c r="E1358" i="1"/>
  <c r="E1357" i="1"/>
  <c r="E1356" i="1"/>
  <c r="E1355" i="1"/>
  <c r="E1354" i="1"/>
  <c r="E1353" i="1"/>
  <c r="E1352" i="1"/>
  <c r="E1351" i="1"/>
  <c r="E1350" i="1"/>
  <c r="E1349" i="1"/>
  <c r="E1348" i="1"/>
  <c r="E1347" i="1"/>
  <c r="E1346" i="1"/>
  <c r="E1345" i="1"/>
  <c r="E1344" i="1"/>
  <c r="E1343" i="1"/>
  <c r="E1342" i="1"/>
  <c r="E1341" i="1"/>
  <c r="E1340" i="1"/>
  <c r="E1339" i="1"/>
  <c r="E1338" i="1"/>
  <c r="E1337" i="1"/>
  <c r="E1336" i="1"/>
  <c r="E1335" i="1"/>
  <c r="E1334" i="1"/>
  <c r="E1333" i="1"/>
  <c r="E1332" i="1"/>
  <c r="E1331" i="1"/>
  <c r="E1330" i="1"/>
  <c r="E1329" i="1"/>
  <c r="E1328" i="1"/>
  <c r="E1327" i="1"/>
  <c r="E1326" i="1"/>
  <c r="E1325" i="1"/>
  <c r="E1324" i="1"/>
  <c r="E1323" i="1"/>
  <c r="E1322" i="1"/>
  <c r="E1321" i="1"/>
  <c r="E1320" i="1"/>
  <c r="E1319" i="1"/>
  <c r="E1318" i="1"/>
  <c r="E1317" i="1"/>
  <c r="E1316" i="1"/>
  <c r="E1315" i="1"/>
  <c r="E1314" i="1"/>
  <c r="E1313" i="1"/>
  <c r="E1312" i="1"/>
  <c r="E1311" i="1"/>
  <c r="E1310" i="1"/>
  <c r="E1309" i="1"/>
  <c r="E1308" i="1"/>
  <c r="E1307" i="1"/>
  <c r="E1306" i="1"/>
  <c r="E1305" i="1"/>
  <c r="E1304" i="1"/>
  <c r="E1303" i="1"/>
  <c r="E1302" i="1"/>
  <c r="E1301" i="1"/>
  <c r="E1300" i="1"/>
  <c r="E1299" i="1"/>
  <c r="E1298" i="1"/>
  <c r="E1297" i="1"/>
  <c r="E1296" i="1"/>
  <c r="E1295" i="1"/>
  <c r="E1294" i="1"/>
  <c r="E1293" i="1"/>
  <c r="E1292" i="1"/>
  <c r="E1291" i="1"/>
  <c r="E1290" i="1"/>
  <c r="E1289" i="1"/>
  <c r="E1288" i="1"/>
  <c r="E1287" i="1"/>
  <c r="E1286" i="1"/>
  <c r="E1285" i="1"/>
  <c r="E1284" i="1"/>
  <c r="E1283" i="1"/>
  <c r="E1282" i="1"/>
  <c r="E1281" i="1"/>
  <c r="E1280" i="1"/>
  <c r="E1279" i="1"/>
  <c r="E1278" i="1"/>
  <c r="E1277" i="1"/>
  <c r="E1276" i="1"/>
  <c r="E1275" i="1"/>
  <c r="E1274" i="1"/>
  <c r="E1273" i="1"/>
  <c r="E1272" i="1"/>
  <c r="E1271" i="1"/>
  <c r="E1270" i="1"/>
  <c r="E1269" i="1"/>
  <c r="E1268" i="1"/>
  <c r="E1267" i="1"/>
  <c r="E1266" i="1"/>
  <c r="E1265" i="1"/>
  <c r="E1264" i="1"/>
  <c r="E1263" i="1"/>
  <c r="E1262" i="1"/>
  <c r="E1261" i="1"/>
  <c r="E1260" i="1"/>
  <c r="E1259" i="1"/>
  <c r="E1258" i="1"/>
  <c r="E1257" i="1"/>
  <c r="E1256" i="1"/>
  <c r="E1255" i="1"/>
  <c r="E1254" i="1"/>
  <c r="E1253" i="1"/>
  <c r="E1252" i="1"/>
  <c r="E1251" i="1"/>
  <c r="E1250" i="1"/>
  <c r="E1249" i="1"/>
  <c r="E1248" i="1"/>
  <c r="E1247" i="1"/>
  <c r="E1246" i="1"/>
  <c r="E1245" i="1"/>
  <c r="E1244" i="1"/>
  <c r="E1243" i="1"/>
  <c r="E1242" i="1"/>
  <c r="E1241" i="1"/>
  <c r="E1240" i="1"/>
  <c r="E1239" i="1"/>
  <c r="E1238" i="1"/>
  <c r="E1237" i="1"/>
  <c r="E1236" i="1"/>
  <c r="E1235" i="1"/>
  <c r="E1234" i="1"/>
  <c r="E1233" i="1"/>
  <c r="E1232" i="1"/>
  <c r="E1231" i="1"/>
  <c r="E1230" i="1"/>
  <c r="E1229" i="1"/>
  <c r="E1228" i="1"/>
  <c r="E1227" i="1"/>
  <c r="E1226" i="1"/>
  <c r="E1225" i="1"/>
  <c r="E1224" i="1"/>
  <c r="E1223" i="1"/>
  <c r="E1222" i="1"/>
  <c r="E1221" i="1"/>
  <c r="E1220" i="1"/>
  <c r="E1219" i="1"/>
  <c r="E1218" i="1"/>
  <c r="E1217" i="1"/>
  <c r="E1216" i="1"/>
  <c r="E1215" i="1"/>
  <c r="E1214" i="1"/>
  <c r="E1213" i="1"/>
  <c r="E1212" i="1"/>
  <c r="E1211" i="1"/>
  <c r="E1210" i="1"/>
  <c r="E1209" i="1"/>
  <c r="E1208" i="1"/>
  <c r="E1207" i="1"/>
  <c r="E1206" i="1"/>
  <c r="E1205" i="1"/>
  <c r="E1204" i="1"/>
  <c r="E1203" i="1"/>
  <c r="E1202" i="1"/>
  <c r="E1201" i="1"/>
  <c r="E1200" i="1"/>
  <c r="E1199" i="1"/>
  <c r="E1198" i="1"/>
  <c r="E1197" i="1"/>
  <c r="E1196" i="1"/>
  <c r="E1195" i="1"/>
  <c r="E1194" i="1"/>
  <c r="E1193" i="1"/>
  <c r="E1192" i="1"/>
  <c r="E1191" i="1"/>
  <c r="E1190" i="1"/>
  <c r="E1189" i="1"/>
  <c r="E1188" i="1"/>
  <c r="E1187" i="1"/>
  <c r="E1186" i="1"/>
  <c r="E1185" i="1"/>
  <c r="E1184" i="1"/>
  <c r="E1183" i="1"/>
  <c r="E1182" i="1"/>
  <c r="E1181" i="1"/>
  <c r="E1180" i="1"/>
  <c r="E1179" i="1"/>
  <c r="E1178" i="1"/>
  <c r="E1177" i="1"/>
  <c r="E1176" i="1"/>
  <c r="E1175" i="1"/>
  <c r="E1174" i="1"/>
  <c r="E1173" i="1"/>
  <c r="E1172" i="1"/>
  <c r="E1171" i="1"/>
  <c r="E1170" i="1"/>
  <c r="E1169" i="1"/>
  <c r="E1168" i="1"/>
  <c r="E1167" i="1"/>
  <c r="E1166" i="1"/>
  <c r="E1165" i="1"/>
  <c r="E1164" i="1"/>
  <c r="E1163" i="1"/>
  <c r="E1162" i="1"/>
  <c r="E1161" i="1"/>
  <c r="E1160" i="1"/>
  <c r="E1159" i="1"/>
  <c r="E1158" i="1"/>
  <c r="E1157" i="1"/>
  <c r="E1156" i="1"/>
  <c r="E1155" i="1"/>
  <c r="E1154" i="1"/>
  <c r="E1153" i="1"/>
  <c r="E1152" i="1"/>
  <c r="E1151" i="1"/>
  <c r="E1150" i="1"/>
  <c r="E1149" i="1"/>
  <c r="E1148" i="1"/>
  <c r="E1147" i="1"/>
  <c r="E1146" i="1"/>
  <c r="E1145" i="1"/>
  <c r="E1144" i="1"/>
  <c r="E1143" i="1"/>
  <c r="E1142" i="1"/>
  <c r="E1141" i="1"/>
  <c r="E1140" i="1"/>
  <c r="E1139" i="1"/>
  <c r="E1138" i="1"/>
  <c r="E1137" i="1"/>
  <c r="E1136" i="1"/>
  <c r="E1135" i="1"/>
  <c r="E1134" i="1"/>
  <c r="E1133" i="1"/>
  <c r="E1132" i="1"/>
  <c r="E1131" i="1"/>
  <c r="E1130" i="1"/>
  <c r="E1129" i="1"/>
  <c r="E1128" i="1"/>
  <c r="E1127" i="1"/>
  <c r="E1126" i="1"/>
  <c r="E1125" i="1"/>
  <c r="E1124" i="1"/>
  <c r="E1123" i="1"/>
  <c r="E1122" i="1"/>
  <c r="E1121" i="1"/>
  <c r="E1120" i="1"/>
  <c r="E1119" i="1"/>
  <c r="E1118" i="1"/>
  <c r="E1117" i="1"/>
  <c r="E1116" i="1"/>
  <c r="E1115" i="1"/>
  <c r="E1114" i="1"/>
  <c r="E1113" i="1"/>
  <c r="E1112" i="1"/>
  <c r="E1111" i="1"/>
  <c r="E1110" i="1"/>
  <c r="E1109" i="1"/>
  <c r="E1108" i="1"/>
  <c r="E1107" i="1"/>
  <c r="E1106" i="1"/>
  <c r="E1105" i="1"/>
  <c r="E1104" i="1"/>
  <c r="E1103" i="1"/>
  <c r="E1102" i="1"/>
  <c r="E1101" i="1"/>
  <c r="E1100" i="1"/>
  <c r="E1099" i="1"/>
  <c r="E1098" i="1"/>
  <c r="E1097" i="1"/>
  <c r="E1096" i="1"/>
  <c r="E1095" i="1"/>
  <c r="E1094" i="1"/>
  <c r="E1093" i="1"/>
  <c r="E1092" i="1"/>
  <c r="E1091" i="1"/>
  <c r="E1090" i="1"/>
  <c r="E1089" i="1"/>
  <c r="E1088" i="1"/>
  <c r="E1087" i="1"/>
  <c r="E1086" i="1"/>
  <c r="E1085" i="1"/>
  <c r="E1084" i="1"/>
  <c r="E1083" i="1"/>
  <c r="E1082" i="1"/>
  <c r="E1081" i="1"/>
  <c r="E1080" i="1"/>
  <c r="E1079" i="1"/>
  <c r="E1078" i="1"/>
  <c r="E1077" i="1"/>
  <c r="E1076" i="1"/>
  <c r="E1075" i="1"/>
  <c r="E1074" i="1"/>
  <c r="E1073" i="1"/>
  <c r="E1072" i="1"/>
  <c r="E1071" i="1"/>
  <c r="E1070" i="1"/>
  <c r="E1069" i="1"/>
  <c r="E1068" i="1"/>
  <c r="E1067" i="1"/>
  <c r="E1066" i="1"/>
  <c r="E1065" i="1"/>
  <c r="E1064" i="1"/>
  <c r="E1063" i="1"/>
  <c r="E1062" i="1"/>
  <c r="E1061" i="1"/>
  <c r="E1060" i="1"/>
  <c r="E1059" i="1"/>
  <c r="E1058" i="1"/>
  <c r="E1057" i="1"/>
  <c r="E1056" i="1"/>
  <c r="E1055" i="1"/>
  <c r="E1054" i="1"/>
  <c r="E1053" i="1"/>
  <c r="E1052" i="1"/>
  <c r="E1051" i="1"/>
  <c r="E1050" i="1"/>
  <c r="E1049" i="1"/>
  <c r="E1048" i="1"/>
  <c r="E1047" i="1"/>
  <c r="E1046" i="1"/>
  <c r="E1045" i="1"/>
  <c r="E1044" i="1"/>
  <c r="E1043" i="1"/>
  <c r="E1042" i="1"/>
  <c r="E1041" i="1"/>
  <c r="E1040" i="1"/>
  <c r="E1039" i="1"/>
  <c r="E1038" i="1"/>
  <c r="E1037" i="1"/>
  <c r="E1036" i="1"/>
  <c r="E1035" i="1"/>
  <c r="E1034" i="1"/>
  <c r="E1033" i="1"/>
  <c r="E1032" i="1"/>
  <c r="E1031" i="1"/>
  <c r="E1030" i="1"/>
  <c r="E1029" i="1"/>
  <c r="E1028" i="1"/>
  <c r="E1027" i="1"/>
  <c r="E1026" i="1"/>
  <c r="E1025" i="1"/>
  <c r="E1024" i="1"/>
  <c r="E1023" i="1"/>
  <c r="E1022" i="1"/>
  <c r="E1021" i="1"/>
  <c r="E1020" i="1"/>
  <c r="E1019" i="1"/>
  <c r="E1018" i="1"/>
  <c r="E1017" i="1"/>
  <c r="E1016" i="1"/>
  <c r="E1015" i="1"/>
  <c r="E1014" i="1"/>
  <c r="E1013" i="1"/>
  <c r="E1012" i="1"/>
  <c r="E1011" i="1"/>
  <c r="E1010" i="1"/>
  <c r="E1009" i="1"/>
  <c r="E1008" i="1"/>
  <c r="E1007" i="1"/>
  <c r="E1006" i="1"/>
  <c r="E1005" i="1"/>
  <c r="E1004" i="1"/>
  <c r="E1003" i="1"/>
  <c r="E1002" i="1"/>
  <c r="E1001" i="1"/>
  <c r="E1000" i="1"/>
  <c r="E999" i="1"/>
  <c r="E998" i="1"/>
  <c r="E997" i="1"/>
  <c r="E996" i="1"/>
  <c r="E995" i="1"/>
  <c r="E994" i="1"/>
  <c r="E993" i="1"/>
  <c r="E992" i="1"/>
  <c r="E991" i="1"/>
  <c r="E990" i="1"/>
  <c r="E989" i="1"/>
  <c r="E988" i="1"/>
  <c r="E987" i="1"/>
  <c r="E986" i="1"/>
  <c r="E985" i="1"/>
  <c r="E984" i="1"/>
  <c r="E983" i="1"/>
  <c r="E982" i="1"/>
  <c r="E981" i="1"/>
  <c r="E980" i="1"/>
  <c r="E979" i="1"/>
  <c r="E978" i="1"/>
  <c r="E977" i="1"/>
  <c r="E976" i="1"/>
  <c r="E975" i="1"/>
  <c r="E974" i="1"/>
  <c r="E973" i="1"/>
  <c r="E972" i="1"/>
  <c r="E971" i="1"/>
  <c r="E970" i="1"/>
  <c r="E969" i="1"/>
  <c r="E968" i="1"/>
  <c r="E967" i="1"/>
  <c r="E966" i="1"/>
  <c r="E965" i="1"/>
  <c r="E964" i="1"/>
  <c r="E963" i="1"/>
  <c r="E962" i="1"/>
  <c r="E961" i="1"/>
  <c r="E960" i="1"/>
  <c r="E959" i="1"/>
  <c r="E958" i="1"/>
  <c r="E957" i="1"/>
  <c r="E956" i="1"/>
  <c r="E955" i="1"/>
  <c r="E954" i="1"/>
  <c r="E953" i="1"/>
  <c r="E952" i="1"/>
  <c r="E951" i="1"/>
  <c r="E950" i="1"/>
  <c r="E949" i="1"/>
  <c r="E948" i="1"/>
  <c r="E947" i="1"/>
  <c r="E946" i="1"/>
  <c r="E945" i="1"/>
  <c r="E944" i="1"/>
  <c r="E943" i="1"/>
  <c r="E942" i="1"/>
  <c r="E941" i="1"/>
  <c r="E940" i="1"/>
  <c r="E939" i="1"/>
  <c r="E938" i="1"/>
  <c r="E937" i="1"/>
  <c r="E936" i="1"/>
  <c r="E935" i="1"/>
  <c r="E934" i="1"/>
  <c r="E933" i="1"/>
  <c r="E932" i="1"/>
  <c r="E931" i="1"/>
  <c r="E930" i="1"/>
  <c r="E929" i="1"/>
  <c r="E928" i="1"/>
  <c r="E927" i="1"/>
  <c r="E926" i="1"/>
  <c r="E925" i="1"/>
  <c r="E924" i="1"/>
  <c r="E923" i="1"/>
  <c r="E922" i="1"/>
  <c r="E921" i="1"/>
  <c r="E920" i="1"/>
  <c r="E919" i="1"/>
  <c r="E918" i="1"/>
  <c r="E917" i="1"/>
  <c r="E916" i="1"/>
  <c r="E915" i="1"/>
  <c r="E914" i="1"/>
  <c r="E913" i="1"/>
  <c r="E912" i="1"/>
  <c r="E911" i="1"/>
  <c r="E910" i="1"/>
  <c r="E909" i="1"/>
  <c r="E908" i="1"/>
  <c r="E907" i="1"/>
  <c r="E906" i="1"/>
  <c r="E905" i="1"/>
  <c r="E904" i="1"/>
  <c r="E903" i="1"/>
  <c r="E902" i="1"/>
  <c r="E901" i="1"/>
  <c r="E900" i="1"/>
  <c r="E899" i="1"/>
  <c r="E898" i="1"/>
  <c r="E897" i="1"/>
  <c r="E896" i="1"/>
  <c r="E895" i="1"/>
  <c r="E894" i="1"/>
  <c r="E893" i="1"/>
  <c r="E892" i="1"/>
  <c r="E891" i="1"/>
  <c r="E890" i="1"/>
  <c r="E889" i="1"/>
  <c r="E888" i="1"/>
  <c r="E887" i="1"/>
  <c r="E886" i="1"/>
  <c r="E885" i="1"/>
  <c r="E884" i="1"/>
  <c r="E883" i="1"/>
  <c r="E882" i="1"/>
  <c r="E881" i="1"/>
  <c r="E880" i="1"/>
  <c r="E879" i="1"/>
  <c r="E878" i="1"/>
  <c r="E877" i="1"/>
  <c r="E876" i="1"/>
  <c r="E875" i="1"/>
  <c r="E874" i="1"/>
  <c r="E873" i="1"/>
  <c r="E872" i="1"/>
  <c r="E871" i="1"/>
  <c r="E870" i="1"/>
  <c r="E869" i="1"/>
  <c r="E868" i="1"/>
  <c r="E867" i="1"/>
  <c r="E866" i="1"/>
  <c r="E865" i="1"/>
  <c r="E864" i="1"/>
  <c r="E863" i="1"/>
  <c r="E862" i="1"/>
  <c r="E861" i="1"/>
  <c r="E860" i="1"/>
  <c r="E859" i="1"/>
  <c r="E858" i="1"/>
  <c r="E857" i="1"/>
  <c r="E856" i="1"/>
  <c r="E855" i="1"/>
  <c r="E854" i="1"/>
  <c r="E853" i="1"/>
  <c r="E852" i="1"/>
  <c r="E851" i="1"/>
  <c r="E850" i="1"/>
  <c r="E849" i="1"/>
  <c r="E848" i="1"/>
  <c r="E847" i="1"/>
  <c r="E846" i="1"/>
  <c r="E845" i="1"/>
  <c r="E844" i="1"/>
  <c r="E843" i="1"/>
  <c r="E842" i="1"/>
  <c r="E841" i="1"/>
  <c r="E840" i="1"/>
  <c r="E839" i="1"/>
  <c r="E838" i="1"/>
  <c r="E837" i="1"/>
  <c r="E836" i="1"/>
  <c r="E835" i="1"/>
  <c r="E834" i="1"/>
  <c r="E833" i="1"/>
  <c r="E832" i="1"/>
  <c r="E831" i="1"/>
  <c r="E830" i="1"/>
  <c r="E829" i="1"/>
  <c r="E828" i="1"/>
  <c r="E827" i="1"/>
  <c r="E826" i="1"/>
  <c r="E825" i="1"/>
  <c r="E824" i="1"/>
  <c r="E823" i="1"/>
  <c r="E822" i="1"/>
  <c r="E821" i="1"/>
  <c r="E820" i="1"/>
  <c r="E819" i="1"/>
  <c r="E818" i="1"/>
  <c r="E817" i="1"/>
  <c r="E816" i="1"/>
  <c r="E815" i="1"/>
  <c r="E814" i="1"/>
  <c r="E813" i="1"/>
  <c r="E812" i="1"/>
  <c r="E811" i="1"/>
  <c r="E810" i="1"/>
  <c r="E809" i="1"/>
  <c r="E808" i="1"/>
  <c r="E807" i="1"/>
  <c r="E806" i="1"/>
  <c r="E805" i="1"/>
  <c r="E804" i="1"/>
  <c r="E803" i="1"/>
  <c r="E802" i="1"/>
  <c r="E801" i="1"/>
  <c r="E800" i="1"/>
  <c r="E799" i="1"/>
  <c r="E798" i="1"/>
  <c r="E797" i="1"/>
  <c r="E796" i="1"/>
  <c r="E795" i="1"/>
  <c r="E794" i="1"/>
  <c r="E793" i="1"/>
  <c r="E792" i="1"/>
  <c r="E791" i="1"/>
  <c r="E790" i="1"/>
  <c r="E789" i="1"/>
  <c r="E788" i="1"/>
  <c r="E787" i="1"/>
  <c r="E786" i="1"/>
  <c r="E785" i="1"/>
  <c r="E784" i="1"/>
  <c r="E783" i="1"/>
  <c r="E782" i="1"/>
  <c r="E781" i="1"/>
  <c r="E780" i="1"/>
  <c r="E779" i="1"/>
  <c r="E778" i="1"/>
  <c r="E777" i="1"/>
  <c r="E776" i="1"/>
  <c r="E775" i="1"/>
  <c r="E774" i="1"/>
  <c r="E773" i="1"/>
  <c r="E772" i="1"/>
  <c r="E771" i="1"/>
  <c r="E770" i="1"/>
  <c r="E769" i="1"/>
  <c r="E768" i="1"/>
  <c r="E767" i="1"/>
  <c r="E766" i="1"/>
  <c r="E765" i="1"/>
  <c r="E764" i="1"/>
  <c r="E763" i="1"/>
  <c r="E762" i="1"/>
  <c r="E761" i="1"/>
  <c r="E760" i="1"/>
  <c r="E759" i="1"/>
  <c r="E758" i="1"/>
  <c r="E757" i="1"/>
  <c r="E756" i="1"/>
  <c r="E755" i="1"/>
  <c r="E754" i="1"/>
  <c r="E753" i="1"/>
  <c r="E752" i="1"/>
  <c r="E751" i="1"/>
  <c r="E750" i="1"/>
  <c r="E749" i="1"/>
  <c r="E748" i="1"/>
  <c r="E747" i="1"/>
  <c r="E746" i="1"/>
  <c r="E745" i="1"/>
  <c r="E744" i="1"/>
  <c r="E743" i="1"/>
  <c r="E742" i="1"/>
  <c r="E741" i="1"/>
  <c r="E740" i="1"/>
  <c r="E739" i="1"/>
  <c r="E738" i="1"/>
  <c r="E737" i="1"/>
  <c r="E736" i="1"/>
  <c r="E735" i="1"/>
  <c r="E734" i="1"/>
  <c r="E733" i="1"/>
  <c r="E732" i="1"/>
  <c r="E731" i="1"/>
  <c r="E730" i="1"/>
  <c r="E729" i="1"/>
  <c r="E728" i="1"/>
  <c r="E727" i="1"/>
  <c r="E726" i="1"/>
  <c r="E725" i="1"/>
  <c r="E724" i="1"/>
  <c r="E723" i="1"/>
  <c r="E722" i="1"/>
  <c r="E721" i="1"/>
  <c r="E720" i="1"/>
  <c r="E719" i="1"/>
  <c r="E718" i="1"/>
  <c r="E717" i="1"/>
  <c r="E716" i="1"/>
  <c r="E715" i="1"/>
  <c r="E714" i="1"/>
  <c r="E713" i="1"/>
  <c r="E712" i="1"/>
  <c r="E711" i="1"/>
  <c r="E710" i="1"/>
  <c r="E709" i="1"/>
  <c r="E708" i="1"/>
  <c r="E707" i="1"/>
  <c r="E706" i="1"/>
  <c r="E705" i="1"/>
  <c r="E704" i="1"/>
  <c r="E703" i="1"/>
  <c r="E702" i="1"/>
  <c r="E701" i="1"/>
  <c r="E700" i="1"/>
  <c r="E699" i="1"/>
  <c r="E698" i="1"/>
  <c r="E697" i="1"/>
  <c r="E696" i="1"/>
  <c r="E695" i="1"/>
  <c r="E694" i="1"/>
  <c r="E693" i="1"/>
  <c r="E692" i="1"/>
  <c r="E691" i="1"/>
  <c r="E690" i="1"/>
  <c r="E689" i="1"/>
  <c r="E688" i="1"/>
  <c r="E687" i="1"/>
  <c r="E686" i="1"/>
  <c r="E685" i="1"/>
  <c r="E684" i="1"/>
  <c r="E683" i="1"/>
  <c r="E682" i="1"/>
  <c r="E681" i="1"/>
  <c r="E680" i="1"/>
  <c r="E679" i="1"/>
  <c r="E678" i="1"/>
  <c r="E677" i="1"/>
  <c r="E676" i="1"/>
  <c r="E675" i="1"/>
  <c r="E674" i="1"/>
  <c r="E673" i="1"/>
  <c r="E672" i="1"/>
  <c r="E671" i="1"/>
  <c r="E670" i="1"/>
  <c r="E669" i="1"/>
  <c r="E668" i="1"/>
  <c r="E667" i="1"/>
  <c r="E666" i="1"/>
  <c r="E665" i="1"/>
  <c r="E664" i="1"/>
  <c r="E663" i="1"/>
  <c r="E662" i="1"/>
  <c r="E661" i="1"/>
  <c r="E660" i="1"/>
  <c r="E659" i="1"/>
  <c r="E658" i="1"/>
  <c r="E657" i="1"/>
  <c r="E656" i="1"/>
  <c r="E655" i="1"/>
  <c r="E654" i="1"/>
  <c r="E653" i="1"/>
  <c r="E652" i="1"/>
  <c r="E651" i="1"/>
  <c r="E650" i="1"/>
  <c r="E649" i="1"/>
  <c r="E648" i="1"/>
  <c r="E647" i="1"/>
  <c r="E646" i="1"/>
  <c r="E645" i="1"/>
  <c r="E644" i="1"/>
  <c r="E643" i="1"/>
  <c r="E642" i="1"/>
  <c r="E641" i="1"/>
  <c r="E640" i="1"/>
  <c r="E639" i="1"/>
  <c r="E638" i="1"/>
  <c r="E637" i="1"/>
  <c r="E636" i="1"/>
  <c r="E635" i="1"/>
  <c r="E634" i="1"/>
  <c r="E633" i="1"/>
  <c r="E632" i="1"/>
  <c r="E631" i="1"/>
  <c r="E630" i="1"/>
  <c r="E629" i="1"/>
  <c r="E628" i="1"/>
  <c r="E627" i="1"/>
  <c r="E626" i="1"/>
  <c r="E625" i="1"/>
  <c r="E624" i="1"/>
  <c r="E623" i="1"/>
  <c r="E622" i="1"/>
  <c r="E621" i="1"/>
  <c r="E620" i="1"/>
  <c r="E619" i="1"/>
  <c r="E618" i="1"/>
  <c r="E617" i="1"/>
  <c r="E616" i="1"/>
  <c r="E615" i="1"/>
  <c r="E614" i="1"/>
  <c r="E613" i="1"/>
  <c r="E612" i="1"/>
  <c r="E611" i="1"/>
  <c r="E610" i="1"/>
  <c r="E609" i="1"/>
  <c r="E608" i="1"/>
  <c r="E607" i="1"/>
  <c r="E606" i="1"/>
  <c r="E605" i="1"/>
  <c r="E604" i="1"/>
  <c r="E603" i="1"/>
  <c r="E602" i="1"/>
  <c r="E601" i="1"/>
  <c r="E600" i="1"/>
  <c r="E599" i="1"/>
  <c r="E598" i="1"/>
  <c r="E597" i="1"/>
  <c r="E596" i="1"/>
  <c r="E595" i="1"/>
  <c r="E594" i="1"/>
  <c r="E593" i="1"/>
  <c r="E592" i="1"/>
  <c r="E591" i="1"/>
  <c r="E590" i="1"/>
  <c r="E589" i="1"/>
  <c r="E588" i="1"/>
  <c r="E587" i="1"/>
  <c r="E586" i="1"/>
  <c r="E585" i="1"/>
  <c r="E584" i="1"/>
  <c r="E583" i="1"/>
  <c r="E582" i="1"/>
  <c r="E581" i="1"/>
  <c r="E580" i="1"/>
  <c r="E579" i="1"/>
  <c r="E578" i="1"/>
  <c r="E577" i="1"/>
  <c r="E576" i="1"/>
  <c r="E575" i="1"/>
  <c r="E574" i="1"/>
  <c r="E573" i="1"/>
  <c r="E572" i="1"/>
  <c r="E571" i="1"/>
  <c r="E570" i="1"/>
  <c r="E569" i="1"/>
  <c r="E568" i="1"/>
  <c r="E567" i="1"/>
  <c r="E566" i="1"/>
  <c r="E565" i="1"/>
  <c r="E564" i="1"/>
  <c r="E563" i="1"/>
  <c r="E562" i="1"/>
  <c r="E561" i="1"/>
  <c r="E560" i="1"/>
  <c r="E559" i="1"/>
  <c r="E558" i="1"/>
  <c r="E557" i="1"/>
  <c r="E556" i="1"/>
  <c r="E555" i="1"/>
  <c r="E554" i="1"/>
  <c r="E553" i="1"/>
  <c r="E552" i="1"/>
  <c r="E551" i="1"/>
  <c r="E550" i="1"/>
  <c r="E549" i="1"/>
  <c r="E548" i="1"/>
  <c r="E547" i="1"/>
  <c r="E546" i="1"/>
  <c r="E545" i="1"/>
  <c r="E544" i="1"/>
  <c r="E543" i="1"/>
  <c r="E542" i="1"/>
  <c r="E541" i="1"/>
  <c r="E540" i="1"/>
  <c r="E539" i="1"/>
  <c r="E538" i="1"/>
  <c r="E537" i="1"/>
  <c r="E536" i="1"/>
  <c r="E535" i="1"/>
  <c r="E534" i="1"/>
  <c r="E533" i="1"/>
  <c r="E532" i="1"/>
  <c r="E531" i="1"/>
  <c r="E530" i="1"/>
  <c r="E529" i="1"/>
  <c r="E528" i="1"/>
  <c r="E527" i="1"/>
  <c r="E526" i="1"/>
  <c r="E525" i="1"/>
  <c r="E524" i="1"/>
  <c r="E523" i="1"/>
  <c r="E522" i="1"/>
  <c r="E521" i="1"/>
  <c r="E520" i="1"/>
  <c r="E519" i="1"/>
  <c r="E518" i="1"/>
  <c r="E517" i="1"/>
  <c r="E516" i="1"/>
  <c r="E515" i="1"/>
  <c r="E514" i="1"/>
  <c r="E513" i="1"/>
  <c r="E512" i="1"/>
  <c r="E511" i="1"/>
  <c r="E510" i="1"/>
  <c r="E509" i="1"/>
  <c r="E508" i="1"/>
  <c r="E507" i="1"/>
  <c r="E506" i="1"/>
  <c r="E505" i="1"/>
  <c r="E504" i="1"/>
  <c r="E503" i="1"/>
  <c r="E502" i="1"/>
  <c r="E501" i="1"/>
  <c r="E500" i="1"/>
  <c r="E499" i="1"/>
  <c r="E498" i="1"/>
  <c r="E497" i="1"/>
  <c r="E496" i="1"/>
  <c r="E495" i="1"/>
  <c r="E494" i="1"/>
  <c r="E493" i="1"/>
  <c r="E492" i="1"/>
  <c r="E491" i="1"/>
  <c r="E490" i="1"/>
  <c r="E489" i="1"/>
  <c r="E488" i="1"/>
  <c r="E487" i="1"/>
  <c r="E486" i="1"/>
  <c r="E485" i="1"/>
  <c r="E484" i="1"/>
  <c r="E483" i="1"/>
  <c r="E482" i="1"/>
  <c r="E481" i="1"/>
  <c r="E480" i="1"/>
  <c r="E479" i="1"/>
  <c r="E478" i="1"/>
  <c r="E477" i="1"/>
  <c r="E476" i="1"/>
  <c r="E475" i="1"/>
  <c r="E474" i="1"/>
  <c r="E473" i="1"/>
  <c r="E472" i="1"/>
  <c r="E471" i="1"/>
  <c r="E470" i="1"/>
  <c r="E469" i="1"/>
  <c r="E468" i="1"/>
  <c r="E467" i="1"/>
  <c r="E466" i="1"/>
  <c r="E465" i="1"/>
  <c r="E464" i="1"/>
  <c r="E463" i="1"/>
  <c r="E462" i="1"/>
  <c r="E461" i="1"/>
  <c r="E460" i="1"/>
  <c r="E459" i="1"/>
  <c r="E458" i="1"/>
  <c r="E457" i="1"/>
  <c r="E456" i="1"/>
  <c r="E455" i="1"/>
  <c r="E454" i="1"/>
  <c r="E453" i="1"/>
  <c r="E452" i="1"/>
  <c r="E451" i="1"/>
  <c r="E450" i="1"/>
  <c r="E449" i="1"/>
  <c r="E448" i="1"/>
  <c r="E447" i="1"/>
  <c r="E446" i="1"/>
  <c r="E445" i="1"/>
  <c r="E444" i="1"/>
  <c r="E443" i="1"/>
  <c r="E442" i="1"/>
  <c r="E441" i="1"/>
  <c r="E440" i="1"/>
  <c r="E439" i="1"/>
  <c r="E438" i="1"/>
  <c r="E437" i="1"/>
  <c r="E436" i="1"/>
  <c r="E435" i="1"/>
  <c r="E434" i="1"/>
  <c r="E433" i="1"/>
  <c r="E432" i="1"/>
  <c r="E431" i="1"/>
  <c r="E430" i="1"/>
  <c r="E429" i="1"/>
  <c r="E428" i="1"/>
  <c r="E427" i="1"/>
  <c r="E426" i="1"/>
  <c r="E425" i="1"/>
  <c r="E424" i="1"/>
  <c r="E423" i="1"/>
  <c r="E422" i="1"/>
  <c r="E421"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E321" i="1"/>
  <c r="E320" i="1"/>
  <c r="E319" i="1"/>
  <c r="E318" i="1"/>
  <c r="E317" i="1"/>
  <c r="E316" i="1"/>
  <c r="E315" i="1"/>
  <c r="E314" i="1"/>
  <c r="E313" i="1"/>
  <c r="E312" i="1"/>
  <c r="E311"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E3" i="1"/>
  <c r="E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<sst xmlns="http://schemas.openxmlformats.org/spreadsheetml/2006/main" count="30501" uniqueCount="4747">
  <si>
    <t>Customer ID</t>
  </si>
  <si>
    <t>Name</t>
  </si>
  <si>
    <t>First Name</t>
  </si>
  <si>
    <t>Last Name</t>
  </si>
  <si>
    <t>Id1</t>
  </si>
  <si>
    <t>Hawks, Ms.  Kelly</t>
  </si>
  <si>
    <t>Id2</t>
  </si>
  <si>
    <t>Lehner, Mr.  Matthew D</t>
  </si>
  <si>
    <t>Id3</t>
  </si>
  <si>
    <t>Lu, Mr.  Phil</t>
  </si>
  <si>
    <t>Id4</t>
  </si>
  <si>
    <t>Osborne, Ms.  Kelsey</t>
  </si>
  <si>
    <t>Id5</t>
  </si>
  <si>
    <t>Kadala, Ms.  Kristyn</t>
  </si>
  <si>
    <t>Id6</t>
  </si>
  <si>
    <t>Baker, Mr.  Russell B.</t>
  </si>
  <si>
    <t>Id7</t>
  </si>
  <si>
    <t>Macpherson, Mr.  Scott</t>
  </si>
  <si>
    <t>Id8</t>
  </si>
  <si>
    <t>Hallman, Mr.  Stephen</t>
  </si>
  <si>
    <t>Id9</t>
  </si>
  <si>
    <t>Moran, Mr.  Patrick R.</t>
  </si>
  <si>
    <t>Id10</t>
  </si>
  <si>
    <t>Benner, Ms.  Brooke N.</t>
  </si>
  <si>
    <t>Id11</t>
  </si>
  <si>
    <t>Fierro Vargas, Ms.  Paola Andrea</t>
  </si>
  <si>
    <t>Id12</t>
  </si>
  <si>
    <t>Franz, Mr.  David</t>
  </si>
  <si>
    <t>Id13</t>
  </si>
  <si>
    <t>Foster, Mr.  Wade</t>
  </si>
  <si>
    <t>Id14</t>
  </si>
  <si>
    <t>Tenorio, Mr.  Franklin</t>
  </si>
  <si>
    <t>Id15</t>
  </si>
  <si>
    <t>Rios, Ms.  Leilani M.</t>
  </si>
  <si>
    <t>Id16</t>
  </si>
  <si>
    <t>Viau-Dupuis, Mr.  Philippe</t>
  </si>
  <si>
    <t>Id17</t>
  </si>
  <si>
    <t>Cronin, Ms.  Jennifer A.</t>
  </si>
  <si>
    <t>Id18</t>
  </si>
  <si>
    <t>Noordstar, Ms.  Christina M.</t>
  </si>
  <si>
    <t>Id19</t>
  </si>
  <si>
    <t>Boudalia, Mr.  Said Sr.</t>
  </si>
  <si>
    <t>Id20</t>
  </si>
  <si>
    <t>Flor, Mr.  John</t>
  </si>
  <si>
    <t>Id21</t>
  </si>
  <si>
    <t>Fennon, Mr.  Myles</t>
  </si>
  <si>
    <t>Id22</t>
  </si>
  <si>
    <t>Hribar, Ms.  Madelyn C</t>
  </si>
  <si>
    <t>Id23</t>
  </si>
  <si>
    <t>Tassello, Ms.  Nicole</t>
  </si>
  <si>
    <t>Id24</t>
  </si>
  <si>
    <t>Mauricette, Mr.  Eric A.</t>
  </si>
  <si>
    <t>Id25</t>
  </si>
  <si>
    <t>Garcia, Mr.  Emiliano I.</t>
  </si>
  <si>
    <t>Id26</t>
  </si>
  <si>
    <t>Airoldi, Mr.  Adam</t>
  </si>
  <si>
    <t>Id27</t>
  </si>
  <si>
    <t>Cater-Cyker, Mr.  Zach</t>
  </si>
  <si>
    <t>Id28</t>
  </si>
  <si>
    <t>Hamm, Ms.  Stephanie W.</t>
  </si>
  <si>
    <t>Id29</t>
  </si>
  <si>
    <t>Cox, Mr.  Stephen</t>
  </si>
  <si>
    <t>Id30</t>
  </si>
  <si>
    <t>Sachrajda, Ms.  Natalie</t>
  </si>
  <si>
    <t>Id31</t>
  </si>
  <si>
    <t>Gareri, Ms.  Nicole J.</t>
  </si>
  <si>
    <t>Id32</t>
  </si>
  <si>
    <t>Welch, Mr.  Jefferson D</t>
  </si>
  <si>
    <t>Id33</t>
  </si>
  <si>
    <t>Prindiville, Mr.  Brendan D.</t>
  </si>
  <si>
    <t>Id34</t>
  </si>
  <si>
    <t>Kincaid, Ms.  Courtney</t>
  </si>
  <si>
    <t>Id35</t>
  </si>
  <si>
    <t>Bruestle, Ms.  Sydney L.</t>
  </si>
  <si>
    <t>Id36</t>
  </si>
  <si>
    <t>Lachance, Mr.  Julien</t>
  </si>
  <si>
    <t>Id37</t>
  </si>
  <si>
    <t>Eason, Mr.  Ryan M</t>
  </si>
  <si>
    <t>Id38</t>
  </si>
  <si>
    <t>Grummon, Ms.  Anna H.</t>
  </si>
  <si>
    <t>Id39</t>
  </si>
  <si>
    <t>Vanwechel, Ms.  Samantha</t>
  </si>
  <si>
    <t>Id40</t>
  </si>
  <si>
    <t>Fisher, Mr.  Robert</t>
  </si>
  <si>
    <t>Id41</t>
  </si>
  <si>
    <t>Jenkins, Mr.  James R.</t>
  </si>
  <si>
    <t>Id42</t>
  </si>
  <si>
    <t>Peters, Ms.  Roseann</t>
  </si>
  <si>
    <t>Id43</t>
  </si>
  <si>
    <t>Aha, Ms.  Nicole</t>
  </si>
  <si>
    <t>Id44</t>
  </si>
  <si>
    <t>McElwain, Mr.  Spencer</t>
  </si>
  <si>
    <t>Id45</t>
  </si>
  <si>
    <t>Januszewski, Mr.  Eric W</t>
  </si>
  <si>
    <t>Id46</t>
  </si>
  <si>
    <t>Rohne, Ms.  Brianna L</t>
  </si>
  <si>
    <t>Id47</t>
  </si>
  <si>
    <t>O'Grady, Mr.  Thomas J.</t>
  </si>
  <si>
    <t>Id48</t>
  </si>
  <si>
    <t>Peters, Ms.  Melissa L</t>
  </si>
  <si>
    <t>Id49</t>
  </si>
  <si>
    <t>De Simone, Mr.  Flavio</t>
  </si>
  <si>
    <t>Id50</t>
  </si>
  <si>
    <t>Beckett, Mr.  Ryan</t>
  </si>
  <si>
    <t>Id51</t>
  </si>
  <si>
    <t>Sobrilsky, Mr.  Anthony J.</t>
  </si>
  <si>
    <t>Id52</t>
  </si>
  <si>
    <t>Wang, Ms.  Alex</t>
  </si>
  <si>
    <t>Id53</t>
  </si>
  <si>
    <t>Campa, Mr.  David</t>
  </si>
  <si>
    <t>Id54</t>
  </si>
  <si>
    <t>Clifford, Mr.  Andrew B</t>
  </si>
  <si>
    <t>Id55</t>
  </si>
  <si>
    <t>Dalmata, Ms.  Dara E</t>
  </si>
  <si>
    <t>Id56</t>
  </si>
  <si>
    <t>Vishik, Ms.  Inna</t>
  </si>
  <si>
    <t>Id57</t>
  </si>
  <si>
    <t>Schorr, Mr.  Ari</t>
  </si>
  <si>
    <t>Id58</t>
  </si>
  <si>
    <t>Lusardi, Ms.  Lindsey</t>
  </si>
  <si>
    <t>Id59</t>
  </si>
  <si>
    <t>Rayner, Mr.  Kenny</t>
  </si>
  <si>
    <t>Id60</t>
  </si>
  <si>
    <t>Voghel, Ms.  Louise</t>
  </si>
  <si>
    <t>Id61</t>
  </si>
  <si>
    <t>Rieth, Mr.  Cameron</t>
  </si>
  <si>
    <t>Id62</t>
  </si>
  <si>
    <t>Gollotto, Ms.  Katie T.</t>
  </si>
  <si>
    <t>Id63</t>
  </si>
  <si>
    <t>Dunn, Ms.  Casey</t>
  </si>
  <si>
    <t>Id64</t>
  </si>
  <si>
    <t>Blitzer, Mr.  David</t>
  </si>
  <si>
    <t>Id65</t>
  </si>
  <si>
    <t>Smith, Mr.  Bryson C.</t>
  </si>
  <si>
    <t>Id66</t>
  </si>
  <si>
    <t>Hyland, Ms.  Megan</t>
  </si>
  <si>
    <t>Id67</t>
  </si>
  <si>
    <t>Ducharme, Mr.  Daniel</t>
  </si>
  <si>
    <t>Id68</t>
  </si>
  <si>
    <t>Johnson, Mr.  Steven M.</t>
  </si>
  <si>
    <t>Id69</t>
  </si>
  <si>
    <t>Mutz, Ms.  Jenna L.</t>
  </si>
  <si>
    <t>Id70</t>
  </si>
  <si>
    <t>Lee, Mr.  Freeman</t>
  </si>
  <si>
    <t>Id71</t>
  </si>
  <si>
    <t>Turner, Mr.  Jeff</t>
  </si>
  <si>
    <t>Id72</t>
  </si>
  <si>
    <t>Rangel, Mr.  Elenilton V. Sr.</t>
  </si>
  <si>
    <t>Id73</t>
  </si>
  <si>
    <t>Lacey, Ms.  Maurya</t>
  </si>
  <si>
    <t>Id74</t>
  </si>
  <si>
    <t>Stiger, Ms.  Samantha C</t>
  </si>
  <si>
    <t>Id75</t>
  </si>
  <si>
    <t>Caldwell, Ms.  Bethany A</t>
  </si>
  <si>
    <t>Id76</t>
  </si>
  <si>
    <t>Marmillod, Mr.  Yves</t>
  </si>
  <si>
    <t>Id77</t>
  </si>
  <si>
    <t>Cloutier-Simons, Ms.  Danielle</t>
  </si>
  <si>
    <t>Id78</t>
  </si>
  <si>
    <t>Vegas, Ms.  Julia</t>
  </si>
  <si>
    <t>Id79</t>
  </si>
  <si>
    <t>Cochran, Mr.  Joshua</t>
  </si>
  <si>
    <t>Id80</t>
  </si>
  <si>
    <t>Holtzapple, Ms.  Jennifer</t>
  </si>
  <si>
    <t>Id81</t>
  </si>
  <si>
    <t>Meyer, Ms.  Gwen M.</t>
  </si>
  <si>
    <t>Id82</t>
  </si>
  <si>
    <t>Brickley, Mr.  Patrick</t>
  </si>
  <si>
    <t>Id83</t>
  </si>
  <si>
    <t>Magee, Ms.  Kate</t>
  </si>
  <si>
    <t>Id84</t>
  </si>
  <si>
    <t>Thoma, Mr.  Kevin</t>
  </si>
  <si>
    <t>Id85</t>
  </si>
  <si>
    <t>Heagy, Mr.  Stephen II</t>
  </si>
  <si>
    <t>Id86</t>
  </si>
  <si>
    <t>Regnier, Mr.  Philip</t>
  </si>
  <si>
    <t>Id87</t>
  </si>
  <si>
    <t>Parendo, Mr.  Brett A</t>
  </si>
  <si>
    <t>Id88</t>
  </si>
  <si>
    <t>Schell, Ms.  Rebecca</t>
  </si>
  <si>
    <t>Id89</t>
  </si>
  <si>
    <t>Driscoll, Ms.  Kelley</t>
  </si>
  <si>
    <t>Id90</t>
  </si>
  <si>
    <t>Mitchell, Ms.  Abigail K</t>
  </si>
  <si>
    <t>Id91</t>
  </si>
  <si>
    <t>Cutler, Ms.  Hope</t>
  </si>
  <si>
    <t>Id92</t>
  </si>
  <si>
    <t>Derian, Ms.  Elyse M.</t>
  </si>
  <si>
    <t>Id93</t>
  </si>
  <si>
    <t>Farina, Mr.  Nicholas</t>
  </si>
  <si>
    <t>Id94</t>
  </si>
  <si>
    <t>Saunders, Mr.  David</t>
  </si>
  <si>
    <t>Id95</t>
  </si>
  <si>
    <t>Kratz, Ms.  Natalie</t>
  </si>
  <si>
    <t>Id96</t>
  </si>
  <si>
    <t>Boland, Mr.  Thomas</t>
  </si>
  <si>
    <t>Id97</t>
  </si>
  <si>
    <t>Van Hout, Ms.  Pamela J.</t>
  </si>
  <si>
    <t>Id98</t>
  </si>
  <si>
    <t>Ramsey, Ms.  Jessica</t>
  </si>
  <si>
    <t>Id99</t>
  </si>
  <si>
    <t>Gage, Mr.  Ron N</t>
  </si>
  <si>
    <t>Id100</t>
  </si>
  <si>
    <t>Gollins, Mr.  Daniel</t>
  </si>
  <si>
    <t>Id101</t>
  </si>
  <si>
    <t>Benestad, Mr.  Brian</t>
  </si>
  <si>
    <t>Id102</t>
  </si>
  <si>
    <t>Aviv, Ms.  Sari</t>
  </si>
  <si>
    <t>Id103</t>
  </si>
  <si>
    <t>Burns, Mr.  Robert M.</t>
  </si>
  <si>
    <t>Id104</t>
  </si>
  <si>
    <t>Maldonado, Mr.  Ricardo</t>
  </si>
  <si>
    <t>Id105</t>
  </si>
  <si>
    <t>Yitref, Mr.  Gedion</t>
  </si>
  <si>
    <t>Id106</t>
  </si>
  <si>
    <t>Loudon-Brown, Mr.  Mark</t>
  </si>
  <si>
    <t>Id107</t>
  </si>
  <si>
    <t>Sugathadasa, Mr.  Gamini P.</t>
  </si>
  <si>
    <t>Id108</t>
  </si>
  <si>
    <t>Ganley, Ms.  Emily J</t>
  </si>
  <si>
    <t>Id109</t>
  </si>
  <si>
    <t>Potter, Ms.  Amanda</t>
  </si>
  <si>
    <t>Id110</t>
  </si>
  <si>
    <t>Rasmussen, Mr.  Nicholas</t>
  </si>
  <si>
    <t>Id111</t>
  </si>
  <si>
    <t>Robinson, Mr.  Knox</t>
  </si>
  <si>
    <t>Id112</t>
  </si>
  <si>
    <t>Antonopoulos, Ms.  Yianna</t>
  </si>
  <si>
    <t>Id113</t>
  </si>
  <si>
    <t>Groner, Ms.  Roberta</t>
  </si>
  <si>
    <t>Id114</t>
  </si>
  <si>
    <t>Zywicki, Mr.  Benjamin P.</t>
  </si>
  <si>
    <t>Id115</t>
  </si>
  <si>
    <t>Cardinal, Mr.  Craig</t>
  </si>
  <si>
    <t>Id116</t>
  </si>
  <si>
    <t>Alleman, Ms.  Ann</t>
  </si>
  <si>
    <t>Id117</t>
  </si>
  <si>
    <t>Stroffolino, Mr.  Jamie P</t>
  </si>
  <si>
    <t>Id118</t>
  </si>
  <si>
    <t>Clubb, Mr.  John</t>
  </si>
  <si>
    <t>Id119</t>
  </si>
  <si>
    <t>McGoogan, Mr.  Charlie</t>
  </si>
  <si>
    <t>Id120</t>
  </si>
  <si>
    <t>Keflezighi, Mr.  Meb</t>
  </si>
  <si>
    <t>Id121</t>
  </si>
  <si>
    <t>Syed, Mr.  Aaqib L.</t>
  </si>
  <si>
    <t>Id122</t>
  </si>
  <si>
    <t>Segal, Mr.  Craig A.</t>
  </si>
  <si>
    <t>Id123</t>
  </si>
  <si>
    <t>Defranco, Ms.  Meredith</t>
  </si>
  <si>
    <t>Id124</t>
  </si>
  <si>
    <t>Kells, Mr.  Doug</t>
  </si>
  <si>
    <t>Id125</t>
  </si>
  <si>
    <t>Lawton, Ms.  Elizabeth J.</t>
  </si>
  <si>
    <t>Id126</t>
  </si>
  <si>
    <t>Bejar, Mr.  Matthew P</t>
  </si>
  <si>
    <t>Id127</t>
  </si>
  <si>
    <t>Navarro Castro, Mr.  Guillermo Sr.</t>
  </si>
  <si>
    <t>Id128</t>
  </si>
  <si>
    <t>Tice, Mr.  Ryan C</t>
  </si>
  <si>
    <t>Id129</t>
  </si>
  <si>
    <t>Wolf, Mr.  Dane</t>
  </si>
  <si>
    <t>Id130</t>
  </si>
  <si>
    <t>Oppedal, Mr.  Jonas</t>
  </si>
  <si>
    <t>Id131</t>
  </si>
  <si>
    <t>Wright, Mr.  George E</t>
  </si>
  <si>
    <t>Id132</t>
  </si>
  <si>
    <t>Ellis, Ms.  Sara S</t>
  </si>
  <si>
    <t>Id133</t>
  </si>
  <si>
    <t>Taormina, Mr.  Nick</t>
  </si>
  <si>
    <t>Id134</t>
  </si>
  <si>
    <t>Lynch, Mr.  Timothy</t>
  </si>
  <si>
    <t>Id135</t>
  </si>
  <si>
    <t>Tavella, Ms.  Becky L</t>
  </si>
  <si>
    <t>Id136</t>
  </si>
  <si>
    <t>Neufeld, Ms.  Steph K.</t>
  </si>
  <si>
    <t>Id137</t>
  </si>
  <si>
    <t>Walhovd, Ms.  Kristine B.</t>
  </si>
  <si>
    <t>Id138</t>
  </si>
  <si>
    <t>Washburn, Mr.  Taylor B</t>
  </si>
  <si>
    <t>Id139</t>
  </si>
  <si>
    <t>Mroz, Mr.  William</t>
  </si>
  <si>
    <t>Id140</t>
  </si>
  <si>
    <t>Canaday, Mr.  Sage</t>
  </si>
  <si>
    <t>Id141</t>
  </si>
  <si>
    <t>Atkins, Mr.  Cole</t>
  </si>
  <si>
    <t>Id142</t>
  </si>
  <si>
    <t>Kropelnicki, Mr.  Jesse</t>
  </si>
  <si>
    <t>Id143</t>
  </si>
  <si>
    <t>Braund, Ms.  Tammi J.</t>
  </si>
  <si>
    <t>Id144</t>
  </si>
  <si>
    <t>Anderson, Mr.  Matthew S.</t>
  </si>
  <si>
    <t>Id145</t>
  </si>
  <si>
    <t>Bilbrey, Mr.  Eric</t>
  </si>
  <si>
    <t>Id146</t>
  </si>
  <si>
    <t>Curtis, Ms.  Valeria R</t>
  </si>
  <si>
    <t>Id147</t>
  </si>
  <si>
    <t>Meyer, Mr.  Michael P</t>
  </si>
  <si>
    <t>Id148</t>
  </si>
  <si>
    <t>Bardeesy, Mr.  Rami</t>
  </si>
  <si>
    <t>Id149</t>
  </si>
  <si>
    <t>Shanahan, Mr.  Denis</t>
  </si>
  <si>
    <t>Id150</t>
  </si>
  <si>
    <t>Sutter, Mr.  Brian E</t>
  </si>
  <si>
    <t>Id151</t>
  </si>
  <si>
    <t>Yesian, Ms.  Bonnie</t>
  </si>
  <si>
    <t>Id152</t>
  </si>
  <si>
    <t>Meers, Mr.  Michael P</t>
  </si>
  <si>
    <t>Id153</t>
  </si>
  <si>
    <t>Conlon, Mr.  Paul</t>
  </si>
  <si>
    <t>Id154</t>
  </si>
  <si>
    <t>Arnstein, Mr.  Michael</t>
  </si>
  <si>
    <t>Id155</t>
  </si>
  <si>
    <t>Jurek, Mr.  Samuel</t>
  </si>
  <si>
    <t>Id156</t>
  </si>
  <si>
    <t>Thill, Mr.  Matthew</t>
  </si>
  <si>
    <t>Id157</t>
  </si>
  <si>
    <t>Glaz, Mr.  Daniel</t>
  </si>
  <si>
    <t>Id158</t>
  </si>
  <si>
    <t>Sampson, Ms.  Syndy</t>
  </si>
  <si>
    <t>Id159</t>
  </si>
  <si>
    <t>Duliba, Ms.  Aleksandra</t>
  </si>
  <si>
    <t>Id160</t>
  </si>
  <si>
    <t>Tanguay, Mr.  Steeve T Sr.</t>
  </si>
  <si>
    <t>Id161</t>
  </si>
  <si>
    <t>McClelland, Mr.  Richard</t>
  </si>
  <si>
    <t>Id162</t>
  </si>
  <si>
    <t>Gorman, Mr.  Aaron T</t>
  </si>
  <si>
    <t>Id163</t>
  </si>
  <si>
    <t>Nishimura, Mr.  Akira</t>
  </si>
  <si>
    <t>Id164</t>
  </si>
  <si>
    <t>Brimble, Mr.  Ben</t>
  </si>
  <si>
    <t>Id165</t>
  </si>
  <si>
    <t>Trenk, Ms.  Jana</t>
  </si>
  <si>
    <t>Id166</t>
  </si>
  <si>
    <t>Wittmann, Mr.  Jay T.</t>
  </si>
  <si>
    <t>Id167</t>
  </si>
  <si>
    <t>Tremblay, Ms.  Marie-Helene</t>
  </si>
  <si>
    <t>Id168</t>
  </si>
  <si>
    <t>Scofield, Ms.  Bret R</t>
  </si>
  <si>
    <t>Id169</t>
  </si>
  <si>
    <t>Yost, Mr.  Gardner L</t>
  </si>
  <si>
    <t>Id170</t>
  </si>
  <si>
    <t>Torphy, Mr.  Bobby</t>
  </si>
  <si>
    <t>Id171</t>
  </si>
  <si>
    <t>Busby, Ms.  Natalie</t>
  </si>
  <si>
    <t>Id172</t>
  </si>
  <si>
    <t>Nguyen, Ms.  Lina</t>
  </si>
  <si>
    <t>Id173</t>
  </si>
  <si>
    <t>Hanley, Mr.  Zebulon</t>
  </si>
  <si>
    <t>Id174</t>
  </si>
  <si>
    <t>Scheer, Ms.  Amanda</t>
  </si>
  <si>
    <t>Id175</t>
  </si>
  <si>
    <t>Rankin, Mr.  Greg</t>
  </si>
  <si>
    <t>Id176</t>
  </si>
  <si>
    <t>Ricardi, Mr.  John</t>
  </si>
  <si>
    <t>Id177</t>
  </si>
  <si>
    <t>Karkos, Ms.  Kelsey A.</t>
  </si>
  <si>
    <t>Id178</t>
  </si>
  <si>
    <t>Price-Dierksen, Ms.  Bronwen L</t>
  </si>
  <si>
    <t>Id179</t>
  </si>
  <si>
    <t>Knispel, Ms.  Manuela</t>
  </si>
  <si>
    <t>Id180</t>
  </si>
  <si>
    <t>King, Ms.  Jennifer L</t>
  </si>
  <si>
    <t>Id181</t>
  </si>
  <si>
    <t>Samuelson, Ms.  Abby W.</t>
  </si>
  <si>
    <t>Id182</t>
  </si>
  <si>
    <t>Fredsall, Mr.  Tyler</t>
  </si>
  <si>
    <t>Id183</t>
  </si>
  <si>
    <t>Eggleston, Mr.  Jeffrey</t>
  </si>
  <si>
    <t>Id184</t>
  </si>
  <si>
    <t>Palombaro, Mr.  Matthew F</t>
  </si>
  <si>
    <t>Id185</t>
  </si>
  <si>
    <t>Silva, Mr.  Ryan J.</t>
  </si>
  <si>
    <t>Id186</t>
  </si>
  <si>
    <t>Bugala, Ms.  Amy</t>
  </si>
  <si>
    <t>Id187</t>
  </si>
  <si>
    <t>Dublin, Mr.  Andrew P</t>
  </si>
  <si>
    <t>Id188</t>
  </si>
  <si>
    <t>Cleland, Mr.  George M. V</t>
  </si>
  <si>
    <t>Id189</t>
  </si>
  <si>
    <t>Evans, Ms.  Sarah</t>
  </si>
  <si>
    <t>Id190</t>
  </si>
  <si>
    <t>Boyd, Ms.  Lara</t>
  </si>
  <si>
    <t>Id191</t>
  </si>
  <si>
    <t>Roulier, Mr.  Sebastien</t>
  </si>
  <si>
    <t>Id192</t>
  </si>
  <si>
    <t>Mullins, Mr.  Padraig</t>
  </si>
  <si>
    <t>Id193</t>
  </si>
  <si>
    <t>Hofmann, Ms.  Heather</t>
  </si>
  <si>
    <t>Id194</t>
  </si>
  <si>
    <t>Garcia Garcia, Mr.  Jorge</t>
  </si>
  <si>
    <t>Id195</t>
  </si>
  <si>
    <t>Klecker, Mr.  Jack R</t>
  </si>
  <si>
    <t>Id196</t>
  </si>
  <si>
    <t>Cancre, Mr.  Felix</t>
  </si>
  <si>
    <t>Id197</t>
  </si>
  <si>
    <t>Denucci, Mr.  Christopher C</t>
  </si>
  <si>
    <t>Id198</t>
  </si>
  <si>
    <t>Saldana, Mr.  Jesse</t>
  </si>
  <si>
    <t>Id199</t>
  </si>
  <si>
    <t>Weinberg, Ms.  Jill</t>
  </si>
  <si>
    <t>Id200</t>
  </si>
  <si>
    <t>Walsh, Mr.  William</t>
  </si>
  <si>
    <t>Id201</t>
  </si>
  <si>
    <t>Pasten, Mr.  Alejandro</t>
  </si>
  <si>
    <t>Id202</t>
  </si>
  <si>
    <t>LaBelle, Mr.  Ian E.</t>
  </si>
  <si>
    <t>Id203</t>
  </si>
  <si>
    <t>Guzman, Mr.  Hector Sr.</t>
  </si>
  <si>
    <t>Id204</t>
  </si>
  <si>
    <t>Turnbull, Ms.  Rebecca</t>
  </si>
  <si>
    <t>Id205</t>
  </si>
  <si>
    <t>Aguero, Mr.  Matt</t>
  </si>
  <si>
    <t>Id206</t>
  </si>
  <si>
    <t>Woodward, Ms.  Elizabeth H</t>
  </si>
  <si>
    <t>Id207</t>
  </si>
  <si>
    <t>McElroy, Ms.  Grace</t>
  </si>
  <si>
    <t>Id208</t>
  </si>
  <si>
    <t>Lopez, Mr.  Jaime</t>
  </si>
  <si>
    <t>Id209</t>
  </si>
  <si>
    <t>Cardosi, Ms.  Calesse</t>
  </si>
  <si>
    <t>Id210</t>
  </si>
  <si>
    <t>Looney, Ms.  Kate L</t>
  </si>
  <si>
    <t>Id211</t>
  </si>
  <si>
    <t>Zyryanov, Mr.  Sergey</t>
  </si>
  <si>
    <t>Id212</t>
  </si>
  <si>
    <t>Gavin, Mr.  Timothy V</t>
  </si>
  <si>
    <t>Id213</t>
  </si>
  <si>
    <t>Littlefield, Mr.  Andrew S</t>
  </si>
  <si>
    <t>Id214</t>
  </si>
  <si>
    <t>Shearer, Mr.  Matthew D</t>
  </si>
  <si>
    <t>Id215</t>
  </si>
  <si>
    <t>Armstrong, Ms.  Jessica</t>
  </si>
  <si>
    <t>Id216</t>
  </si>
  <si>
    <t>Warriner, Mr.  Lawrence</t>
  </si>
  <si>
    <t>Id217</t>
  </si>
  <si>
    <t>White, Mr.  Alex</t>
  </si>
  <si>
    <t>Id218</t>
  </si>
  <si>
    <t>Cordaro, Mr.  Kevin</t>
  </si>
  <si>
    <t>Id219</t>
  </si>
  <si>
    <t>Hamilton, Mr.  Gavin M.</t>
  </si>
  <si>
    <t>Id220</t>
  </si>
  <si>
    <t>Meyer, Mr.  Rick E</t>
  </si>
  <si>
    <t>Id221</t>
  </si>
  <si>
    <t>Duke, Ms.  Andrea H.</t>
  </si>
  <si>
    <t>Id222</t>
  </si>
  <si>
    <t>Malatesta, Mr.  Anthony S</t>
  </si>
  <si>
    <t>Id223</t>
  </si>
  <si>
    <t>Hinrichsen, Mr.  Erik</t>
  </si>
  <si>
    <t>Id224</t>
  </si>
  <si>
    <t>Lucan, Ms.  Kiley D</t>
  </si>
  <si>
    <t>Id225</t>
  </si>
  <si>
    <t>Koch, Ms.  Jennifer</t>
  </si>
  <si>
    <t>Id226</t>
  </si>
  <si>
    <t>Smith, Mr.  Chris</t>
  </si>
  <si>
    <t>Id227</t>
  </si>
  <si>
    <t>O'Connor, Ms.  Marian M.</t>
  </si>
  <si>
    <t>Id228</t>
  </si>
  <si>
    <t>Kampwerth, Mr.  Jeremy</t>
  </si>
  <si>
    <t>Id229</t>
  </si>
  <si>
    <t>Federoff, Ms.  Allison H</t>
  </si>
  <si>
    <t>Id230</t>
  </si>
  <si>
    <t>Goya, Ms.  Elizabeth</t>
  </si>
  <si>
    <t>Id231</t>
  </si>
  <si>
    <t>Hodges, Mr.  Andrew</t>
  </si>
  <si>
    <t>Id232</t>
  </si>
  <si>
    <t>Erickson, Mr.  Anders J</t>
  </si>
  <si>
    <t>Id233</t>
  </si>
  <si>
    <t>Welleck, Mr.  Sean</t>
  </si>
  <si>
    <t>Id234</t>
  </si>
  <si>
    <t>Polen, Mr.  Brian M.</t>
  </si>
  <si>
    <t>Id235</t>
  </si>
  <si>
    <t>Lynch, Mr.  Jeremy</t>
  </si>
  <si>
    <t>Id236</t>
  </si>
  <si>
    <t>Hufstader, Ms.  Susannah</t>
  </si>
  <si>
    <t>Id237</t>
  </si>
  <si>
    <t>Doak, Mr.  Randy</t>
  </si>
  <si>
    <t>Id238</t>
  </si>
  <si>
    <t>Noya, Mr.  Leslie</t>
  </si>
  <si>
    <t>Id239</t>
  </si>
  <si>
    <t>Heninger, Ms.  Brittany L.</t>
  </si>
  <si>
    <t>Id240</t>
  </si>
  <si>
    <t>Richardson, Ms.  Cassie J.</t>
  </si>
  <si>
    <t>Id241</t>
  </si>
  <si>
    <t>Deucher, Mr.  Peter W</t>
  </si>
  <si>
    <t>Id242</t>
  </si>
  <si>
    <t>Wilson, Mr.  Douglas</t>
  </si>
  <si>
    <t>Id243</t>
  </si>
  <si>
    <t>Hall, Mr.  Dan</t>
  </si>
  <si>
    <t>Id244</t>
  </si>
  <si>
    <t>Reed, Mr.  Dan M.</t>
  </si>
  <si>
    <t>Id245</t>
  </si>
  <si>
    <t>Frome, Mr.  Eric L.</t>
  </si>
  <si>
    <t>Id246</t>
  </si>
  <si>
    <t>Creasy, Mr.  Les J</t>
  </si>
  <si>
    <t>Id247</t>
  </si>
  <si>
    <t>Latimer, Ms.  Stephanie</t>
  </si>
  <si>
    <t>Id248</t>
  </si>
  <si>
    <t>Wei, Ms.  Melissa Y</t>
  </si>
  <si>
    <t>Id249</t>
  </si>
  <si>
    <t>Hayes, Ms.  Ashley</t>
  </si>
  <si>
    <t>Id250</t>
  </si>
  <si>
    <t>Velardo, Ms.  Stephanie M.</t>
  </si>
  <si>
    <t>Id251</t>
  </si>
  <si>
    <t>Kastes, Ms.  Kylie</t>
  </si>
  <si>
    <t>Id252</t>
  </si>
  <si>
    <t>Escorcia, Ms.  Kelly</t>
  </si>
  <si>
    <t>Id253</t>
  </si>
  <si>
    <t>Larscheid, Ms.  Carrie</t>
  </si>
  <si>
    <t>Id254</t>
  </si>
  <si>
    <t>O'Bannon, Mr.  Alex</t>
  </si>
  <si>
    <t>Id255</t>
  </si>
  <si>
    <t>Ridgway, Mr.  Zach S</t>
  </si>
  <si>
    <t>Id256</t>
  </si>
  <si>
    <t>Black, Mr.  Alan</t>
  </si>
  <si>
    <t>Id257</t>
  </si>
  <si>
    <t>Canton, Mr.  Nate</t>
  </si>
  <si>
    <t>Id258</t>
  </si>
  <si>
    <t>Fine, Mr.  Jesse G.</t>
  </si>
  <si>
    <t>Id259</t>
  </si>
  <si>
    <t>Bui, Mr.  Jason</t>
  </si>
  <si>
    <t>Id260</t>
  </si>
  <si>
    <t>Riepma, Ms.  Megan A.</t>
  </si>
  <si>
    <t>Id261</t>
  </si>
  <si>
    <t>Inman, Mr.  Luke M</t>
  </si>
  <si>
    <t>Id262</t>
  </si>
  <si>
    <t>Kruzel, Ms.  Jacy D</t>
  </si>
  <si>
    <t>Id263</t>
  </si>
  <si>
    <t>Lindsay, Mr.  Simon G.</t>
  </si>
  <si>
    <t>Id264</t>
  </si>
  <si>
    <t>Land, Ms.  Ainsley E.</t>
  </si>
  <si>
    <t>Id265</t>
  </si>
  <si>
    <t>Brecher, Ms.  Erica A.</t>
  </si>
  <si>
    <t>Id266</t>
  </si>
  <si>
    <t>Debolt, Mr.  Erik</t>
  </si>
  <si>
    <t>Id267</t>
  </si>
  <si>
    <t>Oswalt, Ms.  Erin C.</t>
  </si>
  <si>
    <t>Id268</t>
  </si>
  <si>
    <t>Boyd, Ms.  Adrienne</t>
  </si>
  <si>
    <t>Id269</t>
  </si>
  <si>
    <t>Bulewich, Mr.  Adam</t>
  </si>
  <si>
    <t>Id270</t>
  </si>
  <si>
    <t>Fukuda, Mr.  Yutaka</t>
  </si>
  <si>
    <t>Id271</t>
  </si>
  <si>
    <t>Phillips, Mr.  Tyler M</t>
  </si>
  <si>
    <t>Id272</t>
  </si>
  <si>
    <t>Maddison, Mr.  Stephen</t>
  </si>
  <si>
    <t>Id273</t>
  </si>
  <si>
    <t>Lockwood, Mr.  Andrew B.</t>
  </si>
  <si>
    <t>Id274</t>
  </si>
  <si>
    <t>Defilippi, Mr.  James</t>
  </si>
  <si>
    <t>Id275</t>
  </si>
  <si>
    <t>Jackson, Mr.  Shawn P.</t>
  </si>
  <si>
    <t>Id276</t>
  </si>
  <si>
    <t>Ozahowski, Mr.  Matt</t>
  </si>
  <si>
    <t>Id277</t>
  </si>
  <si>
    <t>Guthals, Mr.  Nathaniel</t>
  </si>
  <si>
    <t>Id278</t>
  </si>
  <si>
    <t>Yates, Mr.  Kevin D.</t>
  </si>
  <si>
    <t>Id279</t>
  </si>
  <si>
    <t>Samuelson, Ms.  Joan</t>
  </si>
  <si>
    <t>Id280</t>
  </si>
  <si>
    <t>Lemos, Mr.  Christopher A</t>
  </si>
  <si>
    <t>Id281</t>
  </si>
  <si>
    <t>Seynders, Ms.  Kacy L.</t>
  </si>
  <si>
    <t>Id282</t>
  </si>
  <si>
    <t>Saunders, Mr.  Benjamin H.</t>
  </si>
  <si>
    <t>Id283</t>
  </si>
  <si>
    <t>Walker, Mr.  Xaviour J.</t>
  </si>
  <si>
    <t>Id284</t>
  </si>
  <si>
    <t>Lam, Mr.  Michael T.</t>
  </si>
  <si>
    <t>Id285</t>
  </si>
  <si>
    <t>Sweigart, Mr.  Bradley</t>
  </si>
  <si>
    <t>Id286</t>
  </si>
  <si>
    <t>Sieczkowski, Ms.  Andrea</t>
  </si>
  <si>
    <t>Id287</t>
  </si>
  <si>
    <t>Jurgens, Ms.  Nancy M</t>
  </si>
  <si>
    <t>Id288</t>
  </si>
  <si>
    <t>Hackman, Mr.  Matt</t>
  </si>
  <si>
    <t>Id289</t>
  </si>
  <si>
    <t>Klarich, Mr.  Lee</t>
  </si>
  <si>
    <t>Id290</t>
  </si>
  <si>
    <t>Schulten, Mr.  Chris</t>
  </si>
  <si>
    <t>Id291</t>
  </si>
  <si>
    <t>Fagerstrom, Mr.  Erik T.</t>
  </si>
  <si>
    <t>Id292</t>
  </si>
  <si>
    <t>Bien, Mr.  Rod W</t>
  </si>
  <si>
    <t>Id293</t>
  </si>
  <si>
    <t>Hess, Mr.  Joey</t>
  </si>
  <si>
    <t>Id294</t>
  </si>
  <si>
    <t>Shaw, Ms.  Hillary L.</t>
  </si>
  <si>
    <t>Id295</t>
  </si>
  <si>
    <t>Williams, Mr.  Eric J</t>
  </si>
  <si>
    <t>Id296</t>
  </si>
  <si>
    <t>Menzies, Mr.  Nicolas</t>
  </si>
  <si>
    <t>Id297</t>
  </si>
  <si>
    <t>Buehler, Mr.  Marcel</t>
  </si>
  <si>
    <t>Id298</t>
  </si>
  <si>
    <t>Degen, Ms.  Ashley N</t>
  </si>
  <si>
    <t>Id299</t>
  </si>
  <si>
    <t>Arsenault, Mr.  Evan D</t>
  </si>
  <si>
    <t>Id300</t>
  </si>
  <si>
    <t>Hoff, Ms.  Krisana</t>
  </si>
  <si>
    <t>Id301</t>
  </si>
  <si>
    <t>Hall, Mr.  Kyle</t>
  </si>
  <si>
    <t>Id302</t>
  </si>
  <si>
    <t>Ashley, Ms.  Kate</t>
  </si>
  <si>
    <t>Id303</t>
  </si>
  <si>
    <t>Rindahl, Mr.  Martin A.</t>
  </si>
  <si>
    <t>Id304</t>
  </si>
  <si>
    <t>Clark, Ms.  Stacey</t>
  </si>
  <si>
    <t>Id305</t>
  </si>
  <si>
    <t>Irish, Ms.  Christine</t>
  </si>
  <si>
    <t>Id306</t>
  </si>
  <si>
    <t>Richardson, Ms.  Sarah C.</t>
  </si>
  <si>
    <t>Id307</t>
  </si>
  <si>
    <t>Dewitt, Ms.  Megan</t>
  </si>
  <si>
    <t>Id308</t>
  </si>
  <si>
    <t>Hickman, Mr.  Jason W</t>
  </si>
  <si>
    <t>Id309</t>
  </si>
  <si>
    <t>Gonzalez, Ms.  Michele</t>
  </si>
  <si>
    <t>Id310</t>
  </si>
  <si>
    <t>Difani, Ms.  Nikki</t>
  </si>
  <si>
    <t>Id311</t>
  </si>
  <si>
    <t>Turner, Mr.  Philip J.</t>
  </si>
  <si>
    <t>Id312</t>
  </si>
  <si>
    <t>Widmann, Mr.  Bryan L</t>
  </si>
  <si>
    <t>Id313</t>
  </si>
  <si>
    <t>Tunney, Mr.  Timothy F</t>
  </si>
  <si>
    <t>Id314</t>
  </si>
  <si>
    <t>San Juan, Ms.  Angielyn M</t>
  </si>
  <si>
    <t>Id315</t>
  </si>
  <si>
    <t>Croll, Ms.  Jeanie M.</t>
  </si>
  <si>
    <t>Id316</t>
  </si>
  <si>
    <t>Rolfes, Mr.  Greg</t>
  </si>
  <si>
    <t>Id317</t>
  </si>
  <si>
    <t>Hinkle, Mr.  John</t>
  </si>
  <si>
    <t>Id318</t>
  </si>
  <si>
    <t>Leuchanka, Mr.  Aliaksandr</t>
  </si>
  <si>
    <t>Id319</t>
  </si>
  <si>
    <t>Ayr, Mr.  Jason M.</t>
  </si>
  <si>
    <t>Id320</t>
  </si>
  <si>
    <t>Siegel, Ms.  Sheera K</t>
  </si>
  <si>
    <t>Id321</t>
  </si>
  <si>
    <t>Penrose, Ms.  Janice</t>
  </si>
  <si>
    <t>Id322</t>
  </si>
  <si>
    <t>Schuler, Mr.  Timothy G.</t>
  </si>
  <si>
    <t>Id323</t>
  </si>
  <si>
    <t>Walker, Mr.  Alan R</t>
  </si>
  <si>
    <t>Id324</t>
  </si>
  <si>
    <t>Stange, Mr.  Michael</t>
  </si>
  <si>
    <t>Id325</t>
  </si>
  <si>
    <t>Roy, Ms.  Marie-France</t>
  </si>
  <si>
    <t>Id326</t>
  </si>
  <si>
    <t>Potere, Mr.  Erik F.</t>
  </si>
  <si>
    <t>Id327</t>
  </si>
  <si>
    <t>Podgurski, Mr.  Andrew</t>
  </si>
  <si>
    <t>Id328</t>
  </si>
  <si>
    <t>Diamond, Mr.  Anthony</t>
  </si>
  <si>
    <t>Id329</t>
  </si>
  <si>
    <t>Sallade, Mr.  Chris</t>
  </si>
  <si>
    <t>Id330</t>
  </si>
  <si>
    <t>Zhang, Mr.  Yu</t>
  </si>
  <si>
    <t>Id331</t>
  </si>
  <si>
    <t>Chatfield, Mr.  Caleb N</t>
  </si>
  <si>
    <t>Id332</t>
  </si>
  <si>
    <t>Bruns, Mr.  Jason M.</t>
  </si>
  <si>
    <t>Id333</t>
  </si>
  <si>
    <t>Yochum, Ms.  Angela R</t>
  </si>
  <si>
    <t>Id334</t>
  </si>
  <si>
    <t>Freeburn, Mr.  Keith J</t>
  </si>
  <si>
    <t>Id335</t>
  </si>
  <si>
    <t>Spencer, Ms.  Emma</t>
  </si>
  <si>
    <t>Id336</t>
  </si>
  <si>
    <t>Jarosik, Mr.  Nathan A</t>
  </si>
  <si>
    <t>Id337</t>
  </si>
  <si>
    <t>Heinzen, Ms.  Kathryn</t>
  </si>
  <si>
    <t>Id338</t>
  </si>
  <si>
    <t>Kelley, Ms.  Elizabeth H.</t>
  </si>
  <si>
    <t>Id339</t>
  </si>
  <si>
    <t>Thacker, Mr.  Ben</t>
  </si>
  <si>
    <t>Id340</t>
  </si>
  <si>
    <t>Jeseritz, Ms.  Cheryl A</t>
  </si>
  <si>
    <t>Id341</t>
  </si>
  <si>
    <t>Hohman, Ms.  Kimberly A</t>
  </si>
  <si>
    <t>Id342</t>
  </si>
  <si>
    <t>Hill, Ms.  Cynthia</t>
  </si>
  <si>
    <t>Id343</t>
  </si>
  <si>
    <t>Kuepfer, Ms.  Jessica</t>
  </si>
  <si>
    <t>Id344</t>
  </si>
  <si>
    <t>Kaczmarek, Mr.  Bruce</t>
  </si>
  <si>
    <t>Id345</t>
  </si>
  <si>
    <t>Pitt, Ms.  Allison</t>
  </si>
  <si>
    <t>Id346</t>
  </si>
  <si>
    <t>Lorton, Mr.  Alex</t>
  </si>
  <si>
    <t>Id347</t>
  </si>
  <si>
    <t>Castaneda, Ms.  Gabriela</t>
  </si>
  <si>
    <t>Id348</t>
  </si>
  <si>
    <t>Cherop, Ms.  Sharon</t>
  </si>
  <si>
    <t>Id349</t>
  </si>
  <si>
    <t>Howell, Mr.  Jason A</t>
  </si>
  <si>
    <t>Id350</t>
  </si>
  <si>
    <t>Palmer, Ms.  Chelsey C.</t>
  </si>
  <si>
    <t>Id351</t>
  </si>
  <si>
    <t>Olson, Mr.  Devon A.</t>
  </si>
  <si>
    <t>Id352</t>
  </si>
  <si>
    <t>Waldron, Ms.  Joni L</t>
  </si>
  <si>
    <t>Id353</t>
  </si>
  <si>
    <t>Meyer, Mr.  Colin</t>
  </si>
  <si>
    <t>Id354</t>
  </si>
  <si>
    <t>Stack, Ms.  Rachael</t>
  </si>
  <si>
    <t>Id355</t>
  </si>
  <si>
    <t>Sanchez Y Torres, Ms.  Maricela</t>
  </si>
  <si>
    <t>Id356</t>
  </si>
  <si>
    <t>Daniels, Ms.  Marie</t>
  </si>
  <si>
    <t>Id357</t>
  </si>
  <si>
    <t>Pepp, Mr.  Frank</t>
  </si>
  <si>
    <t>Id358</t>
  </si>
  <si>
    <t>Buechler, Mr.  Jeffry</t>
  </si>
  <si>
    <t>Id359</t>
  </si>
  <si>
    <t>Buenting, Mr.  Mike</t>
  </si>
  <si>
    <t>Id360</t>
  </si>
  <si>
    <t>Evans, Mr.  Rick</t>
  </si>
  <si>
    <t>Id361</t>
  </si>
  <si>
    <t>Arcand, Mr.  Pierre-Michel</t>
  </si>
  <si>
    <t>Id362</t>
  </si>
  <si>
    <t>Kesack, Mr.  Daniel</t>
  </si>
  <si>
    <t>Id363</t>
  </si>
  <si>
    <t>Post, Mr.  Brian L.</t>
  </si>
  <si>
    <t>Id364</t>
  </si>
  <si>
    <t>Dunne, Ms.  Morgan M.</t>
  </si>
  <si>
    <t>Id365</t>
  </si>
  <si>
    <t>Kilel, Ms.  Caroline</t>
  </si>
  <si>
    <t>Id366</t>
  </si>
  <si>
    <t>Nicholson, Mr.  Drew T.</t>
  </si>
  <si>
    <t>Id367</t>
  </si>
  <si>
    <t>Susmann, Mr.  Austin W</t>
  </si>
  <si>
    <t>Id368</t>
  </si>
  <si>
    <t>Harsh, Ms.  Berenice</t>
  </si>
  <si>
    <t>Id369</t>
  </si>
  <si>
    <t>Pocasangre, Mr.  Kenneth A</t>
  </si>
  <si>
    <t>Id370</t>
  </si>
  <si>
    <t>Martinez Lopez, Mr.  Miguel</t>
  </si>
  <si>
    <t>Id371</t>
  </si>
  <si>
    <t>Riegel, Ms.  Hadley T.</t>
  </si>
  <si>
    <t>Id372</t>
  </si>
  <si>
    <t>Monson, Mr.  Taylor</t>
  </si>
  <si>
    <t>Id373</t>
  </si>
  <si>
    <t>Klubben, Ms.  Tenielle M</t>
  </si>
  <si>
    <t>Id374</t>
  </si>
  <si>
    <t>Mascaro, Ms.  Andrea</t>
  </si>
  <si>
    <t>Id375</t>
  </si>
  <si>
    <t>Norvell, Ms.  Nora P</t>
  </si>
  <si>
    <t>Id376</t>
  </si>
  <si>
    <t>Ornelas, Mr.  Zachary</t>
  </si>
  <si>
    <t>Id377</t>
  </si>
  <si>
    <t>Fitzpatrick, Mr.  Michael</t>
  </si>
  <si>
    <t>Id378</t>
  </si>
  <si>
    <t>Bloomquist, Ms.  Alyssa K.</t>
  </si>
  <si>
    <t>Id379</t>
  </si>
  <si>
    <t>Wick, Ms.  Heather</t>
  </si>
  <si>
    <t>Id380</t>
  </si>
  <si>
    <t>Zappala, Mr.  Dante</t>
  </si>
  <si>
    <t>Id381</t>
  </si>
  <si>
    <t>Earle, Ms.  Sara E.</t>
  </si>
  <si>
    <t>Id382</t>
  </si>
  <si>
    <t>Majewski, Mr.  Scott</t>
  </si>
  <si>
    <t>Id383</t>
  </si>
  <si>
    <t>Apfelbaum, Mr.  Sean</t>
  </si>
  <si>
    <t>Id384</t>
  </si>
  <si>
    <t>Graham, Ms.  Danielle</t>
  </si>
  <si>
    <t>Id385</t>
  </si>
  <si>
    <t>Whitacre, Mr.  Andrew D.</t>
  </si>
  <si>
    <t>Id386</t>
  </si>
  <si>
    <t>Wegener, Mr.  Joel D</t>
  </si>
  <si>
    <t>Id387</t>
  </si>
  <si>
    <t>Collie, Ms.  Michelle</t>
  </si>
  <si>
    <t>Id388</t>
  </si>
  <si>
    <t>Murphy, Mr.  Michael J.</t>
  </si>
  <si>
    <t>Id389</t>
  </si>
  <si>
    <t>Butters, Ms.  Nikki</t>
  </si>
  <si>
    <t>Id390</t>
  </si>
  <si>
    <t>Cook, Ms.  Summer B.</t>
  </si>
  <si>
    <t>Id391</t>
  </si>
  <si>
    <t>Breen, Mr.  Edward</t>
  </si>
  <si>
    <t>Id392</t>
  </si>
  <si>
    <t>Fitzsimons, Mr.  Ryan</t>
  </si>
  <si>
    <t>Id393</t>
  </si>
  <si>
    <t>Houle, Ms.  Kacee</t>
  </si>
  <si>
    <t>Id394</t>
  </si>
  <si>
    <t>Woodward, Mr.  Dave</t>
  </si>
  <si>
    <t>Id395</t>
  </si>
  <si>
    <t>Ray, Ms.  Maryanna</t>
  </si>
  <si>
    <t>Id396</t>
  </si>
  <si>
    <t>Jennings, Ms.  Jessica H.</t>
  </si>
  <si>
    <t>Id397</t>
  </si>
  <si>
    <t>Fuller, Ms.  Deanna</t>
  </si>
  <si>
    <t>Id398</t>
  </si>
  <si>
    <t>Lovisek, Mr.  Peter</t>
  </si>
  <si>
    <t>Id399</t>
  </si>
  <si>
    <t>Painter, Ms.  Rebecca</t>
  </si>
  <si>
    <t>Id400</t>
  </si>
  <si>
    <t>Edwards, Ms.  Elizabeth M.</t>
  </si>
  <si>
    <t>Id401</t>
  </si>
  <si>
    <t>Liebl, Mr.  Gregory</t>
  </si>
  <si>
    <t>Id402</t>
  </si>
  <si>
    <t>Kasabian-Larson, Ms.  Sarah E.</t>
  </si>
  <si>
    <t>Id403</t>
  </si>
  <si>
    <t>Creamer, Ms.  Anne Elise</t>
  </si>
  <si>
    <t>Id404</t>
  </si>
  <si>
    <t>Kimbel, Mr.  Christopher R</t>
  </si>
  <si>
    <t>Id405</t>
  </si>
  <si>
    <t>Livensparger, Mr.  Elliot</t>
  </si>
  <si>
    <t>Id406</t>
  </si>
  <si>
    <t>Grange, Mr.  Christopher D.</t>
  </si>
  <si>
    <t>Id407</t>
  </si>
  <si>
    <t>Nunlist, Mr.  Corey</t>
  </si>
  <si>
    <t>Id408</t>
  </si>
  <si>
    <t>Cutter, Mr.  Patrick D.</t>
  </si>
  <si>
    <t>Id409</t>
  </si>
  <si>
    <t>Martin, Mr.  Anthony D.</t>
  </si>
  <si>
    <t>Id410</t>
  </si>
  <si>
    <t>Cooney, Ms.  Melissa</t>
  </si>
  <si>
    <t>Id411</t>
  </si>
  <si>
    <t>Bier, Ms.  Raven</t>
  </si>
  <si>
    <t>Id412</t>
  </si>
  <si>
    <t>Muskopf, Mr.  Christopher</t>
  </si>
  <si>
    <t>Id413</t>
  </si>
  <si>
    <t>Sirak, Ms.  Kendra A</t>
  </si>
  <si>
    <t>Id414</t>
  </si>
  <si>
    <t>Nelsen, Ms.  Jordan</t>
  </si>
  <si>
    <t>Id415</t>
  </si>
  <si>
    <t>Schallner, Mr.  Nils</t>
  </si>
  <si>
    <t>Id416</t>
  </si>
  <si>
    <t>Dunlap, Mr.  Scott</t>
  </si>
  <si>
    <t>Id417</t>
  </si>
  <si>
    <t>Messing, Ms.  Angela</t>
  </si>
  <si>
    <t>Id418</t>
  </si>
  <si>
    <t>Bondell, Ms.  Allison</t>
  </si>
  <si>
    <t>Id419</t>
  </si>
  <si>
    <t>Gaughan, Ms.  Caitlin O.</t>
  </si>
  <si>
    <t>Id420</t>
  </si>
  <si>
    <t>Gruman, Ms.  Tracy M</t>
  </si>
  <si>
    <t>Id421</t>
  </si>
  <si>
    <t>Whitlow, Mr.  Dustin M.</t>
  </si>
  <si>
    <t>Id422</t>
  </si>
  <si>
    <t>Robinson, Ms.  Jenny</t>
  </si>
  <si>
    <t>Id423</t>
  </si>
  <si>
    <t>Sabo, Ms.  Emily</t>
  </si>
  <si>
    <t>Id424</t>
  </si>
  <si>
    <t>Nazarian, Ms.  Fabienne</t>
  </si>
  <si>
    <t>Id425</t>
  </si>
  <si>
    <t>Lerma, Mr.  Jordan</t>
  </si>
  <si>
    <t>Id426</t>
  </si>
  <si>
    <t>Dahl, Mr.  Matt</t>
  </si>
  <si>
    <t>Id427</t>
  </si>
  <si>
    <t>Surtees, Ms.  Taryn L</t>
  </si>
  <si>
    <t>Id428</t>
  </si>
  <si>
    <t>Spetner, Ms.  Temima</t>
  </si>
  <si>
    <t>Id429</t>
  </si>
  <si>
    <t>Brandon, Ms.  Jennifer</t>
  </si>
  <si>
    <t>Id430</t>
  </si>
  <si>
    <t>Eley, Ms.  Serena M.</t>
  </si>
  <si>
    <t>Id431</t>
  </si>
  <si>
    <t>Sedicum, Ms.  Victoria M.</t>
  </si>
  <si>
    <t>Id432</t>
  </si>
  <si>
    <t>Markle, Ms.  Phoebe</t>
  </si>
  <si>
    <t>Id433</t>
  </si>
  <si>
    <t>Kunz, Mr.  Corey</t>
  </si>
  <si>
    <t>Id434</t>
  </si>
  <si>
    <t>Wimert, Ms.  Rebecca</t>
  </si>
  <si>
    <t>Id435</t>
  </si>
  <si>
    <t>Peterson, Mr.  Nicholas D</t>
  </si>
  <si>
    <t>Id436</t>
  </si>
  <si>
    <t>Mercier, Mr.  Christian</t>
  </si>
  <si>
    <t>Id437</t>
  </si>
  <si>
    <t>Laurie, Mr.  Jonathon S.</t>
  </si>
  <si>
    <t>Id438</t>
  </si>
  <si>
    <t>Sekaquaptewa, Ms.  Caroline</t>
  </si>
  <si>
    <t>Id439</t>
  </si>
  <si>
    <t>Frash, Mr.  Joshua D.</t>
  </si>
  <si>
    <t>Id440</t>
  </si>
  <si>
    <t>Bukowski, Ms.  Nichole</t>
  </si>
  <si>
    <t>Id441</t>
  </si>
  <si>
    <t>Sandahl, Ms.  Denise M</t>
  </si>
  <si>
    <t>Id442</t>
  </si>
  <si>
    <t>Speight, Mr.  Peter R.</t>
  </si>
  <si>
    <t>Id443</t>
  </si>
  <si>
    <t>Lee, Mr.  Johnson K</t>
  </si>
  <si>
    <t>Id444</t>
  </si>
  <si>
    <t>Nielsen, Ms.  Katherine</t>
  </si>
  <si>
    <t>Id445</t>
  </si>
  <si>
    <t>Zirdok, Ms.  Lynda</t>
  </si>
  <si>
    <t>Id446</t>
  </si>
  <si>
    <t>Crudale, Mr.  Anthony</t>
  </si>
  <si>
    <t>Id447</t>
  </si>
  <si>
    <t>Koopmans, Ms.  Linnea C.</t>
  </si>
  <si>
    <t>Id448</t>
  </si>
  <si>
    <t>Milani, Mr.  Massimiliano A.</t>
  </si>
  <si>
    <t>Id449</t>
  </si>
  <si>
    <t>Kelly, Mr.  James M.</t>
  </si>
  <si>
    <t>Id450</t>
  </si>
  <si>
    <t>Finelli, Ms.  Lauren</t>
  </si>
  <si>
    <t>Id451</t>
  </si>
  <si>
    <t>Palmer, Ms.  Michele V.</t>
  </si>
  <si>
    <t>Id452</t>
  </si>
  <si>
    <t>Wang, Mr.  Xiao</t>
  </si>
  <si>
    <t>Id453</t>
  </si>
  <si>
    <t>Beasley, Ms.  Harper L</t>
  </si>
  <si>
    <t>Id454</t>
  </si>
  <si>
    <t>Bedbury, Mr.  Nick</t>
  </si>
  <si>
    <t>Id455</t>
  </si>
  <si>
    <t>Stemberger, Mr.  Scott</t>
  </si>
  <si>
    <t>Id456</t>
  </si>
  <si>
    <t>Chebet, Mr.  Wilson</t>
  </si>
  <si>
    <t>Id457</t>
  </si>
  <si>
    <t>Muir, Mr.  Lee</t>
  </si>
  <si>
    <t>Id458</t>
  </si>
  <si>
    <t>Yang, Mr.  Shizhong</t>
  </si>
  <si>
    <t>Id459</t>
  </si>
  <si>
    <t>Gravel, Ms.  Marie-Claire</t>
  </si>
  <si>
    <t>Id460</t>
  </si>
  <si>
    <t>Smith, Mr.  Todd J.</t>
  </si>
  <si>
    <t>Id461</t>
  </si>
  <si>
    <t>Williams, Ms.  Carolyn</t>
  </si>
  <si>
    <t>Id462</t>
  </si>
  <si>
    <t>Meyer, Ms.  Lindsey</t>
  </si>
  <si>
    <t>Id463</t>
  </si>
  <si>
    <t>Jamieson, Ms.  Marissa D</t>
  </si>
  <si>
    <t>Id464</t>
  </si>
  <si>
    <t>Dufeal, Mr.  Jean Luc</t>
  </si>
  <si>
    <t>Id465</t>
  </si>
  <si>
    <t>Sansonetti, Ms.  Danielle</t>
  </si>
  <si>
    <t>Id466</t>
  </si>
  <si>
    <t>Koneazny, Mr.  Jim</t>
  </si>
  <si>
    <t>Id467</t>
  </si>
  <si>
    <t>Johnson, Mr.  Matthew T</t>
  </si>
  <si>
    <t>Id468</t>
  </si>
  <si>
    <t>Glasson, Ms.  Rachel L.</t>
  </si>
  <si>
    <t>Id469</t>
  </si>
  <si>
    <t>Canitz, Ms.  Corina</t>
  </si>
  <si>
    <t>Id470</t>
  </si>
  <si>
    <t>Li, Mr.  Guannan</t>
  </si>
  <si>
    <t>Id471</t>
  </si>
  <si>
    <t>Parsons, Mr.  Don</t>
  </si>
  <si>
    <t>Id472</t>
  </si>
  <si>
    <t>Raulli, Mr.  Chris</t>
  </si>
  <si>
    <t>Id473</t>
  </si>
  <si>
    <t>Frome, Mr.  Gavin V.</t>
  </si>
  <si>
    <t>Id474</t>
  </si>
  <si>
    <t>Sevcik, Mr.  David</t>
  </si>
  <si>
    <t>Id475</t>
  </si>
  <si>
    <t>Narang, Mr.  Jatin</t>
  </si>
  <si>
    <t>Id476</t>
  </si>
  <si>
    <t>Royston, Mr.  J P. II</t>
  </si>
  <si>
    <t>Id477</t>
  </si>
  <si>
    <t>Tieri, Ms.  Angela M.</t>
  </si>
  <si>
    <t>Id478</t>
  </si>
  <si>
    <t>Whitney, Mr.  Blake K.</t>
  </si>
  <si>
    <t>Id479</t>
  </si>
  <si>
    <t>Wandzilak, Mr.  Brian T.</t>
  </si>
  <si>
    <t>Id480</t>
  </si>
  <si>
    <t>Valenzona, Mr.  Damon</t>
  </si>
  <si>
    <t>Id481</t>
  </si>
  <si>
    <t>Young, Mr.  Jeffrey</t>
  </si>
  <si>
    <t>Id482</t>
  </si>
  <si>
    <t>Richards, Mr.  Malcolm J.</t>
  </si>
  <si>
    <t>Id483</t>
  </si>
  <si>
    <t>Alexson, Ms.  Margaret B.</t>
  </si>
  <si>
    <t>Id484</t>
  </si>
  <si>
    <t>Wright, Ms.  Helen</t>
  </si>
  <si>
    <t>Id485</t>
  </si>
  <si>
    <t>McKenna, Mr.  Matthew</t>
  </si>
  <si>
    <t>Id486</t>
  </si>
  <si>
    <t>Sallade, Mr.  Jeff</t>
  </si>
  <si>
    <t>Id487</t>
  </si>
  <si>
    <t>Argall, Mrs.  Tara R</t>
  </si>
  <si>
    <t>Id488</t>
  </si>
  <si>
    <t>Patchell, Ms.  Kristin</t>
  </si>
  <si>
    <t>Id489</t>
  </si>
  <si>
    <t>Catoggio, Mr.  Timothy</t>
  </si>
  <si>
    <t>Id490</t>
  </si>
  <si>
    <t>Adams, Mr.  Scott</t>
  </si>
  <si>
    <t>Id491</t>
  </si>
  <si>
    <t>Windt, Ms.  Carly E</t>
  </si>
  <si>
    <t>Id492</t>
  </si>
  <si>
    <t>Ryan, Ms.  Lisa</t>
  </si>
  <si>
    <t>Id493</t>
  </si>
  <si>
    <t>Marion, Ms.  Stacey</t>
  </si>
  <si>
    <t>Id494</t>
  </si>
  <si>
    <t>Raffetto, Mr.  Louis</t>
  </si>
  <si>
    <t>Id495</t>
  </si>
  <si>
    <t>Young, Mr.  Brian R.</t>
  </si>
  <si>
    <t>Id496</t>
  </si>
  <si>
    <t>Oehlke, Mrs.  Jessica</t>
  </si>
  <si>
    <t>Id497</t>
  </si>
  <si>
    <t>Sudol, Ms.  Dawn M.</t>
  </si>
  <si>
    <t>Id498</t>
  </si>
  <si>
    <t>Van Es, Mr.  Chris</t>
  </si>
  <si>
    <t>Id499</t>
  </si>
  <si>
    <t>Dolge, Ms.  Karen</t>
  </si>
  <si>
    <t>Id500</t>
  </si>
  <si>
    <t>Marlier, Ms.  Jessica</t>
  </si>
  <si>
    <t>Id501</t>
  </si>
  <si>
    <t>Girard, Mr.  Mathieu</t>
  </si>
  <si>
    <t>Id502</t>
  </si>
  <si>
    <t>Lee, Mr.  Kam S.</t>
  </si>
  <si>
    <t>Id503</t>
  </si>
  <si>
    <t>Hubbard, Ms.  Valerie A</t>
  </si>
  <si>
    <t>Id504</t>
  </si>
  <si>
    <t>Koester, Ms.  Freya R</t>
  </si>
  <si>
    <t>Id505</t>
  </si>
  <si>
    <t>Matthews, Ms.  Jennifer</t>
  </si>
  <si>
    <t>Id506</t>
  </si>
  <si>
    <t>Rubinich, Ms.  Kara</t>
  </si>
  <si>
    <t>Id507</t>
  </si>
  <si>
    <t>Alban, Mr.  Bradley A.</t>
  </si>
  <si>
    <t>Id508</t>
  </si>
  <si>
    <t>Corcoran, Mr.  Brendan</t>
  </si>
  <si>
    <t>Id509</t>
  </si>
  <si>
    <t>Sargent, Ms.  Amber R</t>
  </si>
  <si>
    <t>Id510</t>
  </si>
  <si>
    <t>Watson, Mr.  Sean K</t>
  </si>
  <si>
    <t>Id511</t>
  </si>
  <si>
    <t>Esponda, Mr.  Rick</t>
  </si>
  <si>
    <t>Id512</t>
  </si>
  <si>
    <t>Krall, Mr.  Matthew</t>
  </si>
  <si>
    <t>Id513</t>
  </si>
  <si>
    <t>Poskin, Mr.  Brady</t>
  </si>
  <si>
    <t>Id514</t>
  </si>
  <si>
    <t>Halfmann, Ms.  Kameko</t>
  </si>
  <si>
    <t>Id515</t>
  </si>
  <si>
    <t>Klapper, Mr.  Jeremy A</t>
  </si>
  <si>
    <t>Id516</t>
  </si>
  <si>
    <t>George, Mr.  Daniel</t>
  </si>
  <si>
    <t>Id517</t>
  </si>
  <si>
    <t>Hicks, Ms.  Amanda</t>
  </si>
  <si>
    <t>Id518</t>
  </si>
  <si>
    <t>Lockyer, Ms.  Karen</t>
  </si>
  <si>
    <t>Id519</t>
  </si>
  <si>
    <t>Byrnes, Mr.  Gregory</t>
  </si>
  <si>
    <t>Id520</t>
  </si>
  <si>
    <t>Norris, Ms.  Sabine</t>
  </si>
  <si>
    <t>Id521</t>
  </si>
  <si>
    <t>Darda, Mr.  Joseph</t>
  </si>
  <si>
    <t>Id522</t>
  </si>
  <si>
    <t>Otstot, Mr.  Adam</t>
  </si>
  <si>
    <t>Id523</t>
  </si>
  <si>
    <t>Bowley, Ms.  Karolyn A</t>
  </si>
  <si>
    <t>Id524</t>
  </si>
  <si>
    <t>Rogers, Mrs.  Anita L.</t>
  </si>
  <si>
    <t>Id525</t>
  </si>
  <si>
    <t>Mclaughlin, Ms.  Laura E.</t>
  </si>
  <si>
    <t>Id526</t>
  </si>
  <si>
    <t>Ziegler, Ms.  Sarah</t>
  </si>
  <si>
    <t>Id527</t>
  </si>
  <si>
    <t>Hughey, Mrs.  Ashley E</t>
  </si>
  <si>
    <t>Id528</t>
  </si>
  <si>
    <t>Knast, Ms.  Lindsey</t>
  </si>
  <si>
    <t>Id529</t>
  </si>
  <si>
    <t>Stob, Mr.  Alan</t>
  </si>
  <si>
    <t>Id530</t>
  </si>
  <si>
    <t>Jensen, Mr.  Dan R.</t>
  </si>
  <si>
    <t>Id531</t>
  </si>
  <si>
    <t>Mutter, Ms.  Katie</t>
  </si>
  <si>
    <t>Id532</t>
  </si>
  <si>
    <t>Ahern, Mr.  Eric</t>
  </si>
  <si>
    <t>Id533</t>
  </si>
  <si>
    <t>Chviruk, Ms.  Cathryn</t>
  </si>
  <si>
    <t>Id534</t>
  </si>
  <si>
    <t>Meehan, Mr.  Brendan</t>
  </si>
  <si>
    <t>Id535</t>
  </si>
  <si>
    <t>Gammon, Ms.  Shauna</t>
  </si>
  <si>
    <t>Id536</t>
  </si>
  <si>
    <t>Lee, Mr.  Terence</t>
  </si>
  <si>
    <t>Id537</t>
  </si>
  <si>
    <t>Franco, Ms.  Marisol</t>
  </si>
  <si>
    <t>Id538</t>
  </si>
  <si>
    <t>Patterson, Ms.  Lindsay</t>
  </si>
  <si>
    <t>Id539</t>
  </si>
  <si>
    <t>Valdes, Ms.  Katie</t>
  </si>
  <si>
    <t>Id540</t>
  </si>
  <si>
    <t>Craig, Mr.  Daniel</t>
  </si>
  <si>
    <t>Id541</t>
  </si>
  <si>
    <t>Whipple, Mr.  Brett W</t>
  </si>
  <si>
    <t>Id542</t>
  </si>
  <si>
    <t>Marton, Mr.  Dylan J</t>
  </si>
  <si>
    <t>Id543</t>
  </si>
  <si>
    <t>Hildebrandt, Ms.  Elizabeth</t>
  </si>
  <si>
    <t>Id544</t>
  </si>
  <si>
    <t>Biggs, Ms.  Brooke M.</t>
  </si>
  <si>
    <t>Id545</t>
  </si>
  <si>
    <t>Shigezumi, Mrs.  Teiko</t>
  </si>
  <si>
    <t>Id546</t>
  </si>
  <si>
    <t>Meineke, Mr.  Zachary</t>
  </si>
  <si>
    <t>Id547</t>
  </si>
  <si>
    <t>Ludington, Ms.  Johannah</t>
  </si>
  <si>
    <t>Id548</t>
  </si>
  <si>
    <t>Perrich, Mr.  Ryan A</t>
  </si>
  <si>
    <t>Id549</t>
  </si>
  <si>
    <t>Cervantes, Mr.  Andres Sr.</t>
  </si>
  <si>
    <t>Id550</t>
  </si>
  <si>
    <t>Andrews, Mr.  Bryan</t>
  </si>
  <si>
    <t>Id551</t>
  </si>
  <si>
    <t>Ruvalcaba, Ms.  Lizette</t>
  </si>
  <si>
    <t>Id552</t>
  </si>
  <si>
    <t>King, Mr.  Don</t>
  </si>
  <si>
    <t>Id553</t>
  </si>
  <si>
    <t>Stone, Mr.  Jeb</t>
  </si>
  <si>
    <t>Id554</t>
  </si>
  <si>
    <t>Campbell, Ms.  Amy R.</t>
  </si>
  <si>
    <t>Id555</t>
  </si>
  <si>
    <t>Asher, Mr.  Brian</t>
  </si>
  <si>
    <t>Id556</t>
  </si>
  <si>
    <t>Mazzotta, Mr.  Mike G</t>
  </si>
  <si>
    <t>Id557</t>
  </si>
  <si>
    <t>Huttl, Ms.  Simonezitrone Sr.</t>
  </si>
  <si>
    <t>Id558</t>
  </si>
  <si>
    <t>Ferron, Mr.  Nicholas</t>
  </si>
  <si>
    <t>Id559</t>
  </si>
  <si>
    <t>Colarusso, Ms.  Angela M</t>
  </si>
  <si>
    <t>Id560</t>
  </si>
  <si>
    <t>Pearlman, Mr.  Oz</t>
  </si>
  <si>
    <t>Id561</t>
  </si>
  <si>
    <t>O'Mara, Ms.  Erin M.</t>
  </si>
  <si>
    <t>Id562</t>
  </si>
  <si>
    <t>Niska, Mr.  Bobby E.</t>
  </si>
  <si>
    <t>Id563</t>
  </si>
  <si>
    <t>Schlich, Mr.  Daniel P.</t>
  </si>
  <si>
    <t>Id564</t>
  </si>
  <si>
    <t>Zidek, Ms.  Marie E.</t>
  </si>
  <si>
    <t>Id565</t>
  </si>
  <si>
    <t>Ellgass, Mrs.  Katie</t>
  </si>
  <si>
    <t>Id566</t>
  </si>
  <si>
    <t>Lowe, Mr.  Eric D</t>
  </si>
  <si>
    <t>Id567</t>
  </si>
  <si>
    <t>Malone, Ms.  Tara</t>
  </si>
  <si>
    <t>Id568</t>
  </si>
  <si>
    <t>Dumke, Ms.  Haley L</t>
  </si>
  <si>
    <t>Id569</t>
  </si>
  <si>
    <t>Strong, Ms.  Kayla B.</t>
  </si>
  <si>
    <t>Id570</t>
  </si>
  <si>
    <t>Ferguson, Mr.  Mark D.</t>
  </si>
  <si>
    <t>Id571</t>
  </si>
  <si>
    <t>Klein, Mr.  Patrick J.</t>
  </si>
  <si>
    <t>Id572</t>
  </si>
  <si>
    <t>Eusebio, Mr.  Alejandro</t>
  </si>
  <si>
    <t>Id573</t>
  </si>
  <si>
    <t>Szolosi, Mrs.  Beth A</t>
  </si>
  <si>
    <t>Id574</t>
  </si>
  <si>
    <t>Butler, Mr.  Jason R</t>
  </si>
  <si>
    <t>Id575</t>
  </si>
  <si>
    <t>Fukuchi, Mr.  Yoshinori</t>
  </si>
  <si>
    <t>Id576</t>
  </si>
  <si>
    <t>Drucker, Ms.  Adrienne G.</t>
  </si>
  <si>
    <t>Id577</t>
  </si>
  <si>
    <t>Aziz, Mrs.  Meredith</t>
  </si>
  <si>
    <t>Id578</t>
  </si>
  <si>
    <t>Pak, Mr.  Junyong</t>
  </si>
  <si>
    <t>Id579</t>
  </si>
  <si>
    <t>Kieta, Ms.  Kristen A.</t>
  </si>
  <si>
    <t>Id580</t>
  </si>
  <si>
    <t>Velez, Ms.  Maria I.</t>
  </si>
  <si>
    <t>Id581</t>
  </si>
  <si>
    <t>Bussiere, Mr.  Jonathan</t>
  </si>
  <si>
    <t>Id582</t>
  </si>
  <si>
    <t>McCartney, Mr.  Phil</t>
  </si>
  <si>
    <t>Id583</t>
  </si>
  <si>
    <t>Bambauer, Ms.  Benjamina C</t>
  </si>
  <si>
    <t>Id584</t>
  </si>
  <si>
    <t>Mertz, Mr.  Christopher</t>
  </si>
  <si>
    <t>Id585</t>
  </si>
  <si>
    <t>Mason, Ms.  Alison B</t>
  </si>
  <si>
    <t>Id586</t>
  </si>
  <si>
    <t>Rotich, Ms.  Caroline</t>
  </si>
  <si>
    <t>Id587</t>
  </si>
  <si>
    <t>Fetzer, Ms.  Alexis N</t>
  </si>
  <si>
    <t>Id588</t>
  </si>
  <si>
    <t>Mattis, Ms.  Shanda L</t>
  </si>
  <si>
    <t>Id589</t>
  </si>
  <si>
    <t>Cochran, Mrs.  Lacey</t>
  </si>
  <si>
    <t>Id590</t>
  </si>
  <si>
    <t>Balinsky, Ms.  Laurette</t>
  </si>
  <si>
    <t>Id591</t>
  </si>
  <si>
    <t>Reilly, Mr.  Jason</t>
  </si>
  <si>
    <t>Id592</t>
  </si>
  <si>
    <t>Johnson, Ms.  Mary</t>
  </si>
  <si>
    <t>Id593</t>
  </si>
  <si>
    <t>Petry, Ms.  Kati A</t>
  </si>
  <si>
    <t>Id594</t>
  </si>
  <si>
    <t>Laleman, Mrs.  Kelly J</t>
  </si>
  <si>
    <t>Id595</t>
  </si>
  <si>
    <t>Colby, Ms.  Greer D</t>
  </si>
  <si>
    <t>Id596</t>
  </si>
  <si>
    <t>Wathke, Mr.  Brent</t>
  </si>
  <si>
    <t>Id597</t>
  </si>
  <si>
    <t>Daly, Mr.  Eugene M</t>
  </si>
  <si>
    <t>Id598</t>
  </si>
  <si>
    <t>Dillon, Ms.  Erin D</t>
  </si>
  <si>
    <t>Id599</t>
  </si>
  <si>
    <t>Pontes, Ms.  Kamilla</t>
  </si>
  <si>
    <t>Id600</t>
  </si>
  <si>
    <t>Spies, Mr.  Wayne I.</t>
  </si>
  <si>
    <t>Id601</t>
  </si>
  <si>
    <t>Greig, Ms.  Tracy L</t>
  </si>
  <si>
    <t>Id602</t>
  </si>
  <si>
    <t>Scott, Mrs.  Heather</t>
  </si>
  <si>
    <t>Id603</t>
  </si>
  <si>
    <t>Erlandson, Mrs.  Megan C</t>
  </si>
  <si>
    <t>Id604</t>
  </si>
  <si>
    <t>Autrey, Mr.  Jonathan</t>
  </si>
  <si>
    <t>Id605</t>
  </si>
  <si>
    <t>Alleman, Mr.  Greg D.</t>
  </si>
  <si>
    <t>Id606</t>
  </si>
  <si>
    <t>Michalski, Mr.  Steven L.</t>
  </si>
  <si>
    <t>Id607</t>
  </si>
  <si>
    <t>Grillo, Mr.  Gianfilippo</t>
  </si>
  <si>
    <t>Id608</t>
  </si>
  <si>
    <t>Coronado, Mr.  Hector</t>
  </si>
  <si>
    <t>Id609</t>
  </si>
  <si>
    <t>Dewine, Mr.  Mark W.</t>
  </si>
  <si>
    <t>Id610</t>
  </si>
  <si>
    <t>Carman, Mrs.  Aubri</t>
  </si>
  <si>
    <t>Id611</t>
  </si>
  <si>
    <t>Neems, Mr.  Justin</t>
  </si>
  <si>
    <t>Id612</t>
  </si>
  <si>
    <t>Pesyna, Ms.  Megan A.</t>
  </si>
  <si>
    <t>Id613</t>
  </si>
  <si>
    <t>Meling, Ms.  Erika M.</t>
  </si>
  <si>
    <t>Id614</t>
  </si>
  <si>
    <t>Widlowski, Mr.  Daniel G.</t>
  </si>
  <si>
    <t>Id615</t>
  </si>
  <si>
    <t>Nadar, Ms.  Devin C.</t>
  </si>
  <si>
    <t>Id616</t>
  </si>
  <si>
    <t>Turner, Ms.  Louise A</t>
  </si>
  <si>
    <t>Id617</t>
  </si>
  <si>
    <t>Walker, Mrs.  Sarah</t>
  </si>
  <si>
    <t>Id618</t>
  </si>
  <si>
    <t>Leedham, Ms.  Amy</t>
  </si>
  <si>
    <t>Id619</t>
  </si>
  <si>
    <t>Haglund, Ms.  Brittany L.</t>
  </si>
  <si>
    <t>Id620</t>
  </si>
  <si>
    <t>Mills, Ms.  Jessica L</t>
  </si>
  <si>
    <t>Id621</t>
  </si>
  <si>
    <t>Drnjevich, Mrs.  Kristina K</t>
  </si>
  <si>
    <t>Id622</t>
  </si>
  <si>
    <t>Clay, Mr.  Brad</t>
  </si>
  <si>
    <t>Id623</t>
  </si>
  <si>
    <t>Marbury, Ms.  Margaret O</t>
  </si>
  <si>
    <t>Id624</t>
  </si>
  <si>
    <t>Coon, Mr.  Craig R.</t>
  </si>
  <si>
    <t>Id625</t>
  </si>
  <si>
    <t>Vanttinen, Mr.  Simo</t>
  </si>
  <si>
    <t>Id626</t>
  </si>
  <si>
    <t>Garges, Mr.  Christopher J</t>
  </si>
  <si>
    <t>Id627</t>
  </si>
  <si>
    <t>Rivel, Mr.  Mario Sr.</t>
  </si>
  <si>
    <t>Id628</t>
  </si>
  <si>
    <t>Lawson, Mrs.  Meghann R.</t>
  </si>
  <si>
    <t>Id629</t>
  </si>
  <si>
    <t>Cale, Mr.  Scott M</t>
  </si>
  <si>
    <t>Id630</t>
  </si>
  <si>
    <t>Phillips, Ms.  Caitlin E.</t>
  </si>
  <si>
    <t>Id631</t>
  </si>
  <si>
    <t>Stewart, Mrs.  Samantha A.</t>
  </si>
  <si>
    <t>Id632</t>
  </si>
  <si>
    <t>Drotz, Mr.  Erik</t>
  </si>
  <si>
    <t>Id633</t>
  </si>
  <si>
    <t>Mutai, Mr.  Christopher</t>
  </si>
  <si>
    <t>Id634</t>
  </si>
  <si>
    <t>Lovlien, Mrs.  Maya</t>
  </si>
  <si>
    <t>Id635</t>
  </si>
  <si>
    <t>Bruns, Mr.  Zachary T</t>
  </si>
  <si>
    <t>Id636</t>
  </si>
  <si>
    <t>Stoney, Mrs.  Hilda</t>
  </si>
  <si>
    <t>Id637</t>
  </si>
  <si>
    <t>Markert, Ms.  Stephanie</t>
  </si>
  <si>
    <t>Id638</t>
  </si>
  <si>
    <t>McLucas, Mr.  Doug</t>
  </si>
  <si>
    <t>Id639</t>
  </si>
  <si>
    <t>Erwin, Ms.  Bethany N.</t>
  </si>
  <si>
    <t>Id640</t>
  </si>
  <si>
    <t>Osborne, Mrs.  Sandra H</t>
  </si>
  <si>
    <t>Id641</t>
  </si>
  <si>
    <t>Otsuka, Mr.  Takuo</t>
  </si>
  <si>
    <t>Id642</t>
  </si>
  <si>
    <t>Smith, Ms.  Kelly A.</t>
  </si>
  <si>
    <t>Id643</t>
  </si>
  <si>
    <t>Myers, Mr.  Scott</t>
  </si>
  <si>
    <t>Id644</t>
  </si>
  <si>
    <t>Cote, Mr.  Benoit</t>
  </si>
  <si>
    <t>Id645</t>
  </si>
  <si>
    <t>Ehrhardt, Ms.  Elizabeth M.</t>
  </si>
  <si>
    <t>Id646</t>
  </si>
  <si>
    <t>Petersen, Ms.  Jessica A.</t>
  </si>
  <si>
    <t>Id647</t>
  </si>
  <si>
    <t>Ertel, Ms.  Monica K</t>
  </si>
  <si>
    <t>Id648</t>
  </si>
  <si>
    <t>Lanza, Mr.  Kevin L</t>
  </si>
  <si>
    <t>Id649</t>
  </si>
  <si>
    <t>Picklesimer, Mr.  Gregory</t>
  </si>
  <si>
    <t>Id650</t>
  </si>
  <si>
    <t>Giles, Ms.  Della</t>
  </si>
  <si>
    <t>Id651</t>
  </si>
  <si>
    <t>Harmon, Mr.  David</t>
  </si>
  <si>
    <t>Id652</t>
  </si>
  <si>
    <t>Pennings, Ms.  Victoria</t>
  </si>
  <si>
    <t>Id653</t>
  </si>
  <si>
    <t>Tseronis, Mr.  Tasos</t>
  </si>
  <si>
    <t>Id654</t>
  </si>
  <si>
    <t>Aliff, Mr.  Thomas</t>
  </si>
  <si>
    <t>Id655</t>
  </si>
  <si>
    <t>Willenberg, Mr.  Lukasz</t>
  </si>
  <si>
    <t>Id656</t>
  </si>
  <si>
    <t>Millett, Mr.  Matthew A.</t>
  </si>
  <si>
    <t>Id657</t>
  </si>
  <si>
    <t>Haley, Ms.  Meta</t>
  </si>
  <si>
    <t>Id658</t>
  </si>
  <si>
    <t>Ackerman, Ms.  Rachel E</t>
  </si>
  <si>
    <t>Id659</t>
  </si>
  <si>
    <t>Valdez, Ms.  Angelica</t>
  </si>
  <si>
    <t>Id660</t>
  </si>
  <si>
    <t>Michaud, Ms.  Kathleen</t>
  </si>
  <si>
    <t>Id661</t>
  </si>
  <si>
    <t>Gunnink, Mr.  Gabriel D.</t>
  </si>
  <si>
    <t>Id662</t>
  </si>
  <si>
    <t>Knight, Mr.  Jeff T</t>
  </si>
  <si>
    <t>Id663</t>
  </si>
  <si>
    <t>Grosscup, Mr.  Neil D</t>
  </si>
  <si>
    <t>Id664</t>
  </si>
  <si>
    <t>Koniuch, Ms.  Katherine L.</t>
  </si>
  <si>
    <t>Id665</t>
  </si>
  <si>
    <t>Heitzman, Ms.  Ariel E</t>
  </si>
  <si>
    <t>Id666</t>
  </si>
  <si>
    <t>Tatton, Mr.  Christopher P</t>
  </si>
  <si>
    <t>Id667</t>
  </si>
  <si>
    <t>Flanagan, Mrs.  Erin M.</t>
  </si>
  <si>
    <t>Id668</t>
  </si>
  <si>
    <t>Funk, Mrs.  Molly K.</t>
  </si>
  <si>
    <t>Id669</t>
  </si>
  <si>
    <t>Davenport, Mr.  Ryan J.</t>
  </si>
  <si>
    <t>Id670</t>
  </si>
  <si>
    <t>Nicholson, Mrs.  Jennifer</t>
  </si>
  <si>
    <t>Id671</t>
  </si>
  <si>
    <t>Lindbloom, Mr.  Daniel M</t>
  </si>
  <si>
    <t>Id672</t>
  </si>
  <si>
    <t>Wijayaratne, Ms.  Hiruni</t>
  </si>
  <si>
    <t>Id673</t>
  </si>
  <si>
    <t>Ainsworth, Ms.  Reina H.</t>
  </si>
  <si>
    <t>Id674</t>
  </si>
  <si>
    <t>Gayagoy, Ms.  Kristi</t>
  </si>
  <si>
    <t>Id675</t>
  </si>
  <si>
    <t>Fitzmaurice, Ms.  Meredith L.</t>
  </si>
  <si>
    <t>Id676</t>
  </si>
  <si>
    <t>Rodriguez, Ms.  Jocelyn</t>
  </si>
  <si>
    <t>Id677</t>
  </si>
  <si>
    <t>Tsoucas, Mrs.  Daphne</t>
  </si>
  <si>
    <t>Id678</t>
  </si>
  <si>
    <t>Muhly, Ms.  Margaret E</t>
  </si>
  <si>
    <t>Id679</t>
  </si>
  <si>
    <t>Lund, Mr.  Mario J.</t>
  </si>
  <si>
    <t>Id680</t>
  </si>
  <si>
    <t>Battaglino, Mr.  Peter</t>
  </si>
  <si>
    <t>Id681</t>
  </si>
  <si>
    <t>Pena, Ms.  Carolina</t>
  </si>
  <si>
    <t>Id682</t>
  </si>
  <si>
    <t>Thomason, Mrs.  Jenny K.</t>
  </si>
  <si>
    <t>Id683</t>
  </si>
  <si>
    <t>Hancox, Ms.  Jessica</t>
  </si>
  <si>
    <t>Id684</t>
  </si>
  <si>
    <t>Canarecci, Ms.  Kimberly D</t>
  </si>
  <si>
    <t>Id685</t>
  </si>
  <si>
    <t>Toupin, Mr.  Marc-Olivier</t>
  </si>
  <si>
    <t>Id686</t>
  </si>
  <si>
    <t>Mulley, Mr.  Russell J</t>
  </si>
  <si>
    <t>Id687</t>
  </si>
  <si>
    <t>Parry, Ms.  Karine</t>
  </si>
  <si>
    <t>Id688</t>
  </si>
  <si>
    <t>Mason Cox, Ms.  Cheryl</t>
  </si>
  <si>
    <t>Id689</t>
  </si>
  <si>
    <t>Thompson, Ms.  Allison M.</t>
  </si>
  <si>
    <t>Id690</t>
  </si>
  <si>
    <t>Nelson, Ms.  Adriana</t>
  </si>
  <si>
    <t>Id691</t>
  </si>
  <si>
    <t>Forte, Ms.  Miranda J</t>
  </si>
  <si>
    <t>Id692</t>
  </si>
  <si>
    <t>Corona Iturriaga, Mr.  Roberto</t>
  </si>
  <si>
    <t>Id693</t>
  </si>
  <si>
    <t>McCollum, Mrs.  Rebecca B.</t>
  </si>
  <si>
    <t>Id694</t>
  </si>
  <si>
    <t>Hevner, Ms.  Tiffany</t>
  </si>
  <si>
    <t>Id695</t>
  </si>
  <si>
    <t>Looi, Mr.  Alexander</t>
  </si>
  <si>
    <t>Id696</t>
  </si>
  <si>
    <t>Power, Mr.  Rich M</t>
  </si>
  <si>
    <t>Id697</t>
  </si>
  <si>
    <t>Routon, Mr.  Aaron C</t>
  </si>
  <si>
    <t>Id698</t>
  </si>
  <si>
    <t>Dochelli, Ms.  Kate</t>
  </si>
  <si>
    <t>Id699</t>
  </si>
  <si>
    <t>Gillespie, Ms.  Maria M</t>
  </si>
  <si>
    <t>Id700</t>
  </si>
  <si>
    <t>Oskvig, Mr.  Daven W</t>
  </si>
  <si>
    <t>Id701</t>
  </si>
  <si>
    <t>Holland-Stergar, Mrs.  Brianne</t>
  </si>
  <si>
    <t>Id702</t>
  </si>
  <si>
    <t>Arai, Mr.  Hiroki</t>
  </si>
  <si>
    <t>Id703</t>
  </si>
  <si>
    <t>Olausson, Mr.  Anders</t>
  </si>
  <si>
    <t>Id704</t>
  </si>
  <si>
    <t>Wagner, Ms.  Danielle</t>
  </si>
  <si>
    <t>Id705</t>
  </si>
  <si>
    <t>Delong, Ms.  Candace N</t>
  </si>
  <si>
    <t>Id706</t>
  </si>
  <si>
    <t>Mehech, Mr.  Bruno F.</t>
  </si>
  <si>
    <t>Id707</t>
  </si>
  <si>
    <t>Machiela, Ms.  Emily</t>
  </si>
  <si>
    <t>Id708</t>
  </si>
  <si>
    <t>Young, Mrs.  Katie</t>
  </si>
  <si>
    <t>Id709</t>
  </si>
  <si>
    <t>Dupere, Mrs.  Sally</t>
  </si>
  <si>
    <t>Id710</t>
  </si>
  <si>
    <t>Iandolo, Ms.  Meaghan J</t>
  </si>
  <si>
    <t>Id711</t>
  </si>
  <si>
    <t>Ito, Ms.  Rina</t>
  </si>
  <si>
    <t>Id712</t>
  </si>
  <si>
    <t>Barry, Ms.  Kristin P.</t>
  </si>
  <si>
    <t>Id713</t>
  </si>
  <si>
    <t>Boyce, Mr.  Albert</t>
  </si>
  <si>
    <t>Id714</t>
  </si>
  <si>
    <t>Lin, Mrs.  Ashley</t>
  </si>
  <si>
    <t>Id715</t>
  </si>
  <si>
    <t>Smith, Mrs.  Shannon L</t>
  </si>
  <si>
    <t>Id716</t>
  </si>
  <si>
    <t>Nalven, Ms.  Amy B</t>
  </si>
  <si>
    <t>Id717</t>
  </si>
  <si>
    <t>Bourgeois, Ms.  A Danielle</t>
  </si>
  <si>
    <t>Id718</t>
  </si>
  <si>
    <t>Orloff, Mr.  Conrad F</t>
  </si>
  <si>
    <t>Id719</t>
  </si>
  <si>
    <t>Ramirez, Mr.  Josh</t>
  </si>
  <si>
    <t>Id720</t>
  </si>
  <si>
    <t>Fouquet, Mr.  Maxime</t>
  </si>
  <si>
    <t>Id721</t>
  </si>
  <si>
    <t>McPhillips, Ms.  Natalie</t>
  </si>
  <si>
    <t>Id722</t>
  </si>
  <si>
    <t>Burgin, Ms.  Melissa</t>
  </si>
  <si>
    <t>Id723</t>
  </si>
  <si>
    <t>Roberts, Ms.  Laura P.</t>
  </si>
  <si>
    <t>Id724</t>
  </si>
  <si>
    <t>Nemec, Mrs.  Lisa</t>
  </si>
  <si>
    <t>Id725</t>
  </si>
  <si>
    <t>Appman, Mr.  William D. Jr.</t>
  </si>
  <si>
    <t>Id726</t>
  </si>
  <si>
    <t>Driscoll, Mr.  James</t>
  </si>
  <si>
    <t>Id727</t>
  </si>
  <si>
    <t>Glotzbach, Mr.  John</t>
  </si>
  <si>
    <t>Id728</t>
  </si>
  <si>
    <t>Tenforde, Mr.  Adam S</t>
  </si>
  <si>
    <t>Id729</t>
  </si>
  <si>
    <t>Ramirez, Mr.  Armando</t>
  </si>
  <si>
    <t>Id730</t>
  </si>
  <si>
    <t>Stanley Torres, Ms.  Dana</t>
  </si>
  <si>
    <t>Id731</t>
  </si>
  <si>
    <t>Vandongen, Ms.  Jennifer L</t>
  </si>
  <si>
    <t>Id732</t>
  </si>
  <si>
    <t>Liebald, Mr.  Benjamin</t>
  </si>
  <si>
    <t>Id733</t>
  </si>
  <si>
    <t>Holte, Ms.  Tanya</t>
  </si>
  <si>
    <t>Id734</t>
  </si>
  <si>
    <t>Johnson, Ms.  Tracy</t>
  </si>
  <si>
    <t>Id735</t>
  </si>
  <si>
    <t>Bartlett, Ms.  Emily S</t>
  </si>
  <si>
    <t>Id736</t>
  </si>
  <si>
    <t>Bergman, Ms.  Kelly R</t>
  </si>
  <si>
    <t>Id737</t>
  </si>
  <si>
    <t>Aitken, Mr.  Kyle</t>
  </si>
  <si>
    <t>Id738</t>
  </si>
  <si>
    <t>Berger, Mr.  Bruce A Jr.</t>
  </si>
  <si>
    <t>Id739</t>
  </si>
  <si>
    <t>Richey, Mr.  Cary J</t>
  </si>
  <si>
    <t>Id740</t>
  </si>
  <si>
    <t>Trotter, Mrs.  Jill M</t>
  </si>
  <si>
    <t>Id741</t>
  </si>
  <si>
    <t>Chavez, Mr.  Chris</t>
  </si>
  <si>
    <t>Id742</t>
  </si>
  <si>
    <t>Orifice, Mr.  Michael E.</t>
  </si>
  <si>
    <t>Id743</t>
  </si>
  <si>
    <t>Farkash, Mrs.  Lauren</t>
  </si>
  <si>
    <t>Id744</t>
  </si>
  <si>
    <t>Hribar, Mrs.  Kathryn E</t>
  </si>
  <si>
    <t>Id745</t>
  </si>
  <si>
    <t>Crawford, Ms.  Polly</t>
  </si>
  <si>
    <t>Id746</t>
  </si>
  <si>
    <t>Sittlington, Mr.  Mark H.</t>
  </si>
  <si>
    <t>Id747</t>
  </si>
  <si>
    <t>Silbert, Mrs.  Jessie M.</t>
  </si>
  <si>
    <t>Id748</t>
  </si>
  <si>
    <t>Carrique, Mr.  Chris</t>
  </si>
  <si>
    <t>Id749</t>
  </si>
  <si>
    <t>Kosla, Mr.  Daniel</t>
  </si>
  <si>
    <t>Id750</t>
  </si>
  <si>
    <t>Parker, Ms.  Megan</t>
  </si>
  <si>
    <t>Id751</t>
  </si>
  <si>
    <t>Horton, Mr.  Kevin</t>
  </si>
  <si>
    <t>Id752</t>
  </si>
  <si>
    <t>Boller, Ms.  Caroline S.</t>
  </si>
  <si>
    <t>Id753</t>
  </si>
  <si>
    <t>Olaru, Ms.  Nuta</t>
  </si>
  <si>
    <t>Id754</t>
  </si>
  <si>
    <t>Prescott, Ms.  Margie</t>
  </si>
  <si>
    <t>Id755</t>
  </si>
  <si>
    <t>Hines, Mrs.  Heidi</t>
  </si>
  <si>
    <t>Id756</t>
  </si>
  <si>
    <t>Blanton, Mr.  Diego J</t>
  </si>
  <si>
    <t>Id757</t>
  </si>
  <si>
    <t>Bustamante, Mr.  Enrique M Sr.</t>
  </si>
  <si>
    <t>Id758</t>
  </si>
  <si>
    <t>McCann, Mr.  Greg</t>
  </si>
  <si>
    <t>Id759</t>
  </si>
  <si>
    <t>Schmole, Mr.  Filip</t>
  </si>
  <si>
    <t>Id760</t>
  </si>
  <si>
    <t>Barber, Ms.  Rosemary E.</t>
  </si>
  <si>
    <t>Id761</t>
  </si>
  <si>
    <t>Reichmann, Ms.  Lisa</t>
  </si>
  <si>
    <t>Id762</t>
  </si>
  <si>
    <t>Cavatorta, Mr.  Jason</t>
  </si>
  <si>
    <t>Id763</t>
  </si>
  <si>
    <t>Yaeger, Ms.  Courtney</t>
  </si>
  <si>
    <t>Id764</t>
  </si>
  <si>
    <t>Hughes, Ms.  Jennifer R.</t>
  </si>
  <si>
    <t>Id765</t>
  </si>
  <si>
    <t>Donahue, Ms.  Lauren E</t>
  </si>
  <si>
    <t>Id766</t>
  </si>
  <si>
    <t>Greenwell, Ms.  Ashley M.</t>
  </si>
  <si>
    <t>Id767</t>
  </si>
  <si>
    <t>Steele, Ms.  Alison R.</t>
  </si>
  <si>
    <t>Id768</t>
  </si>
  <si>
    <t>Gunter, Ms.  Madeleine</t>
  </si>
  <si>
    <t>Id769</t>
  </si>
  <si>
    <t>McDonough, Ms.  Stacey</t>
  </si>
  <si>
    <t>Id770</t>
  </si>
  <si>
    <t>Sweetland, Ms.  Kimberly</t>
  </si>
  <si>
    <t>Id771</t>
  </si>
  <si>
    <t>Hammersmith, Mr.  Matthew D</t>
  </si>
  <si>
    <t>Id772</t>
  </si>
  <si>
    <t>French, Mr.  Michael</t>
  </si>
  <si>
    <t>Id773</t>
  </si>
  <si>
    <t>Garbe, Mr.  Ben</t>
  </si>
  <si>
    <t>Id774</t>
  </si>
  <si>
    <t>Duncan, Mr.  Chris</t>
  </si>
  <si>
    <t>Id775</t>
  </si>
  <si>
    <t>Wallace, Mr.  Jeremy J</t>
  </si>
  <si>
    <t>Id776</t>
  </si>
  <si>
    <t>Tillman, Mrs.  Amy L.</t>
  </si>
  <si>
    <t>Id777</t>
  </si>
  <si>
    <t>Lee, Mrs.  Karen L.</t>
  </si>
  <si>
    <t>Id778</t>
  </si>
  <si>
    <t>Taylor, Ms.  Tennille</t>
  </si>
  <si>
    <t>Id779</t>
  </si>
  <si>
    <t>McSween, Mr.  Matt</t>
  </si>
  <si>
    <t>Id780</t>
  </si>
  <si>
    <t>Schubert, Ms.  Emily</t>
  </si>
  <si>
    <t>Id781</t>
  </si>
  <si>
    <t>Lalanne, Mr.  Justin E</t>
  </si>
  <si>
    <t>Id782</t>
  </si>
  <si>
    <t>Flanagan, Ms.  Shalane</t>
  </si>
  <si>
    <t>Id783</t>
  </si>
  <si>
    <t>Arellano, Ms.  Jessica N.</t>
  </si>
  <si>
    <t>Id784</t>
  </si>
  <si>
    <t>Charette, Ms.  Melanie</t>
  </si>
  <si>
    <t>Id785</t>
  </si>
  <si>
    <t>Pena Reyes, Ms.  Ruth Angelica</t>
  </si>
  <si>
    <t>Id786</t>
  </si>
  <si>
    <t>Broderick, Ms.  Una M</t>
  </si>
  <si>
    <t>Id787</t>
  </si>
  <si>
    <t>Summers, Ms.  Taralyn</t>
  </si>
  <si>
    <t>Id788</t>
  </si>
  <si>
    <t>Fisher, Mr.  James A</t>
  </si>
  <si>
    <t>Id789</t>
  </si>
  <si>
    <t>Zhou, Mr.  Ning</t>
  </si>
  <si>
    <t>Id790</t>
  </si>
  <si>
    <t>Clarke-Ames, Mr.  Joel</t>
  </si>
  <si>
    <t>Id791</t>
  </si>
  <si>
    <t>Staton, Ms.  Pamela J.</t>
  </si>
  <si>
    <t>Id792</t>
  </si>
  <si>
    <t>Forster, Ms.  Brittney</t>
  </si>
  <si>
    <t>Id793</t>
  </si>
  <si>
    <t>Monaghan, Mrs.  Sheila</t>
  </si>
  <si>
    <t>Id794</t>
  </si>
  <si>
    <t>Kawamoto, Mr.  Koji</t>
  </si>
  <si>
    <t>Id795</t>
  </si>
  <si>
    <t>Dicharry, Ms.  Sarah</t>
  </si>
  <si>
    <t>Id796</t>
  </si>
  <si>
    <t>Berry, Mrs.  Colleen M</t>
  </si>
  <si>
    <t>Id797</t>
  </si>
  <si>
    <t>Porfirio, Ms.  Deedra G.</t>
  </si>
  <si>
    <t>Id798</t>
  </si>
  <si>
    <t>Thind, Mrs.  Kulwinder</t>
  </si>
  <si>
    <t>Id799</t>
  </si>
  <si>
    <t>Ryan, Ms.  Ann M.</t>
  </si>
  <si>
    <t>Id800</t>
  </si>
  <si>
    <t>Horn, Ms.  Sarah E</t>
  </si>
  <si>
    <t>Id801</t>
  </si>
  <si>
    <t>Sabadosa, Ms.  Apryl J.</t>
  </si>
  <si>
    <t>Id802</t>
  </si>
  <si>
    <t>Casady, Mrs.  Ilana</t>
  </si>
  <si>
    <t>Id803</t>
  </si>
  <si>
    <t>Phillips, Ms.  Katherine</t>
  </si>
  <si>
    <t>Id804</t>
  </si>
  <si>
    <t>Ahokas, Ms.  Katherine</t>
  </si>
  <si>
    <t>Id805</t>
  </si>
  <si>
    <t>Hebert, Mr.  Karl</t>
  </si>
  <si>
    <t>Id806</t>
  </si>
  <si>
    <t>Fair, Mr.  Stephen</t>
  </si>
  <si>
    <t>Id807</t>
  </si>
  <si>
    <t>Swenson, Mr.  Will</t>
  </si>
  <si>
    <t>Id808</t>
  </si>
  <si>
    <t>Revenis, Mr.  Bradley D</t>
  </si>
  <si>
    <t>Id809</t>
  </si>
  <si>
    <t>Engnes, Mrs.  Amy M</t>
  </si>
  <si>
    <t>Id810</t>
  </si>
  <si>
    <t>Wiltse, Mr.  Matthew W.</t>
  </si>
  <si>
    <t>Id811</t>
  </si>
  <si>
    <t>Fernandez, Mr.  Doug</t>
  </si>
  <si>
    <t>Id812</t>
  </si>
  <si>
    <t>Edwards, Mr.  Tom</t>
  </si>
  <si>
    <t>Id813</t>
  </si>
  <si>
    <t>Pinney, Mr.  Jonathan</t>
  </si>
  <si>
    <t>Id814</t>
  </si>
  <si>
    <t>Levy, Mr.  Wayne A.</t>
  </si>
  <si>
    <t>Id815</t>
  </si>
  <si>
    <t>Takeda, Mr.  Nobuyori</t>
  </si>
  <si>
    <t>Id816</t>
  </si>
  <si>
    <t>Burke, Mr.  Rich</t>
  </si>
  <si>
    <t>Id817</t>
  </si>
  <si>
    <t>Duarte, Mr.  Marcos S</t>
  </si>
  <si>
    <t>Id818</t>
  </si>
  <si>
    <t>Clark, Mr.  Dave</t>
  </si>
  <si>
    <t>Id819</t>
  </si>
  <si>
    <t>Nice, Mr.  Andy</t>
  </si>
  <si>
    <t>Id820</t>
  </si>
  <si>
    <t>Windler, Ms.  Mary</t>
  </si>
  <si>
    <t>Id821</t>
  </si>
  <si>
    <t>Jones, Mr.  Marcus B</t>
  </si>
  <si>
    <t>Id822</t>
  </si>
  <si>
    <t>Stevenson, Mr.  Thomas K.</t>
  </si>
  <si>
    <t>Id823</t>
  </si>
  <si>
    <t>Humphrey, Mr.  Robert</t>
  </si>
  <si>
    <t>Id824</t>
  </si>
  <si>
    <t>Nelson, Mr.  Geoff</t>
  </si>
  <si>
    <t>Id825</t>
  </si>
  <si>
    <t>Payne, Mr.  Chris J.</t>
  </si>
  <si>
    <t>Id826</t>
  </si>
  <si>
    <t>Hails, Ms.  Kate A.</t>
  </si>
  <si>
    <t>Id827</t>
  </si>
  <si>
    <t>Proctor, Ms.  Kelli</t>
  </si>
  <si>
    <t>Id828</t>
  </si>
  <si>
    <t>Ryan, Mrs.  Maggie M</t>
  </si>
  <si>
    <t>Id829</t>
  </si>
  <si>
    <t>Watson, Mrs.  Michelle L.</t>
  </si>
  <si>
    <t>Id830</t>
  </si>
  <si>
    <t>Gresh, Mrs.  Ashley K</t>
  </si>
  <si>
    <t>Id831</t>
  </si>
  <si>
    <t>Anis, Mr.  Michael</t>
  </si>
  <si>
    <t>Id832</t>
  </si>
  <si>
    <t>Swartz, Mr.  Ryan K.</t>
  </si>
  <si>
    <t>Id833</t>
  </si>
  <si>
    <t>Schluneker, Mr.  Matthew J</t>
  </si>
  <si>
    <t>Id834</t>
  </si>
  <si>
    <t>Bellemare, Mrs.  Karine</t>
  </si>
  <si>
    <t>Id835</t>
  </si>
  <si>
    <t>Vitalo, Ms.  Antonia G</t>
  </si>
  <si>
    <t>Id836</t>
  </si>
  <si>
    <t>Hamilton, Ms.  Casondra L</t>
  </si>
  <si>
    <t>Id837</t>
  </si>
  <si>
    <t>Marshall, Ms.  Wendy</t>
  </si>
  <si>
    <t>Id838</t>
  </si>
  <si>
    <t>Cale, Mr.  Eric D</t>
  </si>
  <si>
    <t>Id839</t>
  </si>
  <si>
    <t>Pittaway, Ms.  Elizabeth</t>
  </si>
  <si>
    <t>Id840</t>
  </si>
  <si>
    <t>Bill, Ms.  Laura F</t>
  </si>
  <si>
    <t>Id841</t>
  </si>
  <si>
    <t>Antrim, Ms.  Amelia F.</t>
  </si>
  <si>
    <t>Id842</t>
  </si>
  <si>
    <t>Doolittle-Crider, Ms.  Amy L.</t>
  </si>
  <si>
    <t>Id843</t>
  </si>
  <si>
    <t>Ruhlman, Ms.  Katie J</t>
  </si>
  <si>
    <t>Id844</t>
  </si>
  <si>
    <t>Anderson, Ms.  Laura E.</t>
  </si>
  <si>
    <t>Id845</t>
  </si>
  <si>
    <t>Uchiyama, Mrs.  Mayumi</t>
  </si>
  <si>
    <t>Id846</t>
  </si>
  <si>
    <t>Desota, Ms.  Vanessa</t>
  </si>
  <si>
    <t>Id847</t>
  </si>
  <si>
    <t>Edmonds, Ms.  Natali N</t>
  </si>
  <si>
    <t>Id848</t>
  </si>
  <si>
    <t>Otto, Ms.  Beth</t>
  </si>
  <si>
    <t>Id849</t>
  </si>
  <si>
    <t>Kurt, Mr.  Alex</t>
  </si>
  <si>
    <t>Id850</t>
  </si>
  <si>
    <t>Duhaime, Mr.  Spencer</t>
  </si>
  <si>
    <t>Id851</t>
  </si>
  <si>
    <t>Swann, Ms.  Andee W.</t>
  </si>
  <si>
    <t>Id852</t>
  </si>
  <si>
    <t>Burton, Mrs.  Amy</t>
  </si>
  <si>
    <t>Id853</t>
  </si>
  <si>
    <t>Ricardi, Mr.  Joshua</t>
  </si>
  <si>
    <t>Id854</t>
  </si>
  <si>
    <t>Joslyn, Mr.  C Fred</t>
  </si>
  <si>
    <t>Id855</t>
  </si>
  <si>
    <t>Bennie, Mr.  Jeremy</t>
  </si>
  <si>
    <t>Id856</t>
  </si>
  <si>
    <t>Kanyane, Mr.  Patrick Sr.</t>
  </si>
  <si>
    <t>Id857</t>
  </si>
  <si>
    <t>McFadden, Ms.  Kelly M.</t>
  </si>
  <si>
    <t>Id858</t>
  </si>
  <si>
    <t>Connolly, Ms.  Katherine</t>
  </si>
  <si>
    <t>Id859</t>
  </si>
  <si>
    <t>Merino, Ms.  Keila L</t>
  </si>
  <si>
    <t>Id860</t>
  </si>
  <si>
    <t>Baird, Ms.  Zanae E</t>
  </si>
  <si>
    <t>Id861</t>
  </si>
  <si>
    <t>Locatelli, Mr.  Alex</t>
  </si>
  <si>
    <t>Id862</t>
  </si>
  <si>
    <t>Brake, Ms.  Kathryn</t>
  </si>
  <si>
    <t>Id863</t>
  </si>
  <si>
    <t>Jacobs, Mr.  Jason L.</t>
  </si>
  <si>
    <t>Id864</t>
  </si>
  <si>
    <t>Vaught, Mr.  Benjamin J.</t>
  </si>
  <si>
    <t>Id865</t>
  </si>
  <si>
    <t>Monteleone, Mr.  Steven M.</t>
  </si>
  <si>
    <t>Id866</t>
  </si>
  <si>
    <t>Verdugo, Mrs.  Erika</t>
  </si>
  <si>
    <t>Id867</t>
  </si>
  <si>
    <t>Sellers, Mr.  Chad</t>
  </si>
  <si>
    <t>Id868</t>
  </si>
  <si>
    <t>Bowman, Mr.  Mark</t>
  </si>
  <si>
    <t>Id869</t>
  </si>
  <si>
    <t>Marley, Mr.  David</t>
  </si>
  <si>
    <t>Id870</t>
  </si>
  <si>
    <t>Grey, Mr.  Matthew R</t>
  </si>
  <si>
    <t>Id871</t>
  </si>
  <si>
    <t>O'Rourke, Mrs.  Orla</t>
  </si>
  <si>
    <t>Id872</t>
  </si>
  <si>
    <t>Fatehali, Ms.  Shaista S</t>
  </si>
  <si>
    <t>Id873</t>
  </si>
  <si>
    <t>Piza-Taylor, Mrs.  Emily</t>
  </si>
  <si>
    <t>Id874</t>
  </si>
  <si>
    <t>Cavanaugh, Ms.  Julie A.</t>
  </si>
  <si>
    <t>Id875</t>
  </si>
  <si>
    <t>Amako, Ms.  Megumi</t>
  </si>
  <si>
    <t>Id876</t>
  </si>
  <si>
    <t>Musa, Ms.  Skylar</t>
  </si>
  <si>
    <t>Id877</t>
  </si>
  <si>
    <t>Phillippi, Mrs.  Victoria</t>
  </si>
  <si>
    <t>Id878</t>
  </si>
  <si>
    <t>Hoskins, Mrs.  Amanda L</t>
  </si>
  <si>
    <t>Id879</t>
  </si>
  <si>
    <t>Imbalzano Zegar, Ms.  Renee</t>
  </si>
  <si>
    <t>Id880</t>
  </si>
  <si>
    <t>Triedman, Ms.  Nellie A.</t>
  </si>
  <si>
    <t>Id881</t>
  </si>
  <si>
    <t>Lovuolo, Ms.  Tamara</t>
  </si>
  <si>
    <t>Id882</t>
  </si>
  <si>
    <t>Chung, Ms.  Joan</t>
  </si>
  <si>
    <t>Id883</t>
  </si>
  <si>
    <t>Newsom, Ms.  Aimee J.</t>
  </si>
  <si>
    <t>Id884</t>
  </si>
  <si>
    <t>Harrington, Ms.  Suzanne</t>
  </si>
  <si>
    <t>Id885</t>
  </si>
  <si>
    <t>Hoffman, Ms.  Kristin A.</t>
  </si>
  <si>
    <t>Id886</t>
  </si>
  <si>
    <t>Van Vugt, Ms.  Bronwyn</t>
  </si>
  <si>
    <t>Id887</t>
  </si>
  <si>
    <t>Feehley, Ms.  Taylor J</t>
  </si>
  <si>
    <t>Id888</t>
  </si>
  <si>
    <t>Ashworth, Mrs.  Kimberly M.</t>
  </si>
  <si>
    <t>Id889</t>
  </si>
  <si>
    <t>Hansen, Mr.  Joshua E.</t>
  </si>
  <si>
    <t>Id890</t>
  </si>
  <si>
    <t>Czyz, Mr.  Jeffrey</t>
  </si>
  <si>
    <t>Id891</t>
  </si>
  <si>
    <t>Bauder, Mr.  Andrew R</t>
  </si>
  <si>
    <t>Id892</t>
  </si>
  <si>
    <t>Mendoza, Mr.  Francisco J. Sr.</t>
  </si>
  <si>
    <t>Id893</t>
  </si>
  <si>
    <t>Glass, Mrs.  Rhonda</t>
  </si>
  <si>
    <t>Id894</t>
  </si>
  <si>
    <t>Butcher, Mr.  John</t>
  </si>
  <si>
    <t>Id895</t>
  </si>
  <si>
    <t>Traiser, Mr.  Miles J.</t>
  </si>
  <si>
    <t>Id896</t>
  </si>
  <si>
    <t>Mudy-Mader, Ms.  Justyna I.</t>
  </si>
  <si>
    <t>Id897</t>
  </si>
  <si>
    <t>Rogers, Ms.  Lucille</t>
  </si>
  <si>
    <t>Id898</t>
  </si>
  <si>
    <t>Woo, Ms.  April</t>
  </si>
  <si>
    <t>Id899</t>
  </si>
  <si>
    <t>Walsh, Mr.  Robert</t>
  </si>
  <si>
    <t>Id900</t>
  </si>
  <si>
    <t>White, Mrs.  Alyssa</t>
  </si>
  <si>
    <t>Id901</t>
  </si>
  <si>
    <t>Sheppard, Ms.  Jessica E.</t>
  </si>
  <si>
    <t>Id902</t>
  </si>
  <si>
    <t>Doran, Mr.  Patrick J.</t>
  </si>
  <si>
    <t>Id903</t>
  </si>
  <si>
    <t>Labrosse, Ms.  Emilie</t>
  </si>
  <si>
    <t>Id904</t>
  </si>
  <si>
    <t>Thomas, Ms.  Caitlin B.</t>
  </si>
  <si>
    <t>Id905</t>
  </si>
  <si>
    <t>Lesniak, Mr.  Joseph W</t>
  </si>
  <si>
    <t>Id906</t>
  </si>
  <si>
    <t>Prowse, Ms.  Wendy</t>
  </si>
  <si>
    <t>Id907</t>
  </si>
  <si>
    <t>Seigel, Mrs.  Leah L.</t>
  </si>
  <si>
    <t>Id908</t>
  </si>
  <si>
    <t>Blas, Mr.  Wayne L.</t>
  </si>
  <si>
    <t>Id909</t>
  </si>
  <si>
    <t>Simpson, Mr.  Jason M.</t>
  </si>
  <si>
    <t>Id910</t>
  </si>
  <si>
    <t>Gierman, Mr.  Floris</t>
  </si>
  <si>
    <t>Id911</t>
  </si>
  <si>
    <t>Jeuland, Mr.  Marc</t>
  </si>
  <si>
    <t>Id912</t>
  </si>
  <si>
    <t>Chorney, Mr.  Christopher</t>
  </si>
  <si>
    <t>Id913</t>
  </si>
  <si>
    <t>Rook, Mr.  Kevin</t>
  </si>
  <si>
    <t>Id914</t>
  </si>
  <si>
    <t>Wright, Mr.  Aharon N</t>
  </si>
  <si>
    <t>Id915</t>
  </si>
  <si>
    <t>Chin, Mr.  Lawrence D.</t>
  </si>
  <si>
    <t>Id916</t>
  </si>
  <si>
    <t>White, Mr.  Malcolm</t>
  </si>
  <si>
    <t>Id917</t>
  </si>
  <si>
    <t>Savage, Ms.  Anna E.</t>
  </si>
  <si>
    <t>Id918</t>
  </si>
  <si>
    <t>Hitchings, Ms.  Jenny</t>
  </si>
  <si>
    <t>Id919</t>
  </si>
  <si>
    <t>Truitt, Ms.  Melissa L</t>
  </si>
  <si>
    <t>Id920</t>
  </si>
  <si>
    <t>Chang, Ms.  Chia J.</t>
  </si>
  <si>
    <t>Id921</t>
  </si>
  <si>
    <t>Frey, Ms.  Laura A</t>
  </si>
  <si>
    <t>Id922</t>
  </si>
  <si>
    <t>Krishna, Ms.  Aditi</t>
  </si>
  <si>
    <t>Id923</t>
  </si>
  <si>
    <t>Maher, Ms.  Leah A.</t>
  </si>
  <si>
    <t>Id924</t>
  </si>
  <si>
    <t>Boivin, Ms.  Marianne</t>
  </si>
  <si>
    <t>Id925</t>
  </si>
  <si>
    <t>McAlister, Ms.  Carla</t>
  </si>
  <si>
    <t>Id926</t>
  </si>
  <si>
    <t>Akhmedova, Ms.  Oksana</t>
  </si>
  <si>
    <t>Id927</t>
  </si>
  <si>
    <t>Tucker, Ms.  Rebecca B.</t>
  </si>
  <si>
    <t>Id928</t>
  </si>
  <si>
    <t>Gramelspacher, Ms.  Maria A.</t>
  </si>
  <si>
    <t>Id929</t>
  </si>
  <si>
    <t>Goldsmith, Mrs.  Lisa M</t>
  </si>
  <si>
    <t>Id930</t>
  </si>
  <si>
    <t>Tranter, Mr.  Steve Jr.</t>
  </si>
  <si>
    <t>Id931</t>
  </si>
  <si>
    <t>Tu, Mrs.  Tiffany</t>
  </si>
  <si>
    <t>Id932</t>
  </si>
  <si>
    <t>Kaczka, Mr.  Greg</t>
  </si>
  <si>
    <t>Id933</t>
  </si>
  <si>
    <t>Hunter, Mr.  Dale</t>
  </si>
  <si>
    <t>Id934</t>
  </si>
  <si>
    <t>Moran, Ms.  Brittany A.</t>
  </si>
  <si>
    <t>Id935</t>
  </si>
  <si>
    <t>Ashby, Mr.  Robert S</t>
  </si>
  <si>
    <t>Id936</t>
  </si>
  <si>
    <t>Ausen, Mr.  Cameron</t>
  </si>
  <si>
    <t>Id937</t>
  </si>
  <si>
    <t>Savage, Mrs.  Ulrike</t>
  </si>
  <si>
    <t>Id938</t>
  </si>
  <si>
    <t>O'Leary, Ms.  Katlyn A.</t>
  </si>
  <si>
    <t>Id939</t>
  </si>
  <si>
    <t>Scoville, Mr.  Morgan B.</t>
  </si>
  <si>
    <t>Id940</t>
  </si>
  <si>
    <t>Kaus, Mr.  Peter</t>
  </si>
  <si>
    <t>Id941</t>
  </si>
  <si>
    <t>Rainey, Ms.  Chandler</t>
  </si>
  <si>
    <t>Id942</t>
  </si>
  <si>
    <t>Rasch, Ms.  Silvana M.</t>
  </si>
  <si>
    <t>Id943</t>
  </si>
  <si>
    <t>Plunkett, Ms.  Natty</t>
  </si>
  <si>
    <t>Id944</t>
  </si>
  <si>
    <t>Murphy, Mr.  Nicholas T</t>
  </si>
  <si>
    <t>Id945</t>
  </si>
  <si>
    <t>Gusmer, Ms.  Rebecca</t>
  </si>
  <si>
    <t>Id946</t>
  </si>
  <si>
    <t>Loftus, Mr.  John</t>
  </si>
  <si>
    <t>Id947</t>
  </si>
  <si>
    <t>Scott, Mr.  Antony G</t>
  </si>
  <si>
    <t>Id948</t>
  </si>
  <si>
    <t>Alvarez, Mr.  Eric</t>
  </si>
  <si>
    <t>Id949</t>
  </si>
  <si>
    <t>Petersson, Mr.  Erik</t>
  </si>
  <si>
    <t>Id950</t>
  </si>
  <si>
    <t>Liaw, Mr.  Matthew T</t>
  </si>
  <si>
    <t>Id951</t>
  </si>
  <si>
    <t>Tripaldi, Ms.  Cassandra</t>
  </si>
  <si>
    <t>Id952</t>
  </si>
  <si>
    <t>Kelley, Ms.  Rosemary C</t>
  </si>
  <si>
    <t>Id953</t>
  </si>
  <si>
    <t>Endara, Ms.  Carrie A.</t>
  </si>
  <si>
    <t>Id954</t>
  </si>
  <si>
    <t>Valle, Mr.  Gerardo Sr.</t>
  </si>
  <si>
    <t>Id955</t>
  </si>
  <si>
    <t>Germain, Mr.  Matthew R.</t>
  </si>
  <si>
    <t>Id956</t>
  </si>
  <si>
    <t>Finecey, Mrs.  Meghan E</t>
  </si>
  <si>
    <t>Id957</t>
  </si>
  <si>
    <t>Mendoza, Mr.  Eric</t>
  </si>
  <si>
    <t>Id958</t>
  </si>
  <si>
    <t>Roe, Ms.  Lisa B</t>
  </si>
  <si>
    <t>Id959</t>
  </si>
  <si>
    <t>Webb, Mrs.  Jane R.</t>
  </si>
  <si>
    <t>Id960</t>
  </si>
  <si>
    <t>Stocker, Ms.  Allison M</t>
  </si>
  <si>
    <t>Id961</t>
  </si>
  <si>
    <t>Jacobson, Mrs.  Sarah E.</t>
  </si>
  <si>
    <t>Id962</t>
  </si>
  <si>
    <t>Shaw, Mr.  Philip J</t>
  </si>
  <si>
    <t>Id963</t>
  </si>
  <si>
    <t>Goodwin, Ms.  Jillian A.</t>
  </si>
  <si>
    <t>Id964</t>
  </si>
  <si>
    <t>Brock, Mrs.  Laura D</t>
  </si>
  <si>
    <t>Id965</t>
  </si>
  <si>
    <t>Papp, Ms.  Megan E.</t>
  </si>
  <si>
    <t>Id966</t>
  </si>
  <si>
    <t>Siragusa, Ms.  Shannon J.</t>
  </si>
  <si>
    <t>Id967</t>
  </si>
  <si>
    <t>Pizarro, Ms.  Rachelle M</t>
  </si>
  <si>
    <t>Id968</t>
  </si>
  <si>
    <t>Strange, Mr.  Casey</t>
  </si>
  <si>
    <t>Id969</t>
  </si>
  <si>
    <t>Eidinger, Ms.  Jessica L</t>
  </si>
  <si>
    <t>Id970</t>
  </si>
  <si>
    <t>Ginsburg, Mr.  Brandon F</t>
  </si>
  <si>
    <t>Id971</t>
  </si>
  <si>
    <t>Truex, Ms.  Melissa</t>
  </si>
  <si>
    <t>Id972</t>
  </si>
  <si>
    <t>Higgins, Ms.  Danielle N</t>
  </si>
  <si>
    <t>Id973</t>
  </si>
  <si>
    <t>McCurdy, Mr.  Matthew</t>
  </si>
  <si>
    <t>Id974</t>
  </si>
  <si>
    <t>Hughes, Mrs.  Bettina</t>
  </si>
  <si>
    <t>Id975</t>
  </si>
  <si>
    <t>Varner, Mr.  Alexander</t>
  </si>
  <si>
    <t>Id976</t>
  </si>
  <si>
    <t>Dahmen, Mrs.  Holli</t>
  </si>
  <si>
    <t>Id977</t>
  </si>
  <si>
    <t>Young, Mrs.  Heather C</t>
  </si>
  <si>
    <t>Id978</t>
  </si>
  <si>
    <t>Fraser, Mr.  Kyle</t>
  </si>
  <si>
    <t>Id979</t>
  </si>
  <si>
    <t>Deeg, Mr.  Thomas J</t>
  </si>
  <si>
    <t>Id980</t>
  </si>
  <si>
    <t>Robertson, Mr.  Chris</t>
  </si>
  <si>
    <t>Id981</t>
  </si>
  <si>
    <t>Peck, Mr.  Graham</t>
  </si>
  <si>
    <t>Id982</t>
  </si>
  <si>
    <t>Burger, Mr.  Garrett</t>
  </si>
  <si>
    <t>Id983</t>
  </si>
  <si>
    <t>Blain, Mr.  Andrew</t>
  </si>
  <si>
    <t>Id984</t>
  </si>
  <si>
    <t>Winters, Mrs.  Annabelle M</t>
  </si>
  <si>
    <t>Id985</t>
  </si>
  <si>
    <t>McCue, Mr.  Daniel T.</t>
  </si>
  <si>
    <t>Id986</t>
  </si>
  <si>
    <t>Webster, Ms.  Deanne</t>
  </si>
  <si>
    <t>Id987</t>
  </si>
  <si>
    <t>Anderson, Ms.  Carrie</t>
  </si>
  <si>
    <t>Id988</t>
  </si>
  <si>
    <t>Chiappone, Mrs.  Suzanne</t>
  </si>
  <si>
    <t>Id989</t>
  </si>
  <si>
    <t>Opie, Ms.  Jasmine P.</t>
  </si>
  <si>
    <t>Id990</t>
  </si>
  <si>
    <t>Donnelly, Ms.  Jennifer</t>
  </si>
  <si>
    <t>Id991</t>
  </si>
  <si>
    <t>Rall, Ms.  Tracie</t>
  </si>
  <si>
    <t>Id992</t>
  </si>
  <si>
    <t>Mitchell, Mr.  Tristan D.</t>
  </si>
  <si>
    <t>Id993</t>
  </si>
  <si>
    <t>Chen, Mr.  Peiweng</t>
  </si>
  <si>
    <t>Id994</t>
  </si>
  <si>
    <t>Tufaro, Ms.  Theresa M.</t>
  </si>
  <si>
    <t>Id995</t>
  </si>
  <si>
    <t>Peters, Mr.  Daniel J</t>
  </si>
  <si>
    <t>Id996</t>
  </si>
  <si>
    <t>Susedik, Mrs.  Courtney M.</t>
  </si>
  <si>
    <t>Id997</t>
  </si>
  <si>
    <t>Garcia, Mr.  Jose A.</t>
  </si>
  <si>
    <t>Id998</t>
  </si>
  <si>
    <t>Deady, Mrs.  Lauren</t>
  </si>
  <si>
    <t>Id999</t>
  </si>
  <si>
    <t>Campbell, Mr.  Jonathon M.</t>
  </si>
  <si>
    <t>Id1000</t>
  </si>
  <si>
    <t>Schaefer, Mrs.  Stephanie A</t>
  </si>
  <si>
    <t>Id1001</t>
  </si>
  <si>
    <t>D'Alessandro, Mr.  Patrick</t>
  </si>
  <si>
    <t>Id1002</t>
  </si>
  <si>
    <t>Wyss, Mrs.  Krista</t>
  </si>
  <si>
    <t>Id1003</t>
  </si>
  <si>
    <t>Rose, Ms.  Jenessa</t>
  </si>
  <si>
    <t>Id1004</t>
  </si>
  <si>
    <t>Hopper, Mr.  Ryan M.</t>
  </si>
  <si>
    <t>Id1005</t>
  </si>
  <si>
    <t>Finneran, Mr.  Thomas</t>
  </si>
  <si>
    <t>Id1006</t>
  </si>
  <si>
    <t>Basham, Ms.  Amanda N.</t>
  </si>
  <si>
    <t>Id1007</t>
  </si>
  <si>
    <t>Inman, Ms.  Teresa P.</t>
  </si>
  <si>
    <t>Id1008</t>
  </si>
  <si>
    <t>Oscal, Mr.  Dorian</t>
  </si>
  <si>
    <t>Id1009</t>
  </si>
  <si>
    <t>Craft, Ms.  Amy</t>
  </si>
  <si>
    <t>Id1010</t>
  </si>
  <si>
    <t>Kebede, Ms.  Aberu</t>
  </si>
  <si>
    <t>Id1011</t>
  </si>
  <si>
    <t>Strobel, Ms.  Ashley</t>
  </si>
  <si>
    <t>Id1012</t>
  </si>
  <si>
    <t>Dalton, Ms.  Anna E</t>
  </si>
  <si>
    <t>Id1013</t>
  </si>
  <si>
    <t>Morimoto, Ms.  Tania K.</t>
  </si>
  <si>
    <t>Id1014</t>
  </si>
  <si>
    <t>Manlove, Ms.  Ashley E</t>
  </si>
  <si>
    <t>Id1015</t>
  </si>
  <si>
    <t>Madzik, Ms.  Aleksandra</t>
  </si>
  <si>
    <t>Id1016</t>
  </si>
  <si>
    <t>Hobson, Ms.  Valery L</t>
  </si>
  <si>
    <t>Id1017</t>
  </si>
  <si>
    <t>Reyes, Mrs.  Joanna G.</t>
  </si>
  <si>
    <t>Id1018</t>
  </si>
  <si>
    <t>Tierney, Mrs.  Stefanie F.</t>
  </si>
  <si>
    <t>Id1019</t>
  </si>
  <si>
    <t>Gabris, Mr.  Stephen</t>
  </si>
  <si>
    <t>Id1020</t>
  </si>
  <si>
    <t>Howard, Ms.  Liza J.</t>
  </si>
  <si>
    <t>Id1021</t>
  </si>
  <si>
    <t>Kallay, Mr.  Ian M.</t>
  </si>
  <si>
    <t>Id1022</t>
  </si>
  <si>
    <t>Leguizamo, Ms.  Claudia L.</t>
  </si>
  <si>
    <t>Id1023</t>
  </si>
  <si>
    <t>Escartin, Ms.  Jessica M</t>
  </si>
  <si>
    <t>Id1024</t>
  </si>
  <si>
    <t>Chorey, Mr.  Billy Jr.</t>
  </si>
  <si>
    <t>Id1025</t>
  </si>
  <si>
    <t>McVay, Mr.  David</t>
  </si>
  <si>
    <t>Id1026</t>
  </si>
  <si>
    <t>Vinson, Mr.  Tim</t>
  </si>
  <si>
    <t>Id1027</t>
  </si>
  <si>
    <t>Astrike-Davis, Ms.  Emma M</t>
  </si>
  <si>
    <t>Id1028</t>
  </si>
  <si>
    <t>Harder, Mr.  Tim</t>
  </si>
  <si>
    <t>Id1029</t>
  </si>
  <si>
    <t>Bell, Mr.  Patrick</t>
  </si>
  <si>
    <t>Id1030</t>
  </si>
  <si>
    <t>Dawes, Ms.  Bridget K.</t>
  </si>
  <si>
    <t>Id1031</t>
  </si>
  <si>
    <t>Larios, Mr.  Gabriel</t>
  </si>
  <si>
    <t>Id1032</t>
  </si>
  <si>
    <t>Yaremczuk, Ms.  Natasha</t>
  </si>
  <si>
    <t>Id1033</t>
  </si>
  <si>
    <t>Knight, Ms.  Abby A.</t>
  </si>
  <si>
    <t>Id1034</t>
  </si>
  <si>
    <t>Eversman, Ms.  Michelle</t>
  </si>
  <si>
    <t>Id1035</t>
  </si>
  <si>
    <t>Hickory, Ms.  Mckendree</t>
  </si>
  <si>
    <t>Id1036</t>
  </si>
  <si>
    <t>Mooney, Ms.  Tara</t>
  </si>
  <si>
    <t>Id1037</t>
  </si>
  <si>
    <t>Craighead, Mr.  Daniel</t>
  </si>
  <si>
    <t>Id1038</t>
  </si>
  <si>
    <t>Gardner, Mr.  Joshua P</t>
  </si>
  <si>
    <t>Id1039</t>
  </si>
  <si>
    <t>Lohrenz, Ms.  Erin C</t>
  </si>
  <si>
    <t>Id1040</t>
  </si>
  <si>
    <t>Demise, Ms.  Shure</t>
  </si>
  <si>
    <t>Id1041</t>
  </si>
  <si>
    <t>Nelson, Mr.  Richard</t>
  </si>
  <si>
    <t>Id1042</t>
  </si>
  <si>
    <t>Guitard, Ms.  Brenda</t>
  </si>
  <si>
    <t>Id1043</t>
  </si>
  <si>
    <t>Navas, Mr.  Joseph M</t>
  </si>
  <si>
    <t>Id1044</t>
  </si>
  <si>
    <t>Ptucha, Mr.  Stephen J.</t>
  </si>
  <si>
    <t>Id1045</t>
  </si>
  <si>
    <t>Kirouac, Mrs.  Kathya</t>
  </si>
  <si>
    <t>Id1046</t>
  </si>
  <si>
    <t>Toews, Mr.  Wesley</t>
  </si>
  <si>
    <t>Id1047</t>
  </si>
  <si>
    <t>Perry, Mr.  Tim</t>
  </si>
  <si>
    <t>Id1048</t>
  </si>
  <si>
    <t>Kretz, Ms.  Jamie L.</t>
  </si>
  <si>
    <t>Id1049</t>
  </si>
  <si>
    <t>Hempel, Ms.  Alexandra</t>
  </si>
  <si>
    <t>Id1050</t>
  </si>
  <si>
    <t>McBroom, Ms.  Tiffany</t>
  </si>
  <si>
    <t>Id1051</t>
  </si>
  <si>
    <t>Yoo, Mrs.  Rebecca J</t>
  </si>
  <si>
    <t>Id1052</t>
  </si>
  <si>
    <t>Rand, Mr.  Austin T.</t>
  </si>
  <si>
    <t>Id1053</t>
  </si>
  <si>
    <t>Wolfe, Ms.  Jamie T</t>
  </si>
  <si>
    <t>Id1054</t>
  </si>
  <si>
    <t>Vance, Mr.  Matthew T.</t>
  </si>
  <si>
    <t>Id1055</t>
  </si>
  <si>
    <t>Burnett, Mrs.  Emily</t>
  </si>
  <si>
    <t>Id1056</t>
  </si>
  <si>
    <t>Clason, Ms.  Gillian</t>
  </si>
  <si>
    <t>Id1057</t>
  </si>
  <si>
    <t>Donnelly, Mrs.  Brenn E.</t>
  </si>
  <si>
    <t>Id1058</t>
  </si>
  <si>
    <t>Pietz, Ms.  Lisa M</t>
  </si>
  <si>
    <t>Id1059</t>
  </si>
  <si>
    <t>Tegenkamp, Mr.  Matt</t>
  </si>
  <si>
    <t>Id1060</t>
  </si>
  <si>
    <t>Dover, Mr.  Thomas A.</t>
  </si>
  <si>
    <t>Id1061</t>
  </si>
  <si>
    <t>Dockemeyer, Mr.  Kevin J</t>
  </si>
  <si>
    <t>Id1062</t>
  </si>
  <si>
    <t>Steele, Mr.  William H. III</t>
  </si>
  <si>
    <t>Id1063</t>
  </si>
  <si>
    <t>Harel, Mr.  Gal</t>
  </si>
  <si>
    <t>Id1064</t>
  </si>
  <si>
    <t>Aguila, Mr.  Anton</t>
  </si>
  <si>
    <t>Id1065</t>
  </si>
  <si>
    <t>Vallejo Sarmiento, Ms.  Yazmin</t>
  </si>
  <si>
    <t>Id1066</t>
  </si>
  <si>
    <t>Beisheim, Mr.  Florian</t>
  </si>
  <si>
    <t>Id1067</t>
  </si>
  <si>
    <t>Lenhoff, Ms.  Karen L</t>
  </si>
  <si>
    <t>Id1068</t>
  </si>
  <si>
    <t>Wehrwein, Mr.  Scott</t>
  </si>
  <si>
    <t>Id1069</t>
  </si>
  <si>
    <t>Wallace, Ms.  Claire</t>
  </si>
  <si>
    <t>Id1070</t>
  </si>
  <si>
    <t>Markowitz, Ms.  Lynn M.</t>
  </si>
  <si>
    <t>Id1071</t>
  </si>
  <si>
    <t>Vos, Ms.  Sharon</t>
  </si>
  <si>
    <t>Id1072</t>
  </si>
  <si>
    <t>McLeod, Mrs.  Candice</t>
  </si>
  <si>
    <t>Id1073</t>
  </si>
  <si>
    <t>Balcom, Ms.  Jennifer D</t>
  </si>
  <si>
    <t>Id1074</t>
  </si>
  <si>
    <t>Dirth, Mr.  Eric</t>
  </si>
  <si>
    <t>Id1075</t>
  </si>
  <si>
    <t>Inglish, Mr.  Bryan</t>
  </si>
  <si>
    <t>Id1076</t>
  </si>
  <si>
    <t>Matthews, Mr.  Devon R.</t>
  </si>
  <si>
    <t>Id1077</t>
  </si>
  <si>
    <t>Massa-Musiak, Ms.  Elena</t>
  </si>
  <si>
    <t>Id1078</t>
  </si>
  <si>
    <t>Bailey, Mr.  Chris</t>
  </si>
  <si>
    <t>Id1079</t>
  </si>
  <si>
    <t>Jacoby, Mr.  Bert</t>
  </si>
  <si>
    <t>Id1080</t>
  </si>
  <si>
    <t>Crimmings, Mr.  John P.</t>
  </si>
  <si>
    <t>Id1081</t>
  </si>
  <si>
    <t>Crane, Mr.  Daniel P</t>
  </si>
  <si>
    <t>Id1082</t>
  </si>
  <si>
    <t>Swartzfager, Mrs.  Lisa K.</t>
  </si>
  <si>
    <t>Id1083</t>
  </si>
  <si>
    <t>Clevenger, Mrs.  Kristine</t>
  </si>
  <si>
    <t>Id1084</t>
  </si>
  <si>
    <t>Reichardt, Mr.  Paul A</t>
  </si>
  <si>
    <t>Id1085</t>
  </si>
  <si>
    <t>Morton, Mr.  Bryan</t>
  </si>
  <si>
    <t>Id1086</t>
  </si>
  <si>
    <t>Sunstrum, Mr.  Chris</t>
  </si>
  <si>
    <t>Id1087</t>
  </si>
  <si>
    <t>Frownfelter, Ms.  Milah B</t>
  </si>
  <si>
    <t>Id1088</t>
  </si>
  <si>
    <t>Richter, Ms.  Annette M.</t>
  </si>
  <si>
    <t>Id1089</t>
  </si>
  <si>
    <t>England, Mrs.  Yoko</t>
  </si>
  <si>
    <t>Id1090</t>
  </si>
  <si>
    <t>McLean, Ms.  Laura</t>
  </si>
  <si>
    <t>Id1091</t>
  </si>
  <si>
    <t>Gardner, Ms.  Tess A.</t>
  </si>
  <si>
    <t>Id1092</t>
  </si>
  <si>
    <t>Lane, Mr.  William G.</t>
  </si>
  <si>
    <t>Id1093</t>
  </si>
  <si>
    <t>Vonachen, Ms.  Paige</t>
  </si>
  <si>
    <t>Id1094</t>
  </si>
  <si>
    <t>Smith, Mr.  Matthew J</t>
  </si>
  <si>
    <t>Id1095</t>
  </si>
  <si>
    <t>Kidwell, Mr.  Matthew</t>
  </si>
  <si>
    <t>Id1096</t>
  </si>
  <si>
    <t>Betancourth, Mrs.  Maria</t>
  </si>
  <si>
    <t>Id1097</t>
  </si>
  <si>
    <t>Henstrom, Ms.  Stephanie D</t>
  </si>
  <si>
    <t>Id1098</t>
  </si>
  <si>
    <t>Pereira, Ms.  Tiffany</t>
  </si>
  <si>
    <t>Id1099</t>
  </si>
  <si>
    <t>Black, Ms.  Sara M.</t>
  </si>
  <si>
    <t>Id1100</t>
  </si>
  <si>
    <t>Brown, Mr.  Scott A.</t>
  </si>
  <si>
    <t>Id1101</t>
  </si>
  <si>
    <t>Reasoner, Mrs.  Lauren</t>
  </si>
  <si>
    <t>Id1102</t>
  </si>
  <si>
    <t>Wandzilak, Mr.  Scott</t>
  </si>
  <si>
    <t>Id1103</t>
  </si>
  <si>
    <t>Carver, Mr.  Brian A.</t>
  </si>
  <si>
    <t>Id1104</t>
  </si>
  <si>
    <t>Borror, Ms.  Kaitlin R.</t>
  </si>
  <si>
    <t>Id1105</t>
  </si>
  <si>
    <t>Saad, Mr.  Mohammad</t>
  </si>
  <si>
    <t>Id1106</t>
  </si>
  <si>
    <t>Paul, Mr.  Charlie</t>
  </si>
  <si>
    <t>Id1107</t>
  </si>
  <si>
    <t>Trail, Mr.  Brent</t>
  </si>
  <si>
    <t>Id1108</t>
  </si>
  <si>
    <t>Benton, Ms.  Kelli M</t>
  </si>
  <si>
    <t>Id1109</t>
  </si>
  <si>
    <t>Bauman, Mrs.  Sheridan H</t>
  </si>
  <si>
    <t>Id1110</t>
  </si>
  <si>
    <t>Bakula, Mrs.  Sarah M.</t>
  </si>
  <si>
    <t>Id1111</t>
  </si>
  <si>
    <t>Edwards, Ms.  Jennifer</t>
  </si>
  <si>
    <t>Id1112</t>
  </si>
  <si>
    <t>Davis, Mrs.  Laura J</t>
  </si>
  <si>
    <t>Id1113</t>
  </si>
  <si>
    <t>Weiler, Mr.  Thomas</t>
  </si>
  <si>
    <t>Id1114</t>
  </si>
  <si>
    <t>Schaaf, Ms.  Gisele</t>
  </si>
  <si>
    <t>Id1115</t>
  </si>
  <si>
    <t>Sack, Ms.  Myra L</t>
  </si>
  <si>
    <t>Id1116</t>
  </si>
  <si>
    <t>Chenard, Ms.  Melissa M.</t>
  </si>
  <si>
    <t>Id1117</t>
  </si>
  <si>
    <t>Williamson, Ms.  Eleanor F.</t>
  </si>
  <si>
    <t>Id1118</t>
  </si>
  <si>
    <t>Dollas, Ms.  Elizabeth</t>
  </si>
  <si>
    <t>Id1119</t>
  </si>
  <si>
    <t>Sprague, Mr.  Kenneth</t>
  </si>
  <si>
    <t>Id1120</t>
  </si>
  <si>
    <t>Michell, Mr.  Robert G.</t>
  </si>
  <si>
    <t>Id1121</t>
  </si>
  <si>
    <t>Datwyler, Mr.  Thomas C.</t>
  </si>
  <si>
    <t>Id1122</t>
  </si>
  <si>
    <t>Mead, Mr.  Matthew J.</t>
  </si>
  <si>
    <t>Id1123</t>
  </si>
  <si>
    <t>Kennedy, Ms.  Mallory D.</t>
  </si>
  <si>
    <t>Id1124</t>
  </si>
  <si>
    <t>Czech, Mr.  Christopher D.</t>
  </si>
  <si>
    <t>Id1125</t>
  </si>
  <si>
    <t>O'Brien, Mrs.  Jamie</t>
  </si>
  <si>
    <t>Id1126</t>
  </si>
  <si>
    <t>Bachman, Ms.  Ariell</t>
  </si>
  <si>
    <t>Id1127</t>
  </si>
  <si>
    <t>Bednar, Mr.  Christopher</t>
  </si>
  <si>
    <t>Id1128</t>
  </si>
  <si>
    <t>Daye, Mr.  Ryan</t>
  </si>
  <si>
    <t>Id1129</t>
  </si>
  <si>
    <t>Clarke, Mr.  Thomas B.</t>
  </si>
  <si>
    <t>Id1130</t>
  </si>
  <si>
    <t>Koren, Ms.  Katie</t>
  </si>
  <si>
    <t>Id1131</t>
  </si>
  <si>
    <t>Kuramoto, Mrs.  Rachelle L</t>
  </si>
  <si>
    <t>Id1132</t>
  </si>
  <si>
    <t>Lynn, Ms.  Colleen</t>
  </si>
  <si>
    <t>Id1133</t>
  </si>
  <si>
    <t>Dierksen, Mr.  Gregory A</t>
  </si>
  <si>
    <t>Id1134</t>
  </si>
  <si>
    <t>Zoeller, Ms.  Lara</t>
  </si>
  <si>
    <t>Id1135</t>
  </si>
  <si>
    <t>Flesch, Ms.  Megan</t>
  </si>
  <si>
    <t>Id1136</t>
  </si>
  <si>
    <t>Maltby, Ms.  Sara</t>
  </si>
  <si>
    <t>Id1137</t>
  </si>
  <si>
    <t>Custance, Ms.  Lucie J.</t>
  </si>
  <si>
    <t>Id1138</t>
  </si>
  <si>
    <t>Choi, Ms.  Elizabeth S.</t>
  </si>
  <si>
    <t>Id1139</t>
  </si>
  <si>
    <t>Barnett, Ms.  Carma S</t>
  </si>
  <si>
    <t>Id1140</t>
  </si>
  <si>
    <t>Proulx, Mr.  Ryan</t>
  </si>
  <si>
    <t>Id1141</t>
  </si>
  <si>
    <t>Hamilton, Mr.  Daniel</t>
  </si>
  <si>
    <t>Id1142</t>
  </si>
  <si>
    <t>Lundine, Ms.  Sarah</t>
  </si>
  <si>
    <t>Id1143</t>
  </si>
  <si>
    <t>Paullin, Mr.  Matthew J</t>
  </si>
  <si>
    <t>Id1144</t>
  </si>
  <si>
    <t>Delucia, Ms.  Francesca</t>
  </si>
  <si>
    <t>Id1145</t>
  </si>
  <si>
    <t>Valentine, Ms.  Nicole</t>
  </si>
  <si>
    <t>Id1146</t>
  </si>
  <si>
    <t>Mohara, Mr.  Toshiyuki</t>
  </si>
  <si>
    <t>Id1147</t>
  </si>
  <si>
    <t>Fairbrother, Mr.  Tom L.</t>
  </si>
  <si>
    <t>Id1148</t>
  </si>
  <si>
    <t>Fagan, Mr.  Brian</t>
  </si>
  <si>
    <t>Id1149</t>
  </si>
  <si>
    <t>Toth, Mr.  Matthew</t>
  </si>
  <si>
    <t>Id1150</t>
  </si>
  <si>
    <t>Guinn, Ms.  Julee</t>
  </si>
  <si>
    <t>Id1151</t>
  </si>
  <si>
    <t>Rogers, Mr.  Christopher M.</t>
  </si>
  <si>
    <t>Id1152</t>
  </si>
  <si>
    <t>Diviney, Mr.  Ciaran</t>
  </si>
  <si>
    <t>Id1153</t>
  </si>
  <si>
    <t>Marlatt, Ms.  Kara</t>
  </si>
  <si>
    <t>Id1154</t>
  </si>
  <si>
    <t>Ohler, Ms.  Makie</t>
  </si>
  <si>
    <t>Id1155</t>
  </si>
  <si>
    <t>Mossler, Ms.  Emily E</t>
  </si>
  <si>
    <t>Id1156</t>
  </si>
  <si>
    <t>Segall, Mr.  Cary</t>
  </si>
  <si>
    <t>Id1157</t>
  </si>
  <si>
    <t>Sprieser, Mr.  Steven</t>
  </si>
  <si>
    <t>Id1158</t>
  </si>
  <si>
    <t>Blanco, Mr.  Jose Antonio Sr.</t>
  </si>
  <si>
    <t>Id1159</t>
  </si>
  <si>
    <t>Sheptock, Ms.  Tatiana</t>
  </si>
  <si>
    <t>Id1160</t>
  </si>
  <si>
    <t>Chruniak, Mr.  Dan T.</t>
  </si>
  <si>
    <t>Id1161</t>
  </si>
  <si>
    <t>Miller, Ms.  Liisa A.</t>
  </si>
  <si>
    <t>Id1162</t>
  </si>
  <si>
    <t>Theis, Ms.  Kathryn E.</t>
  </si>
  <si>
    <t>Id1163</t>
  </si>
  <si>
    <t>Sadler, Mr.  Maxwell</t>
  </si>
  <si>
    <t>Id1164</t>
  </si>
  <si>
    <t>Auger, Ms.  Pascale</t>
  </si>
  <si>
    <t>Id1165</t>
  </si>
  <si>
    <t>Steadman, Ms.  Becca</t>
  </si>
  <si>
    <t>Id1166</t>
  </si>
  <si>
    <t>McCarron, Ms.  Grace</t>
  </si>
  <si>
    <t>Id1167</t>
  </si>
  <si>
    <t>Roecker, Ms.  Samantha</t>
  </si>
  <si>
    <t>Id1168</t>
  </si>
  <si>
    <t>Giumarra, Mrs.  Nicole R.</t>
  </si>
  <si>
    <t>Id1169</t>
  </si>
  <si>
    <t>Peters, Mr.  David W</t>
  </si>
  <si>
    <t>Id1170</t>
  </si>
  <si>
    <t>Bower, Mr.  Grant</t>
  </si>
  <si>
    <t>Id1171</t>
  </si>
  <si>
    <t>Chen, Mrs.  Sophia</t>
  </si>
  <si>
    <t>Id1172</t>
  </si>
  <si>
    <t>Capriccioso, Ms.  Christina</t>
  </si>
  <si>
    <t>Id1173</t>
  </si>
  <si>
    <t>Starbuck, Mr.  Sam L.</t>
  </si>
  <si>
    <t>Id1174</t>
  </si>
  <si>
    <t>McMahon, Mrs.  Haley R.</t>
  </si>
  <si>
    <t>Id1175</t>
  </si>
  <si>
    <t>Rissell, Mr.  Ethan</t>
  </si>
  <si>
    <t>Id1176</t>
  </si>
  <si>
    <t>Kromroy, Mr.  Andrew W</t>
  </si>
  <si>
    <t>Id1177</t>
  </si>
  <si>
    <t>Manfredi, Mr.  Mark G</t>
  </si>
  <si>
    <t>Id1178</t>
  </si>
  <si>
    <t>Manwaring, Ms.  Kasey E.</t>
  </si>
  <si>
    <t>Id1179</t>
  </si>
  <si>
    <t>Tomaszewski, Mr.  Jeff</t>
  </si>
  <si>
    <t>Id1180</t>
  </si>
  <si>
    <t>Gannon, Ms.  Amy</t>
  </si>
  <si>
    <t>Id1181</t>
  </si>
  <si>
    <t>Frye, Mr.  Adam</t>
  </si>
  <si>
    <t>Id1182</t>
  </si>
  <si>
    <t>Jenkins, Ms.  Kristin M</t>
  </si>
  <si>
    <t>Id1183</t>
  </si>
  <si>
    <t>Currier, Ms.  Mary-Lynn B.</t>
  </si>
  <si>
    <t>Id1184</t>
  </si>
  <si>
    <t>Whittendale, Mrs.  Jamie A</t>
  </si>
  <si>
    <t>Id1185</t>
  </si>
  <si>
    <t>Rixe, Mr.  Jeffrey A.</t>
  </si>
  <si>
    <t>Id1186</t>
  </si>
  <si>
    <t>Ballon-Landa, Ms.  Nicole</t>
  </si>
  <si>
    <t>Id1187</t>
  </si>
  <si>
    <t>Zaferos, Ms.  Audrey</t>
  </si>
  <si>
    <t>Id1188</t>
  </si>
  <si>
    <t>Jackson, Mr.  Jacob</t>
  </si>
  <si>
    <t>Id1189</t>
  </si>
  <si>
    <t>Evans Marke, Mr.  Daniel S</t>
  </si>
  <si>
    <t>Id1190</t>
  </si>
  <si>
    <t>Samland, Mr.  Marc C.</t>
  </si>
  <si>
    <t>Id1191</t>
  </si>
  <si>
    <t>Shapiro, Mr.  Mark S</t>
  </si>
  <si>
    <t>Id1192</t>
  </si>
  <si>
    <t>Snitzer, Mr.  Dan</t>
  </si>
  <si>
    <t>Id1193</t>
  </si>
  <si>
    <t>Herra Arroyo, Ms.  Gabriela</t>
  </si>
  <si>
    <t>Id1194</t>
  </si>
  <si>
    <t>Watters, Ms.  Amanda</t>
  </si>
  <si>
    <t>Id1195</t>
  </si>
  <si>
    <t>Steele-Belkin, Ms.  Dara</t>
  </si>
  <si>
    <t>Id1196</t>
  </si>
  <si>
    <t>Christensen, Ms.  Rachelle R</t>
  </si>
  <si>
    <t>Id1197</t>
  </si>
  <si>
    <t>Hodge, Ms.  Brenda J</t>
  </si>
  <si>
    <t>Id1198</t>
  </si>
  <si>
    <t>Rusterholz, Mr.  Tim</t>
  </si>
  <si>
    <t>Id1199</t>
  </si>
  <si>
    <t>Lafrance, Mr.  Sylvain</t>
  </si>
  <si>
    <t>Id1200</t>
  </si>
  <si>
    <t>Hallis, Mrs.  Lisa M</t>
  </si>
  <si>
    <t>Id1201</t>
  </si>
  <si>
    <t>Marshall, Mr.  Ryan</t>
  </si>
  <si>
    <t>Id1202</t>
  </si>
  <si>
    <t>Salowitz, Mrs.  Kaitlin M</t>
  </si>
  <si>
    <t>Id1203</t>
  </si>
  <si>
    <t>Blake, Mr.  William R.</t>
  </si>
  <si>
    <t>Id1204</t>
  </si>
  <si>
    <t>Langerak, Mr.  Bruce</t>
  </si>
  <si>
    <t>Id1205</t>
  </si>
  <si>
    <t>Bonilla, Mrs.  Veronica</t>
  </si>
  <si>
    <t>Id1206</t>
  </si>
  <si>
    <t>Ciabattoni, Mr.  Warren</t>
  </si>
  <si>
    <t>Id1207</t>
  </si>
  <si>
    <t>Escanero Palmer, Mrs.  Daniela</t>
  </si>
  <si>
    <t>Id1208</t>
  </si>
  <si>
    <t>Lowe, Ms.  Deirdre A</t>
  </si>
  <si>
    <t>Id1209</t>
  </si>
  <si>
    <t>Osmark, Mr.  Mathias</t>
  </si>
  <si>
    <t>Id1210</t>
  </si>
  <si>
    <t>Lawson, Mr.  Matthew</t>
  </si>
  <si>
    <t>Id1211</t>
  </si>
  <si>
    <t>Warwick, Mr.  Kurt</t>
  </si>
  <si>
    <t>Id1212</t>
  </si>
  <si>
    <t>Magnuson, Mr.  Samuel</t>
  </si>
  <si>
    <t>Id1213</t>
  </si>
  <si>
    <t>Marsh, Mrs.  Emily</t>
  </si>
  <si>
    <t>Id1214</t>
  </si>
  <si>
    <t>Kari, Ms.  Tiffany</t>
  </si>
  <si>
    <t>Id1215</t>
  </si>
  <si>
    <t>Standiford, Mr.  Alex F</t>
  </si>
  <si>
    <t>Id1216</t>
  </si>
  <si>
    <t>Sherwin, Ms.  Alice</t>
  </si>
  <si>
    <t>Id1217</t>
  </si>
  <si>
    <t>Parker, Ms.  Allison M.</t>
  </si>
  <si>
    <t>Id1218</t>
  </si>
  <si>
    <t>Blekeli, Mr.  Johannes Fiskerstand</t>
  </si>
  <si>
    <t>Id1219</t>
  </si>
  <si>
    <t>Vangampleare, Mr.  Stephen</t>
  </si>
  <si>
    <t>Id1220</t>
  </si>
  <si>
    <t>Hiatt, Mr.  Jon M</t>
  </si>
  <si>
    <t>Id1221</t>
  </si>
  <si>
    <t>Tadesse, Mr.  Fasil</t>
  </si>
  <si>
    <t>Id1222</t>
  </si>
  <si>
    <t>Jaswell, Ms.  Megan C.</t>
  </si>
  <si>
    <t>Id1223</t>
  </si>
  <si>
    <t>Phillips-Cook, Ms.  Lisa J.</t>
  </si>
  <si>
    <t>Id1224</t>
  </si>
  <si>
    <t>Clark, Mr.  Doron P</t>
  </si>
  <si>
    <t>Id1225</t>
  </si>
  <si>
    <t>Wang, Ms.  Katharina</t>
  </si>
  <si>
    <t>Id1226</t>
  </si>
  <si>
    <t>Desruisseaux, Mr.  Carl</t>
  </si>
  <si>
    <t>Id1227</t>
  </si>
  <si>
    <t>Ripp, Ms.  Kelsey J.</t>
  </si>
  <si>
    <t>Id1228</t>
  </si>
  <si>
    <t>Harris, Mr.  Stephen A.</t>
  </si>
  <si>
    <t>Id1229</t>
  </si>
  <si>
    <t>Shafer, Mr.  Dan</t>
  </si>
  <si>
    <t>Id1230</t>
  </si>
  <si>
    <t>Hemesath, Ms.  Katie C</t>
  </si>
  <si>
    <t>Id1231</t>
  </si>
  <si>
    <t>Vinci, Ms.  Melissa K</t>
  </si>
  <si>
    <t>Id1232</t>
  </si>
  <si>
    <t>Diamond-Husmann, Ms.  Kara H</t>
  </si>
  <si>
    <t>Id1233</t>
  </si>
  <si>
    <t>Soto, Mr.  Juan Carlos</t>
  </si>
  <si>
    <t>Id1234</t>
  </si>
  <si>
    <t>Howard, Mr.  John III</t>
  </si>
  <si>
    <t>Id1235</t>
  </si>
  <si>
    <t>Patrick, Mrs.  Sarah M</t>
  </si>
  <si>
    <t>Id1236</t>
  </si>
  <si>
    <t>Dacko, Mrs.  Kristin C</t>
  </si>
  <si>
    <t>Id1237</t>
  </si>
  <si>
    <t>Glassey, Ms.  Casey M.</t>
  </si>
  <si>
    <t>Id1238</t>
  </si>
  <si>
    <t>Frechette, Mr.  Samuel</t>
  </si>
  <si>
    <t>Id1239</t>
  </si>
  <si>
    <t>Benitez, Mr.  Braulio</t>
  </si>
  <si>
    <t>Id1240</t>
  </si>
  <si>
    <t>Gauthier, Ms.  Anne-Marie</t>
  </si>
  <si>
    <t>Id1241</t>
  </si>
  <si>
    <t>Fazioli, Mr.  Samuel K.</t>
  </si>
  <si>
    <t>Id1242</t>
  </si>
  <si>
    <t>Chorney, Mrs.  Yuki</t>
  </si>
  <si>
    <t>Id1243</t>
  </si>
  <si>
    <t>Dannenhauer, Mr.  Rafer</t>
  </si>
  <si>
    <t>Id1244</t>
  </si>
  <si>
    <t>McComb, Ms.  Claire</t>
  </si>
  <si>
    <t>Id1245</t>
  </si>
  <si>
    <t>Blake, Ms.  Erynn J.</t>
  </si>
  <si>
    <t>Id1246</t>
  </si>
  <si>
    <t>Sambasivam, Mr.  Mahesh</t>
  </si>
  <si>
    <t>Id1247</t>
  </si>
  <si>
    <t>Maina, Mr.  Stanley</t>
  </si>
  <si>
    <t>Id1248</t>
  </si>
  <si>
    <t>Keshian, Mr.  Gregory</t>
  </si>
  <si>
    <t>Id1249</t>
  </si>
  <si>
    <t>Maas, Mr.  Eric</t>
  </si>
  <si>
    <t>Id1250</t>
  </si>
  <si>
    <t>Sinasac, Ms.  Rachel M</t>
  </si>
  <si>
    <t>Id1251</t>
  </si>
  <si>
    <t>Van De Kamp, Mr.  Fritz</t>
  </si>
  <si>
    <t>Id1252</t>
  </si>
  <si>
    <t>Ruffo, Mr.  Brad</t>
  </si>
  <si>
    <t>Id1253</t>
  </si>
  <si>
    <t>Long, Ms.  Claire M</t>
  </si>
  <si>
    <t>Id1254</t>
  </si>
  <si>
    <t>Rohde, Mrs.  Jennifer</t>
  </si>
  <si>
    <t>Id1255</t>
  </si>
  <si>
    <t>Bonzi, Ms.  Maria S.</t>
  </si>
  <si>
    <t>Id1256</t>
  </si>
  <si>
    <t>Moore, Ms.  Katherine E</t>
  </si>
  <si>
    <t>Id1257</t>
  </si>
  <si>
    <t>McGrane, Mr.  Michael</t>
  </si>
  <si>
    <t>Id1258</t>
  </si>
  <si>
    <t>Stepnowski, Ms.  Roxanne</t>
  </si>
  <si>
    <t>Id1259</t>
  </si>
  <si>
    <t>Merkle, Mr.  Israel</t>
  </si>
  <si>
    <t>Id1260</t>
  </si>
  <si>
    <t>Schaefer, Mr.  Samalya</t>
  </si>
  <si>
    <t>Id1261</t>
  </si>
  <si>
    <t>Vigneron, Mr.  Peter</t>
  </si>
  <si>
    <t>Id1262</t>
  </si>
  <si>
    <t>Mucci, Ms.  Alicia</t>
  </si>
  <si>
    <t>Id1263</t>
  </si>
  <si>
    <t>MacDonald, Ms.  Sarah K.</t>
  </si>
  <si>
    <t>Id1264</t>
  </si>
  <si>
    <t>Deng, Mr.  Guomin</t>
  </si>
  <si>
    <t>Id1265</t>
  </si>
  <si>
    <t>De Mata, Mr.  Javier</t>
  </si>
  <si>
    <t>Id1266</t>
  </si>
  <si>
    <t>Strickland, Mr.  Matt</t>
  </si>
  <si>
    <t>Id1267</t>
  </si>
  <si>
    <t>Cheney, Mr.  Thomas S</t>
  </si>
  <si>
    <t>Id1268</t>
  </si>
  <si>
    <t>Godoy, Ms.  Martha Patricia</t>
  </si>
  <si>
    <t>Id1269</t>
  </si>
  <si>
    <t>Rider, Ms.  Alicia</t>
  </si>
  <si>
    <t>Id1270</t>
  </si>
  <si>
    <t>Evans, Ms.  Jennifer V.</t>
  </si>
  <si>
    <t>Id1271</t>
  </si>
  <si>
    <t>Anderson, Mr.  Michael W.</t>
  </si>
  <si>
    <t>Id1272</t>
  </si>
  <si>
    <t>Walters, Mr.  Eddie C</t>
  </si>
  <si>
    <t>Id1273</t>
  </si>
  <si>
    <t>Leboeuf, Mr.  Maxime M</t>
  </si>
  <si>
    <t>Id1274</t>
  </si>
  <si>
    <t>Scheibel, Mr.  Mark D</t>
  </si>
  <si>
    <t>Id1275</t>
  </si>
  <si>
    <t>Ritter, Mr.  Adam</t>
  </si>
  <si>
    <t>Id1276</t>
  </si>
  <si>
    <t>Deeg, Mr.  Justin M</t>
  </si>
  <si>
    <t>Id1277</t>
  </si>
  <si>
    <t>Pretot, Ms.  Svetlana V.</t>
  </si>
  <si>
    <t>Id1278</t>
  </si>
  <si>
    <t>Willsey, Ms.  Jana L</t>
  </si>
  <si>
    <t>Id1279</t>
  </si>
  <si>
    <t>Roach, Ms.  Laura</t>
  </si>
  <si>
    <t>Id1280</t>
  </si>
  <si>
    <t>Jacobsen, Mr.  Torrey C III</t>
  </si>
  <si>
    <t>Id1281</t>
  </si>
  <si>
    <t>O'Hora, Mr.  Paul</t>
  </si>
  <si>
    <t>Id1282</t>
  </si>
  <si>
    <t>Amato, Ms.  Jennifer D.</t>
  </si>
  <si>
    <t>Id1283</t>
  </si>
  <si>
    <t>Reed, Mr.  Erik</t>
  </si>
  <si>
    <t>Id1284</t>
  </si>
  <si>
    <t>Wegner, Ms.  Lana J</t>
  </si>
  <si>
    <t>Id1285</t>
  </si>
  <si>
    <t>Bokun, Ms.  Rebecca E</t>
  </si>
  <si>
    <t>Id1286</t>
  </si>
  <si>
    <t>Ainsley, Ms.  Katie M.</t>
  </si>
  <si>
    <t>Id1287</t>
  </si>
  <si>
    <t>Foster, Ms.  Elizabeth A.</t>
  </si>
  <si>
    <t>Id1288</t>
  </si>
  <si>
    <t>Overpeck, Ms.  Sarah</t>
  </si>
  <si>
    <t>Id1289</t>
  </si>
  <si>
    <t>Levine, Ms.  Annie J.</t>
  </si>
  <si>
    <t>Id1290</t>
  </si>
  <si>
    <t>Jean, Ms.  Annie</t>
  </si>
  <si>
    <t>Id1291</t>
  </si>
  <si>
    <t>Wild, Ms.  Lindsey</t>
  </si>
  <si>
    <t>Id1292</t>
  </si>
  <si>
    <t>Tabor, Ms.  Laura</t>
  </si>
  <si>
    <t>Id1293</t>
  </si>
  <si>
    <t>Steffen, Ms.  Amy T</t>
  </si>
  <si>
    <t>Id1294</t>
  </si>
  <si>
    <t>Tadich, Ms.  Katarina D</t>
  </si>
  <si>
    <t>Id1295</t>
  </si>
  <si>
    <t>Christenson, Mr.  B.j.</t>
  </si>
  <si>
    <t>Id1296</t>
  </si>
  <si>
    <t>Shell, Ms.  Alison</t>
  </si>
  <si>
    <t>Id1297</t>
  </si>
  <si>
    <t>Rao, Mr.  Neil K.</t>
  </si>
  <si>
    <t>Id1298</t>
  </si>
  <si>
    <t>Myers, Mrs.  Anne Hunter</t>
  </si>
  <si>
    <t>Id1299</t>
  </si>
  <si>
    <t>McLean, Ms.  Sandra</t>
  </si>
  <si>
    <t>Id1300</t>
  </si>
  <si>
    <t>Gomez, Mr.  Robert</t>
  </si>
  <si>
    <t>Id1301</t>
  </si>
  <si>
    <t>Hemingway, Mr.  Rodney</t>
  </si>
  <si>
    <t>Id1302</t>
  </si>
  <si>
    <t>Pett, Mr.  Carl R</t>
  </si>
  <si>
    <t>Id1303</t>
  </si>
  <si>
    <t>Meingast, Mr.  Maximilian</t>
  </si>
  <si>
    <t>Id1304</t>
  </si>
  <si>
    <t>McCarthy, Mr.  Erik</t>
  </si>
  <si>
    <t>Id1305</t>
  </si>
  <si>
    <t>Boyle, Mr.  Christopher</t>
  </si>
  <si>
    <t>Id1306</t>
  </si>
  <si>
    <t>Gundersen, Mr.  Eirik</t>
  </si>
  <si>
    <t>Id1307</t>
  </si>
  <si>
    <t>Wolswinkel, Mr.  Rik</t>
  </si>
  <si>
    <t>Id1308</t>
  </si>
  <si>
    <t>Bomberger, Mr.  Matthew R</t>
  </si>
  <si>
    <t>Id1309</t>
  </si>
  <si>
    <t>Roy, Mr.  Daniel G</t>
  </si>
  <si>
    <t>Id1310</t>
  </si>
  <si>
    <t>Lapierre, Mr.  Yannick</t>
  </si>
  <si>
    <t>Id1311</t>
  </si>
  <si>
    <t>Beaty, Mr.  Sean R</t>
  </si>
  <si>
    <t>Id1312</t>
  </si>
  <si>
    <t>Hammer, Mr.  Peter</t>
  </si>
  <si>
    <t>Id1313</t>
  </si>
  <si>
    <t>Randolph, Ms.  Sara A.</t>
  </si>
  <si>
    <t>Id1314</t>
  </si>
  <si>
    <t>Masterson, Ms.  Erin C.</t>
  </si>
  <si>
    <t>Id1315</t>
  </si>
  <si>
    <t>Friess, Mr.  Thibaud</t>
  </si>
  <si>
    <t>Id1316</t>
  </si>
  <si>
    <t>Mantoni, Ms.  Lisa</t>
  </si>
  <si>
    <t>Id1317</t>
  </si>
  <si>
    <t>Bodeen, Ms.  Gretchen K.</t>
  </si>
  <si>
    <t>Id1318</t>
  </si>
  <si>
    <t>McPherson, Ms.  Martina</t>
  </si>
  <si>
    <t>Id1319</t>
  </si>
  <si>
    <t>Palko, Mr.  Dustin J</t>
  </si>
  <si>
    <t>Id1320</t>
  </si>
  <si>
    <t>Breathitt, Ms.  Kelsey</t>
  </si>
  <si>
    <t>Id1321</t>
  </si>
  <si>
    <t>Evora, Mr.  Daniel V.</t>
  </si>
  <si>
    <t>Id1322</t>
  </si>
  <si>
    <t>Fischer, Ms.  Saeger</t>
  </si>
  <si>
    <t>Id1323</t>
  </si>
  <si>
    <t>Deba, Ms.  Buzunesh</t>
  </si>
  <si>
    <t>Id1324</t>
  </si>
  <si>
    <t>Leloup, Ms.  Mirte</t>
  </si>
  <si>
    <t>Id1325</t>
  </si>
  <si>
    <t>Labare, Ms.  Megan</t>
  </si>
  <si>
    <t>Id1326</t>
  </si>
  <si>
    <t>Arouca, Ms.  Kerry A.</t>
  </si>
  <si>
    <t>Id1327</t>
  </si>
  <si>
    <t>Reese, Ms.  Kristin</t>
  </si>
  <si>
    <t>Id1328</t>
  </si>
  <si>
    <t>McCloskey, Mr.  Christopher R.</t>
  </si>
  <si>
    <t>Id1329</t>
  </si>
  <si>
    <t>Tedsen, Mrs.  Elizabeth A</t>
  </si>
  <si>
    <t>Id1330</t>
  </si>
  <si>
    <t>Koehlinger, Mr.  Andrew</t>
  </si>
  <si>
    <t>Id1331</t>
  </si>
  <si>
    <t>Pielechaty, Ms.  Dawn M.</t>
  </si>
  <si>
    <t>Id1332</t>
  </si>
  <si>
    <t>Korhonen, Mr.  Jonathan P</t>
  </si>
  <si>
    <t>Id1333</t>
  </si>
  <si>
    <t>Kehr, Mrs.  Gina</t>
  </si>
  <si>
    <t>Id1334</t>
  </si>
  <si>
    <t>Montagna, Mr.  Dino</t>
  </si>
  <si>
    <t>Id1335</t>
  </si>
  <si>
    <t>M√ºller, Mr.  Jan</t>
  </si>
  <si>
    <t>Id1336</t>
  </si>
  <si>
    <t>Baker, Mr.  Jonathan E.</t>
  </si>
  <si>
    <t>Id1337</t>
  </si>
  <si>
    <t>Sidebottom, Mr.  Mark A</t>
  </si>
  <si>
    <t>Id1338</t>
  </si>
  <si>
    <t>Johnson, Mrs.  Mary</t>
  </si>
  <si>
    <t>Id1339</t>
  </si>
  <si>
    <t>Morris, Mr.  Samuel</t>
  </si>
  <si>
    <t>Id1340</t>
  </si>
  <si>
    <t>Chaisson, Mr.  Stan J</t>
  </si>
  <si>
    <t>Id1341</t>
  </si>
  <si>
    <t>Pigott, Mrs.  Jessica L.</t>
  </si>
  <si>
    <t>Id1342</t>
  </si>
  <si>
    <t>Cochrane, Ms.  Krysta</t>
  </si>
  <si>
    <t>Id1343</t>
  </si>
  <si>
    <t>Armitage, Mrs.  Natascia</t>
  </si>
  <si>
    <t>Id1344</t>
  </si>
  <si>
    <t>Shen, Ms.  Jenny</t>
  </si>
  <si>
    <t>Id1345</t>
  </si>
  <si>
    <t>O'Kelly, Mr.  Brian</t>
  </si>
  <si>
    <t>Id1346</t>
  </si>
  <si>
    <t>Huff, Ms.  Monica</t>
  </si>
  <si>
    <t>Id1347</t>
  </si>
  <si>
    <t>Dye, Mr.  Tyler</t>
  </si>
  <si>
    <t>Id1348</t>
  </si>
  <si>
    <t>Willard, Ms.  Kelly C</t>
  </si>
  <si>
    <t>Id1349</t>
  </si>
  <si>
    <t>D'Addario, Mrs.  Emily</t>
  </si>
  <si>
    <t>Id1350</t>
  </si>
  <si>
    <t>Buchanan, Mr.  James V</t>
  </si>
  <si>
    <t>Id1351</t>
  </si>
  <si>
    <t>Clark, Ms.  Angie</t>
  </si>
  <si>
    <t>Id1352</t>
  </si>
  <si>
    <t>Waterson, Mr.  Michael J.</t>
  </si>
  <si>
    <t>Id1353</t>
  </si>
  <si>
    <t>Piras, Ms.  Sabina</t>
  </si>
  <si>
    <t>Id1354</t>
  </si>
  <si>
    <t>Olson, Ms.  Amy C</t>
  </si>
  <si>
    <t>Id1355</t>
  </si>
  <si>
    <t>Manfredi, Ms.  Victoria U</t>
  </si>
  <si>
    <t>Id1356</t>
  </si>
  <si>
    <t>Landberg, Ms.  Amelia B</t>
  </si>
  <si>
    <t>Id1357</t>
  </si>
  <si>
    <t>Flynn, Ms.  Jackie J</t>
  </si>
  <si>
    <t>Id1358</t>
  </si>
  <si>
    <t>Bishop, Mr.  Justin</t>
  </si>
  <si>
    <t>Id1359</t>
  </si>
  <si>
    <t>Devitt, Ms.  Kerry</t>
  </si>
  <si>
    <t>Id1360</t>
  </si>
  <si>
    <t>Lynch, Ms.  Cindy G.</t>
  </si>
  <si>
    <t>Id1361</t>
  </si>
  <si>
    <t>Tramontano, Mr.  Gennaro</t>
  </si>
  <si>
    <t>Id1362</t>
  </si>
  <si>
    <t>Davidson, Mr.  Terry</t>
  </si>
  <si>
    <t>Id1363</t>
  </si>
  <si>
    <t>Burke, Mr.  Patrick J</t>
  </si>
  <si>
    <t>Id1364</t>
  </si>
  <si>
    <t>McGraw, Ms.  Keara</t>
  </si>
  <si>
    <t>Id1365</t>
  </si>
  <si>
    <t>Fellure, Ms.  Nicole</t>
  </si>
  <si>
    <t>Id1366</t>
  </si>
  <si>
    <t>Sanford, Mrs.  Katena</t>
  </si>
  <si>
    <t>Id1367</t>
  </si>
  <si>
    <t>Wrenn, Ms.  Bean K.</t>
  </si>
  <si>
    <t>Id1368</t>
  </si>
  <si>
    <t>Lindsey, Mr.  Brian</t>
  </si>
  <si>
    <t>Id1369</t>
  </si>
  <si>
    <t>Krueger, Mr.  Jan-Patrick</t>
  </si>
  <si>
    <t>Id1370</t>
  </si>
  <si>
    <t>Babler, Mr.  Jesse J</t>
  </si>
  <si>
    <t>Id1371</t>
  </si>
  <si>
    <t>Brezenski, Ms.  Lindsey M</t>
  </si>
  <si>
    <t>Id1372</t>
  </si>
  <si>
    <t>Marschner, Ms.  Marguerite K.</t>
  </si>
  <si>
    <t>Id1373</t>
  </si>
  <si>
    <t>King, Mr.  Travis</t>
  </si>
  <si>
    <t>Id1374</t>
  </si>
  <si>
    <t>Montez, Mr.  Ricky</t>
  </si>
  <si>
    <t>Id1375</t>
  </si>
  <si>
    <t>Campbell, Mrs.  Colleen L.</t>
  </si>
  <si>
    <t>Id1376</t>
  </si>
  <si>
    <t>Hurt, Mr.  Charlie A</t>
  </si>
  <si>
    <t>Id1377</t>
  </si>
  <si>
    <t>Garey, Mr.  Rick</t>
  </si>
  <si>
    <t>Id1378</t>
  </si>
  <si>
    <t>Reddy, Ms.  Lauren C</t>
  </si>
  <si>
    <t>Id1379</t>
  </si>
  <si>
    <t>Mueller, Mr.  Daniel</t>
  </si>
  <si>
    <t>Id1380</t>
  </si>
  <si>
    <t>Julia, Mr.  Jaime</t>
  </si>
  <si>
    <t>Id1381</t>
  </si>
  <si>
    <t>Uribe, Mr.  Erik R</t>
  </si>
  <si>
    <t>Id1382</t>
  </si>
  <si>
    <t>Hand, Ms.  Katie</t>
  </si>
  <si>
    <t>Id1383</t>
  </si>
  <si>
    <t>Petersen, Mr.  Thomas A</t>
  </si>
  <si>
    <t>Id1384</t>
  </si>
  <si>
    <t>Mac-Thiong, Mr.  Jean-Marc</t>
  </si>
  <si>
    <t>Id1385</t>
  </si>
  <si>
    <t>Walker, Ms.  Kerry L</t>
  </si>
  <si>
    <t>Id1386</t>
  </si>
  <si>
    <t>Steidl, Mr.  Ulrich</t>
  </si>
  <si>
    <t>Id1387</t>
  </si>
  <si>
    <t>Rose, Mr.  Justin P</t>
  </si>
  <si>
    <t>Id1388</t>
  </si>
  <si>
    <t>Alderfer, Ms.  Hannah E.</t>
  </si>
  <si>
    <t>Id1389</t>
  </si>
  <si>
    <t>Ryland, Mr.  David</t>
  </si>
  <si>
    <t>Id1390</t>
  </si>
  <si>
    <t>Bethea, Mr.  Jim</t>
  </si>
  <si>
    <t>Id1391</t>
  </si>
  <si>
    <t>Kelly, Mr.  Joseph P</t>
  </si>
  <si>
    <t>Id1392</t>
  </si>
  <si>
    <t>Blois, Mr.  Michael</t>
  </si>
  <si>
    <t>Id1393</t>
  </si>
  <si>
    <t>Dayton, Ms.  Gina M</t>
  </si>
  <si>
    <t>Id1394</t>
  </si>
  <si>
    <t>Cloud, Ms.  Shantel C.</t>
  </si>
  <si>
    <t>Id1395</t>
  </si>
  <si>
    <t>Betournay, Mr.  Brian</t>
  </si>
  <si>
    <t>Id1396</t>
  </si>
  <si>
    <t>Temple, Mr.  Brian</t>
  </si>
  <si>
    <t>Id1397</t>
  </si>
  <si>
    <t>Rollie, Ms.  Jessica R</t>
  </si>
  <si>
    <t>Id1398</t>
  </si>
  <si>
    <t>Roybal, Mrs.  Robyn</t>
  </si>
  <si>
    <t>Id1399</t>
  </si>
  <si>
    <t>Turgeon, Ms.  Ashley</t>
  </si>
  <si>
    <t>Id1400</t>
  </si>
  <si>
    <t>Deingenis, Ms.  Dana</t>
  </si>
  <si>
    <t>Id1401</t>
  </si>
  <si>
    <t>Hodge, Ms.  Jessica F.</t>
  </si>
  <si>
    <t>Id1402</t>
  </si>
  <si>
    <t>Gibbs, Ms.  Lindsey</t>
  </si>
  <si>
    <t>Id1403</t>
  </si>
  <si>
    <t>Trom, Ms.  Kelly A</t>
  </si>
  <si>
    <t>Id1404</t>
  </si>
  <si>
    <t>Sizer, Ms.  Brooke E</t>
  </si>
  <si>
    <t>Id1405</t>
  </si>
  <si>
    <t>Ellison, Ms.  Katelyn E.</t>
  </si>
  <si>
    <t>Id1406</t>
  </si>
  <si>
    <t>Sulkowski, Mr.  Adam</t>
  </si>
  <si>
    <t>Id1407</t>
  </si>
  <si>
    <t>Maringo, Ms.  Dana</t>
  </si>
  <si>
    <t>Id1408</t>
  </si>
  <si>
    <t>Lattin, Mr.  Eric W</t>
  </si>
  <si>
    <t>Id1409</t>
  </si>
  <si>
    <t>Deblander, Mr.  Matthew D</t>
  </si>
  <si>
    <t>Id1410</t>
  </si>
  <si>
    <t>O'Neill, Mr.  Eoghan</t>
  </si>
  <si>
    <t>Id1411</t>
  </si>
  <si>
    <t>Davis, Ms.  Pamela W</t>
  </si>
  <si>
    <t>Id1412</t>
  </si>
  <si>
    <t>Stanek, Ms.  Lindsey M.</t>
  </si>
  <si>
    <t>Id1413</t>
  </si>
  <si>
    <t>Harris, Ms.  Kassie</t>
  </si>
  <si>
    <t>Id1414</t>
  </si>
  <si>
    <t>Manning, Mr.  Matthew</t>
  </si>
  <si>
    <t>Id1415</t>
  </si>
  <si>
    <t>Barrera Munoz, Mr.  Ruben Dario</t>
  </si>
  <si>
    <t>Id1416</t>
  </si>
  <si>
    <t>Schauwaers, Mr.  Kevin</t>
  </si>
  <si>
    <t>Id1417</t>
  </si>
  <si>
    <t>Hartman, Ms.  Lindsay M</t>
  </si>
  <si>
    <t>Id1418</t>
  </si>
  <si>
    <t>Fire, Mrs.  Amanda</t>
  </si>
  <si>
    <t>Id1419</t>
  </si>
  <si>
    <t>Waliaula, Mr.  James</t>
  </si>
  <si>
    <t>Id1420</t>
  </si>
  <si>
    <t>Blackshear, Mr.  Samuel H.</t>
  </si>
  <si>
    <t>Id1421</t>
  </si>
  <si>
    <t>Nettik, Ms.  Jenni</t>
  </si>
  <si>
    <t>Id1422</t>
  </si>
  <si>
    <t>Novales, Mr.  Estuardo F</t>
  </si>
  <si>
    <t>Id1423</t>
  </si>
  <si>
    <t>Rosauer, Mr.  Brett</t>
  </si>
  <si>
    <t>Id1424</t>
  </si>
  <si>
    <t>Ryder, Ms.  Sharon E.</t>
  </si>
  <si>
    <t>Id1425</t>
  </si>
  <si>
    <t>Larsen, Mr.  Jacob W√¶ver</t>
  </si>
  <si>
    <t>Id1426</t>
  </si>
  <si>
    <t>Keate, Mr.  Scott</t>
  </si>
  <si>
    <t>Id1427</t>
  </si>
  <si>
    <t>Williams, Ms.  Brooke S.</t>
  </si>
  <si>
    <t>Id1428</t>
  </si>
  <si>
    <t>Starosciak, Ms.  Kaye A.</t>
  </si>
  <si>
    <t>Id1429</t>
  </si>
  <si>
    <t>Smith, Ms.  Carolyn</t>
  </si>
  <si>
    <t>Id1430</t>
  </si>
  <si>
    <t>Henderson, Mr.  Daniel C.</t>
  </si>
  <si>
    <t>Id1431</t>
  </si>
  <si>
    <t>Winkelman, Mrs.  Laurie A</t>
  </si>
  <si>
    <t>Id1432</t>
  </si>
  <si>
    <t>Monette, Ms.  Nicole</t>
  </si>
  <si>
    <t>Id1433</t>
  </si>
  <si>
    <t>Kramer, Ms.  Shelby</t>
  </si>
  <si>
    <t>Id1434</t>
  </si>
  <si>
    <t>Goldstein, Ms.  Allison</t>
  </si>
  <si>
    <t>Id1435</t>
  </si>
  <si>
    <t>Gonzalez, Ms.  Leticia</t>
  </si>
  <si>
    <t>Id1436</t>
  </si>
  <si>
    <t>Barrett, Mr.  John S.</t>
  </si>
  <si>
    <t>Id1437</t>
  </si>
  <si>
    <t>Irwin, Ms.  April</t>
  </si>
  <si>
    <t>Id1438</t>
  </si>
  <si>
    <t>Glenn, Ms.  Ashley N.</t>
  </si>
  <si>
    <t>Id1439</t>
  </si>
  <si>
    <t>O'Meara, Ms.  Madeleine</t>
  </si>
  <si>
    <t>Id1440</t>
  </si>
  <si>
    <t>Budrow, Ms.  Nelly S</t>
  </si>
  <si>
    <t>Id1441</t>
  </si>
  <si>
    <t>Anderson, Ms.  Meredith S</t>
  </si>
  <si>
    <t>Id1442</t>
  </si>
  <si>
    <t>Douglas, Mr.  Kevin</t>
  </si>
  <si>
    <t>Id1443</t>
  </si>
  <si>
    <t>Tecklenburg, Ms.  Lisa</t>
  </si>
  <si>
    <t>Id1444</t>
  </si>
  <si>
    <t>Baker, Ms.  Katherine A</t>
  </si>
  <si>
    <t>Id1445</t>
  </si>
  <si>
    <t>Schenck, Mr.  Steve</t>
  </si>
  <si>
    <t>Id1446</t>
  </si>
  <si>
    <t>Johnson, Ms.  Kate L.</t>
  </si>
  <si>
    <t>Id1447</t>
  </si>
  <si>
    <t>Blendell, Ms.  Beth</t>
  </si>
  <si>
    <t>Id1448</t>
  </si>
  <si>
    <t>Parodi, Ms.  Katharine</t>
  </si>
  <si>
    <t>Id1449</t>
  </si>
  <si>
    <t>Morgan, Ms.  Heather L</t>
  </si>
  <si>
    <t>Id1450</t>
  </si>
  <si>
    <t>Linden, Ms.  Desiree</t>
  </si>
  <si>
    <t>Id1451</t>
  </si>
  <si>
    <t>Horning, Mr.  Peter B.</t>
  </si>
  <si>
    <t>Id1452</t>
  </si>
  <si>
    <t>Goode, Mr.  Adam</t>
  </si>
  <si>
    <t>Id1453</t>
  </si>
  <si>
    <t>Doden, Mr.  Jeremy J</t>
  </si>
  <si>
    <t>Id1454</t>
  </si>
  <si>
    <t>Groff, Mr.  Adam C</t>
  </si>
  <si>
    <t>Id1455</t>
  </si>
  <si>
    <t>Kuehler, Mr.  Jon</t>
  </si>
  <si>
    <t>Id1456</t>
  </si>
  <si>
    <t>Daniels, Mr.  Steven J</t>
  </si>
  <si>
    <t>Id1457</t>
  </si>
  <si>
    <t>Gibby, Ms.  Jessica P.</t>
  </si>
  <si>
    <t>Id1458</t>
  </si>
  <si>
    <t>Busa, Ms.  Ashley</t>
  </si>
  <si>
    <t>Id1459</t>
  </si>
  <si>
    <t>Moyo, Mr.  Arturo H.</t>
  </si>
  <si>
    <t>Id1460</t>
  </si>
  <si>
    <t>Horn, Mr.  Ketil</t>
  </si>
  <si>
    <t>Id1461</t>
  </si>
  <si>
    <t>Bien, Ms.  Katie</t>
  </si>
  <si>
    <t>Id1462</t>
  </si>
  <si>
    <t>O'Connor, Ms.  Christi</t>
  </si>
  <si>
    <t>Id1463</t>
  </si>
  <si>
    <t>Ash, Mr.  Alan</t>
  </si>
  <si>
    <t>Id1464</t>
  </si>
  <si>
    <t>Do Prado, Mr.  Edivaldo B. Sr.</t>
  </si>
  <si>
    <t>Id1465</t>
  </si>
  <si>
    <t>Phillips, Ms.  Eve</t>
  </si>
  <si>
    <t>Id1466</t>
  </si>
  <si>
    <t>Kelly, Mr.  Devin</t>
  </si>
  <si>
    <t>Id1467</t>
  </si>
  <si>
    <t>Dever, Mr.  Shaun R</t>
  </si>
  <si>
    <t>Id1468</t>
  </si>
  <si>
    <t>Horvath, Mr.  Adrian</t>
  </si>
  <si>
    <t>Id1469</t>
  </si>
  <si>
    <t>Danner, Mr.  Andrew</t>
  </si>
  <si>
    <t>Id1470</t>
  </si>
  <si>
    <t>Weiss, Ms.  Mallory</t>
  </si>
  <si>
    <t>Id1471</t>
  </si>
  <si>
    <t>D'Andrea, Mr.  Shawn E</t>
  </si>
  <si>
    <t>Id1472</t>
  </si>
  <si>
    <t>Olesky, Ms.  Sarah E</t>
  </si>
  <si>
    <t>Id1473</t>
  </si>
  <si>
    <t>Whitcraft, Mr.  Josh</t>
  </si>
  <si>
    <t>Id1474</t>
  </si>
  <si>
    <t>Salazar, Mr.  Johann A</t>
  </si>
  <si>
    <t>Id1475</t>
  </si>
  <si>
    <t>Todd, Ms.  Robin M.</t>
  </si>
  <si>
    <t>Id1476</t>
  </si>
  <si>
    <t>Pond, Mr.  Kyle K</t>
  </si>
  <si>
    <t>Id1477</t>
  </si>
  <si>
    <t>Egan, Ms.  Alison</t>
  </si>
  <si>
    <t>Id1478</t>
  </si>
  <si>
    <t>Bersani, Mr.  Michael A.</t>
  </si>
  <si>
    <t>Id1479</t>
  </si>
  <si>
    <t>Creech, Mr.  Byron A</t>
  </si>
  <si>
    <t>Id1480</t>
  </si>
  <si>
    <t>Sudres, Ms.  Carine A</t>
  </si>
  <si>
    <t>Id1481</t>
  </si>
  <si>
    <t>Couture, Mr.  Nathaniel</t>
  </si>
  <si>
    <t>Id1482</t>
  </si>
  <si>
    <t>Willard, Ms.  Lindsay A.</t>
  </si>
  <si>
    <t>Id1483</t>
  </si>
  <si>
    <t>Patronick, Mr.  Justin R</t>
  </si>
  <si>
    <t>Id1484</t>
  </si>
  <si>
    <t>Depasquale, Ms.  Casey</t>
  </si>
  <si>
    <t>Id1485</t>
  </si>
  <si>
    <t>Lavergne, Ms.  Amanda L</t>
  </si>
  <si>
    <t>Id1486</t>
  </si>
  <si>
    <t>Kawakami, Ms.  Ayako N.</t>
  </si>
  <si>
    <t>Id1487</t>
  </si>
  <si>
    <t>Gonsalves, Ms.  Emilee</t>
  </si>
  <si>
    <t>Id1488</t>
  </si>
  <si>
    <t>Peck, Mr.  Stephen M</t>
  </si>
  <si>
    <t>Id1489</t>
  </si>
  <si>
    <t>Aure, Ms.  Annemarie A</t>
  </si>
  <si>
    <t>Id1490</t>
  </si>
  <si>
    <t>Mattingly, Ms.  Ashley R</t>
  </si>
  <si>
    <t>Id1491</t>
  </si>
  <si>
    <t>Stelpflug, Ms.  Leslie A</t>
  </si>
  <si>
    <t>Id1492</t>
  </si>
  <si>
    <t>Sanchez Antognini, Mr.  Mauricio J. Sr.</t>
  </si>
  <si>
    <t>Id1493</t>
  </si>
  <si>
    <t>Condon, Mr.  Kieran</t>
  </si>
  <si>
    <t>Id1494</t>
  </si>
  <si>
    <t>Magato, Ms.  Elizabeth A</t>
  </si>
  <si>
    <t>Id1495</t>
  </si>
  <si>
    <t>Dombrowski, Mr.  Zeke M.</t>
  </si>
  <si>
    <t>Id1496</t>
  </si>
  <si>
    <t>Ohara, Mr.  Chip</t>
  </si>
  <si>
    <t>Id1497</t>
  </si>
  <si>
    <t>Cifuentes Fetiva, Mr.  Miguel Angel Sr.</t>
  </si>
  <si>
    <t>Id1498</t>
  </si>
  <si>
    <t>Keno, Mr.  Brian</t>
  </si>
  <si>
    <t>Id1499</t>
  </si>
  <si>
    <t>Bruce, Ms.  Meghan</t>
  </si>
  <si>
    <t>Id1500</t>
  </si>
  <si>
    <t>Lorch, Ms.  Meredith L.</t>
  </si>
  <si>
    <t>Id1501</t>
  </si>
  <si>
    <t>Sullivan, Mrs.  Millicent M</t>
  </si>
  <si>
    <t>Id1502</t>
  </si>
  <si>
    <t>Cave, Ms.  Kathleen</t>
  </si>
  <si>
    <t>Id1503</t>
  </si>
  <si>
    <t>Gudenkauf, Ms.  Kimberly K</t>
  </si>
  <si>
    <t>Id1504</t>
  </si>
  <si>
    <t>Thomas, Mr.  Justin C</t>
  </si>
  <si>
    <t>Id1505</t>
  </si>
  <si>
    <t>Holley, Mr.  Tristan P.</t>
  </si>
  <si>
    <t>Id1506</t>
  </si>
  <si>
    <t>Kemble, Ms.  Traci A</t>
  </si>
  <si>
    <t>Id1507</t>
  </si>
  <si>
    <t>Bentley, Mr.  Justin P</t>
  </si>
  <si>
    <t>Id1508</t>
  </si>
  <si>
    <t>Jones, Mr.  Logan M</t>
  </si>
  <si>
    <t>Id1509</t>
  </si>
  <si>
    <t>Tremblay, Mr.  Sebastien</t>
  </si>
  <si>
    <t>Id1510</t>
  </si>
  <si>
    <t>Bellucci, Ms.  Tiffany A</t>
  </si>
  <si>
    <t>Id1511</t>
  </si>
  <si>
    <t>Collins, Mr.  Matthew</t>
  </si>
  <si>
    <t>Id1512</t>
  </si>
  <si>
    <t>Gillman, Mr.  Luke</t>
  </si>
  <si>
    <t>Id1513</t>
  </si>
  <si>
    <t>West, Ms.  Leigh</t>
  </si>
  <si>
    <t>Id1514</t>
  </si>
  <si>
    <t>Chida, Mr.  Yosuke</t>
  </si>
  <si>
    <t>Id1515</t>
  </si>
  <si>
    <t>Reisenauer, Mr.  Matthew</t>
  </si>
  <si>
    <t>Id1516</t>
  </si>
  <si>
    <t>Rosenberg-Wohl, Mr.  Jacob</t>
  </si>
  <si>
    <t>Id1517</t>
  </si>
  <si>
    <t>Theriault, Ms.  Jodi</t>
  </si>
  <si>
    <t>Id1518</t>
  </si>
  <si>
    <t>Manuel, Ms.  Lauren</t>
  </si>
  <si>
    <t>Id1519</t>
  </si>
  <si>
    <t>Demko, Ms.  Misti C</t>
  </si>
  <si>
    <t>Id1520</t>
  </si>
  <si>
    <t>Battaglia, Ms.  Angela J</t>
  </si>
  <si>
    <t>Id1521</t>
  </si>
  <si>
    <t>Follo, Mr.  Jonathan D.</t>
  </si>
  <si>
    <t>Id1522</t>
  </si>
  <si>
    <t>Barana, Ms.  Victoria</t>
  </si>
  <si>
    <t>Id1523</t>
  </si>
  <si>
    <t>Lysaght, Mr.  Adrian R.</t>
  </si>
  <si>
    <t>Id1524</t>
  </si>
  <si>
    <t>Chalmers, Mr.  Andrew</t>
  </si>
  <si>
    <t>Id1525</t>
  </si>
  <si>
    <t>Phillippi, Mr.  Jason A.</t>
  </si>
  <si>
    <t>Id1526</t>
  </si>
  <si>
    <t>MacPherson, Ms.  Rachel</t>
  </si>
  <si>
    <t>Id1527</t>
  </si>
  <si>
    <t>Delfidio, Ms.  Susan</t>
  </si>
  <si>
    <t>Id1528</t>
  </si>
  <si>
    <t>Cummings, Mr.  Cameron M.</t>
  </si>
  <si>
    <t>Id1529</t>
  </si>
  <si>
    <t>Schroegel, Ms.  Claudia A.</t>
  </si>
  <si>
    <t>Id1530</t>
  </si>
  <si>
    <t>Williams, Ms.  Kate</t>
  </si>
  <si>
    <t>Id1531</t>
  </si>
  <si>
    <t>Casey, Ms.  Nicole M.</t>
  </si>
  <si>
    <t>Id1532</t>
  </si>
  <si>
    <t>Randall, Mr.  Jack</t>
  </si>
  <si>
    <t>Id1533</t>
  </si>
  <si>
    <t>Doyon, Mr.  Gregory</t>
  </si>
  <si>
    <t>Id1534</t>
  </si>
  <si>
    <t>Sankey, Ms.  Rebecca</t>
  </si>
  <si>
    <t>Id1535</t>
  </si>
  <si>
    <t>Stilgenbauer, Mr.  Adam</t>
  </si>
  <si>
    <t>Id1536</t>
  </si>
  <si>
    <t>Jaskiewicz, Mr.  Ryan</t>
  </si>
  <si>
    <t>Id1537</t>
  </si>
  <si>
    <t>Deppen, Ms.  Jackie K.</t>
  </si>
  <si>
    <t>Id1538</t>
  </si>
  <si>
    <t>Hine, Mr.  Chris</t>
  </si>
  <si>
    <t>Id1539</t>
  </si>
  <si>
    <t>Mathews, Mr.  Tyler C</t>
  </si>
  <si>
    <t>Id1540</t>
  </si>
  <si>
    <t>Yabu, Ms.  Yoshie</t>
  </si>
  <si>
    <t>Id1541</t>
  </si>
  <si>
    <t>Strang, Ms.  Lauren A</t>
  </si>
  <si>
    <t>Id1542</t>
  </si>
  <si>
    <t>Frank, Mr.  Mason D.</t>
  </si>
  <si>
    <t>Id1543</t>
  </si>
  <si>
    <t>Shanley, Mr.  Ryan</t>
  </si>
  <si>
    <t>Id1544</t>
  </si>
  <si>
    <t>Mancebo Garcia, Mr.  Arturo</t>
  </si>
  <si>
    <t>Id1545</t>
  </si>
  <si>
    <t>Keehan, Mr.  Jake</t>
  </si>
  <si>
    <t>Id1546</t>
  </si>
  <si>
    <t>Mahaney, Ms.  Sarah E</t>
  </si>
  <si>
    <t>Id1547</t>
  </si>
  <si>
    <t>Nolan, Ms.  Alison L.</t>
  </si>
  <si>
    <t>Id1548</t>
  </si>
  <si>
    <t>Sobrino, Ms.  Karen A.</t>
  </si>
  <si>
    <t>Id1549</t>
  </si>
  <si>
    <t>Gennaro, Mr.  Thomas R. Jr.</t>
  </si>
  <si>
    <t>Id1550</t>
  </si>
  <si>
    <t>Mayer, Ms.  Stephanie W.</t>
  </si>
  <si>
    <t>Id1551</t>
  </si>
  <si>
    <t>Becker, Mr.  Ezra</t>
  </si>
  <si>
    <t>Id1552</t>
  </si>
  <si>
    <t>Moore, Mr.  Jim</t>
  </si>
  <si>
    <t>Id1553</t>
  </si>
  <si>
    <t>Platt, Mr.  Ari L.</t>
  </si>
  <si>
    <t>Id1554</t>
  </si>
  <si>
    <t>Brodeur, Ms.  Fanny</t>
  </si>
  <si>
    <t>Id1555</t>
  </si>
  <si>
    <t>Knight Pech, Ms.  Heather</t>
  </si>
  <si>
    <t>Id1556</t>
  </si>
  <si>
    <t>Richter, Mr.  Peter W. Sr.</t>
  </si>
  <si>
    <t>Id1557</t>
  </si>
  <si>
    <t>Jubinski, Ms.  Catherine A</t>
  </si>
  <si>
    <t>Id1558</t>
  </si>
  <si>
    <t>Wall, Ms.  Kelly A</t>
  </si>
  <si>
    <t>Id1559</t>
  </si>
  <si>
    <t>McKay, Ms.  Janel N.</t>
  </si>
  <si>
    <t>Id1560</t>
  </si>
  <si>
    <t>Oh, Ms.  Yann Kai</t>
  </si>
  <si>
    <t>Id1561</t>
  </si>
  <si>
    <t>Kessell, Mr.  Zachary R.</t>
  </si>
  <si>
    <t>Id1562</t>
  </si>
  <si>
    <t>Hidalgo Zambrano, Mr.  Alejandro Sr.</t>
  </si>
  <si>
    <t>Id1563</t>
  </si>
  <si>
    <t>Caprario, Mr.  Nicholas R.</t>
  </si>
  <si>
    <t>Id1564</t>
  </si>
  <si>
    <t>Ryan, Mr.  Paul</t>
  </si>
  <si>
    <t>Id1565</t>
  </si>
  <si>
    <t>Hoffman, Mr.  Michael D</t>
  </si>
  <si>
    <t>Id1566</t>
  </si>
  <si>
    <t>Wong, Ms.  Marina</t>
  </si>
  <si>
    <t>Id1567</t>
  </si>
  <si>
    <t>Lea, Ms.  Caroline</t>
  </si>
  <si>
    <t>Id1568</t>
  </si>
  <si>
    <t>Patterson, Mr.  Ross P</t>
  </si>
  <si>
    <t>Id1569</t>
  </si>
  <si>
    <t>Quigley, Ms.  Aoife</t>
  </si>
  <si>
    <t>Id1570</t>
  </si>
  <si>
    <t>Korir, Mr.  Wesley</t>
  </si>
  <si>
    <t>Id1571</t>
  </si>
  <si>
    <t>Downs, Ms.  Rebecca J</t>
  </si>
  <si>
    <t>Id1572</t>
  </si>
  <si>
    <t>Young, Mr.  Barry P.</t>
  </si>
  <si>
    <t>Id1573</t>
  </si>
  <si>
    <t>Zywek, Mr.  Maciej</t>
  </si>
  <si>
    <t>Id1574</t>
  </si>
  <si>
    <t>Faulkner, Mr.  Jerry D.</t>
  </si>
  <si>
    <t>Id1575</t>
  </si>
  <si>
    <t>Erspamer, Mr.  Eric A.</t>
  </si>
  <si>
    <t>Id1576</t>
  </si>
  <si>
    <t>Campbell, Ms.  Cathi</t>
  </si>
  <si>
    <t>Id1577</t>
  </si>
  <si>
    <t>Addison, Mr.  Alex M</t>
  </si>
  <si>
    <t>Id1578</t>
  </si>
  <si>
    <t>Wu, Mr.  Liang</t>
  </si>
  <si>
    <t>Id1579</t>
  </si>
  <si>
    <t>Millett, Ms.  Lexy</t>
  </si>
  <si>
    <t>Id1580</t>
  </si>
  <si>
    <t>Bosl, Mr.  Michael</t>
  </si>
  <si>
    <t>Id1581</t>
  </si>
  <si>
    <t>Goldberg, Mr.  Samuel L</t>
  </si>
  <si>
    <t>Id1582</t>
  </si>
  <si>
    <t>Kelley, Mr.  Spencer A.</t>
  </si>
  <si>
    <t>Id1583</t>
  </si>
  <si>
    <t>Johnston, Mrs.  Rochelle</t>
  </si>
  <si>
    <t>Id1584</t>
  </si>
  <si>
    <t>Keating, Ms.  Paula</t>
  </si>
  <si>
    <t>Id1585</t>
  </si>
  <si>
    <t>Duhon, Mrs.  Madeline E.</t>
  </si>
  <si>
    <t>Id1586</t>
  </si>
  <si>
    <t>Briseno, Ms.  Maria Isabel</t>
  </si>
  <si>
    <t>Id1587</t>
  </si>
  <si>
    <t>Besse, Mr.  Arthur M.</t>
  </si>
  <si>
    <t>Id1588</t>
  </si>
  <si>
    <t>Shillings, Mr.  Joseph R.</t>
  </si>
  <si>
    <t>Id1589</t>
  </si>
  <si>
    <t>Tate, Ms.  Sachiko</t>
  </si>
  <si>
    <t>Id1590</t>
  </si>
  <si>
    <t>Arsenault, Mr.  Christopher</t>
  </si>
  <si>
    <t>Id1591</t>
  </si>
  <si>
    <t>Hengoed, Mr.  Joseph</t>
  </si>
  <si>
    <t>Id1592</t>
  </si>
  <si>
    <t>Aller, Mr.  Lawrence</t>
  </si>
  <si>
    <t>Id1593</t>
  </si>
  <si>
    <t>Pisano, Mrs.  Katie</t>
  </si>
  <si>
    <t>Id1594</t>
  </si>
  <si>
    <t>Sanca, Mr.  Ruben</t>
  </si>
  <si>
    <t>Id1595</t>
  </si>
  <si>
    <t>Bond, Ms.  Sarah</t>
  </si>
  <si>
    <t>Id1596</t>
  </si>
  <si>
    <t>Carron, Mrs.  Angela R.</t>
  </si>
  <si>
    <t>Id1597</t>
  </si>
  <si>
    <t>Ellwanger, Mr.  Chatham</t>
  </si>
  <si>
    <t>Id1598</t>
  </si>
  <si>
    <t>Hanson, Mr.  Derek</t>
  </si>
  <si>
    <t>Id1599</t>
  </si>
  <si>
    <t>Tucker, Mr.  Kalvin J.</t>
  </si>
  <si>
    <t>Id1600</t>
  </si>
  <si>
    <t>Counts, Mr.  Dave</t>
  </si>
  <si>
    <t>Id1601</t>
  </si>
  <si>
    <t>Carson, Ms.  Barbara G.</t>
  </si>
  <si>
    <t>Id1602</t>
  </si>
  <si>
    <t>Haines, Mr.  Skylar</t>
  </si>
  <si>
    <t>Id1603</t>
  </si>
  <si>
    <t>Schnabel, Mr.  Nick</t>
  </si>
  <si>
    <t>Id1604</t>
  </si>
  <si>
    <t>Thind, Mr.  Sunny S</t>
  </si>
  <si>
    <t>Id1605</t>
  </si>
  <si>
    <t>Simon, Mrs.  Anne-Marie</t>
  </si>
  <si>
    <t>Id1606</t>
  </si>
  <si>
    <t>Arciniaga, Mr.  Nicholas</t>
  </si>
  <si>
    <t>Id1607</t>
  </si>
  <si>
    <t>Ryan, Mr.  Scott M.</t>
  </si>
  <si>
    <t>Id1608</t>
  </si>
  <si>
    <t>Lizak, Ms.  Marisa A</t>
  </si>
  <si>
    <t>Id1609</t>
  </si>
  <si>
    <t>Howery, Ms.  Katie</t>
  </si>
  <si>
    <t>Id1610</t>
  </si>
  <si>
    <t>Crain, Ms.  Amy L</t>
  </si>
  <si>
    <t>Id1611</t>
  </si>
  <si>
    <t>Hotze, Ms.  Jenna M</t>
  </si>
  <si>
    <t>Id1612</t>
  </si>
  <si>
    <t>Chauhan, Ms.  Elizabeth M.</t>
  </si>
  <si>
    <t>Id1613</t>
  </si>
  <si>
    <t>Raab, Mr.  Lyazid</t>
  </si>
  <si>
    <t>Id1614</t>
  </si>
  <si>
    <t>McKown, Ms.  Lindsey A.</t>
  </si>
  <si>
    <t>Id1615</t>
  </si>
  <si>
    <t>Schiemann, Mr.  Chris</t>
  </si>
  <si>
    <t>Id1616</t>
  </si>
  <si>
    <t>Cress, Ms.  Jennifer A</t>
  </si>
  <si>
    <t>Id1617</t>
  </si>
  <si>
    <t>Mawson, Mr.  Leif S.</t>
  </si>
  <si>
    <t>Id1618</t>
  </si>
  <si>
    <t>Wigginton, Ms.  Stephanie A</t>
  </si>
  <si>
    <t>Id1619</t>
  </si>
  <si>
    <t>Wang, Mr.  Bo</t>
  </si>
  <si>
    <t>Id1620</t>
  </si>
  <si>
    <t>Schroeder, Ms.  Leah</t>
  </si>
  <si>
    <t>Id1621</t>
  </si>
  <si>
    <t>Leonard, Ms.  Kara Lynne</t>
  </si>
  <si>
    <t>Id1622</t>
  </si>
  <si>
    <t>Tissue, Mr.  Jeffrey</t>
  </si>
  <si>
    <t>Id1623</t>
  </si>
  <si>
    <t>Wood, Mr.  Justin</t>
  </si>
  <si>
    <t>Id1624</t>
  </si>
  <si>
    <t>Denny, Ms.  Emily</t>
  </si>
  <si>
    <t>Id1625</t>
  </si>
  <si>
    <t>Testa, Ms.  Rebecca</t>
  </si>
  <si>
    <t>Id1626</t>
  </si>
  <si>
    <t>Mooney, Mrs.  Allie</t>
  </si>
  <si>
    <t>Id1627</t>
  </si>
  <si>
    <t>Buchholtz, Ms.  Trasi</t>
  </si>
  <si>
    <t>Id1628</t>
  </si>
  <si>
    <t>Hoyt, Mr.  Kevin</t>
  </si>
  <si>
    <t>Id1629</t>
  </si>
  <si>
    <t>Cabada, Mr.  Fernando</t>
  </si>
  <si>
    <t>Id1630</t>
  </si>
  <si>
    <t>Lobaciute, Ms.  Ieva</t>
  </si>
  <si>
    <t>Id1631</t>
  </si>
  <si>
    <t>Dawes, Mr.  Chris</t>
  </si>
  <si>
    <t>Id1632</t>
  </si>
  <si>
    <t>Deppen, Mr.  Drew L.</t>
  </si>
  <si>
    <t>Id1633</t>
  </si>
  <si>
    <t>Oberndorfer, Ms.  Christina</t>
  </si>
  <si>
    <t>Id1634</t>
  </si>
  <si>
    <t>Hetherington, Mr.  Alexander G</t>
  </si>
  <si>
    <t>Id1635</t>
  </si>
  <si>
    <t>Murray, Ms.  Meaghan</t>
  </si>
  <si>
    <t>Id1636</t>
  </si>
  <si>
    <t>Higden, Ms.  Kristin</t>
  </si>
  <si>
    <t>Id1637</t>
  </si>
  <si>
    <t>Rediger, Ms.  Andrea K.</t>
  </si>
  <si>
    <t>Id1638</t>
  </si>
  <si>
    <t>Huff, Ms.  Kris</t>
  </si>
  <si>
    <t>Id1639</t>
  </si>
  <si>
    <t>Hall, Mr.  Alden W</t>
  </si>
  <si>
    <t>Id1640</t>
  </si>
  <si>
    <t>Grise, Ms.  Suzanne M</t>
  </si>
  <si>
    <t>Id1641</t>
  </si>
  <si>
    <t>Skildum, Ms.  Heidi Z.</t>
  </si>
  <si>
    <t>Id1642</t>
  </si>
  <si>
    <t>Yang, Ms.  Carolyn</t>
  </si>
  <si>
    <t>Id1643</t>
  </si>
  <si>
    <t>Fischer-Daly, Ms.  Sabine</t>
  </si>
  <si>
    <t>Id1644</t>
  </si>
  <si>
    <t>Asher, Mr.  Bobby</t>
  </si>
  <si>
    <t>Id1645</t>
  </si>
  <si>
    <t>Zhou, Mr.  Fan</t>
  </si>
  <si>
    <t>Id1646</t>
  </si>
  <si>
    <t>Rudder, Mrs.  Rachel M</t>
  </si>
  <si>
    <t>Id1647</t>
  </si>
  <si>
    <t>Cartmell, Mr.  Greg</t>
  </si>
  <si>
    <t>Id1648</t>
  </si>
  <si>
    <t>Troland, Mr.  Dan</t>
  </si>
  <si>
    <t>Id1649</t>
  </si>
  <si>
    <t>Hall, Ms.  Jennifer A</t>
  </si>
  <si>
    <t>Id1650</t>
  </si>
  <si>
    <t>Berg, Mrs.  Jessica</t>
  </si>
  <si>
    <t>Id1651</t>
  </si>
  <si>
    <t>Engtrakul, Mr.  Chaiwat</t>
  </si>
  <si>
    <t>Id1652</t>
  </si>
  <si>
    <t>Leonhardt, Ms.  Kerri</t>
  </si>
  <si>
    <t>Id1653</t>
  </si>
  <si>
    <t>Goetz, Ms.  Lisa</t>
  </si>
  <si>
    <t>Id1654</t>
  </si>
  <si>
    <t>Cacharelis, Mr.  Nicholas G</t>
  </si>
  <si>
    <t>Id1655</t>
  </si>
  <si>
    <t>Kariolis, Mr.  Vasilis S</t>
  </si>
  <si>
    <t>Id1656</t>
  </si>
  <si>
    <t>Zelwin, Mr.  Michael P</t>
  </si>
  <si>
    <t>Id1657</t>
  </si>
  <si>
    <t>Barry, Ms.  Colleen C.</t>
  </si>
  <si>
    <t>Id1658</t>
  </si>
  <si>
    <t>Bannon, Mrs.  Annika</t>
  </si>
  <si>
    <t>Id1659</t>
  </si>
  <si>
    <t>Chang, Ms.  Kelly</t>
  </si>
  <si>
    <t>Id1660</t>
  </si>
  <si>
    <t>Vetter, Mr.  Nicholas C.</t>
  </si>
  <si>
    <t>Id1661</t>
  </si>
  <si>
    <t>Jablonski, Mrs.  Kelly K</t>
  </si>
  <si>
    <t>Id1662</t>
  </si>
  <si>
    <t>Jakubowitch, Mr.  Andrew</t>
  </si>
  <si>
    <t>Id1663</t>
  </si>
  <si>
    <t>Altshuler, Ms.  Hannah</t>
  </si>
  <si>
    <t>Id1664</t>
  </si>
  <si>
    <t>Ugarte, Mr.  Patricio Sr.</t>
  </si>
  <si>
    <t>Id1665</t>
  </si>
  <si>
    <t>Tusso, Mr.  Robert B</t>
  </si>
  <si>
    <t>Id1666</t>
  </si>
  <si>
    <t>Johnson, Mr.  Benjamin M</t>
  </si>
  <si>
    <t>Id1667</t>
  </si>
  <si>
    <t>Landry, Mr.  Robert</t>
  </si>
  <si>
    <t>Id1668</t>
  </si>
  <si>
    <t>McDonald, Mr.  Eric R.</t>
  </si>
  <si>
    <t>Id1669</t>
  </si>
  <si>
    <t>Dunlap, Mr.  Matthew</t>
  </si>
  <si>
    <t>Id1670</t>
  </si>
  <si>
    <t>Larue, Mr.  Bob R</t>
  </si>
  <si>
    <t>Id1671</t>
  </si>
  <si>
    <t>Hodge, Ms.  Stephanie J.</t>
  </si>
  <si>
    <t>Id1672</t>
  </si>
  <si>
    <t>Marcus, Mr.  Jake</t>
  </si>
  <si>
    <t>Id1673</t>
  </si>
  <si>
    <t>Daubert, Ms.  Alison L.</t>
  </si>
  <si>
    <t>Id1674</t>
  </si>
  <si>
    <t>Close, Ms.  Lindsay M</t>
  </si>
  <si>
    <t>Id1675</t>
  </si>
  <si>
    <t>Roels, Mr.  Guillaume</t>
  </si>
  <si>
    <t>Id1676</t>
  </si>
  <si>
    <t>Venosky, Ms.  Kaylee</t>
  </si>
  <si>
    <t>Id1677</t>
  </si>
  <si>
    <t>Gosnell, Ms.  Theresa</t>
  </si>
  <si>
    <t>Id1678</t>
  </si>
  <si>
    <t>Chewning-Kulick, Mr.  Travis G.</t>
  </si>
  <si>
    <t>Id1679</t>
  </si>
  <si>
    <t>McCarron, Ms.  Emma L.</t>
  </si>
  <si>
    <t>Id1680</t>
  </si>
  <si>
    <t>Manion, Ms.  Linda</t>
  </si>
  <si>
    <t>Id1681</t>
  </si>
  <si>
    <t>Strong, Mr.  Owen R</t>
  </si>
  <si>
    <t>Id1682</t>
  </si>
  <si>
    <t>Leblanc, Mr.  Jacob</t>
  </si>
  <si>
    <t>Id1683</t>
  </si>
  <si>
    <t>Palmer, Ms.  Jacqueline</t>
  </si>
  <si>
    <t>Id1684</t>
  </si>
  <si>
    <t>Shen, Mr.  Yefeng</t>
  </si>
  <si>
    <t>Id1685</t>
  </si>
  <si>
    <t>Goldsby, Mr.  Thomas J</t>
  </si>
  <si>
    <t>Id1686</t>
  </si>
  <si>
    <t>Whitney, Mr.  Ken</t>
  </si>
  <si>
    <t>Id1687</t>
  </si>
  <si>
    <t>Mahoney, Ms.  Annie E</t>
  </si>
  <si>
    <t>Id1688</t>
  </si>
  <si>
    <t>McCracken, Mrs.  Noel K.</t>
  </si>
  <si>
    <t>Id1689</t>
  </si>
  <si>
    <t>Spewak, Mr.  Mark S</t>
  </si>
  <si>
    <t>Id1690</t>
  </si>
  <si>
    <t>Cottini, Ms.  Federica</t>
  </si>
  <si>
    <t>Id1691</t>
  </si>
  <si>
    <t>Findlay, Ms.  Pamela L</t>
  </si>
  <si>
    <t>Id1692</t>
  </si>
  <si>
    <t>Strasburg, Mr.  Andrew W.</t>
  </si>
  <si>
    <t>Id1693</t>
  </si>
  <si>
    <t>Adams, Mr.  Randall</t>
  </si>
  <si>
    <t>Id1694</t>
  </si>
  <si>
    <t>Deeter, Ms.  Tracy L</t>
  </si>
  <si>
    <t>Id1695</t>
  </si>
  <si>
    <t>Arpin, Ms.  Azelie</t>
  </si>
  <si>
    <t>Id1696</t>
  </si>
  <si>
    <t>Schoeneck, Ms.  Monica M.</t>
  </si>
  <si>
    <t>Id1697</t>
  </si>
  <si>
    <t>Mueller, Ms.  Katarina K.</t>
  </si>
  <si>
    <t>Id1698</t>
  </si>
  <si>
    <t>Willits, Ms.  Jamie L.</t>
  </si>
  <si>
    <t>Id1699</t>
  </si>
  <si>
    <t>Syring, Mr.  Brian</t>
  </si>
  <si>
    <t>Id1700</t>
  </si>
  <si>
    <t>Strike, Ms.  Stacey L.</t>
  </si>
  <si>
    <t>Id1701</t>
  </si>
  <si>
    <t>Hennigar, Mr.  Stephen</t>
  </si>
  <si>
    <t>Id1702</t>
  </si>
  <si>
    <t>May, Mr.  Joshua</t>
  </si>
  <si>
    <t>Id1703</t>
  </si>
  <si>
    <t>Metcalf, Mr.  Josh</t>
  </si>
  <si>
    <t>Id1704</t>
  </si>
  <si>
    <t>Tiska, Ms.  Heather</t>
  </si>
  <si>
    <t>Id1705</t>
  </si>
  <si>
    <t>McDonough, Mr.  James C.</t>
  </si>
  <si>
    <t>Id1706</t>
  </si>
  <si>
    <t>Fairley, Ms.  Kim</t>
  </si>
  <si>
    <t>Id1707</t>
  </si>
  <si>
    <t>Barnett, Ms.  Marie E.</t>
  </si>
  <si>
    <t>Id1708</t>
  </si>
  <si>
    <t>Piasta, Mr.  Dariusz</t>
  </si>
  <si>
    <t>Id1709</t>
  </si>
  <si>
    <t>Mueller, Ms.  Jessica E.</t>
  </si>
  <si>
    <t>Id1710</t>
  </si>
  <si>
    <t>Olsen, Ms.  Kristen</t>
  </si>
  <si>
    <t>Id1711</t>
  </si>
  <si>
    <t>De Jesus, Mr.  Jose Guadalupe P. Sr.</t>
  </si>
  <si>
    <t>Id1712</t>
  </si>
  <si>
    <t>Bartus, Ms.  Cynthia</t>
  </si>
  <si>
    <t>Id1713</t>
  </si>
  <si>
    <t>Stevens, Mr.  Tyler</t>
  </si>
  <si>
    <t>Id1714</t>
  </si>
  <si>
    <t>Rich, Ms.  Holly J</t>
  </si>
  <si>
    <t>Id1715</t>
  </si>
  <si>
    <t>Fayter, Ms.  Kristen</t>
  </si>
  <si>
    <t>Id1716</t>
  </si>
  <si>
    <t>Parise, Mr.  Thomas</t>
  </si>
  <si>
    <t>Id1717</t>
  </si>
  <si>
    <t>Andrew, Ms.  Tricity M</t>
  </si>
  <si>
    <t>Id1718</t>
  </si>
  <si>
    <t>Gryniewicz, Ms.  Sarah A</t>
  </si>
  <si>
    <t>Id1719</t>
  </si>
  <si>
    <t>Panora, Ms.  Lisa M.</t>
  </si>
  <si>
    <t>Id1720</t>
  </si>
  <si>
    <t>Woodward, Ms.  Tracy A.</t>
  </si>
  <si>
    <t>Id1721</t>
  </si>
  <si>
    <t>Lambe, Mr.  Patrick</t>
  </si>
  <si>
    <t>Id1722</t>
  </si>
  <si>
    <t>Casto, Mr.  Trent</t>
  </si>
  <si>
    <t>Id1723</t>
  </si>
  <si>
    <t>Martelli, Ms.  Julie</t>
  </si>
  <si>
    <t>Id1724</t>
  </si>
  <si>
    <t>Naskret, Mr.  Sawomir</t>
  </si>
  <si>
    <t>Id1725</t>
  </si>
  <si>
    <t>Morgan, Ms.  Micah</t>
  </si>
  <si>
    <t>Id1726</t>
  </si>
  <si>
    <t>Maloney, Ms.  Kelly H.</t>
  </si>
  <si>
    <t>Id1727</t>
  </si>
  <si>
    <t>Amherst, Ms.  Lindsay M.</t>
  </si>
  <si>
    <t>Id1728</t>
  </si>
  <si>
    <t>Davenport, Mr.  Austen G</t>
  </si>
  <si>
    <t>Id1729</t>
  </si>
  <si>
    <t>Johansen, Mr.  Tory J.</t>
  </si>
  <si>
    <t>Id1730</t>
  </si>
  <si>
    <t>Bond, Mr.  Robert J.</t>
  </si>
  <si>
    <t>Id1731</t>
  </si>
  <si>
    <t>Reilly, Ms.  Steph</t>
  </si>
  <si>
    <t>Id1732</t>
  </si>
  <si>
    <t>Chandler, Ms.  Kate</t>
  </si>
  <si>
    <t>Id1733</t>
  </si>
  <si>
    <t>Kaufmann, Ms.  Kristina</t>
  </si>
  <si>
    <t>Id1734</t>
  </si>
  <si>
    <t>Barnes-Zurkinden, Ms.  Flo</t>
  </si>
  <si>
    <t>Id1735</t>
  </si>
  <si>
    <t>Wolter, Mrs.  Sarah P.</t>
  </si>
  <si>
    <t>Id1736</t>
  </si>
  <si>
    <t>Pearson, Ms.  Anabel</t>
  </si>
  <si>
    <t>Id1737</t>
  </si>
  <si>
    <t>Thomas, Mr.  Ian</t>
  </si>
  <si>
    <t>Id1738</t>
  </si>
  <si>
    <t>Leon, Mr.  Alex</t>
  </si>
  <si>
    <t>Id1739</t>
  </si>
  <si>
    <t>Marriott, Mr.  Richard J</t>
  </si>
  <si>
    <t>Id1740</t>
  </si>
  <si>
    <t>Wilkins, Ms.  Jacqueline N.</t>
  </si>
  <si>
    <t>Id1741</t>
  </si>
  <si>
    <t>Saiter, Ms.  Cindy</t>
  </si>
  <si>
    <t>Id1742</t>
  </si>
  <si>
    <t>Winrow, Ms.  Marcia</t>
  </si>
  <si>
    <t>Id1743</t>
  </si>
  <si>
    <t>Gries, Ms.  Samantha R.</t>
  </si>
  <si>
    <t>Id1744</t>
  </si>
  <si>
    <t>Strohschein, Ms.  Katie</t>
  </si>
  <si>
    <t>Id1745</t>
  </si>
  <si>
    <t>Berger, Mr.  John P</t>
  </si>
  <si>
    <t>Id1746</t>
  </si>
  <si>
    <t>Coogan, Ms.  Rachel</t>
  </si>
  <si>
    <t>Id1747</t>
  </si>
  <si>
    <t>Gagnon, Ms.  Isabelle</t>
  </si>
  <si>
    <t>Id1748</t>
  </si>
  <si>
    <t>Pearson, Mr.  Neil</t>
  </si>
  <si>
    <t>Id1749</t>
  </si>
  <si>
    <t>Brian, Mr.  Tom</t>
  </si>
  <si>
    <t>Id1750</t>
  </si>
  <si>
    <t>Brown, Mr.  Nathan</t>
  </si>
  <si>
    <t>Id1751</t>
  </si>
  <si>
    <t>Fox, Mrs.  Kelli N</t>
  </si>
  <si>
    <t>Id1752</t>
  </si>
  <si>
    <t>Traver, Mr.  Scott M.</t>
  </si>
  <si>
    <t>Id1753</t>
  </si>
  <si>
    <t>Quick, Mr.  Grant A</t>
  </si>
  <si>
    <t>Id1754</t>
  </si>
  <si>
    <t>Scott, Mr.  Jonathan C</t>
  </si>
  <si>
    <t>Id1755</t>
  </si>
  <si>
    <t>Theriot, Ms.  Rachael M.</t>
  </si>
  <si>
    <t>Id1756</t>
  </si>
  <si>
    <t>Michalis, Ms.  Pilar</t>
  </si>
  <si>
    <t>Id1757</t>
  </si>
  <si>
    <t>Hall, Mr.  Kyle M</t>
  </si>
  <si>
    <t>Id1758</t>
  </si>
  <si>
    <t>Tjong Clemons, Mrs.  Christie</t>
  </si>
  <si>
    <t>Id1759</t>
  </si>
  <si>
    <t>Palma, Mr.  David A.</t>
  </si>
  <si>
    <t>Id1760</t>
  </si>
  <si>
    <t>Takaoka, Mr.  Masahiro</t>
  </si>
  <si>
    <t>Id1761</t>
  </si>
  <si>
    <t>Sherman, Mr.  Logan B.</t>
  </si>
  <si>
    <t>Id1762</t>
  </si>
  <si>
    <t>Andre, Ms.  Stephanie L.</t>
  </si>
  <si>
    <t>Id1763</t>
  </si>
  <si>
    <t>Switt, Ms.  Angela H</t>
  </si>
  <si>
    <t>Id1764</t>
  </si>
  <si>
    <t>Erickson, Ms.  Britt K</t>
  </si>
  <si>
    <t>Id1765</t>
  </si>
  <si>
    <t>Miller, Ms.  Joyce R.</t>
  </si>
  <si>
    <t>Id1766</t>
  </si>
  <si>
    <t>Whitbeck, Mr.  Ben</t>
  </si>
  <si>
    <t>Id1767</t>
  </si>
  <si>
    <t>Auer, Ms.  Sarah M.</t>
  </si>
  <si>
    <t>Id1768</t>
  </si>
  <si>
    <t>Attar, Ms.  Sarah</t>
  </si>
  <si>
    <t>Id1769</t>
  </si>
  <si>
    <t>Misuraca, Ms.  Katie</t>
  </si>
  <si>
    <t>Id1770</t>
  </si>
  <si>
    <t>Spannaus, Ms.  Michaela L</t>
  </si>
  <si>
    <t>Id1771</t>
  </si>
  <si>
    <t>Tarbiat, Ms.  Shalaleh</t>
  </si>
  <si>
    <t>Id1772</t>
  </si>
  <si>
    <t>Pulkkinen, Ms.  Karen</t>
  </si>
  <si>
    <t>Id1773</t>
  </si>
  <si>
    <t>Trnovcova, Ms.  Zuzana</t>
  </si>
  <si>
    <t>Id1774</t>
  </si>
  <si>
    <t>Anthony, Mr.  Daniel J.</t>
  </si>
  <si>
    <t>Id1775</t>
  </si>
  <si>
    <t>Hetrick, Ms.  Alexandra</t>
  </si>
  <si>
    <t>Id1776</t>
  </si>
  <si>
    <t>Stern, Ms.  Jessica</t>
  </si>
  <si>
    <t>Id1777</t>
  </si>
  <si>
    <t>Newman, Mr.  Matthew M</t>
  </si>
  <si>
    <t>Id1778</t>
  </si>
  <si>
    <t>Reasoner, Ms.  Nadine A.</t>
  </si>
  <si>
    <t>Id1779</t>
  </si>
  <si>
    <t>Mone, Mr.  Peter J. Jr.</t>
  </si>
  <si>
    <t>Id1780</t>
  </si>
  <si>
    <t>Powers, Ms.  Colleen M</t>
  </si>
  <si>
    <t>Id1781</t>
  </si>
  <si>
    <t>Ulery, Ms.  Julie A.</t>
  </si>
  <si>
    <t>Id1782</t>
  </si>
  <si>
    <t>Haines, Mr.  Douglas W</t>
  </si>
  <si>
    <t>Id1783</t>
  </si>
  <si>
    <t>Airoldi, Ms.  Catherine</t>
  </si>
  <si>
    <t>Id1784</t>
  </si>
  <si>
    <t>Mattis, Mr.  James A</t>
  </si>
  <si>
    <t>Id1785</t>
  </si>
  <si>
    <t>Cho, Mr.  Youngseong</t>
  </si>
  <si>
    <t>Id1786</t>
  </si>
  <si>
    <t>Reumann, Mr.  John</t>
  </si>
  <si>
    <t>Id1787</t>
  </si>
  <si>
    <t>Cooper, Mr.  Brandon S.</t>
  </si>
  <si>
    <t>Id1788</t>
  </si>
  <si>
    <t>Kennedy, Mr.  Sean P</t>
  </si>
  <si>
    <t>Id1789</t>
  </si>
  <si>
    <t>Cichon, Mr.  Scott</t>
  </si>
  <si>
    <t>Id1790</t>
  </si>
  <si>
    <t>Maroevic, Mr.  Janez</t>
  </si>
  <si>
    <t>Id1791</t>
  </si>
  <si>
    <t>Martin, Mr.  John I. Jr.</t>
  </si>
  <si>
    <t>Id1792</t>
  </si>
  <si>
    <t>Schulz, Ms.  Heather</t>
  </si>
  <si>
    <t>Id1793</t>
  </si>
  <si>
    <t>Capriolo, Mr.  Michael</t>
  </si>
  <si>
    <t>Id1794</t>
  </si>
  <si>
    <t>Borleis, Ms.  Kathleen</t>
  </si>
  <si>
    <t>Id1795</t>
  </si>
  <si>
    <t>Kramer, Mr.  Ryan M</t>
  </si>
  <si>
    <t>Id1796</t>
  </si>
  <si>
    <t>Conrad, Ms.  Sara</t>
  </si>
  <si>
    <t>Id1797</t>
  </si>
  <si>
    <t>Karakoyunlu, Mr.  Deniz</t>
  </si>
  <si>
    <t>Id1798</t>
  </si>
  <si>
    <t>Desrosiers, Ms.  Shannon L.</t>
  </si>
  <si>
    <t>Id1799</t>
  </si>
  <si>
    <t>O'Mara, Ms.  Kaitlin M.</t>
  </si>
  <si>
    <t>Id1800</t>
  </si>
  <si>
    <t>Shabot Marcos, Mr.  Alfredo</t>
  </si>
  <si>
    <t>Id1801</t>
  </si>
  <si>
    <t>Comment, Ms.  Kristen</t>
  </si>
  <si>
    <t>Id1802</t>
  </si>
  <si>
    <t>Moss, Mr.  Daniel</t>
  </si>
  <si>
    <t>Id1803</t>
  </si>
  <si>
    <t>Guzman, Mr.  Jonathan</t>
  </si>
  <si>
    <t>Id1804</t>
  </si>
  <si>
    <t>Cox, Mr.  Troy</t>
  </si>
  <si>
    <t>Id1805</t>
  </si>
  <si>
    <t>Clash, Mr.  Daniel C</t>
  </si>
  <si>
    <t>Id1806</t>
  </si>
  <si>
    <t>Blankenship, Ms.  Lauren</t>
  </si>
  <si>
    <t>Id1807</t>
  </si>
  <si>
    <t>Lloyd, Ms.  Jennefer</t>
  </si>
  <si>
    <t>Id1808</t>
  </si>
  <si>
    <t>Kong, Ms.  Tracey L.</t>
  </si>
  <si>
    <t>Id1809</t>
  </si>
  <si>
    <t>Benson, Ms.  Ashley</t>
  </si>
  <si>
    <t>Id1810</t>
  </si>
  <si>
    <t>Huntington, Ms.  Cindy</t>
  </si>
  <si>
    <t>Id1811</t>
  </si>
  <si>
    <t>Kendall, Ms.  Esther</t>
  </si>
  <si>
    <t>Id1812</t>
  </si>
  <si>
    <t>Gast, Ms.  Jackie</t>
  </si>
  <si>
    <t>Id1813</t>
  </si>
  <si>
    <t>Scanlin, Mr.  Timothy P.</t>
  </si>
  <si>
    <t>Id1814</t>
  </si>
  <si>
    <t>Philbrook, Ms.  Lauren</t>
  </si>
  <si>
    <t>Id1815</t>
  </si>
  <si>
    <t>Cowan, Mr.  Benjamin</t>
  </si>
  <si>
    <t>Id1816</t>
  </si>
  <si>
    <t>Sousa, Mr.  Hugo M</t>
  </si>
  <si>
    <t>Id1817</t>
  </si>
  <si>
    <t>Stanton, Mr.  Daniel J. Jr.</t>
  </si>
  <si>
    <t>Id1818</t>
  </si>
  <si>
    <t>Mollak, Mr.  Justin R</t>
  </si>
  <si>
    <t>Id1819</t>
  </si>
  <si>
    <t>Bell, Mr.  Colin</t>
  </si>
  <si>
    <t>Id1820</t>
  </si>
  <si>
    <t>Weston, Mr.  Rob</t>
  </si>
  <si>
    <t>Id1821</t>
  </si>
  <si>
    <t>Rabuzzi, Mr.  Patrick</t>
  </si>
  <si>
    <t>Id1822</t>
  </si>
  <si>
    <t>Hendrix, Mr.  Austin D</t>
  </si>
  <si>
    <t>Id1823</t>
  </si>
  <si>
    <t>Van Nielen, Ms.  Brittany</t>
  </si>
  <si>
    <t>Id1824</t>
  </si>
  <si>
    <t>Blanton, Mr.  Matthew T</t>
  </si>
  <si>
    <t>Id1825</t>
  </si>
  <si>
    <t>Schout, Ms.  Becky G.</t>
  </si>
  <si>
    <t>Id1826</t>
  </si>
  <si>
    <t>Schmaltz, Ms.  Virginie</t>
  </si>
  <si>
    <t>Id1827</t>
  </si>
  <si>
    <t>Eagen, Ms.  Allison A</t>
  </si>
  <si>
    <t>Id1828</t>
  </si>
  <si>
    <t>Rotramel, Ms.  Julie</t>
  </si>
  <si>
    <t>Id1829</t>
  </si>
  <si>
    <t>Prevost, Ms.  Katherine</t>
  </si>
  <si>
    <t>Id1830</t>
  </si>
  <si>
    <t>Boyd, Mr.  Caleb</t>
  </si>
  <si>
    <t>Id1831</t>
  </si>
  <si>
    <t>Dawes, Ms.  Jaime</t>
  </si>
  <si>
    <t>Id1832</t>
  </si>
  <si>
    <t>Jennings, Ms.  Hannah</t>
  </si>
  <si>
    <t>Id1833</t>
  </si>
  <si>
    <t>Nyambaso, Mr.  Zachariah</t>
  </si>
  <si>
    <t>Id1834</t>
  </si>
  <si>
    <t>Shaffer, Ms.  Patricia A</t>
  </si>
  <si>
    <t>Id1835</t>
  </si>
  <si>
    <t>Corkum, Mrs.  Elizabeth A.</t>
  </si>
  <si>
    <t>Id1836</t>
  </si>
  <si>
    <t>Pedersen, Mr.  Benjamin</t>
  </si>
  <si>
    <t>Id1837</t>
  </si>
  <si>
    <t>Melo, Mr.  Breno</t>
  </si>
  <si>
    <t>Id1838</t>
  </si>
  <si>
    <t>Sakamoto, Mr.  Takaya</t>
  </si>
  <si>
    <t>Id1839</t>
  </si>
  <si>
    <t>McMahon, Mr.  Thomas IV</t>
  </si>
  <si>
    <t>Id1840</t>
  </si>
  <si>
    <t>Harris, Mr.  Bradley E</t>
  </si>
  <si>
    <t>Id1841</t>
  </si>
  <si>
    <t>Lombardo, Ms.  Megan</t>
  </si>
  <si>
    <t>Id1842</t>
  </si>
  <si>
    <t>Bode, Ms.  Ruby J</t>
  </si>
  <si>
    <t>Id1843</t>
  </si>
  <si>
    <t>Johnson, Mr.  Bart</t>
  </si>
  <si>
    <t>Id1844</t>
  </si>
  <si>
    <t>Norcross, Mr.  Robert A.</t>
  </si>
  <si>
    <t>Id1845</t>
  </si>
  <si>
    <t>Lazrus, Mr.  Adam</t>
  </si>
  <si>
    <t>Id1846</t>
  </si>
  <si>
    <t>Tsegay, Mr.  Yemane Adhane</t>
  </si>
  <si>
    <t>Id1847</t>
  </si>
  <si>
    <t>Schneider, Mr.  Jesse A.</t>
  </si>
  <si>
    <t>Id1848</t>
  </si>
  <si>
    <t>Loreto, Mr.  Bird</t>
  </si>
  <si>
    <t>Id1849</t>
  </si>
  <si>
    <t>Callahan, Mr.  Patrick M.</t>
  </si>
  <si>
    <t>Id1850</t>
  </si>
  <si>
    <t>Timko, Mr.  Kyle</t>
  </si>
  <si>
    <t>Id1851</t>
  </si>
  <si>
    <t>Achatz, Mr.  Ryan</t>
  </si>
  <si>
    <t>Id1852</t>
  </si>
  <si>
    <t>Horwitz, Mr.  Yuri</t>
  </si>
  <si>
    <t>Id1853</t>
  </si>
  <si>
    <t>Gordyan, Mr.  Ryan</t>
  </si>
  <si>
    <t>Id1854</t>
  </si>
  <si>
    <t>Hetherington, Ms.  Debbie</t>
  </si>
  <si>
    <t>Id1855</t>
  </si>
  <si>
    <t>Thompson, Mr.  Mark D</t>
  </si>
  <si>
    <t>Id1856</t>
  </si>
  <si>
    <t>Battoo, Mr.  Christopher</t>
  </si>
  <si>
    <t>Id1857</t>
  </si>
  <si>
    <t>Barker, Ms.  Daniell L</t>
  </si>
  <si>
    <t>Id1858</t>
  </si>
  <si>
    <t>Saarnilehto, Mr.  Janne</t>
  </si>
  <si>
    <t>Id1859</t>
  </si>
  <si>
    <t>Morton, Ms.  Martina</t>
  </si>
  <si>
    <t>Id1860</t>
  </si>
  <si>
    <t>Thomas, Ms.  Elizabeth L</t>
  </si>
  <si>
    <t>Id1861</t>
  </si>
  <si>
    <t>Hillman, Ms.  Stephanie C.</t>
  </si>
  <si>
    <t>Id1862</t>
  </si>
  <si>
    <t>Edwards, Ms.  Katie</t>
  </si>
  <si>
    <t>Id1863</t>
  </si>
  <si>
    <t>Bartel, Ms.  Callie</t>
  </si>
  <si>
    <t>Id1864</t>
  </si>
  <si>
    <t>Potekhina, Ms.  Inna</t>
  </si>
  <si>
    <t>Id1865</t>
  </si>
  <si>
    <t>Kelly, Ms.  Mary K.</t>
  </si>
  <si>
    <t>Id1866</t>
  </si>
  <si>
    <t>Lapp, Mr.  Samuel M.</t>
  </si>
  <si>
    <t>Id1867</t>
  </si>
  <si>
    <t>Burke, Ms.  Kimberly</t>
  </si>
  <si>
    <t>Id1868</t>
  </si>
  <si>
    <t>Barry, Mr.  Tom J.</t>
  </si>
  <si>
    <t>Id1869</t>
  </si>
  <si>
    <t>McCormick, Mr.  Zachary</t>
  </si>
  <si>
    <t>Id1870</t>
  </si>
  <si>
    <t>McElroy, Mr.  Dane</t>
  </si>
  <si>
    <t>Id1871</t>
  </si>
  <si>
    <t>Coffed, Mr.  Dougie J</t>
  </si>
  <si>
    <t>Id1872</t>
  </si>
  <si>
    <t>Estes, Mr.  Jeremiah H</t>
  </si>
  <si>
    <t>Id1873</t>
  </si>
  <si>
    <t>Miles, Mr.  Ashley J.</t>
  </si>
  <si>
    <t>Id1874</t>
  </si>
  <si>
    <t>Zamore, Mr.  Turner J.</t>
  </si>
  <si>
    <t>Id1875</t>
  </si>
  <si>
    <t>Donaghy, Mr.  Roger</t>
  </si>
  <si>
    <t>Id1876</t>
  </si>
  <si>
    <t>Kennedy, Ms.  Pamela</t>
  </si>
  <si>
    <t>Id1877</t>
  </si>
  <si>
    <t>Fiorini, Ms.  Allison M.</t>
  </si>
  <si>
    <t>Id1878</t>
  </si>
  <si>
    <t>Alexander, Mrs.  Katherine H.</t>
  </si>
  <si>
    <t>Id1879</t>
  </si>
  <si>
    <t>Watkins, Ms.  Robin</t>
  </si>
  <si>
    <t>Id1880</t>
  </si>
  <si>
    <t>Cassel, Ms.  Terri</t>
  </si>
  <si>
    <t>Id1881</t>
  </si>
  <si>
    <t>Ferguson, Mr.  Eddie</t>
  </si>
  <si>
    <t>Id1882</t>
  </si>
  <si>
    <t>O'Sullivan, Ms.  Pamela</t>
  </si>
  <si>
    <t>Id1883</t>
  </si>
  <si>
    <t>Chepkirui, Ms.  Joyce</t>
  </si>
  <si>
    <t>Id1884</t>
  </si>
  <si>
    <t>Gurney, Ms.  Alison W.</t>
  </si>
  <si>
    <t>Id1885</t>
  </si>
  <si>
    <t>Francis, Ms.  Tammara C</t>
  </si>
  <si>
    <t>Id1886</t>
  </si>
  <si>
    <t>Gruca, Ms.  Dorota</t>
  </si>
  <si>
    <t>Id1887</t>
  </si>
  <si>
    <t>Rojas Alvarez, Mr.  Jose Norberto Sr.</t>
  </si>
  <si>
    <t>Id1888</t>
  </si>
  <si>
    <t>Denton, Mr.  Peter</t>
  </si>
  <si>
    <t>Id1889</t>
  </si>
  <si>
    <t>Mason, Mr.  Bryant</t>
  </si>
  <si>
    <t>Id1890</t>
  </si>
  <si>
    <t>Trout, Ms.  Christina</t>
  </si>
  <si>
    <t>Id1891</t>
  </si>
  <si>
    <t>Gilbert, Mr.  John</t>
  </si>
  <si>
    <t>Id1892</t>
  </si>
  <si>
    <t>Chong, Mr.  Eduardo</t>
  </si>
  <si>
    <t>Id1893</t>
  </si>
  <si>
    <t>Henry, Ms.  Laura M.</t>
  </si>
  <si>
    <t>Id1894</t>
  </si>
  <si>
    <t>Brenneman, Mr.  Charlie</t>
  </si>
  <si>
    <t>Id1895</t>
  </si>
  <si>
    <t>Kemp, Ms.  Melissa D.</t>
  </si>
  <si>
    <t>Id1896</t>
  </si>
  <si>
    <t>Wilson, Mr.  Dan C. Jr.</t>
  </si>
  <si>
    <t>Id1897</t>
  </si>
  <si>
    <t>Hillyard, Mr.  Matthew</t>
  </si>
  <si>
    <t>Id1898</t>
  </si>
  <si>
    <t>Turner, Mr.  Wesley C.</t>
  </si>
  <si>
    <t>Id1899</t>
  </si>
  <si>
    <t>Benestad, Mr.  Christopher</t>
  </si>
  <si>
    <t>Id1900</t>
  </si>
  <si>
    <t>Gonzales, Ms.  Jessica</t>
  </si>
  <si>
    <t>Id1901</t>
  </si>
  <si>
    <t>Newman, Ms.  Christin</t>
  </si>
  <si>
    <t>Id1902</t>
  </si>
  <si>
    <t>Sayre, Ms.  Sara</t>
  </si>
  <si>
    <t>Id1903</t>
  </si>
  <si>
    <t>Panke, Ms.  Elizabeth</t>
  </si>
  <si>
    <t>Id1904</t>
  </si>
  <si>
    <t>Brennan, Ms.  Margaret P.</t>
  </si>
  <si>
    <t>Id1905</t>
  </si>
  <si>
    <t>Ngo, Ms.  Tiffany K</t>
  </si>
  <si>
    <t>Id1906</t>
  </si>
  <si>
    <t>Guerdan, Mr.  David M.</t>
  </si>
  <si>
    <t>Id1907</t>
  </si>
  <si>
    <t>Shaw, Ms.  Christine E</t>
  </si>
  <si>
    <t>Id1908</t>
  </si>
  <si>
    <t>Mills-Honarvar, Ms.  Donna</t>
  </si>
  <si>
    <t>Id1909</t>
  </si>
  <si>
    <t>Farvard, Mr.  Rod</t>
  </si>
  <si>
    <t>Id1910</t>
  </si>
  <si>
    <t>Kelly, Mr.  Joe</t>
  </si>
  <si>
    <t>Id1911</t>
  </si>
  <si>
    <t>Skinner, Ms.  Kayleigh</t>
  </si>
  <si>
    <t>Id1912</t>
  </si>
  <si>
    <t>Murphy, Mr.  Lorcan A.</t>
  </si>
  <si>
    <t>Id1913</t>
  </si>
  <si>
    <t>Shue, Mr.  Billy</t>
  </si>
  <si>
    <t>Id1914</t>
  </si>
  <si>
    <t>Reilly, Mr.  Paul M.</t>
  </si>
  <si>
    <t>Id1915</t>
  </si>
  <si>
    <t>Blinn, Ms.  Brenda M.</t>
  </si>
  <si>
    <t>Id1916</t>
  </si>
  <si>
    <t>Duyn, Mr.  Jeff H</t>
  </si>
  <si>
    <t>Id1917</t>
  </si>
  <si>
    <t>Wardian, Mr.  Michael</t>
  </si>
  <si>
    <t>Id1918</t>
  </si>
  <si>
    <t>Heuninck, Mr.  Jan</t>
  </si>
  <si>
    <t>Id1919</t>
  </si>
  <si>
    <t>Kipyego, Mr.  Bernard</t>
  </si>
  <si>
    <t>Id1920</t>
  </si>
  <si>
    <t>Kuehl, Mr.  Craig</t>
  </si>
  <si>
    <t>Id1921</t>
  </si>
  <si>
    <t>Burkholder, Mrs.  Bryn</t>
  </si>
  <si>
    <t>Id1922</t>
  </si>
  <si>
    <t>Stadolnik, Mr.  Michael</t>
  </si>
  <si>
    <t>Id1923</t>
  </si>
  <si>
    <t>Shields, Mr.  Benjamin</t>
  </si>
  <si>
    <t>Id1924</t>
  </si>
  <si>
    <t>Margolis, Mr.  Jay</t>
  </si>
  <si>
    <t>Id1925</t>
  </si>
  <si>
    <t>Uffenbeck, Mr.  William</t>
  </si>
  <si>
    <t>Id1926</t>
  </si>
  <si>
    <t>Brake, Ms.  Shelley</t>
  </si>
  <si>
    <t>Id1927</t>
  </si>
  <si>
    <t>Stepanova, Ms.  Jekaterina</t>
  </si>
  <si>
    <t>Id1928</t>
  </si>
  <si>
    <t>Verdi, Mr.  Daniel</t>
  </si>
  <si>
    <t>Id1929</t>
  </si>
  <si>
    <t>McLean, Ms.  Pauline</t>
  </si>
  <si>
    <t>Id1930</t>
  </si>
  <si>
    <t>Ryan, Ms.  Colleen</t>
  </si>
  <si>
    <t>Id1931</t>
  </si>
  <si>
    <t>Mickelson, Ms.  Aleah K</t>
  </si>
  <si>
    <t>Id1932</t>
  </si>
  <si>
    <t>Dibaba, Ms.  Mare</t>
  </si>
  <si>
    <t>Id1933</t>
  </si>
  <si>
    <t>Shilling, Mr.  Kevin</t>
  </si>
  <si>
    <t>Id1934</t>
  </si>
  <si>
    <t>Bashaw, Ms.  Jessica</t>
  </si>
  <si>
    <t>Id1935</t>
  </si>
  <si>
    <t>Jacob, Ms.  Amanda R</t>
  </si>
  <si>
    <t>Id1936</t>
  </si>
  <si>
    <t>McCutcheon, Mr.  Murray W.</t>
  </si>
  <si>
    <t>Id1937</t>
  </si>
  <si>
    <t>Connor, Mrs.  Meghan P.</t>
  </si>
  <si>
    <t>Id1938</t>
  </si>
  <si>
    <t>May, Mr.  David</t>
  </si>
  <si>
    <t>Id1939</t>
  </si>
  <si>
    <t>Geoghegan, Mr.  Seth</t>
  </si>
  <si>
    <t>Id1940</t>
  </si>
  <si>
    <t>McGinn, Mr.  Michael P.</t>
  </si>
  <si>
    <t>Id1941</t>
  </si>
  <si>
    <t>Jones, Mr.  Russell M</t>
  </si>
  <si>
    <t>Id1942</t>
  </si>
  <si>
    <t>Quinteros, Mr.  Martin</t>
  </si>
  <si>
    <t>Id1943</t>
  </si>
  <si>
    <t>Loenser, Mr.  Michael</t>
  </si>
  <si>
    <t>Id1944</t>
  </si>
  <si>
    <t>Aitken, Mr.  Miles</t>
  </si>
  <si>
    <t>Id1945</t>
  </si>
  <si>
    <t>Furrer, Ms.  Amanda</t>
  </si>
  <si>
    <t>Id1946</t>
  </si>
  <si>
    <t>Konigs, Mr.  Roger</t>
  </si>
  <si>
    <t>Id1947</t>
  </si>
  <si>
    <t>Tesdahl, Mr.  Brock J</t>
  </si>
  <si>
    <t>Id1948</t>
  </si>
  <si>
    <t>Engel, Mr.  Stephen F.</t>
  </si>
  <si>
    <t>Id1949</t>
  </si>
  <si>
    <t>Kuck, Ms.  Missy</t>
  </si>
  <si>
    <t>Id1950</t>
  </si>
  <si>
    <t>Dillon, Mr.  William</t>
  </si>
  <si>
    <t>Id1951</t>
  </si>
  <si>
    <t>Neuschel, Ms.  Lauren M</t>
  </si>
  <si>
    <t>Id1952</t>
  </si>
  <si>
    <t>Rosales Ramirez, Mr.  Apolo U.</t>
  </si>
  <si>
    <t>Id1953</t>
  </si>
  <si>
    <t>Marquez, Mr.  Alfons</t>
  </si>
  <si>
    <t>Id1954</t>
  </si>
  <si>
    <t>Green, Ms.  Amber</t>
  </si>
  <si>
    <t>Id1955</t>
  </si>
  <si>
    <t>Schubel, Ms.  Leah C.</t>
  </si>
  <si>
    <t>Id1956</t>
  </si>
  <si>
    <t>Jimenez, Ms.  Lilia</t>
  </si>
  <si>
    <t>Id1957</t>
  </si>
  <si>
    <t>Zimny-Schmitt, Mr.  Danny</t>
  </si>
  <si>
    <t>Id1958</t>
  </si>
  <si>
    <t>Hill, Ms.  Lauren</t>
  </si>
  <si>
    <t>Id1959</t>
  </si>
  <si>
    <t>Brohart, Ms.  Courtney</t>
  </si>
  <si>
    <t>Id1960</t>
  </si>
  <si>
    <t>Ryan, Ms.  Elizabeth</t>
  </si>
  <si>
    <t>Id1961</t>
  </si>
  <si>
    <t>Oka, Ms.  Satomi</t>
  </si>
  <si>
    <t>Id1962</t>
  </si>
  <si>
    <t>Newman, Mr.  Matthew D</t>
  </si>
  <si>
    <t>Id1963</t>
  </si>
  <si>
    <t>Metzger, Mr.  Peter T II</t>
  </si>
  <si>
    <t>Id1964</t>
  </si>
  <si>
    <t>Gonzalez, Mr.  Manuel</t>
  </si>
  <si>
    <t>Id1965</t>
  </si>
  <si>
    <t>Vaughn, Ms.  Kindsey P.</t>
  </si>
  <si>
    <t>Id1966</t>
  </si>
  <si>
    <t>Clifford, Mr.  Thomas G.</t>
  </si>
  <si>
    <t>Id1967</t>
  </si>
  <si>
    <t>Petty, Mr.  Kyle S</t>
  </si>
  <si>
    <t>Id1968</t>
  </si>
  <si>
    <t>Sanford, Mr.  Alexander J.</t>
  </si>
  <si>
    <t>Id1969</t>
  </si>
  <si>
    <t>Sprague, Mr.  Dustin L</t>
  </si>
  <si>
    <t>Id1970</t>
  </si>
  <si>
    <t>Lasseron, Mrs.  Chloe</t>
  </si>
  <si>
    <t>Id1971</t>
  </si>
  <si>
    <t>Bushong, Ms.  Cailtlin</t>
  </si>
  <si>
    <t>Id1972</t>
  </si>
  <si>
    <t>Dennison, Mr.  Joshua</t>
  </si>
  <si>
    <t>Id1973</t>
  </si>
  <si>
    <t>Lira, Mr.  Chuy</t>
  </si>
  <si>
    <t>Id1974</t>
  </si>
  <si>
    <t>Nahigian, Ms.  Laurie B</t>
  </si>
  <si>
    <t>Id1975</t>
  </si>
  <si>
    <t>Cackett, Ms.  Rachel B.</t>
  </si>
  <si>
    <t>Id1976</t>
  </si>
  <si>
    <t>Hunter-Galvan, Ms.  Liza</t>
  </si>
  <si>
    <t>Id1977</t>
  </si>
  <si>
    <t>Pierret, Ms.  Lindsey</t>
  </si>
  <si>
    <t>Id1978</t>
  </si>
  <si>
    <t>White, Ms.  Lindsay E.</t>
  </si>
  <si>
    <t>Id1979</t>
  </si>
  <si>
    <t>O'Neil, Ms.  Kathleen M.</t>
  </si>
  <si>
    <t>Id1980</t>
  </si>
  <si>
    <t>Leitz, Ms.  Aya</t>
  </si>
  <si>
    <t>Id1981</t>
  </si>
  <si>
    <t>Durfee, Ms.  Carolyn R</t>
  </si>
  <si>
    <t>Id1982</t>
  </si>
  <si>
    <t>Maylone, Ms.  Bethany</t>
  </si>
  <si>
    <t>Id1983</t>
  </si>
  <si>
    <t>Reiland, Ms.  Holly A</t>
  </si>
  <si>
    <t>Id1984</t>
  </si>
  <si>
    <t>Hu, Mr.  Ping</t>
  </si>
  <si>
    <t>Id1985</t>
  </si>
  <si>
    <t>Lessek, Mr.  Tim</t>
  </si>
  <si>
    <t>Id1986</t>
  </si>
  <si>
    <t>Colavincenzo, Mr.  John</t>
  </si>
  <si>
    <t>Id1987</t>
  </si>
  <si>
    <t>Mendez-Karr, Mrs.  Cynthia</t>
  </si>
  <si>
    <t>Id1988</t>
  </si>
  <si>
    <t>Saulnier, Mr.  Emmett</t>
  </si>
  <si>
    <t>Id1989</t>
  </si>
  <si>
    <t>Schoonover, Ms.  Kate</t>
  </si>
  <si>
    <t>Id1990</t>
  </si>
  <si>
    <t>Hass, Mr.  Christopher L.</t>
  </si>
  <si>
    <t>Id1991</t>
  </si>
  <si>
    <t>Cadotte, Mr.  Christopher P.</t>
  </si>
  <si>
    <t>Id1992</t>
  </si>
  <si>
    <t>Cacciapaglia, Mr.  Christopher W</t>
  </si>
  <si>
    <t>Id1993</t>
  </si>
  <si>
    <t>Mininger, Mr.  Norman H.</t>
  </si>
  <si>
    <t>Id1994</t>
  </si>
  <si>
    <t>Mayo, Ms.  Susan</t>
  </si>
  <si>
    <t>Id1995</t>
  </si>
  <si>
    <t>Zicko, Ms.  Tatyana K</t>
  </si>
  <si>
    <t>Id1996</t>
  </si>
  <si>
    <t>Graham, Ms.  Chrissy</t>
  </si>
  <si>
    <t>Id1997</t>
  </si>
  <si>
    <t>Boland, Ms.  Carrie</t>
  </si>
  <si>
    <t>Id1998</t>
  </si>
  <si>
    <t>Cupp, Ms.  Halle</t>
  </si>
  <si>
    <t>Id1999</t>
  </si>
  <si>
    <t>Shaw, Ms.  Carolyn</t>
  </si>
  <si>
    <t>Id2000</t>
  </si>
  <si>
    <t>Klassen, Ms.  Tara D.</t>
  </si>
  <si>
    <t>Id2001</t>
  </si>
  <si>
    <t>Musal, Mr.  Rasim M</t>
  </si>
  <si>
    <t>Id2002</t>
  </si>
  <si>
    <t>Kitayama, Ms.  Dina</t>
  </si>
  <si>
    <t>Id2003</t>
  </si>
  <si>
    <t>Altman, Ms.  Lisa</t>
  </si>
  <si>
    <t>Id2004</t>
  </si>
  <si>
    <t>Demchko, Ms.  Caitrin</t>
  </si>
  <si>
    <t>Id2005</t>
  </si>
  <si>
    <t>Wild, Ms.  Adriana S</t>
  </si>
  <si>
    <t>Id2006</t>
  </si>
  <si>
    <t>Betts, Ms.  Megan</t>
  </si>
  <si>
    <t>Id2007</t>
  </si>
  <si>
    <t>Martin, Mrs.  Kristen M</t>
  </si>
  <si>
    <t>Id2008</t>
  </si>
  <si>
    <t>Vandeventer, Ms.  Alix</t>
  </si>
  <si>
    <t>Id2009</t>
  </si>
  <si>
    <t>Hirano, Mr.  Kakushin</t>
  </si>
  <si>
    <t>Id2010</t>
  </si>
  <si>
    <t>Davi, Mr.  Michael J</t>
  </si>
  <si>
    <t>Id2011</t>
  </si>
  <si>
    <t>Sloan, Mr.  Bradley</t>
  </si>
  <si>
    <t>Id2012</t>
  </si>
  <si>
    <t>Homich, Mr.  Matt</t>
  </si>
  <si>
    <t>Id2013</t>
  </si>
  <si>
    <t>Bell, Ms.  Amanda C.</t>
  </si>
  <si>
    <t>Id2014</t>
  </si>
  <si>
    <t>Kristjansson, Mr.  Valur</t>
  </si>
  <si>
    <t>Id2015</t>
  </si>
  <si>
    <t>Pitman, Ms.  Erica J</t>
  </si>
  <si>
    <t>Id2016</t>
  </si>
  <si>
    <t>Curley, Mr.  Stephen F.</t>
  </si>
  <si>
    <t>Id2017</t>
  </si>
  <si>
    <t>Zimmer, Ms.  Lissa</t>
  </si>
  <si>
    <t>Id2018</t>
  </si>
  <si>
    <t>Granski, Ms.  Megan</t>
  </si>
  <si>
    <t>Id2019</t>
  </si>
  <si>
    <t>Dunn, Ms.  Alyson</t>
  </si>
  <si>
    <t>Id2020</t>
  </si>
  <si>
    <t>Regina, Mr.  Chance B</t>
  </si>
  <si>
    <t>Id2021</t>
  </si>
  <si>
    <t>O'Connor, Mr.  Sean P</t>
  </si>
  <si>
    <t>Id2022</t>
  </si>
  <si>
    <t>Howe, Ms.  Therese</t>
  </si>
  <si>
    <t>Id2023</t>
  </si>
  <si>
    <t>Atwater, Mr.  Beau</t>
  </si>
  <si>
    <t>Id2024</t>
  </si>
  <si>
    <t>Gurganus, Ms.  Kelsey M</t>
  </si>
  <si>
    <t>Id2025</t>
  </si>
  <si>
    <t>Holden, Ms.  Gretchen</t>
  </si>
  <si>
    <t>Id2026</t>
  </si>
  <si>
    <t>Parton, Mr.  Nicholas E.</t>
  </si>
  <si>
    <t>Id2027</t>
  </si>
  <si>
    <t>Downs, Ms.  Deborah</t>
  </si>
  <si>
    <t>Id2028</t>
  </si>
  <si>
    <t>Dent, Mr.  Chuck W. Jr.</t>
  </si>
  <si>
    <t>Id2029</t>
  </si>
  <si>
    <t>Ranti, Mr.  Daniel</t>
  </si>
  <si>
    <t>Id2030</t>
  </si>
  <si>
    <t>Ishaq, Ms.  Amany</t>
  </si>
  <si>
    <t>Id2031</t>
  </si>
  <si>
    <t>Wiles, Ms.  Kipling</t>
  </si>
  <si>
    <t>Id2032</t>
  </si>
  <si>
    <t>Roberts, Mr.  Duncan</t>
  </si>
  <si>
    <t>Id2033</t>
  </si>
  <si>
    <t>Serafini, Mr.  Louis C.</t>
  </si>
  <si>
    <t>Id2034</t>
  </si>
  <si>
    <t>Button, Mr.  Daniel J</t>
  </si>
  <si>
    <t>Id2035</t>
  </si>
  <si>
    <t>Gaal, Ms.  Ildiko M.</t>
  </si>
  <si>
    <t>Id2036</t>
  </si>
  <si>
    <t>Liptak, Ms.  Melinda E.</t>
  </si>
  <si>
    <t>Id2037</t>
  </si>
  <si>
    <t>Kellam, Ms.  Ashley M</t>
  </si>
  <si>
    <t>Id2038</t>
  </si>
  <si>
    <t>Gordon, Ms.  Stephanie</t>
  </si>
  <si>
    <t>Id2039</t>
  </si>
  <si>
    <t>Hyland, Mr.  Sean P.</t>
  </si>
  <si>
    <t>Id2040</t>
  </si>
  <si>
    <t>Wagoner, Ms.  Emily G</t>
  </si>
  <si>
    <t>Id2041</t>
  </si>
  <si>
    <t>Thomas, Mr.  Malcolm</t>
  </si>
  <si>
    <t>Id2042</t>
  </si>
  <si>
    <t>Goffi, Mr.  Danilo</t>
  </si>
  <si>
    <t>Id2043</t>
  </si>
  <si>
    <t>Salovaara, Mr.  Mikko</t>
  </si>
  <si>
    <t>Id2044</t>
  </si>
  <si>
    <t>Reid, Ms.  Paula C.</t>
  </si>
  <si>
    <t>Id2045</t>
  </si>
  <si>
    <t>Allan, Ms.  Kirsten N.</t>
  </si>
  <si>
    <t>Id2046</t>
  </si>
  <si>
    <t>McLaughlin, Ms.  Christy</t>
  </si>
  <si>
    <t>Id2047</t>
  </si>
  <si>
    <t>Lee, Ms.  Jennifer</t>
  </si>
  <si>
    <t>Id2048</t>
  </si>
  <si>
    <t>Tang, Ms.  Jingjing</t>
  </si>
  <si>
    <t>Id2049</t>
  </si>
  <si>
    <t>Kennedy, Mr.  Morgan</t>
  </si>
  <si>
    <t>Id2050</t>
  </si>
  <si>
    <t>Condon, Mr.  Patrick J.</t>
  </si>
  <si>
    <t>Id2051</t>
  </si>
  <si>
    <t>Chepkwony, Mr.  Frankline</t>
  </si>
  <si>
    <t>Id2052</t>
  </si>
  <si>
    <t>Rodriguez, Ms.  Laura T.</t>
  </si>
  <si>
    <t>Id2053</t>
  </si>
  <si>
    <t>Szynkarczuk, Ms.  Natalia</t>
  </si>
  <si>
    <t>Id2054</t>
  </si>
  <si>
    <t>Brill, Ms.  Jennifer L.</t>
  </si>
  <si>
    <t>Id2055</t>
  </si>
  <si>
    <t>Adams, Ms.  Brooke</t>
  </si>
  <si>
    <t>Id2056</t>
  </si>
  <si>
    <t>Nunn, Mr.  Jeremy M</t>
  </si>
  <si>
    <t>Id2057</t>
  </si>
  <si>
    <t>Blair, Ms.  Megan L.</t>
  </si>
  <si>
    <t>Id2058</t>
  </si>
  <si>
    <t>Sharkey, Mr.  Bryan</t>
  </si>
  <si>
    <t>Id2059</t>
  </si>
  <si>
    <t>Scalard, Ms.  Marny</t>
  </si>
  <si>
    <t>Id2060</t>
  </si>
  <si>
    <t>Burget, Mr.  Marc</t>
  </si>
  <si>
    <t>Id2061</t>
  </si>
  <si>
    <t>English, Mr.  Benjamin L</t>
  </si>
  <si>
    <t>Id2062</t>
  </si>
  <si>
    <t>Hampton, Mr.  Rob G</t>
  </si>
  <si>
    <t>Id2063</t>
  </si>
  <si>
    <t>Flynn, Ms.  Stefanie A</t>
  </si>
  <si>
    <t>Id2064</t>
  </si>
  <si>
    <t>Knast, Ms.  Stephanie</t>
  </si>
  <si>
    <t>Id2065</t>
  </si>
  <si>
    <t>Lucas, Ms.  Caroline F.</t>
  </si>
  <si>
    <t>Id2066</t>
  </si>
  <si>
    <t>Thomas, Ms.  Julia J.</t>
  </si>
  <si>
    <t>Id2067</t>
  </si>
  <si>
    <t>Cherewatti, Mr.  Jack</t>
  </si>
  <si>
    <t>Id2068</t>
  </si>
  <si>
    <t>Olle, Mr.  Bernat</t>
  </si>
  <si>
    <t>Id2069</t>
  </si>
  <si>
    <t>Hamsi, Mr.  Hicham</t>
  </si>
  <si>
    <t>Id2070</t>
  </si>
  <si>
    <t>Finnegan, Ms.  Sarah</t>
  </si>
  <si>
    <t>Id2071</t>
  </si>
  <si>
    <t>Walsh, Mr.  Anthony S</t>
  </si>
  <si>
    <t>Id2072</t>
  </si>
  <si>
    <t>Villa, Ms.  Elisabetta</t>
  </si>
  <si>
    <t>Id2073</t>
  </si>
  <si>
    <t>Cable, Mr.  Trevor N.</t>
  </si>
  <si>
    <t>Id2074</t>
  </si>
  <si>
    <t>Eiring, Ms.  Nancy</t>
  </si>
  <si>
    <t>Id2075</t>
  </si>
  <si>
    <t>Connor, Ms.  Allison R.</t>
  </si>
  <si>
    <t>Id2076</t>
  </si>
  <si>
    <t>Friedman, Mr.  Robert J.</t>
  </si>
  <si>
    <t>Id2077</t>
  </si>
  <si>
    <t>Croker, Mr.  Nicholas</t>
  </si>
  <si>
    <t>Id2078</t>
  </si>
  <si>
    <t>Beganics, Mr.  Kevin L</t>
  </si>
  <si>
    <t>Id2079</t>
  </si>
  <si>
    <t>Huberty, Mr.  Bryan</t>
  </si>
  <si>
    <t>Id2080</t>
  </si>
  <si>
    <t>Jacobs, Ms.  Janae N.</t>
  </si>
  <si>
    <t>Id2081</t>
  </si>
  <si>
    <t>Hazlehurst, Ms.  Audrey</t>
  </si>
  <si>
    <t>Id2082</t>
  </si>
  <si>
    <t>Marin, Ms.  Laura</t>
  </si>
  <si>
    <t>Id2083</t>
  </si>
  <si>
    <t>Dear, Ms.  Nicole F</t>
  </si>
  <si>
    <t>Id2084</t>
  </si>
  <si>
    <t>Lederer, Ms.  Krista L</t>
  </si>
  <si>
    <t>Id2085</t>
  </si>
  <si>
    <t>Robson, Ms.  Denise</t>
  </si>
  <si>
    <t>Id2086</t>
  </si>
  <si>
    <t>Galvan, Mr.  Ariel</t>
  </si>
  <si>
    <t>Id2087</t>
  </si>
  <si>
    <t>Walsh, Mr.  Jeremy</t>
  </si>
  <si>
    <t>Id2088</t>
  </si>
  <si>
    <t>Teeuwen, Ms.  Rosalie</t>
  </si>
  <si>
    <t>Id2089</t>
  </si>
  <si>
    <t>List, Mr.  Jay</t>
  </si>
  <si>
    <t>Id2090</t>
  </si>
  <si>
    <t>Shafar, Mr.  Vitaliy</t>
  </si>
  <si>
    <t>Id2091</t>
  </si>
  <si>
    <t>Copenhaver, Mr.  Benjamin W.</t>
  </si>
  <si>
    <t>Id2092</t>
  </si>
  <si>
    <t>Stump, Mr.  Jesse</t>
  </si>
  <si>
    <t>Id2093</t>
  </si>
  <si>
    <t>Wehrman, Mr.  Mark</t>
  </si>
  <si>
    <t>Id2094</t>
  </si>
  <si>
    <t>Sischo, Ms.  Lauren</t>
  </si>
  <si>
    <t>Id2095</t>
  </si>
  <si>
    <t>Fonti, Mr.  Massimiliano</t>
  </si>
  <si>
    <t>Id2096</t>
  </si>
  <si>
    <t>Merlis, Mr.  Josh</t>
  </si>
  <si>
    <t>Id2097</t>
  </si>
  <si>
    <t>Hasegawa, Mr.  Kiyokatsu</t>
  </si>
  <si>
    <t>Id2098</t>
  </si>
  <si>
    <t>Haselden, Ms.  Amanda L</t>
  </si>
  <si>
    <t>Id2099</t>
  </si>
  <si>
    <t>Simonson, Mr.  Matthew</t>
  </si>
  <si>
    <t>Id2100</t>
  </si>
  <si>
    <t>Montag, Ms.  Julia M</t>
  </si>
  <si>
    <t>Id2101</t>
  </si>
  <si>
    <t>Deroian, Ms.  Rhea</t>
  </si>
  <si>
    <t>Id2102</t>
  </si>
  <si>
    <t>Goetz, Mr.  Justin</t>
  </si>
  <si>
    <t>Id2103</t>
  </si>
  <si>
    <t>Brady, Mr.  Shamus M.</t>
  </si>
  <si>
    <t>Id2104</t>
  </si>
  <si>
    <t>Moran, Mr.  Mike</t>
  </si>
  <si>
    <t>Id2105</t>
  </si>
  <si>
    <t>Strickler, Ms.  Mary Beth</t>
  </si>
  <si>
    <t>Id2106</t>
  </si>
  <si>
    <t>Simone, Ms.  Erin</t>
  </si>
  <si>
    <t>Id2107</t>
  </si>
  <si>
    <t>Von Rock, Ms.  Hallie</t>
  </si>
  <si>
    <t>Id2108</t>
  </si>
  <si>
    <t>Woodard, Ms.  Paige P</t>
  </si>
  <si>
    <t>Id2109</t>
  </si>
  <si>
    <t>Li, Ms.  Ji</t>
  </si>
  <si>
    <t>Id2110</t>
  </si>
  <si>
    <t>Sinda, Ms.  Carissa A</t>
  </si>
  <si>
    <t>Id2111</t>
  </si>
  <si>
    <t>Rydland, Ms.  Mona</t>
  </si>
  <si>
    <t>Id2112</t>
  </si>
  <si>
    <t>Vespa, Ms.  Kristin R.</t>
  </si>
  <si>
    <t>Id2113</t>
  </si>
  <si>
    <t>Meadows, Ms.  Beth</t>
  </si>
  <si>
    <t>Id2114</t>
  </si>
  <si>
    <t>Toppen, Ms.  Allison</t>
  </si>
  <si>
    <t>Id2115</t>
  </si>
  <si>
    <t>Ermer, Ms.  Ashley E</t>
  </si>
  <si>
    <t>Id2116</t>
  </si>
  <si>
    <t>Dionne, Ms.  Hilary K.</t>
  </si>
  <si>
    <t>Id2117</t>
  </si>
  <si>
    <t>Stasulli, Ms.  Dominique</t>
  </si>
  <si>
    <t>Id2118</t>
  </si>
  <si>
    <t>Duran, Mr.  Carlos I</t>
  </si>
  <si>
    <t>Id2119</t>
  </si>
  <si>
    <t>Klundt, Mr.  Matthew</t>
  </si>
  <si>
    <t>Id2120</t>
  </si>
  <si>
    <t>Waters, Ms.  Kara</t>
  </si>
  <si>
    <t>Id2121</t>
  </si>
  <si>
    <t>Rusk, Ms.  Sarah S</t>
  </si>
  <si>
    <t>Id2122</t>
  </si>
  <si>
    <t>Gersbach, Ms.  Shauna R.</t>
  </si>
  <si>
    <t>Id2123</t>
  </si>
  <si>
    <t>Taylor-Watson, Ms.  Lindsay J.</t>
  </si>
  <si>
    <t>Id2124</t>
  </si>
  <si>
    <t>Crawford, Ms.  Danya A.</t>
  </si>
  <si>
    <t>Id2125</t>
  </si>
  <si>
    <t>Levitsky, Ms.  Lorraine</t>
  </si>
  <si>
    <t>Id2126</t>
  </si>
  <si>
    <t>Carroll, Ms.  Jennifer L.</t>
  </si>
  <si>
    <t>Id2127</t>
  </si>
  <si>
    <t>Campos, Mr.  Jesus Sr.</t>
  </si>
  <si>
    <t>Id2128</t>
  </si>
  <si>
    <t>Flajslik, Ms.  Kristen</t>
  </si>
  <si>
    <t>Id2129</t>
  </si>
  <si>
    <t>Chua, Ms.  Catherine C.</t>
  </si>
  <si>
    <t>Id2130</t>
  </si>
  <si>
    <t>Wiltse, Ms.  Paula</t>
  </si>
  <si>
    <t>Id2131</t>
  </si>
  <si>
    <t>Fisher, Ms.  Evan</t>
  </si>
  <si>
    <t>Id2132</t>
  </si>
  <si>
    <t>Wilzbacher, Mr.  Nathan J</t>
  </si>
  <si>
    <t>Id2133</t>
  </si>
  <si>
    <t>Thayer, Ms.  Ashley M</t>
  </si>
  <si>
    <t>Id2134</t>
  </si>
  <si>
    <t>Brosseau, Mr.  Jason</t>
  </si>
  <si>
    <t>Id2135</t>
  </si>
  <si>
    <t>Phares, Mr.  Marshall</t>
  </si>
  <si>
    <t>Id2136</t>
  </si>
  <si>
    <t>Curley, Mr.  Lavar</t>
  </si>
  <si>
    <t>Id2137</t>
  </si>
  <si>
    <t>Johnston, Mr.  Charlie T.</t>
  </si>
  <si>
    <t>Id2138</t>
  </si>
  <si>
    <t>Padula, Mrs.  Lauren</t>
  </si>
  <si>
    <t>Id2139</t>
  </si>
  <si>
    <t>Gamirov, Mr.  Arthur</t>
  </si>
  <si>
    <t>Id2140</t>
  </si>
  <si>
    <t>Briot, Mr.  Thomas</t>
  </si>
  <si>
    <t>Id2141</t>
  </si>
  <si>
    <t>De Hueck, Ms.  Jennifer</t>
  </si>
  <si>
    <t>Id2142</t>
  </si>
  <si>
    <t>Putt, Ms.  Tammy</t>
  </si>
  <si>
    <t>Id2143</t>
  </si>
  <si>
    <t>Deiman, Ms.  Lena</t>
  </si>
  <si>
    <t>Id2144</t>
  </si>
  <si>
    <t>Bonanni, Ms.  Valentina</t>
  </si>
  <si>
    <t>Id2145</t>
  </si>
  <si>
    <t>Stein, Mr.  Russell N.</t>
  </si>
  <si>
    <t>Id2146</t>
  </si>
  <si>
    <t>Laumann, Mr.  Scott R.</t>
  </si>
  <si>
    <t>Id2147</t>
  </si>
  <si>
    <t>Galaviz, Mr.  Jose Francisco Sr.</t>
  </si>
  <si>
    <t>Id2148</t>
  </si>
  <si>
    <t>Piper, Mr.  Paul J</t>
  </si>
  <si>
    <t>Id2149</t>
  </si>
  <si>
    <t>Cantini, Mr.  Adam</t>
  </si>
  <si>
    <t>Id2150</t>
  </si>
  <si>
    <t>Hartman, Mr.  Edward J.</t>
  </si>
  <si>
    <t>Id2151</t>
  </si>
  <si>
    <t>Werhane, Mr.  Patrick A.</t>
  </si>
  <si>
    <t>Id2152</t>
  </si>
  <si>
    <t>Davies, Mr.  Geraint H</t>
  </si>
  <si>
    <t>Id2153</t>
  </si>
  <si>
    <t>Hummel, Mr.  Dj</t>
  </si>
  <si>
    <t>Id2154</t>
  </si>
  <si>
    <t>Lutz, Mr.  Zachary A</t>
  </si>
  <si>
    <t>Id2155</t>
  </si>
  <si>
    <t>Waters, Mr.  Brian W.</t>
  </si>
  <si>
    <t>Id2156</t>
  </si>
  <si>
    <t>Viglienzoni, Mr.  Joe</t>
  </si>
  <si>
    <t>Id2157</t>
  </si>
  <si>
    <t>Rathbun, Mr.  Stephen</t>
  </si>
  <si>
    <t>Id2158</t>
  </si>
  <si>
    <t>crane, Ms.  Ellen L.</t>
  </si>
  <si>
    <t>Id2159</t>
  </si>
  <si>
    <t>Conant, Ms.  Cindy</t>
  </si>
  <si>
    <t>Id2160</t>
  </si>
  <si>
    <t>Huyser-Wierenga, Ms.  Abigail R.</t>
  </si>
  <si>
    <t>Id2161</t>
  </si>
  <si>
    <t>Natalini, Ms.  Amy L.</t>
  </si>
  <si>
    <t>Id2162</t>
  </si>
  <si>
    <t>Robbins, Ms.  Amy</t>
  </si>
  <si>
    <t>Id2163</t>
  </si>
  <si>
    <t>Stanislav, Mrs.  Grace H</t>
  </si>
  <si>
    <t>Id2164</t>
  </si>
  <si>
    <t>Meyer, Ms.  Caitie J.</t>
  </si>
  <si>
    <t>Id2165</t>
  </si>
  <si>
    <t>Mears, Mr.  Benjamin</t>
  </si>
  <si>
    <t>Id2166</t>
  </si>
  <si>
    <t>Neill, Mr.  Ian T</t>
  </si>
  <si>
    <t>Id2167</t>
  </si>
  <si>
    <t>Tola, Mr.  Tadese</t>
  </si>
  <si>
    <t>Id2168</t>
  </si>
  <si>
    <t>Briskman, Mr.  Jonathan</t>
  </si>
  <si>
    <t>Id2169</t>
  </si>
  <si>
    <t>Ritzenhein, Mr.  Dathan</t>
  </si>
  <si>
    <t>Id2170</t>
  </si>
  <si>
    <t>Malkowski, Mr.  Eric</t>
  </si>
  <si>
    <t>Id2171</t>
  </si>
  <si>
    <t>Andreyko, Ms.  Allison M</t>
  </si>
  <si>
    <t>Id2172</t>
  </si>
  <si>
    <t>Landry, Mr.  Paul</t>
  </si>
  <si>
    <t>Id2173</t>
  </si>
  <si>
    <t>Lozier, Mr.  Aaron R</t>
  </si>
  <si>
    <t>Id2174</t>
  </si>
  <si>
    <t>O'Brien, Ms.  Caitlin H.</t>
  </si>
  <si>
    <t>Id2175</t>
  </si>
  <si>
    <t>Rodas, Mr.  Harald E.</t>
  </si>
  <si>
    <t>Id2176</t>
  </si>
  <si>
    <t>O'Connor, Ms.  Siobhan A.</t>
  </si>
  <si>
    <t>Id2177</t>
  </si>
  <si>
    <t>White, Ms.  Andrea J.</t>
  </si>
  <si>
    <t>Id2178</t>
  </si>
  <si>
    <t>Davenport, Ms.  Marie</t>
  </si>
  <si>
    <t>Id2179</t>
  </si>
  <si>
    <t>Karmen, Ms.  Rachel A.</t>
  </si>
  <si>
    <t>Id2180</t>
  </si>
  <si>
    <t>Miller, Ms.  Emma</t>
  </si>
  <si>
    <t>Id2181</t>
  </si>
  <si>
    <t>Lippmann, Ms.  Kiersten</t>
  </si>
  <si>
    <t>Id2182</t>
  </si>
  <si>
    <t>Klehm, Ms.  Rachael</t>
  </si>
  <si>
    <t>Id2183</t>
  </si>
  <si>
    <t>Murphy, Mr.  Timothy P.</t>
  </si>
  <si>
    <t>Id2184</t>
  </si>
  <si>
    <t>Desisa, Mr.  Lelisa</t>
  </si>
  <si>
    <t>Id2185</t>
  </si>
  <si>
    <t>Brooks, Mr.  Nate</t>
  </si>
  <si>
    <t>Id2186</t>
  </si>
  <si>
    <t>Stone, Mr.  Chris C.</t>
  </si>
  <si>
    <t>Id2187</t>
  </si>
  <si>
    <t>Weispfennig, Mr.  Scott</t>
  </si>
  <si>
    <t>Id2188</t>
  </si>
  <si>
    <t>Sorrell, Mr.  Kevin</t>
  </si>
  <si>
    <t>Id2189</t>
  </si>
  <si>
    <t>Morris, Mr.  Erik C.</t>
  </si>
  <si>
    <t>Id2190</t>
  </si>
  <si>
    <t>Marek, Mr.  Shawn C</t>
  </si>
  <si>
    <t>Id2191</t>
  </si>
  <si>
    <t>Armstrong, Mr.  Vajin L.</t>
  </si>
  <si>
    <t>Id2192</t>
  </si>
  <si>
    <t>Werner, Mr.  John K. Jr.</t>
  </si>
  <si>
    <t>Id2193</t>
  </si>
  <si>
    <t>Gries, Mr.  Kevin J.</t>
  </si>
  <si>
    <t>Id2194</t>
  </si>
  <si>
    <t>Mills, Mr.  Kirby W.</t>
  </si>
  <si>
    <t>Id2195</t>
  </si>
  <si>
    <t>Penny, Mr.  J A</t>
  </si>
  <si>
    <t>Id2196</t>
  </si>
  <si>
    <t>Hicks, Mr.  Dustin G.</t>
  </si>
  <si>
    <t>Id2197</t>
  </si>
  <si>
    <t>Masayesva, Mr.  Anthony G</t>
  </si>
  <si>
    <t>Id2198</t>
  </si>
  <si>
    <t>Paavola, Mr.  Ryan</t>
  </si>
  <si>
    <t>Id2199</t>
  </si>
  <si>
    <t>Gehlsen, Mr.  Eric N</t>
  </si>
  <si>
    <t>Id2200</t>
  </si>
  <si>
    <t>Roche, Mr.  Connor</t>
  </si>
  <si>
    <t>Id2201</t>
  </si>
  <si>
    <t>Hearn, Mr.  Patrick H.</t>
  </si>
  <si>
    <t>Id2202</t>
  </si>
  <si>
    <t>Dimson, Mr.  Tyler</t>
  </si>
  <si>
    <t>Id2203</t>
  </si>
  <si>
    <t>Slason, Ms.  Deborah L.</t>
  </si>
  <si>
    <t>Id2204</t>
  </si>
  <si>
    <t>Gibson, Ms.  Andrea K</t>
  </si>
  <si>
    <t>Id2205</t>
  </si>
  <si>
    <t>Erdos, Ms.  Elleree</t>
  </si>
  <si>
    <t>Id2206</t>
  </si>
  <si>
    <t>Cushman, Mr.  Brandon J</t>
  </si>
  <si>
    <t>Id2207</t>
  </si>
  <si>
    <t>Hammel, Mr.  Steve</t>
  </si>
  <si>
    <t>Id2208</t>
  </si>
  <si>
    <t>Ytterstad, Ms.  Nina Wavik Sr.</t>
  </si>
  <si>
    <t>Id2209</t>
  </si>
  <si>
    <t>Prince, Ms.  Dani</t>
  </si>
  <si>
    <t>Id2210</t>
  </si>
  <si>
    <t>Freeman, Ms.  Jennifer A.</t>
  </si>
  <si>
    <t>Id2211</t>
  </si>
  <si>
    <t>Petrulak, Mr.  Martin</t>
  </si>
  <si>
    <t>Id2212</t>
  </si>
  <si>
    <t>Lloyd, Mr.  Steve</t>
  </si>
  <si>
    <t>Id2213</t>
  </si>
  <si>
    <t>Zablocki, Mr.  Christopher</t>
  </si>
  <si>
    <t>Id2214</t>
  </si>
  <si>
    <t>Van Meter, Ms.  Kathryn M.</t>
  </si>
  <si>
    <t>Id2215</t>
  </si>
  <si>
    <t>Babay, Ms.  Emily</t>
  </si>
  <si>
    <t>Id2216</t>
  </si>
  <si>
    <t>Taylor, Mr.  Trent A</t>
  </si>
  <si>
    <t>Id2217</t>
  </si>
  <si>
    <t>Smith, Ms.  Jennifer E</t>
  </si>
  <si>
    <t>Id2218</t>
  </si>
  <si>
    <t>Moody, Ms.  Polly</t>
  </si>
  <si>
    <t>Id2219</t>
  </si>
  <si>
    <t>Swierzbinski, Ms.  Elizabeth</t>
  </si>
  <si>
    <t>Id2220</t>
  </si>
  <si>
    <t>Schwartz, Ms.  Tiffany A.</t>
  </si>
  <si>
    <t>Id2221</t>
  </si>
  <si>
    <t>Sanseverino, Mr.  Cole</t>
  </si>
  <si>
    <t>Id2222</t>
  </si>
  <si>
    <t>Lawder, Mr.  Matthew T.</t>
  </si>
  <si>
    <t>Id2223</t>
  </si>
  <si>
    <t>Young, Mr.  Zachary</t>
  </si>
  <si>
    <t>Id2224</t>
  </si>
  <si>
    <t>Hoerner, Mr.  Matthew T.</t>
  </si>
  <si>
    <t>Id2225</t>
  </si>
  <si>
    <t>Benson, Mr.  Pat</t>
  </si>
  <si>
    <t>Id2226</t>
  </si>
  <si>
    <t>Horton, Ms.  Ashley</t>
  </si>
  <si>
    <t>Id2227</t>
  </si>
  <si>
    <t>McGraw, Ms.  Elizabeth A.</t>
  </si>
  <si>
    <t>Id2228</t>
  </si>
  <si>
    <t>Beaulne, Ms.  Rebecca M.</t>
  </si>
  <si>
    <t>Id2229</t>
  </si>
  <si>
    <t>Lunz, Ms.  Ruth</t>
  </si>
  <si>
    <t>Id2230</t>
  </si>
  <si>
    <t>Kyle, Mr.  Gregory S</t>
  </si>
  <si>
    <t>Id2231</t>
  </si>
  <si>
    <t>Brackenwagen, Ms.  Alexandra S</t>
  </si>
  <si>
    <t>Id2232</t>
  </si>
  <si>
    <t>Schmitt, Ms.  Hillary</t>
  </si>
  <si>
    <t>Id2233</t>
  </si>
  <si>
    <t>Borden, Ms.  Amy K.</t>
  </si>
  <si>
    <t>Id2234</t>
  </si>
  <si>
    <t>McLean, Mr.  Scott</t>
  </si>
  <si>
    <t>Id2235</t>
  </si>
  <si>
    <t>Regan, Mr.  John</t>
  </si>
  <si>
    <t>Id2236</t>
  </si>
  <si>
    <t>Koenis, Mr.  Maaikel</t>
  </si>
  <si>
    <t>Id2237</t>
  </si>
  <si>
    <t>Kittaka, Mr.  Daniel C</t>
  </si>
  <si>
    <t>Id2238</t>
  </si>
  <si>
    <t>Concannon, Mr.  Christopher S.</t>
  </si>
  <si>
    <t>Id2239</t>
  </si>
  <si>
    <t>Johnson, Mr.  William R</t>
  </si>
  <si>
    <t>Id2240</t>
  </si>
  <si>
    <t>Schultz, Ms.  Lyndsy</t>
  </si>
  <si>
    <t>Id2241</t>
  </si>
  <si>
    <t>Brannigan, Ms.  Jessica</t>
  </si>
  <si>
    <t>Id2242</t>
  </si>
  <si>
    <t>Cavallo, Ms.  Anna</t>
  </si>
  <si>
    <t>Id2243</t>
  </si>
  <si>
    <t>Chang, Mr.  Jordan</t>
  </si>
  <si>
    <t>Id2244</t>
  </si>
  <si>
    <t>Axelrod, Mr.  Brian</t>
  </si>
  <si>
    <t>Id2245</t>
  </si>
  <si>
    <t>Davenport, Ms.  Katherine A</t>
  </si>
  <si>
    <t>Id2246</t>
  </si>
  <si>
    <t>Roberge, Ms.  Melanie</t>
  </si>
  <si>
    <t>Id2247</t>
  </si>
  <si>
    <t>Schmidt, Ms.  Jessica</t>
  </si>
  <si>
    <t>Id2248</t>
  </si>
  <si>
    <t>Kosters, Mr.  Eric S</t>
  </si>
  <si>
    <t>Id2249</t>
  </si>
  <si>
    <t>Dykes, Mr.  Joseph</t>
  </si>
  <si>
    <t>Id2250</t>
  </si>
  <si>
    <t>Velan, Ms.  Mary</t>
  </si>
  <si>
    <t>Id2251</t>
  </si>
  <si>
    <t>Goolik, Ms.  Natalie</t>
  </si>
  <si>
    <t>Id2252</t>
  </si>
  <si>
    <t>Bain, Mr.  Christopher</t>
  </si>
  <si>
    <t>Id2253</t>
  </si>
  <si>
    <t>Wieck, Ms.  Sonja</t>
  </si>
  <si>
    <t>Id2254</t>
  </si>
  <si>
    <t>Friel, Ms.  Alexandra</t>
  </si>
  <si>
    <t>Id2255</t>
  </si>
  <si>
    <t>Santandreu, Ms.  Martha L.</t>
  </si>
  <si>
    <t>Id2256</t>
  </si>
  <si>
    <t>Johnson, Mr.  Ryan C.</t>
  </si>
  <si>
    <t>Id2257</t>
  </si>
  <si>
    <t>Gerber, Mr.  Cliff</t>
  </si>
  <si>
    <t>Id2258</t>
  </si>
  <si>
    <t>Benadum, Mr.  Blue</t>
  </si>
  <si>
    <t>Id2259</t>
  </si>
  <si>
    <t>Ragazzini, Mr.  Jeffrey M</t>
  </si>
  <si>
    <t>Id2260</t>
  </si>
  <si>
    <t>Kessinger, Mr.  Andrew</t>
  </si>
  <si>
    <t>Id2261</t>
  </si>
  <si>
    <t>Bezgin, Ms.  Julia</t>
  </si>
  <si>
    <t>Id2262</t>
  </si>
  <si>
    <t>Woldesilassie, Mr.  Daniel</t>
  </si>
  <si>
    <t>Id2263</t>
  </si>
  <si>
    <t>Ruiz Herrero, Mr.  Jaime</t>
  </si>
  <si>
    <t>Id2264</t>
  </si>
  <si>
    <t>Bin Alias, Mr.  Mohd Syahidan</t>
  </si>
  <si>
    <t>Id2265</t>
  </si>
  <si>
    <t>Fischer-Daly, Mr.  Matthew</t>
  </si>
  <si>
    <t>Id2266</t>
  </si>
  <si>
    <t>Pulliam, Ms.  Elizabeth S.</t>
  </si>
  <si>
    <t>Id2267</t>
  </si>
  <si>
    <t>Guisinger, Ms.  Katie</t>
  </si>
  <si>
    <t>Id2268</t>
  </si>
  <si>
    <t>Arnerich, Ms.  Christi A.</t>
  </si>
  <si>
    <t>Id2269</t>
  </si>
  <si>
    <t>Lynch, Ms.  Sandra K.</t>
  </si>
  <si>
    <t>Id2270</t>
  </si>
  <si>
    <t>Reilly, Ms.  Katharine</t>
  </si>
  <si>
    <t>Id2271</t>
  </si>
  <si>
    <t>Nolette, Mr.  Jerome</t>
  </si>
  <si>
    <t>Id2272</t>
  </si>
  <si>
    <t>Chabrier, Ms.  Julia R</t>
  </si>
  <si>
    <t>Id2273</t>
  </si>
  <si>
    <t>Lee, Mr.  Sean Henry</t>
  </si>
  <si>
    <t>Id2274</t>
  </si>
  <si>
    <t>Knotts, Ms.  Rachel A.</t>
  </si>
  <si>
    <t>Id2275</t>
  </si>
  <si>
    <t>Pultorak, Mr.  Jim</t>
  </si>
  <si>
    <t>Id2276</t>
  </si>
  <si>
    <t>Maxon, Mr.  Tim</t>
  </si>
  <si>
    <t>Id2277</t>
  </si>
  <si>
    <t>Kraai, Ms.  Abby L.</t>
  </si>
  <si>
    <t>Id2278</t>
  </si>
  <si>
    <t>Larosa, Mr.  Mark</t>
  </si>
  <si>
    <t>Id2279</t>
  </si>
  <si>
    <t>King, Mr.  Ali</t>
  </si>
  <si>
    <t>Id2280</t>
  </si>
  <si>
    <t>Haney, Mr.  Joshua</t>
  </si>
  <si>
    <t>Id2281</t>
  </si>
  <si>
    <t>Boulay, Mr.  Pierre</t>
  </si>
  <si>
    <t>Id2282</t>
  </si>
  <si>
    <t>Peters, Ms.  Kate</t>
  </si>
  <si>
    <t>Id2283</t>
  </si>
  <si>
    <t>Luy, Mr.  David</t>
  </si>
  <si>
    <t>Id2284</t>
  </si>
  <si>
    <t>Fava, Ms.  Carla</t>
  </si>
  <si>
    <t>Id2285</t>
  </si>
  <si>
    <t>Montoya, Mr.  Alvaro Sr.</t>
  </si>
  <si>
    <t>Id2286</t>
  </si>
  <si>
    <t>Bain, Ms.  Hope</t>
  </si>
  <si>
    <t>Id2287</t>
  </si>
  <si>
    <t>Albertson, Mr.  Mark P.</t>
  </si>
  <si>
    <t>Id2288</t>
  </si>
  <si>
    <t>Barger, Ms.  Desiree</t>
  </si>
  <si>
    <t>Id2289</t>
  </si>
  <si>
    <t>Fraioli, Mr.  Mario Jr.</t>
  </si>
  <si>
    <t>Id2290</t>
  </si>
  <si>
    <t>April, Mr.  Lusapho</t>
  </si>
  <si>
    <t>Id2291</t>
  </si>
  <si>
    <t>King, Ms.  Erin C.</t>
  </si>
  <si>
    <t>Id2292</t>
  </si>
  <si>
    <t>Talhelm, Mr.  Alan F</t>
  </si>
  <si>
    <t>Id2293</t>
  </si>
  <si>
    <t>Regnier, Mr.  Ryan</t>
  </si>
  <si>
    <t>Id2294</t>
  </si>
  <si>
    <t>Treece, Ms.  Hope</t>
  </si>
  <si>
    <t>Id2295</t>
  </si>
  <si>
    <t>Beisel, Mr.  Josh</t>
  </si>
  <si>
    <t>Id2296</t>
  </si>
  <si>
    <t>Enke, Mr.  Jacob J</t>
  </si>
  <si>
    <t>Id2297</t>
  </si>
  <si>
    <t>Ruiz-Tagle Barros, Mr.  Jose Tomas</t>
  </si>
  <si>
    <t>Id2298</t>
  </si>
  <si>
    <t>Ferrell, Ms.  Mary Evan</t>
  </si>
  <si>
    <t>Id2299</t>
  </si>
  <si>
    <t>Gates, Mr.  Justin K.</t>
  </si>
  <si>
    <t>Id2300</t>
  </si>
  <si>
    <t>Jeffers, Mr.  Patrick</t>
  </si>
  <si>
    <t>Id2301</t>
  </si>
  <si>
    <t>Sulhanek, Mr.  Roman</t>
  </si>
  <si>
    <t>Id2302</t>
  </si>
  <si>
    <t>Ozahowski, Mr.  David</t>
  </si>
  <si>
    <t>Id2303</t>
  </si>
  <si>
    <t>Caron, Ms.  Evelyn L</t>
  </si>
  <si>
    <t>Id2304</t>
  </si>
  <si>
    <t>Fullarton, Mr.  Jim</t>
  </si>
  <si>
    <t>Id2305</t>
  </si>
  <si>
    <t>Lindgren, Mr.  Matthew S</t>
  </si>
  <si>
    <t>Id2306</t>
  </si>
  <si>
    <t>Akiha, Mr.  Kenneth</t>
  </si>
  <si>
    <t>Id2307</t>
  </si>
  <si>
    <t>Sweny, Ms.  Andrea</t>
  </si>
  <si>
    <t>Id2308</t>
  </si>
  <si>
    <t>Tobin, Ms.  Kristina</t>
  </si>
  <si>
    <t>Id2309</t>
  </si>
  <si>
    <t>Pedersen, Ms.  Kristen</t>
  </si>
  <si>
    <t>Id2310</t>
  </si>
  <si>
    <t>Lynch, Mr.  Matthew</t>
  </si>
  <si>
    <t>Id2311</t>
  </si>
  <si>
    <t>Keys, Mrs.  Kathleen</t>
  </si>
  <si>
    <t>Id2312</t>
  </si>
  <si>
    <t>Wilbur, Ms.  Lindsey</t>
  </si>
  <si>
    <t>Id2313</t>
  </si>
  <si>
    <t>Ditota, Mr.  Robert</t>
  </si>
  <si>
    <t>Id2314</t>
  </si>
  <si>
    <t>Horbol, Ms.  Sarah E.</t>
  </si>
  <si>
    <t>Id2315</t>
  </si>
  <si>
    <t>O'Rourke, Ms.  Flannery</t>
  </si>
  <si>
    <t>Id2316</t>
  </si>
  <si>
    <t>Williams, Mr.  John T</t>
  </si>
  <si>
    <t>Id2317</t>
  </si>
  <si>
    <t>Murakami, Mr.  Koji</t>
  </si>
  <si>
    <t>Id2318</t>
  </si>
  <si>
    <t>Gagnon, Ms.  Candice M</t>
  </si>
  <si>
    <t>Id2319</t>
  </si>
  <si>
    <t>Petermann, Mr.  Theodore A.</t>
  </si>
  <si>
    <t>Id2320</t>
  </si>
  <si>
    <t>Graves - Rostro, Ms.  Lindy</t>
  </si>
  <si>
    <t>Id2321</t>
  </si>
  <si>
    <t>Danielson, Mr.  Thomas</t>
  </si>
  <si>
    <t>Id2322</t>
  </si>
  <si>
    <t>Street, Ms.  Holly</t>
  </si>
  <si>
    <t>Id2323</t>
  </si>
  <si>
    <t>Buss, Mr.  Matthew</t>
  </si>
  <si>
    <t>Id2324</t>
  </si>
  <si>
    <t>Duffy, Ms.  Meghan K</t>
  </si>
  <si>
    <t>Id2325</t>
  </si>
  <si>
    <t>Hines, Mr.  Fred</t>
  </si>
  <si>
    <t>Id2326</t>
  </si>
  <si>
    <t>Castro, Mr.  Sebastian</t>
  </si>
  <si>
    <t>Id2327</t>
  </si>
  <si>
    <t>Howell, Ms.  Laura</t>
  </si>
  <si>
    <t>Id2328</t>
  </si>
  <si>
    <t>Avery, Ms.  Nicole</t>
  </si>
  <si>
    <t>Id2329</t>
  </si>
  <si>
    <t>Bohinski, Ms.  Susan E</t>
  </si>
  <si>
    <t>Id2330</t>
  </si>
  <si>
    <t>Kohls, Ms.  Katy</t>
  </si>
  <si>
    <t>Id2331</t>
  </si>
  <si>
    <t>Brietzke, Mr.  Jordan</t>
  </si>
  <si>
    <t>Id2332</t>
  </si>
  <si>
    <t>Riveros Gonzalez, Mr.  Juan D. Sr.</t>
  </si>
  <si>
    <t>Id2333</t>
  </si>
  <si>
    <t>Albano, Ms.  Julie</t>
  </si>
  <si>
    <t>Id2334</t>
  </si>
  <si>
    <t>Rosendahl, Mr.  Evan P</t>
  </si>
  <si>
    <t>Id2335</t>
  </si>
  <si>
    <t>German, Mr.  Aaron K</t>
  </si>
  <si>
    <t>BMI</t>
  </si>
  <si>
    <t>HBA1C</t>
  </si>
  <si>
    <t>Heart Issues</t>
  </si>
  <si>
    <t>Any Transplants</t>
  </si>
  <si>
    <t>Cancer history</t>
  </si>
  <si>
    <t>NumberOfMajorSurgeries</t>
  </si>
  <si>
    <t>smoker</t>
  </si>
  <si>
    <t>weight status</t>
  </si>
  <si>
    <t>Diabetes</t>
  </si>
  <si>
    <t>No</t>
  </si>
  <si>
    <t>yes</t>
  </si>
  <si>
    <t>Prediabetes</t>
  </si>
  <si>
    <t>Yes</t>
  </si>
  <si>
    <t>Normal</t>
  </si>
  <si>
    <t>id2444</t>
  </si>
  <si>
    <t>id3444</t>
  </si>
  <si>
    <t>s</t>
  </si>
  <si>
    <t>normalweight</t>
  </si>
  <si>
    <t>City tier</t>
  </si>
  <si>
    <t>Hospital tier</t>
  </si>
  <si>
    <t>tier - 1</t>
  </si>
  <si>
    <t>tier - 2</t>
  </si>
  <si>
    <t>tier - 3</t>
  </si>
  <si>
    <t>tier-1</t>
  </si>
  <si>
    <t>Grand Total</t>
  </si>
  <si>
    <t>year</t>
  </si>
  <si>
    <t>month</t>
  </si>
  <si>
    <t>date</t>
  </si>
  <si>
    <t>children</t>
  </si>
  <si>
    <t>charges</t>
  </si>
  <si>
    <t>State ID</t>
  </si>
  <si>
    <t>DateOfBirth</t>
  </si>
  <si>
    <t>Age</t>
  </si>
  <si>
    <t>Jul</t>
  </si>
  <si>
    <t>R1013</t>
  </si>
  <si>
    <t>Nov</t>
  </si>
  <si>
    <t>Jun</t>
  </si>
  <si>
    <t>Sep</t>
  </si>
  <si>
    <t>R1012</t>
  </si>
  <si>
    <t>Dec</t>
  </si>
  <si>
    <t>Aug</t>
  </si>
  <si>
    <t>Oct</t>
  </si>
  <si>
    <t>R1011</t>
  </si>
  <si>
    <t>?</t>
  </si>
  <si>
    <t>R1015</t>
  </si>
  <si>
    <t>R1019</t>
  </si>
  <si>
    <t>R1016</t>
  </si>
  <si>
    <t>R1018</t>
  </si>
  <si>
    <t>R1025</t>
  </si>
  <si>
    <t>R1024</t>
  </si>
  <si>
    <t>R1023</t>
  </si>
  <si>
    <t>R1014</t>
  </si>
  <si>
    <t>R1021</t>
  </si>
  <si>
    <t>R1017</t>
  </si>
  <si>
    <t>R1020</t>
  </si>
  <si>
    <t>R1026</t>
  </si>
  <si>
    <t>R1022</t>
  </si>
  <si>
    <t>Diabetes status</t>
  </si>
  <si>
    <t>DATEDIF(J2,TODAY(),"Y")</t>
  </si>
  <si>
    <t>FORMULAE</t>
  </si>
  <si>
    <t>HOME-&gt;FORMAT-&gt;FORMAT CELL FOR CHARGES CHANGES TO CURRENCY</t>
  </si>
  <si>
    <t>patient type</t>
  </si>
  <si>
    <t>Middle Name</t>
  </si>
  <si>
    <t>XLOOKUP(A2,A:A,C:C,"NO HOSPITILISATION")</t>
  </si>
  <si>
    <t>normal weight</t>
  </si>
  <si>
    <t>under weight</t>
  </si>
  <si>
    <t>underweight</t>
  </si>
  <si>
    <t>vlookup</t>
  </si>
  <si>
    <t>Count of Patient status</t>
  </si>
  <si>
    <t>Count of Diabetes status</t>
  </si>
  <si>
    <t>Column Labels</t>
  </si>
  <si>
    <t>Sum of BMI</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</si>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</sst>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 yyyy"/>
    <numFmt numFmtId="165" formatCode="[$-F800]dddd\,\ mmmm\ dd\,\ yyyy"/>
    <numFmt numFmtId="166" formatCode="[$-409]d/mmm/yyyy;@"/>
    <numFmt numFmtId="167" formatCode="0_);\(0\)"/>
  </numFmts>
  <fonts count="10" x14ac:knownFonts="1">
    <font>
      <sz val="11"/>
      <color theme="1"/>
      <name val="Calibri"/>
      <scheme val="minor"/>
    </font>
    <font>
      <sz val="11"/>
      <color theme="1"/>
      <name val="Calibri"/>
      <family val="2"/>
      <scheme val="minor"/>
    </font>
    <font>
      <b/>
      <sz val="12"/>
      <color theme="0"/>
      <name val="Calibri"/>
      <family val="2"/>
    </font>
    <font>
      <sz val="11"/>
      <color theme="1"/>
      <name val="Calibri"/>
      <family val="2"/>
    </font>
    <font>
      <sz val="12"/>
      <color theme="1"/>
      <name val="Calibri"/>
      <family val="2"/>
    </font>
    <font>
      <sz val="11"/>
      <color theme="1"/>
      <name val="Calibri"/>
      <family val="2"/>
      <scheme val="minor"/>
    </font>
    <font>
      <b/>
      <sz val="11"/>
      <color theme="1"/>
      <name val="Calibri"/>
      <family val="2"/>
    </font>
    <font>
      <sz val="11"/>
      <color theme="0"/>
      <name val="Calibri"/>
      <family val="2"/>
    </font>
    <font>
      <b/>
      <sz val="11"/>
      <color theme="1"/>
      <name val="Calibri"/>
      <family val="2"/>
      <scheme val="minor"/>
    </font>
    <font>
      <sz val="11"/>
      <color theme="4" tint="-0.249977111117893"/>
      <name val="Calibri"/>
      <family val="2"/>
      <scheme val="minor"/>
    </font>
  </fonts>
  <fills count="7">
    <fill>
      <patternFill patternType="none"/>
    </fill>
    <fill>
      <patternFill patternType="gray125"/>
    </fill>
    <fill>
      <patternFill patternType="solid">
        <fgColor rgb="FF3C78D8"/>
        <bgColor rgb="FF3C78D8"/>
      </patternFill>
    </fill>
    <fill>
      <patternFill patternType="solid">
        <fgColor rgb="FF6FA8DC"/>
        <bgColor rgb="FF6FA8DC"/>
      </patternFill>
    </fill>
    <fill>
      <patternFill patternType="solid">
        <fgColor rgb="FF0000FF"/>
        <bgColor rgb="FF0000FF"/>
      </patternFill>
    </fill>
    <fill>
      <patternFill patternType="solid">
        <fgColor theme="4" tint="-0.249977111117893"/>
        <bgColor indexed="64"/>
      </patternFill>
    </fill>
    <fill>
      <patternFill patternType="solid">
        <fgColor theme="1"/>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4">
    <xf numFmtId="0" fontId="0" fillId="0" borderId="0" xfId="0"/>
    <xf numFmtId="164" fontId="2" fillId="2" borderId="1" xfId="0" applyNumberFormat="1" applyFont="1" applyFill="1" applyBorder="1" applyAlignment="1">
      <alignment horizontal="center" vertical="center"/>
    </xf>
    <xf numFmtId="0" fontId="2" fillId="2" borderId="1" xfId="0" applyFont="1" applyFill="1" applyBorder="1" applyAlignment="1">
      <alignment horizontal="center" vertical="center"/>
    </xf>
    <xf numFmtId="0" fontId="3" fillId="0" borderId="0" xfId="0" applyFont="1" applyAlignment="1">
      <alignment horizontal="center" vertical="center"/>
    </xf>
    <xf numFmtId="0" fontId="4" fillId="0" borderId="1" xfId="0" applyFont="1" applyBorder="1"/>
    <xf numFmtId="0" fontId="5" fillId="0" borderId="1" xfId="0" applyFont="1" applyBorder="1"/>
    <xf numFmtId="0" fontId="5" fillId="0" borderId="0" xfId="0" applyFont="1"/>
    <xf numFmtId="165" fontId="3" fillId="0" borderId="0" xfId="0" applyNumberFormat="1" applyFont="1" applyAlignment="1">
      <alignment wrapText="1"/>
    </xf>
    <xf numFmtId="0" fontId="2" fillId="4" borderId="2" xfId="0" applyFont="1" applyFill="1" applyBorder="1" applyAlignment="1">
      <alignment horizontal="center" vertical="center"/>
    </xf>
    <xf numFmtId="165" fontId="7" fillId="4" borderId="2" xfId="0" applyNumberFormat="1" applyFont="1" applyFill="1" applyBorder="1" applyAlignment="1">
      <alignment horizontal="center" vertical="center"/>
    </xf>
    <xf numFmtId="0" fontId="5" fillId="0" borderId="2" xfId="0" applyFont="1" applyBorder="1"/>
    <xf numFmtId="0" fontId="0" fillId="0" borderId="2" xfId="0" applyBorder="1"/>
    <xf numFmtId="0" fontId="6" fillId="3" borderId="2" xfId="0" applyFont="1" applyFill="1" applyBorder="1" applyAlignment="1">
      <alignment horizontal="center" vertical="center" wrapText="1"/>
    </xf>
    <xf numFmtId="0" fontId="6" fillId="3" borderId="2" xfId="0" applyFont="1" applyFill="1" applyBorder="1" applyAlignment="1">
      <alignment horizontal="center" vertical="center"/>
    </xf>
    <xf numFmtId="0" fontId="3" fillId="0" borderId="2" xfId="0" applyFont="1" applyBorder="1" applyAlignment="1">
      <alignment horizontal="center"/>
    </xf>
    <xf numFmtId="0" fontId="3" fillId="0" borderId="2" xfId="0" applyFont="1" applyBorder="1"/>
    <xf numFmtId="0" fontId="1" fillId="0" borderId="2" xfId="0" applyFont="1" applyBorder="1"/>
    <xf numFmtId="166" fontId="3" fillId="0" borderId="2" xfId="0" applyNumberFormat="1" applyFont="1" applyBorder="1"/>
    <xf numFmtId="166" fontId="2" fillId="4" borderId="2" xfId="0" applyNumberFormat="1" applyFont="1" applyFill="1" applyBorder="1" applyAlignment="1">
      <alignment horizontal="center" vertical="center"/>
    </xf>
    <xf numFmtId="166" fontId="0" fillId="0" borderId="2" xfId="0" applyNumberFormat="1" applyBorder="1"/>
    <xf numFmtId="0" fontId="1" fillId="0" borderId="0" xfId="0" applyFont="1"/>
    <xf numFmtId="0" fontId="8" fillId="0" borderId="2" xfId="0" applyFont="1" applyBorder="1"/>
    <xf numFmtId="166" fontId="8" fillId="0" borderId="2" xfId="0" applyNumberFormat="1" applyFont="1" applyBorder="1"/>
    <xf numFmtId="37" fontId="2" fillId="4" borderId="2" xfId="0" applyNumberFormat="1" applyFont="1" applyFill="1" applyBorder="1" applyAlignment="1">
      <alignment horizontal="center" vertical="center"/>
    </xf>
    <xf numFmtId="37" fontId="3" fillId="0" borderId="2" xfId="0" applyNumberFormat="1" applyFont="1" applyBorder="1"/>
    <xf numFmtId="37" fontId="0" fillId="0" borderId="2" xfId="0" applyNumberFormat="1" applyBorder="1"/>
    <xf numFmtId="0" fontId="8" fillId="0" borderId="0" xfId="0" applyFont="1"/>
    <xf numFmtId="0" fontId="6" fillId="5" borderId="2" xfId="0" applyFont="1" applyFill="1" applyBorder="1" applyAlignment="1">
      <alignment horizontal="center" vertical="center"/>
    </xf>
    <xf numFmtId="0" fontId="0" fillId="0" borderId="0" xfId="0" pivotButton="1"/>
    <xf numFmtId="0" fontId="0" fillId="0" borderId="0" xfId="0" applyAlignment="1">
      <alignment horizontal="left"/>
    </xf>
    <xf numFmtId="167" fontId="0" fillId="0" borderId="0" xfId="0" applyNumberFormat="1"/>
    <xf numFmtId="167" fontId="9" fillId="6" borderId="0" xfId="0" applyNumberFormat="1" applyFont="1" applyFill="1"/>
    <xf numFmtId="0" fontId="5" fillId="0" borderId="1" xfId="0" applyFont="1" applyBorder="1"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dataset-healthcare-new.xlsx]Donut Pivotchart!PivotTable15</c:name>
    <c:fmtId val="0"/>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'Donut Pivotchart'!$B$4:$B$5</c:f>
              <c:strCache>
                <c:ptCount val="1"/>
                <c:pt idx="0">
                  <c:v>normal weight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161-4316-A918-60DA907DE2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161-4316-A918-60DA907DE23F}"/>
              </c:ext>
            </c:extLst>
          </c:dPt>
          <c:cat>
            <c:strRef>
              <c:f>'Donut Pivotchart'!$A$6:$A$8</c:f>
              <c:strCache>
                <c:ptCount val="2"/>
                <c:pt idx="0">
                  <c:v>No</c:v>
                </c:pt>
                <c:pt idx="1">
                  <c:v>yes</c:v>
                </c:pt>
              </c:strCache>
            </c:strRef>
          </c:cat>
          <c:val>
            <c:numRef>
              <c:f>'Donut Pivotchart'!$B$6:$B$8</c:f>
              <c:numCache>
                <c:formatCode>General</c:formatCode>
                <c:ptCount val="2"/>
                <c:pt idx="1">
                  <c:v>1</c:v>
                </c:pt>
              </c:numCache>
            </c:numRef>
          </c:val>
          <c:extLst>
            <c:ext xmlns:c16="http://schemas.microsoft.com/office/drawing/2014/chart" uri="{C3380CC4-5D6E-409C-BE32-E72D297353CC}">
              <c16:uniqueId val="{0000000D-96CD-4868-A0E4-1EEA0199C3ED}"/>
            </c:ext>
          </c:extLst>
        </c:ser>
        <c:ser>
          <c:idx val="1"/>
          <c:order val="1"/>
          <c:tx>
            <c:strRef>
              <c:f>'Donut Pivotchart'!$C$4:$C$5</c:f>
              <c:strCache>
                <c:ptCount val="1"/>
                <c:pt idx="0">
                  <c:v>normalweight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'Donut Pivotchart'!$A$6:$A$8</c:f>
              <c:strCache>
                <c:ptCount val="2"/>
                <c:pt idx="0">
                  <c:v>No</c:v>
                </c:pt>
                <c:pt idx="1">
                  <c:v>yes</c:v>
                </c:pt>
              </c:strCache>
            </c:strRef>
          </c:cat>
          <c:val>
            <c:numRef>
              <c:f>'Donut Pivotchart'!$C$6:$C$8</c:f>
              <c:numCache>
                <c:formatCode>General</c:formatCode>
                <c:ptCount val="2"/>
                <c:pt idx="0">
                  <c:v>1700</c:v>
                </c:pt>
                <c:pt idx="1">
                  <c:v>445</c:v>
                </c:pt>
              </c:numCache>
            </c:numRef>
          </c:val>
          <c:extLst>
            <c:ext xmlns:c16="http://schemas.microsoft.com/office/drawing/2014/chart" uri="{C3380CC4-5D6E-409C-BE32-E72D297353CC}">
              <c16:uniqueId val="{00000025-4161-4316-A918-60DA907DE23F}"/>
            </c:ext>
          </c:extLst>
        </c:ser>
        <c:ser>
          <c:idx val="2"/>
          <c:order val="2"/>
          <c:tx>
            <c:strRef>
              <c:f>'Donut Pivotchart'!$D$4:$D$5</c:f>
              <c:strCache>
                <c:ptCount val="1"/>
                <c:pt idx="0">
                  <c:v>under weight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'Donut Pivotchart'!$A$6:$A$8</c:f>
              <c:strCache>
                <c:ptCount val="2"/>
                <c:pt idx="0">
                  <c:v>No</c:v>
                </c:pt>
                <c:pt idx="1">
                  <c:v>yes</c:v>
                </c:pt>
              </c:strCache>
            </c:strRef>
          </c:cat>
          <c:val>
            <c:numRef>
              <c:f>'Donut Pivotchart'!$D$6:$D$8</c:f>
              <c:numCache>
                <c:formatCode>General</c:formatCode>
                <c:ptCount val="2"/>
                <c:pt idx="1">
                  <c:v>19</c:v>
                </c:pt>
              </c:numCache>
            </c:numRef>
          </c:val>
          <c:extLst>
            <c:ext xmlns:c16="http://schemas.microsoft.com/office/drawing/2014/chart" uri="{C3380CC4-5D6E-409C-BE32-E72D297353CC}">
              <c16:uniqueId val="{00000026-4161-4316-A918-60DA907DE23F}"/>
            </c:ext>
          </c:extLst>
        </c:ser>
        <c:ser>
          <c:idx val="3"/>
          <c:order val="3"/>
          <c:tx>
            <c:strRef>
              <c:f>'Donut Pivotchart'!$E$4:$E$5</c:f>
              <c:strCache>
                <c:ptCount val="1"/>
                <c:pt idx="0">
                  <c:v>underweight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'Donut Pivotchart'!$A$6:$A$8</c:f>
              <c:strCache>
                <c:ptCount val="2"/>
                <c:pt idx="0">
                  <c:v>No</c:v>
                </c:pt>
                <c:pt idx="1">
                  <c:v>yes</c:v>
                </c:pt>
              </c:strCache>
            </c:strRef>
          </c:cat>
          <c:val>
            <c:numRef>
              <c:f>'Donut Pivotchart'!$E$6:$E$8</c:f>
              <c:numCache>
                <c:formatCode>General</c:formatCode>
                <c:ptCount val="2"/>
                <c:pt idx="0">
                  <c:v>155</c:v>
                </c:pt>
                <c:pt idx="1">
                  <c:v>23</c:v>
                </c:pt>
              </c:numCache>
            </c:numRef>
          </c:val>
          <c:extLst>
            <c:ext xmlns:c16="http://schemas.microsoft.com/office/drawing/2014/chart" uri="{C3380CC4-5D6E-409C-BE32-E72D297353CC}">
              <c16:uniqueId val="{00000027-4161-4316-A918-60DA907DE23F}"/>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dataset-healthcare-new.xlsx]Pivot piechart and slicer!PivotTable15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HBA1C by weight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piechart and slicer'!$C$3</c:f>
              <c:strCache>
                <c:ptCount val="1"/>
                <c:pt idx="0">
                  <c:v>Count of Patient status</c:v>
                </c:pt>
              </c:strCache>
            </c:strRef>
          </c:tx>
          <c:spPr>
            <a:solidFill>
              <a:schemeClr val="accent1"/>
            </a:solidFill>
            <a:ln>
              <a:noFill/>
            </a:ln>
            <a:effectLst/>
          </c:spPr>
          <c:invertIfNegative val="0"/>
          <c:cat>
            <c:multiLvlStrRef>
              <c:f>'Pivot piechart and slicer'!$A$4:$B$9</c:f>
              <c:multiLvlStrCache>
                <c:ptCount val="6"/>
                <c:lvl>
                  <c:pt idx="0">
                    <c:v>normalweight</c:v>
                  </c:pt>
                  <c:pt idx="1">
                    <c:v>underweight</c:v>
                  </c:pt>
                  <c:pt idx="2">
                    <c:v>normal weight</c:v>
                  </c:pt>
                  <c:pt idx="3">
                    <c:v>normalweight</c:v>
                  </c:pt>
                  <c:pt idx="4">
                    <c:v>under weight</c:v>
                  </c:pt>
                  <c:pt idx="5">
                    <c:v>underweight</c:v>
                  </c:pt>
                </c:lvl>
                <c:lvl>
                  <c:pt idx="0">
                    <c:v>No</c:v>
                  </c:pt>
                  <c:pt idx="2">
                    <c:v>yes</c:v>
                  </c:pt>
                </c:lvl>
              </c:multiLvlStrCache>
            </c:multiLvlStrRef>
          </c:cat>
          <c:val>
            <c:numRef>
              <c:f>'Pivot piechart and slicer'!$C$4:$C$9</c:f>
              <c:numCache>
                <c:formatCode>General</c:formatCode>
                <c:ptCount val="6"/>
                <c:pt idx="0">
                  <c:v>1700</c:v>
                </c:pt>
                <c:pt idx="1">
                  <c:v>155</c:v>
                </c:pt>
                <c:pt idx="2">
                  <c:v>1</c:v>
                </c:pt>
                <c:pt idx="3">
                  <c:v>445</c:v>
                </c:pt>
                <c:pt idx="4">
                  <c:v>19</c:v>
                </c:pt>
                <c:pt idx="5">
                  <c:v>23</c:v>
                </c:pt>
              </c:numCache>
            </c:numRef>
          </c:val>
          <c:extLst>
            <c:ext xmlns:c16="http://schemas.microsoft.com/office/drawing/2014/chart" uri="{C3380CC4-5D6E-409C-BE32-E72D297353CC}">
              <c16:uniqueId val="{00000002-BF58-459D-B539-A5C0631FA69C}"/>
            </c:ext>
          </c:extLst>
        </c:ser>
        <c:ser>
          <c:idx val="1"/>
          <c:order val="1"/>
          <c:tx>
            <c:strRef>
              <c:f>'Pivot piechart and slicer'!$D$3</c:f>
              <c:strCache>
                <c:ptCount val="1"/>
                <c:pt idx="0">
                  <c:v>Sum of BMI</c:v>
                </c:pt>
              </c:strCache>
            </c:strRef>
          </c:tx>
          <c:spPr>
            <a:solidFill>
              <a:schemeClr val="accent2"/>
            </a:solidFill>
            <a:ln>
              <a:noFill/>
            </a:ln>
            <a:effectLst/>
          </c:spPr>
          <c:invertIfNegative val="0"/>
          <c:cat>
            <c:multiLvlStrRef>
              <c:f>'Pivot piechart and slicer'!$A$4:$B$9</c:f>
              <c:multiLvlStrCache>
                <c:ptCount val="6"/>
                <c:lvl>
                  <c:pt idx="0">
                    <c:v>normalweight</c:v>
                  </c:pt>
                  <c:pt idx="1">
                    <c:v>underweight</c:v>
                  </c:pt>
                  <c:pt idx="2">
                    <c:v>normal weight</c:v>
                  </c:pt>
                  <c:pt idx="3">
                    <c:v>normalweight</c:v>
                  </c:pt>
                  <c:pt idx="4">
                    <c:v>under weight</c:v>
                  </c:pt>
                  <c:pt idx="5">
                    <c:v>underweight</c:v>
                  </c:pt>
                </c:lvl>
                <c:lvl>
                  <c:pt idx="0">
                    <c:v>No</c:v>
                  </c:pt>
                  <c:pt idx="2">
                    <c:v>yes</c:v>
                  </c:pt>
                </c:lvl>
              </c:multiLvlStrCache>
            </c:multiLvlStrRef>
          </c:cat>
          <c:val>
            <c:numRef>
              <c:f>'Pivot piechart and slicer'!$D$4:$D$9</c:f>
              <c:numCache>
                <c:formatCode>General</c:formatCode>
                <c:ptCount val="6"/>
                <c:pt idx="0">
                  <c:v>53884.199999999975</c:v>
                </c:pt>
                <c:pt idx="1">
                  <c:v>2610.92</c:v>
                </c:pt>
                <c:pt idx="2">
                  <c:v>47.41</c:v>
                </c:pt>
                <c:pt idx="3">
                  <c:v>14861.994999999994</c:v>
                </c:pt>
                <c:pt idx="4">
                  <c:v>711.84999999999991</c:v>
                </c:pt>
                <c:pt idx="5">
                  <c:v>400.18500000000006</c:v>
                </c:pt>
              </c:numCache>
            </c:numRef>
          </c:val>
          <c:extLst>
            <c:ext xmlns:c16="http://schemas.microsoft.com/office/drawing/2014/chart" uri="{C3380CC4-5D6E-409C-BE32-E72D297353CC}">
              <c16:uniqueId val="{00000000-D772-4E63-ADC1-DAAF2B341D74}"/>
            </c:ext>
          </c:extLst>
        </c:ser>
        <c:dLbls>
          <c:showLegendKey val="0"/>
          <c:showVal val="0"/>
          <c:showCatName val="0"/>
          <c:showSerName val="0"/>
          <c:showPercent val="0"/>
          <c:showBubbleSize val="0"/>
        </c:dLbls>
        <c:gapWidth val="219"/>
        <c:axId val="1538126896"/>
        <c:axId val="1538132656"/>
      </c:barChart>
      <c:catAx>
        <c:axId val="1538126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132656"/>
        <c:crosses val="autoZero"/>
        <c:auto val="1"/>
        <c:lblAlgn val="ctr"/>
        <c:lblOffset val="100"/>
        <c:noMultiLvlLbl val="0"/>
      </c:catAx>
      <c:valAx>
        <c:axId val="15381326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1268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dataset-healthcare-new.xlsx]Pivot piechart and slicer!PivotTable15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piechart and slicer'!$C$3</c:f>
              <c:strCache>
                <c:ptCount val="1"/>
                <c:pt idx="0">
                  <c:v>Count of Patient status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B91-48C3-8CDC-2B20984A9A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B91-48C3-8CDC-2B20984A9AA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B91-48C3-8CDC-2B20984A9AA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B91-48C3-8CDC-2B20984A9AA7}"/>
              </c:ext>
            </c:extLst>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multiLvlStrRef>
              <c:f>'Pivot piechart and slicer'!$A$4:$B$9</c:f>
              <c:multiLvlStrCache>
                <c:ptCount val="6"/>
                <c:lvl>
                  <c:pt idx="0">
                    <c:v>normalweight</c:v>
                  </c:pt>
                  <c:pt idx="1">
                    <c:v>underweight</c:v>
                  </c:pt>
                  <c:pt idx="2">
                    <c:v>normal weight</c:v>
                  </c:pt>
                  <c:pt idx="3">
                    <c:v>normalweight</c:v>
                  </c:pt>
                  <c:pt idx="4">
                    <c:v>under weight</c:v>
                  </c:pt>
                  <c:pt idx="5">
                    <c:v>underweight</c:v>
                  </c:pt>
                </c:lvl>
                <c:lvl>
                  <c:pt idx="0">
                    <c:v>No</c:v>
                  </c:pt>
                  <c:pt idx="2">
                    <c:v>yes</c:v>
                  </c:pt>
                </c:lvl>
              </c:multiLvlStrCache>
            </c:multiLvlStrRef>
          </c:cat>
          <c:val>
            <c:numRef>
              <c:f>'Pivot piechart and slicer'!$C$4:$C$9</c:f>
              <c:numCache>
                <c:formatCode>General</c:formatCode>
                <c:ptCount val="6"/>
                <c:pt idx="0">
                  <c:v>1700</c:v>
                </c:pt>
                <c:pt idx="1">
                  <c:v>155</c:v>
                </c:pt>
                <c:pt idx="2">
                  <c:v>1</c:v>
                </c:pt>
                <c:pt idx="3">
                  <c:v>445</c:v>
                </c:pt>
                <c:pt idx="4">
                  <c:v>19</c:v>
                </c:pt>
                <c:pt idx="5">
                  <c:v>23</c:v>
                </c:pt>
              </c:numCache>
            </c:numRef>
          </c:val>
          <c:extLst>
            <c:ext xmlns:c16="http://schemas.microsoft.com/office/drawing/2014/chart" uri="{C3380CC4-5D6E-409C-BE32-E72D297353CC}">
              <c16:uniqueId val="{00000000-FE8B-4B9A-B3B6-4AF724B45A91}"/>
            </c:ext>
          </c:extLst>
        </c:ser>
        <c:ser>
          <c:idx val="1"/>
          <c:order val="1"/>
          <c:tx>
            <c:strRef>
              <c:f>'Pivot piechart and slicer'!$D$3</c:f>
              <c:strCache>
                <c:ptCount val="1"/>
                <c:pt idx="0">
                  <c:v>Sum of BMI</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multiLvlStrRef>
              <c:f>'Pivot piechart and slicer'!$A$4:$B$9</c:f>
              <c:multiLvlStrCache>
                <c:ptCount val="6"/>
                <c:lvl>
                  <c:pt idx="0">
                    <c:v>normalweight</c:v>
                  </c:pt>
                  <c:pt idx="1">
                    <c:v>underweight</c:v>
                  </c:pt>
                  <c:pt idx="2">
                    <c:v>normal weight</c:v>
                  </c:pt>
                  <c:pt idx="3">
                    <c:v>normalweight</c:v>
                  </c:pt>
                  <c:pt idx="4">
                    <c:v>under weight</c:v>
                  </c:pt>
                  <c:pt idx="5">
                    <c:v>underweight</c:v>
                  </c:pt>
                </c:lvl>
                <c:lvl>
                  <c:pt idx="0">
                    <c:v>No</c:v>
                  </c:pt>
                  <c:pt idx="2">
                    <c:v>yes</c:v>
                  </c:pt>
                </c:lvl>
              </c:multiLvlStrCache>
            </c:multiLvlStrRef>
          </c:cat>
          <c:val>
            <c:numRef>
              <c:f>'Pivot piechart and slicer'!$D$4:$D$9</c:f>
              <c:numCache>
                <c:formatCode>General</c:formatCode>
                <c:ptCount val="6"/>
                <c:pt idx="0">
                  <c:v>53884.199999999975</c:v>
                </c:pt>
                <c:pt idx="1">
                  <c:v>2610.92</c:v>
                </c:pt>
                <c:pt idx="2">
                  <c:v>47.41</c:v>
                </c:pt>
                <c:pt idx="3">
                  <c:v>14861.994999999994</c:v>
                </c:pt>
                <c:pt idx="4">
                  <c:v>711.84999999999991</c:v>
                </c:pt>
                <c:pt idx="5">
                  <c:v>400.18500000000006</c:v>
                </c:pt>
              </c:numCache>
            </c:numRef>
          </c:val>
          <c:extLst>
            <c:ext xmlns:c16="http://schemas.microsoft.com/office/drawing/2014/chart" uri="{C3380CC4-5D6E-409C-BE32-E72D297353CC}">
              <c16:uniqueId val="{00000008-5B91-48C3-8CDC-2B20984A9AA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175260</xdr:colOff>
      <xdr:row>8</xdr:row>
      <xdr:rowOff>148590</xdr:rowOff>
    </xdr:from>
    <xdr:to>
      <xdr:col>6</xdr:col>
      <xdr:colOff>38100</xdr:colOff>
      <xdr:row>23</xdr:row>
      <xdr:rowOff>148590</xdr:rowOff>
    </xdr:to>
    <xdr:graphicFrame macro="">
      <xdr:nvGraphicFramePr>
        <xdr:cNvPr id="2" name="Chart 1">
          <a:extLst>
            <a:ext uri="{FF2B5EF4-FFF2-40B4-BE49-F238E27FC236}">
              <a16:creationId xmlns:a16="http://schemas.microsoft.com/office/drawing/2014/main" id="{12ACE73E-D2A6-D911-1DB2-279838BA8A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472440</xdr:colOff>
      <xdr:row>8</xdr:row>
      <xdr:rowOff>148590</xdr:rowOff>
    </xdr:from>
    <xdr:to>
      <xdr:col>14</xdr:col>
      <xdr:colOff>167640</xdr:colOff>
      <xdr:row>23</xdr:row>
      <xdr:rowOff>148590</xdr:rowOff>
    </xdr:to>
    <xdr:graphicFrame macro="">
      <xdr:nvGraphicFramePr>
        <xdr:cNvPr id="2" name="Chart 1">
          <a:extLst>
            <a:ext uri="{FF2B5EF4-FFF2-40B4-BE49-F238E27FC236}">
              <a16:creationId xmlns:a16="http://schemas.microsoft.com/office/drawing/2014/main" id="{83B215D5-2505-F0D8-19CE-E4CA3E798D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304800</xdr:colOff>
      <xdr:row>8</xdr:row>
      <xdr:rowOff>19050</xdr:rowOff>
    </xdr:from>
    <xdr:to>
      <xdr:col>5</xdr:col>
      <xdr:colOff>274320</xdr:colOff>
      <xdr:row>23</xdr:row>
      <xdr:rowOff>19050</xdr:rowOff>
    </xdr:to>
    <xdr:graphicFrame macro="">
      <xdr:nvGraphicFramePr>
        <xdr:cNvPr id="3" name="Chart 2">
          <a:extLst>
            <a:ext uri="{FF2B5EF4-FFF2-40B4-BE49-F238E27FC236}">
              <a16:creationId xmlns:a16="http://schemas.microsoft.com/office/drawing/2014/main" id="{86DD4016-0A38-D00B-3758-8B1A4CA13E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342900</xdr:colOff>
      <xdr:row>12</xdr:row>
      <xdr:rowOff>91440</xdr:rowOff>
    </xdr:from>
    <xdr:to>
      <xdr:col>21</xdr:col>
      <xdr:colOff>342900</xdr:colOff>
      <xdr:row>25</xdr:row>
      <xdr:rowOff>180975</xdr:rowOff>
    </xdr:to>
    <mc:AlternateContent xmlns:mc="http://schemas.openxmlformats.org/markup-compatibility/2006" xmlns:a14="http://schemas.microsoft.com/office/drawing/2010/main">
      <mc:Choice Requires="a14">
        <xdr:graphicFrame macro="">
          <xdr:nvGraphicFramePr>
            <xdr:cNvPr id="4" name="Diabetes status">
              <a:extLst>
                <a:ext uri="{FF2B5EF4-FFF2-40B4-BE49-F238E27FC236}">
                  <a16:creationId xmlns:a16="http://schemas.microsoft.com/office/drawing/2014/main" id="{B3F42959-D46B-8F69-9113-E79C5086992C}"/>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13152120" y="22860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198120</xdr:colOff>
      <xdr:row>13</xdr:row>
      <xdr:rowOff>15240</xdr:rowOff>
    </xdr:from>
    <xdr:to>
      <xdr:col>18</xdr:col>
      <xdr:colOff>198120</xdr:colOff>
      <xdr:row>26</xdr:row>
      <xdr:rowOff>104775</xdr:rowOff>
    </xdr:to>
    <mc:AlternateContent xmlns:mc="http://schemas.openxmlformats.org/markup-compatibility/2006" xmlns:a14="http://schemas.microsoft.com/office/drawing/2010/main">
      <mc:Choice Requires="a14">
        <xdr:graphicFrame macro="">
          <xdr:nvGraphicFramePr>
            <xdr:cNvPr id="5" name="weight status">
              <a:extLst>
                <a:ext uri="{FF2B5EF4-FFF2-40B4-BE49-F238E27FC236}">
                  <a16:creationId xmlns:a16="http://schemas.microsoft.com/office/drawing/2014/main" id="{3E129308-CEC5-4EFB-CE52-4D42018D08F3}"/>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11178540" y="23926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ishwarya" refreshedDate="45989.659632407405" createdVersion="8" refreshedVersion="8" minRefreshableVersion="3" recordCount="2343" xr:uid="{FEB004C4-ADB9-4DD6-B1A3-D7547FBCC7B0}">
  <cacheSource type="worksheet">
    <worksheetSource ref="A1:J2342" sheet="Medical Examinations"/>
  </cacheSource>
  <cacheFields count="10">
    <cacheField name="Customer ID" numFmtId="0">
      <sharedItems count="2337">
        <s v="Id2335"/>
        <s v="Id2334"/>
        <s v="Id2333"/>
        <s v="Id2332"/>
        <s v="Id2331"/>
        <s v="Id2330"/>
        <s v="Id2329"/>
        <s v="Id2328"/>
        <s v="Id2327"/>
        <s v="Id2326"/>
        <s v="Id2325"/>
        <s v="Id2324"/>
        <s v="Id2323"/>
        <s v="Id2322"/>
        <s v="Id2321"/>
        <s v="Id2320"/>
        <s v="Id2319"/>
        <s v="Id2318"/>
        <s v="Id2317"/>
        <s v="Id2316"/>
        <s v="Id2315"/>
        <s v="Id2314"/>
        <s v="Id2313"/>
        <s v="Id2312"/>
        <s v="Id2311"/>
        <s v="Id2310"/>
        <s v="Id2309"/>
        <s v="Id2308"/>
        <s v="Id2307"/>
        <s v="Id2306"/>
        <s v="Id2305"/>
        <s v="Id2304"/>
        <s v="Id2303"/>
        <s v="Id2302"/>
        <s v="Id2301"/>
        <s v="Id2300"/>
        <s v="Id2299"/>
        <s v="Id2298"/>
        <s v="Id2297"/>
        <s v="Id2296"/>
        <s v="Id2294"/>
        <s v="Id2293"/>
        <s v="Id2292"/>
        <s v="Id2291"/>
        <s v="Id2216"/>
        <s v="Id2290"/>
        <s v="Id2289"/>
        <s v="Id2288"/>
        <s v="Id2287"/>
        <s v="Id2286"/>
        <s v="Id2285"/>
        <s v="Id2284"/>
        <s v="Id2283"/>
        <s v="Id2295"/>
        <s v="Id2282"/>
        <s v="Id2281"/>
        <s v="Id2280"/>
        <s v="Id2279"/>
        <s v="Id2278"/>
        <s v="Id2277"/>
        <s v="Id2276"/>
        <s v="Id2275"/>
        <s v="Id2274"/>
        <s v="Id2273"/>
        <s v="Id2272"/>
        <s v="Id2271"/>
        <s v="Id2270"/>
        <s v="Id2269"/>
        <s v="Id2268"/>
        <s v="Id2267"/>
        <s v="Id2266"/>
        <s v="Id2265"/>
        <s v="Id2264"/>
        <s v="Id2263"/>
        <s v="Id2262"/>
        <s v="Id2261"/>
        <s v="Id2260"/>
        <s v="Id2259"/>
        <s v="Id2258"/>
        <s v="Id2257"/>
        <s v="Id2256"/>
        <s v="Id2255"/>
        <s v="Id2254"/>
        <s v="Id2253"/>
        <s v="Id2252"/>
        <s v="Id2251"/>
        <s v="Id2250"/>
        <s v="Id2249"/>
        <s v="Id2248"/>
        <s v="Id2247"/>
        <s v="Id2246"/>
        <s v="Id2245"/>
        <s v="Id2244"/>
        <s v="Id2243"/>
        <s v="Id2242"/>
        <s v="Id2241"/>
        <s v="Id2240"/>
        <s v="Id2239"/>
        <s v="Id2238"/>
        <s v="Id2237"/>
        <s v="Id2236"/>
        <s v="Id2235"/>
        <s v="Id2234"/>
        <s v="Id2233"/>
        <s v="Id2232"/>
        <s v="Id2231"/>
        <s v="Id2230"/>
        <s v="Id2229"/>
        <s v="Id2228"/>
        <s v="Id2227"/>
        <s v="Id2226"/>
        <s v="Id2225"/>
        <s v="Id2224"/>
        <s v="Id2223"/>
        <s v="Id2222"/>
        <s v="Id2221"/>
        <s v="Id2220"/>
        <s v="Id2219"/>
        <s v="Id2218"/>
        <s v="Id2217"/>
        <s v="Id2215"/>
        <s v="Id2214"/>
        <s v="Id2213"/>
        <s v="Id2212"/>
        <s v="Id2211"/>
        <s v="Id2210"/>
        <s v="Id2209"/>
        <s v="Id2208"/>
        <s v="Id2207"/>
        <s v="Id2206"/>
        <s v="Id2205"/>
        <s v="Id2204"/>
        <s v="Id2203"/>
        <s v="Id2202"/>
        <s v="Id2201"/>
        <s v="Id2200"/>
        <s v="Id2199"/>
        <s v="Id2198"/>
        <s v="Id2197"/>
        <s v="Id2196"/>
        <s v="Id2195"/>
        <s v="Id2194"/>
        <s v="Id2193"/>
        <s v="Id2192"/>
        <s v="Id2191"/>
        <s v="Id2190"/>
        <s v="Id2189"/>
        <s v="Id2188"/>
        <s v="Id2187"/>
        <s v="Id2186"/>
        <s v="Id2185"/>
        <s v="Id2184"/>
        <s v="Id2183"/>
        <s v="Id2182"/>
        <s v="Id2181"/>
        <s v="Id2180"/>
        <s v="Id2179"/>
        <s v="Id2178"/>
        <s v="Id2177"/>
        <s v="Id2176"/>
        <s v="Id2175"/>
        <s v="Id2174"/>
        <s v="Id2173"/>
        <s v="Id2172"/>
        <s v="Id2171"/>
        <s v="Id2170"/>
        <s v="Id2169"/>
        <s v="Id2168"/>
        <s v="Id2167"/>
        <s v="Id2166"/>
        <s v="Id2165"/>
        <s v="Id2164"/>
        <s v="Id2163"/>
        <s v="Id2162"/>
        <s v="Id2161"/>
        <s v="Id2160"/>
        <s v="Id2159"/>
        <s v="Id2158"/>
        <s v="Id2157"/>
        <s v="Id2156"/>
        <s v="Id2155"/>
        <s v="Id2154"/>
        <s v="Id2153"/>
        <s v="Id2152"/>
        <s v="Id2151"/>
        <s v="Id2150"/>
        <s v="Id2149"/>
        <s v="Id2148"/>
        <s v="Id2147"/>
        <s v="Id2146"/>
        <s v="Id2145"/>
        <s v="Id2144"/>
        <s v="Id2143"/>
        <s v="Id2142"/>
        <s v="Id2141"/>
        <s v="Id2140"/>
        <s v="Id2139"/>
        <s v="Id2138"/>
        <s v="Id2137"/>
        <s v="Id2136"/>
        <s v="Id2135"/>
        <s v="Id2134"/>
        <s v="Id2133"/>
        <s v="Id2132"/>
        <s v="Id2131"/>
        <s v="Id2130"/>
        <s v="Id2129"/>
        <s v="Id2128"/>
        <s v="Id2127"/>
        <s v="Id2126"/>
        <s v="Id2125"/>
        <s v="Id2124"/>
        <s v="Id2123"/>
        <s v="Id2122"/>
        <s v="Id2121"/>
        <s v="Id2120"/>
        <s v="Id2119"/>
        <s v="Id2118"/>
        <s v="Id2117"/>
        <s v="Id2116"/>
        <s v="Id2115"/>
        <s v="Id2114"/>
        <s v="Id2113"/>
        <s v="Id2112"/>
        <s v="Id2111"/>
        <s v="Id2110"/>
        <s v="Id2109"/>
        <s v="Id2108"/>
        <s v="Id2107"/>
        <s v="Id2106"/>
        <s v="Id2105"/>
        <s v="Id2104"/>
        <s v="Id2103"/>
        <s v="Id2102"/>
        <s v="Id2101"/>
        <s v="Id2100"/>
        <s v="Id2099"/>
        <s v="Id2098"/>
        <s v="Id2097"/>
        <s v="Id2096"/>
        <s v="Id2095"/>
        <s v="Id2094"/>
        <s v="Id2093"/>
        <s v="Id2092"/>
        <s v="Id2091"/>
        <s v="Id2090"/>
        <s v="Id2089"/>
        <s v="Id2088"/>
        <s v="Id2087"/>
        <s v="Id2086"/>
        <s v="Id2085"/>
        <s v="Id2084"/>
        <s v="Id2083"/>
        <s v="Id2082"/>
        <s v="Id2081"/>
        <s v="Id2080"/>
        <s v="Id2079"/>
        <s v="Id2078"/>
        <s v="Id2077"/>
        <s v="Id2076"/>
        <s v="Id2075"/>
        <s v="Id2074"/>
        <s v="Id2073"/>
        <s v="Id2072"/>
        <s v="Id2071"/>
        <s v="Id2070"/>
        <s v="Id2069"/>
        <s v="Id2068"/>
        <s v="Id2067"/>
        <s v="Id2066"/>
        <s v="Id2065"/>
        <s v="Id2064"/>
        <s v="Id2063"/>
        <s v="Id2062"/>
        <s v="Id2061"/>
        <s v="Id2060"/>
        <s v="Id2059"/>
        <s v="Id2058"/>
        <s v="Id2057"/>
        <s v="Id2056"/>
        <s v="Id2055"/>
        <s v="Id2054"/>
        <s v="Id2053"/>
        <s v="Id2052"/>
        <s v="Id2051"/>
        <s v="Id2050"/>
        <s v="Id2049"/>
        <s v="Id2048"/>
        <s v="Id2047"/>
        <s v="Id2046"/>
        <s v="Id2045"/>
        <s v="Id2044"/>
        <s v="Id2043"/>
        <s v="Id2042"/>
        <s v="Id2041"/>
        <s v="Id2040"/>
        <s v="Id2039"/>
        <s v="Id2038"/>
        <s v="Id2037"/>
        <s v="Id2036"/>
        <s v="Id2035"/>
        <s v="Id2034"/>
        <s v="Id2033"/>
        <s v="Id2032"/>
        <s v="Id2031"/>
        <s v="Id2030"/>
        <s v="Id2029"/>
        <s v="Id2028"/>
        <s v="Id2027"/>
        <s v="Id2026"/>
        <s v="Id2025"/>
        <s v="Id2024"/>
        <s v="Id2023"/>
        <s v="Id2022"/>
        <s v="Id2021"/>
        <s v="Id2020"/>
        <s v="Id2019"/>
        <s v="Id2018"/>
        <s v="Id2017"/>
        <s v="Id2016"/>
        <s v="Id2015"/>
        <s v="Id2014"/>
        <s v="Id2013"/>
        <s v="Id2012"/>
        <s v="Id2011"/>
        <s v="Id2010"/>
        <s v="Id2009"/>
        <s v="Id2008"/>
        <s v="Id2007"/>
        <s v="Id2006"/>
        <s v="Id2005"/>
        <s v="Id2004"/>
        <s v="Id2003"/>
        <s v="Id2002"/>
        <s v="Id2001"/>
        <s v="Id2000"/>
        <s v="Id1999"/>
        <s v="Id1998"/>
        <s v="Id1997"/>
        <s v="Id1996"/>
        <s v="Id1995"/>
        <s v="Id1994"/>
        <s v="Id1993"/>
        <s v="Id1992"/>
        <s v="Id1991"/>
        <s v="Id1990"/>
        <s v="Id1989"/>
        <s v="Id1988"/>
        <s v="Id1987"/>
        <s v="Id1986"/>
        <s v="Id1985"/>
        <s v="Id1984"/>
        <s v="Id1983"/>
        <s v="Id1982"/>
        <s v="Id1981"/>
        <s v="Id1980"/>
        <s v="Id1979"/>
        <s v="Id1978"/>
        <s v="Id1977"/>
        <s v="Id1976"/>
        <s v="Id1975"/>
        <s v="Id1974"/>
        <s v="Id1973"/>
        <s v="Id1972"/>
        <s v="Id1971"/>
        <s v="Id1970"/>
        <s v="Id1969"/>
        <s v="Id1968"/>
        <s v="Id1967"/>
        <s v="Id1966"/>
        <s v="Id1965"/>
        <s v="Id1964"/>
        <s v="Id1963"/>
        <s v="Id1962"/>
        <s v="Id1961"/>
        <s v="Id1960"/>
        <s v="Id1959"/>
        <s v="Id1958"/>
        <s v="Id1957"/>
        <s v="Id1956"/>
        <s v="Id1955"/>
        <s v="Id1954"/>
        <s v="Id1953"/>
        <s v="Id1952"/>
        <s v="Id1951"/>
        <s v="Id1950"/>
        <s v="Id1949"/>
        <s v="Id1948"/>
        <s v="Id1947"/>
        <s v="Id1946"/>
        <s v="Id1945"/>
        <s v="Id1944"/>
        <s v="Id1943"/>
        <s v="Id1942"/>
        <s v="Id1941"/>
        <s v="Id1940"/>
        <s v="Id1939"/>
        <s v="Id1938"/>
        <s v="Id1937"/>
        <s v="Id1936"/>
        <s v="Id1935"/>
        <s v="Id1934"/>
        <s v="Id1933"/>
        <s v="Id1932"/>
        <s v="Id1931"/>
        <s v="Id1930"/>
        <s v="Id1929"/>
        <s v="Id1928"/>
        <s v="Id1927"/>
        <s v="Id1926"/>
        <s v="Id1925"/>
        <s v="Id1924"/>
        <s v="Id1923"/>
        <s v="Id1922"/>
        <s v="Id1921"/>
        <s v="Id1920"/>
        <s v="Id1919"/>
        <s v="Id1918"/>
        <s v="Id1917"/>
        <s v="Id1916"/>
        <s v="Id1915"/>
        <s v="Id1914"/>
        <s v="Id1913"/>
        <s v="Id1912"/>
        <s v="Id1911"/>
        <s v="Id1910"/>
        <s v="Id1909"/>
        <s v="Id1908"/>
        <s v="Id1907"/>
        <s v="Id1906"/>
        <s v="Id1905"/>
        <s v="Id1904"/>
        <s v="Id1903"/>
        <s v="Id1902"/>
        <s v="Id1901"/>
        <s v="Id1900"/>
        <s v="Id1899"/>
        <s v="Id1898"/>
        <s v="Id1897"/>
        <s v="Id1896"/>
        <s v="Id1895"/>
        <s v="Id1894"/>
        <s v="Id1893"/>
        <s v="Id1892"/>
        <s v="Id1891"/>
        <s v="Id1890"/>
        <s v="Id1889"/>
        <s v="Id1888"/>
        <s v="Id1887"/>
        <s v="Id1886"/>
        <s v="Id1885"/>
        <s v="Id1884"/>
        <s v="Id1883"/>
        <s v="Id1882"/>
        <s v="Id1881"/>
        <s v="Id1880"/>
        <s v="Id1879"/>
        <s v="Id1878"/>
        <s v="Id1877"/>
        <s v="Id1876"/>
        <s v="Id1875"/>
        <s v="Id1874"/>
        <s v="Id1873"/>
        <s v="Id1872"/>
        <s v="Id1871"/>
        <s v="Id1870"/>
        <s v="Id1869"/>
        <s v="Id1868"/>
        <s v="Id1867"/>
        <s v="Id1866"/>
        <s v="Id1865"/>
        <s v="Id1864"/>
        <s v="Id1863"/>
        <s v="Id1862"/>
        <s v="Id1861"/>
        <s v="Id1860"/>
        <s v="Id1859"/>
        <s v="Id1858"/>
        <s v="Id1857"/>
        <s v="Id1856"/>
        <s v="Id1855"/>
        <s v="Id1854"/>
        <s v="Id1853"/>
        <s v="Id1852"/>
        <s v="Id1851"/>
        <s v="Id1850"/>
        <s v="Id1849"/>
        <s v="Id1848"/>
        <s v="Id1847"/>
        <s v="Id1846"/>
        <s v="Id1845"/>
        <s v="Id1844"/>
        <s v="Id1843"/>
        <s v="Id1842"/>
        <s v="Id1841"/>
        <s v="Id1840"/>
        <s v="Id1839"/>
        <s v="Id1838"/>
        <s v="Id1837"/>
        <s v="Id1836"/>
        <s v="Id1835"/>
        <s v="Id1834"/>
        <s v="Id1833"/>
        <s v="Id1832"/>
        <s v="Id1831"/>
        <s v="Id1830"/>
        <s v="Id1829"/>
        <s v="Id1828"/>
        <s v="Id1827"/>
        <s v="Id1826"/>
        <s v="Id1825"/>
        <s v="Id1824"/>
        <s v="Id1823"/>
        <s v="Id1822"/>
        <s v="Id1821"/>
        <s v="Id1820"/>
        <s v="Id1819"/>
        <s v="Id1818"/>
        <s v="Id1817"/>
        <s v="Id1816"/>
        <s v="Id1815"/>
        <s v="Id1814"/>
        <s v="Id1813"/>
        <s v="Id1812"/>
        <s v="Id1811"/>
        <s v="Id1810"/>
        <s v="Id1809"/>
        <s v="Id1808"/>
        <s v="Id1807"/>
        <s v="Id1806"/>
        <s v="Id1805"/>
        <s v="Id1804"/>
        <s v="Id1803"/>
        <s v="Id1802"/>
        <s v="Id1801"/>
        <s v="Id1800"/>
        <s v="Id1799"/>
        <s v="Id1798"/>
        <s v="Id1797"/>
        <s v="Id1796"/>
        <s v="Id1795"/>
        <s v="Id1794"/>
        <s v="Id1793"/>
        <s v="Id1792"/>
        <s v="Id1791"/>
        <s v="Id1790"/>
        <s v="Id1789"/>
        <s v="Id1788"/>
        <s v="Id1787"/>
        <s v="Id1786"/>
        <s v="Id1785"/>
        <s v="Id1784"/>
        <s v="Id1783"/>
        <s v="Id1782"/>
        <s v="Id1781"/>
        <s v="Id1780"/>
        <s v="Id1779"/>
        <s v="Id1778"/>
        <s v="Id1777"/>
        <s v="Id1776"/>
        <s v="Id1775"/>
        <s v="Id1774"/>
        <s v="Id1773"/>
        <s v="Id1772"/>
        <s v="Id1771"/>
        <s v="Id1770"/>
        <s v="Id1769"/>
        <s v="Id1768"/>
        <s v="Id1767"/>
        <s v="Id1766"/>
        <s v="Id1765"/>
        <s v="Id1764"/>
        <s v="Id1763"/>
        <s v="Id1762"/>
        <s v="Id1761"/>
        <s v="Id1760"/>
        <s v="Id1759"/>
        <s v="Id1758"/>
        <s v="Id1757"/>
        <s v="Id1756"/>
        <s v="Id1755"/>
        <s v="Id1754"/>
        <s v="Id1753"/>
        <s v="Id1752"/>
        <s v="Id1751"/>
        <s v="Id1750"/>
        <s v="Id1749"/>
        <s v="Id1748"/>
        <s v="Id1747"/>
        <s v="Id1746"/>
        <s v="Id1745"/>
        <s v="Id1744"/>
        <s v="Id1743"/>
        <s v="Id1742"/>
        <s v="Id1741"/>
        <s v="Id1740"/>
        <s v="Id1739"/>
        <s v="Id1738"/>
        <s v="Id1737"/>
        <s v="Id1736"/>
        <s v="Id1735"/>
        <s v="Id1734"/>
        <s v="Id1733"/>
        <s v="Id1732"/>
        <s v="Id1731"/>
        <s v="Id1730"/>
        <s v="Id1729"/>
        <s v="Id1728"/>
        <s v="Id1727"/>
        <s v="Id1726"/>
        <s v="Id1725"/>
        <s v="Id1724"/>
        <s v="Id1723"/>
        <s v="Id1722"/>
        <s v="Id1721"/>
        <s v="Id1720"/>
        <s v="Id1719"/>
        <s v="Id1718"/>
        <s v="Id1717"/>
        <s v="Id1716"/>
        <s v="Id1715"/>
        <s v="Id1714"/>
        <s v="Id1713"/>
        <s v="Id1712"/>
        <s v="Id1711"/>
        <s v="Id1710"/>
        <s v="Id1709"/>
        <s v="Id1708"/>
        <s v="Id1707"/>
        <s v="Id1706"/>
        <s v="Id1705"/>
        <s v="Id1704"/>
        <s v="Id1703"/>
        <s v="Id1702"/>
        <s v="Id1701"/>
        <s v="Id1700"/>
        <s v="Id1699"/>
        <s v="Id1698"/>
        <s v="Id1697"/>
        <s v="Id1696"/>
        <s v="Id1695"/>
        <s v="Id1694"/>
        <s v="Id1693"/>
        <s v="Id1692"/>
        <s v="Id1691"/>
        <s v="Id1690"/>
        <s v="Id1689"/>
        <s v="Id1688"/>
        <s v="Id1687"/>
        <s v="Id1686"/>
        <s v="Id1685"/>
        <s v="Id1684"/>
        <s v="Id1683"/>
        <s v="Id1682"/>
        <s v="Id1681"/>
        <s v="Id1680"/>
        <s v="Id1679"/>
        <s v="Id1678"/>
        <s v="Id1677"/>
        <s v="Id1676"/>
        <s v="Id1675"/>
        <s v="Id1674"/>
        <s v="Id1673"/>
        <s v="Id1672"/>
        <s v="Id1671"/>
        <s v="Id1670"/>
        <s v="Id1669"/>
        <s v="Id1668"/>
        <s v="Id1667"/>
        <s v="Id1666"/>
        <s v="Id1665"/>
        <s v="Id1664"/>
        <s v="Id1663"/>
        <s v="Id1662"/>
        <s v="Id1661"/>
        <s v="Id1660"/>
        <s v="Id1659"/>
        <s v="Id1658"/>
        <s v="Id1657"/>
        <s v="Id1656"/>
        <s v="Id1655"/>
        <s v="Id1654"/>
        <s v="Id1653"/>
        <s v="Id1652"/>
        <s v="Id1651"/>
        <s v="Id1650"/>
        <s v="Id1649"/>
        <s v="Id1648"/>
        <s v="Id1647"/>
        <s v="Id1646"/>
        <s v="Id1645"/>
        <s v="Id1644"/>
        <s v="Id1643"/>
        <s v="Id1642"/>
        <s v="Id1641"/>
        <s v="Id1640"/>
        <s v="Id1639"/>
        <s v="Id1638"/>
        <s v="Id1637"/>
        <s v="Id1636"/>
        <s v="Id1635"/>
        <s v="Id1634"/>
        <s v="Id1633"/>
        <s v="Id1632"/>
        <s v="Id1631"/>
        <s v="Id1630"/>
        <s v="Id1629"/>
        <s v="Id1628"/>
        <s v="Id1627"/>
        <s v="Id1626"/>
        <s v="Id1625"/>
        <s v="Id1624"/>
        <s v="Id1623"/>
        <s v="Id1622"/>
        <s v="Id1621"/>
        <s v="Id1620"/>
        <s v="Id1619"/>
        <s v="Id1618"/>
        <s v="Id1617"/>
        <s v="Id1616"/>
        <s v="Id1615"/>
        <s v="Id1614"/>
        <s v="Id1613"/>
        <s v="Id1612"/>
        <s v="Id1611"/>
        <s v="Id1610"/>
        <s v="Id1609"/>
        <s v="Id1608"/>
        <s v="Id1607"/>
        <s v="Id1606"/>
        <s v="Id1605"/>
        <s v="Id1604"/>
        <s v="Id1603"/>
        <s v="Id1602"/>
        <s v="Id1601"/>
        <s v="Id1600"/>
        <s v="Id1599"/>
        <s v="Id1598"/>
        <s v="Id1597"/>
        <s v="Id1596"/>
        <s v="Id1595"/>
        <s v="Id1594"/>
        <s v="Id1593"/>
        <s v="Id1592"/>
        <s v="Id1591"/>
        <s v="Id1590"/>
        <s v="Id1589"/>
        <s v="Id1588"/>
        <s v="Id1587"/>
        <s v="Id1586"/>
        <s v="Id1585"/>
        <s v="Id1584"/>
        <s v="Id1583"/>
        <s v="Id1582"/>
        <s v="Id1581"/>
        <s v="Id1580"/>
        <s v="Id1579"/>
        <s v="Id1578"/>
        <s v="Id1577"/>
        <s v="Id1576"/>
        <s v="Id1575"/>
        <s v="Id1574"/>
        <s v="Id1573"/>
        <s v="Id1572"/>
        <s v="Id1571"/>
        <s v="Id1570"/>
        <s v="Id1569"/>
        <s v="Id1568"/>
        <s v="Id1567"/>
        <s v="Id1566"/>
        <s v="Id1565"/>
        <s v="Id1564"/>
        <s v="Id1563"/>
        <s v="Id1562"/>
        <s v="Id1561"/>
        <s v="Id1560"/>
        <s v="Id1559"/>
        <s v="Id1558"/>
        <s v="Id1557"/>
        <s v="Id1556"/>
        <s v="Id1555"/>
        <s v="Id1554"/>
        <s v="Id1553"/>
        <s v="Id1552"/>
        <s v="Id1551"/>
        <s v="Id1550"/>
        <s v="Id1549"/>
        <s v="Id1548"/>
        <s v="Id1547"/>
        <s v="Id1546"/>
        <s v="Id1545"/>
        <s v="Id1544"/>
        <s v="Id1543"/>
        <s v="Id1542"/>
        <s v="Id1541"/>
        <s v="Id1540"/>
        <s v="Id1539"/>
        <s v="Id1538"/>
        <s v="Id1537"/>
        <s v="Id1536"/>
        <s v="Id1535"/>
        <s v="Id1534"/>
        <s v="Id1533"/>
        <s v="Id1532"/>
        <s v="Id1531"/>
        <s v="Id1530"/>
        <s v="Id1529"/>
        <s v="Id1528"/>
        <s v="Id1527"/>
        <s v="Id1526"/>
        <s v="Id1525"/>
        <s v="Id1524"/>
        <s v="Id1523"/>
        <s v="Id1522"/>
        <s v="Id1521"/>
        <s v="Id1520"/>
        <s v="Id1519"/>
        <s v="Id1518"/>
        <s v="Id1517"/>
        <s v="Id1516"/>
        <s v="Id1515"/>
        <s v="Id1514"/>
        <s v="Id1513"/>
        <s v="Id1512"/>
        <s v="Id1511"/>
        <s v="Id1510"/>
        <s v="Id1509"/>
        <s v="Id1508"/>
        <s v="Id1507"/>
        <s v="Id1506"/>
        <s v="Id1505"/>
        <s v="Id1504"/>
        <s v="Id1503"/>
        <s v="Id1502"/>
        <s v="Id1501"/>
        <s v="Id1500"/>
        <s v="Id1499"/>
        <s v="Id1498"/>
        <s v="Id1497"/>
        <s v="Id1496"/>
        <s v="Id1495"/>
        <s v="Id1494"/>
        <s v="Id1493"/>
        <s v="Id1492"/>
        <s v="Id1491"/>
        <s v="Id1490"/>
        <s v="Id1489"/>
        <s v="Id1488"/>
        <s v="Id1487"/>
        <s v="Id1486"/>
        <s v="Id1485"/>
        <s v="Id1484"/>
        <s v="Id1483"/>
        <s v="Id1482"/>
        <s v="Id1481"/>
        <s v="Id1480"/>
        <s v="Id1479"/>
        <s v="Id1478"/>
        <s v="Id1477"/>
        <s v="Id1476"/>
        <s v="Id1475"/>
        <s v="Id1474"/>
        <s v="Id1473"/>
        <s v="Id1472"/>
        <s v="Id1471"/>
        <s v="Id1470"/>
        <s v="Id1469"/>
        <s v="Id1468"/>
        <s v="Id1467"/>
        <s v="Id1466"/>
        <s v="Id1465"/>
        <s v="Id1464"/>
        <s v="Id1463"/>
        <s v="Id1462"/>
        <s v="Id1461"/>
        <s v="Id1460"/>
        <s v="Id1459"/>
        <s v="Id1458"/>
        <s v="Id1457"/>
        <s v="Id1456"/>
        <s v="Id1455"/>
        <s v="Id1454"/>
        <s v="Id1453"/>
        <s v="Id1452"/>
        <s v="Id1451"/>
        <s v="Id1450"/>
        <s v="Id1449"/>
        <s v="Id1448"/>
        <s v="Id1447"/>
        <s v="Id1446"/>
        <s v="Id1445"/>
        <s v="Id1444"/>
        <s v="Id1443"/>
        <s v="Id1442"/>
        <s v="Id1441"/>
        <s v="Id1440"/>
        <s v="Id1439"/>
        <s v="Id1438"/>
        <s v="Id1437"/>
        <s v="Id1436"/>
        <s v="Id1435"/>
        <s v="Id1434"/>
        <s v="Id1433"/>
        <s v="Id1432"/>
        <s v="Id1431"/>
        <s v="Id1430"/>
        <s v="Id1429"/>
        <s v="Id1428"/>
        <s v="Id1427"/>
        <s v="Id1426"/>
        <s v="Id1425"/>
        <s v="Id1424"/>
        <s v="Id1423"/>
        <s v="Id1422"/>
        <s v="Id1421"/>
        <s v="Id1420"/>
        <s v="Id1419"/>
        <s v="Id1418"/>
        <s v="Id1417"/>
        <s v="Id1416"/>
        <s v="Id1415"/>
        <s v="Id1414"/>
        <s v="Id1413"/>
        <s v="Id1412"/>
        <s v="Id1411"/>
        <s v="Id1410"/>
        <s v="Id1409"/>
        <s v="Id1408"/>
        <s v="Id1407"/>
        <s v="Id1406"/>
        <s v="Id1405"/>
        <s v="Id1404"/>
        <s v="Id1403"/>
        <s v="Id1402"/>
        <s v="Id1401"/>
        <s v="Id1400"/>
        <s v="Id1399"/>
        <s v="Id1398"/>
        <s v="Id1397"/>
        <s v="Id1396"/>
        <s v="Id1395"/>
        <s v="Id1394"/>
        <s v="Id1393"/>
        <s v="Id1392"/>
        <s v="Id1391"/>
        <s v="Id1390"/>
        <s v="Id1389"/>
        <s v="Id1388"/>
        <s v="Id1387"/>
        <s v="Id1386"/>
        <s v="Id1385"/>
        <s v="Id1384"/>
        <s v="Id1383"/>
        <s v="Id1382"/>
        <s v="Id1381"/>
        <s v="Id1380"/>
        <s v="Id1379"/>
        <s v="Id1378"/>
        <s v="Id1377"/>
        <s v="Id1376"/>
        <s v="Id1375"/>
        <s v="Id1374"/>
        <s v="Id1373"/>
        <s v="Id1372"/>
        <s v="Id1371"/>
        <s v="Id1370"/>
        <s v="Id1369"/>
        <s v="Id1368"/>
        <s v="Id1367"/>
        <s v="Id1366"/>
        <s v="Id1365"/>
        <s v="Id1364"/>
        <s v="Id1363"/>
        <s v="Id1362"/>
        <s v="Id1361"/>
        <s v="Id1360"/>
        <s v="Id1359"/>
        <s v="Id1358"/>
        <s v="Id1357"/>
        <s v="Id1356"/>
        <s v="Id1355"/>
        <s v="Id1354"/>
        <s v="Id1353"/>
        <s v="Id1352"/>
        <s v="Id1351"/>
        <s v="Id1350"/>
        <s v="Id1349"/>
        <s v="Id1348"/>
        <s v="Id1347"/>
        <s v="Id1346"/>
        <s v="Id1345"/>
        <s v="Id1344"/>
        <s v="Id1343"/>
        <s v="Id1342"/>
        <s v="Id1341"/>
        <s v="Id1340"/>
        <s v="Id1339"/>
        <s v="Id1338"/>
        <s v="Id1337"/>
        <s v="Id1336"/>
        <s v="Id1335"/>
        <s v="Id1334"/>
        <s v="Id1333"/>
        <s v="Id1332"/>
        <s v="Id1331"/>
        <s v="Id1330"/>
        <s v="Id1329"/>
        <s v="Id1328"/>
        <s v="Id1327"/>
        <s v="Id1326"/>
        <s v="Id1325"/>
        <s v="Id1324"/>
        <s v="Id1323"/>
        <s v="Id1322"/>
        <s v="Id1321"/>
        <s v="Id1320"/>
        <s v="Id1319"/>
        <s v="Id1318"/>
        <s v="Id1317"/>
        <s v="Id1316"/>
        <s v="Id1315"/>
        <s v="Id1314"/>
        <s v="Id1313"/>
        <s v="Id1312"/>
        <s v="Id1311"/>
        <s v="Id1310"/>
        <s v="Id1309"/>
        <s v="Id1308"/>
        <s v="Id1307"/>
        <s v="Id1306"/>
        <s v="Id1305"/>
        <s v="Id1304"/>
        <s v="Id1303"/>
        <s v="Id1302"/>
        <s v="Id1301"/>
        <s v="Id1300"/>
        <s v="Id1299"/>
        <s v="Id1298"/>
        <s v="Id1297"/>
        <s v="Id1296"/>
        <s v="Id1295"/>
        <s v="Id1294"/>
        <s v="Id1293"/>
        <s v="Id1292"/>
        <s v="Id1291"/>
        <s v="Id1290"/>
        <s v="Id1289"/>
        <s v="Id1288"/>
        <s v="Id1287"/>
        <s v="Id1286"/>
        <s v="Id1285"/>
        <s v="Id1284"/>
        <s v="Id1283"/>
        <s v="Id1282"/>
        <s v="Id1281"/>
        <s v="Id1280"/>
        <s v="Id1279"/>
        <s v="Id1278"/>
        <s v="Id1277"/>
        <s v="Id1276"/>
        <s v="Id1275"/>
        <s v="Id1274"/>
        <s v="Id1273"/>
        <s v="Id1272"/>
        <s v="Id1271"/>
        <s v="Id1270"/>
        <s v="Id1269"/>
        <s v="Id1268"/>
        <s v="Id1267"/>
        <s v="Id1266"/>
        <s v="Id1265"/>
        <s v="Id1264"/>
        <s v="Id1263"/>
        <s v="Id1262"/>
        <s v="Id1261"/>
        <s v="Id1260"/>
        <s v="Id1259"/>
        <s v="Id1258"/>
        <s v="Id1257"/>
        <s v="Id1256"/>
        <s v="Id1255"/>
        <s v="Id1254"/>
        <s v="Id1253"/>
        <s v="Id1252"/>
        <s v="Id1251"/>
        <s v="Id1250"/>
        <s v="Id1249"/>
        <s v="Id1248"/>
        <s v="Id1247"/>
        <s v="Id1246"/>
        <s v="Id1245"/>
        <s v="Id1244"/>
        <s v="Id1243"/>
        <s v="Id1242"/>
        <s v="Id1241"/>
        <s v="Id1240"/>
        <s v="Id1239"/>
        <s v="Id1238"/>
        <s v="Id1237"/>
        <s v="Id1236"/>
        <s v="Id1235"/>
        <s v="Id1234"/>
        <s v="Id1233"/>
        <s v="Id1232"/>
        <s v="Id1231"/>
        <s v="Id1230"/>
        <s v="Id1229"/>
        <s v="Id1228"/>
        <s v="Id1227"/>
        <s v="Id1226"/>
        <s v="Id1225"/>
        <s v="Id1224"/>
        <s v="Id1223"/>
        <s v="Id1222"/>
        <s v="Id1221"/>
        <s v="Id1220"/>
        <s v="Id1219"/>
        <s v="Id1218"/>
        <s v="Id1217"/>
        <s v="Id1216"/>
        <s v="Id1215"/>
        <s v="Id1214"/>
        <s v="Id1213"/>
        <s v="Id1212"/>
        <s v="Id1211"/>
        <s v="Id1210"/>
        <s v="Id1209"/>
        <s v="Id1208"/>
        <s v="Id1207"/>
        <s v="Id1206"/>
        <s v="Id1205"/>
        <s v="Id1204"/>
        <s v="Id1203"/>
        <s v="Id1202"/>
        <s v="Id1201"/>
        <s v="Id1200"/>
        <s v="Id1199"/>
        <s v="Id1198"/>
        <s v="Id1197"/>
        <s v="Id1196"/>
        <s v="Id1195"/>
        <s v="Id1194"/>
        <s v="Id1193"/>
        <s v="Id1192"/>
        <s v="Id1191"/>
        <s v="Id1190"/>
        <s v="Id1189"/>
        <s v="Id1188"/>
        <s v="Id1187"/>
        <s v="Id1186"/>
        <s v="Id1185"/>
        <s v="Id1184"/>
        <s v="Id1183"/>
        <s v="Id1182"/>
        <s v="Id1181"/>
        <s v="Id1180"/>
        <s v="Id1179"/>
        <s v="Id1178"/>
        <s v="Id1177"/>
        <s v="Id1176"/>
        <s v="Id1175"/>
        <s v="Id1174"/>
        <s v="Id1173"/>
        <s v="Id1172"/>
        <s v="Id1171"/>
        <s v="Id1170"/>
        <s v="Id1169"/>
        <s v="Id1168"/>
        <s v="Id1167"/>
        <s v="Id1166"/>
        <s v="Id1165"/>
        <s v="Id1164"/>
        <s v="Id1163"/>
        <s v="Id1162"/>
        <s v="Id1161"/>
        <s v="Id1160"/>
        <s v="Id1159"/>
        <s v="Id1158"/>
        <s v="Id1157"/>
        <s v="Id1156"/>
        <s v="Id1155"/>
        <s v="Id1154"/>
        <s v="Id1153"/>
        <s v="Id1152"/>
        <s v="Id1151"/>
        <s v="Id1150"/>
        <s v="Id1149"/>
        <s v="Id1148"/>
        <s v="Id1147"/>
        <s v="Id1146"/>
        <s v="Id1145"/>
        <s v="Id1144"/>
        <s v="Id1143"/>
        <s v="Id1142"/>
        <s v="Id1141"/>
        <s v="Id1140"/>
        <s v="Id1139"/>
        <s v="Id1138"/>
        <s v="Id1137"/>
        <s v="Id1136"/>
        <s v="Id1135"/>
        <s v="Id1134"/>
        <s v="Id1133"/>
        <s v="Id1132"/>
        <s v="Id1131"/>
        <s v="Id1130"/>
        <s v="Id1129"/>
        <s v="Id1128"/>
        <s v="Id1127"/>
        <s v="Id1126"/>
        <s v="Id1125"/>
        <s v="Id1124"/>
        <s v="Id1123"/>
        <s v="Id1122"/>
        <s v="Id1121"/>
        <s v="Id1120"/>
        <s v="Id1119"/>
        <s v="Id1118"/>
        <s v="Id1117"/>
        <s v="Id1116"/>
        <s v="Id1115"/>
        <s v="Id1114"/>
        <s v="Id1113"/>
        <s v="Id1112"/>
        <s v="Id1111"/>
        <s v="Id1110"/>
        <s v="Id1109"/>
        <s v="Id1108"/>
        <s v="Id1107"/>
        <s v="Id1106"/>
        <s v="Id1105"/>
        <s v="Id1104"/>
        <s v="Id1103"/>
        <s v="Id1102"/>
        <s v="Id1101"/>
        <s v="Id1100"/>
        <s v="Id1099"/>
        <s v="Id1098"/>
        <s v="Id1097"/>
        <s v="Id1096"/>
        <s v="Id1095"/>
        <s v="Id1094"/>
        <s v="Id1093"/>
        <s v="Id1092"/>
        <s v="Id1091"/>
        <s v="Id1090"/>
        <s v="Id1089"/>
        <s v="Id1088"/>
        <s v="Id1087"/>
        <s v="Id1086"/>
        <s v="Id1085"/>
        <s v="Id1084"/>
        <s v="Id1083"/>
        <s v="Id1082"/>
        <s v="Id1081"/>
        <s v="Id1080"/>
        <s v="Id1079"/>
        <s v="Id1078"/>
        <s v="Id1077"/>
        <s v="Id1076"/>
        <s v="Id1075"/>
        <s v="Id1074"/>
        <s v="Id1073"/>
        <s v="Id1072"/>
        <s v="Id1071"/>
        <s v="Id1070"/>
        <s v="Id1069"/>
        <s v="Id1068"/>
        <s v="Id1067"/>
        <s v="Id1066"/>
        <s v="Id1065"/>
        <s v="Id1064"/>
        <s v="Id1063"/>
        <s v="Id1062"/>
        <s v="Id1061"/>
        <s v="Id1060"/>
        <s v="Id1059"/>
        <s v="Id1058"/>
        <s v="Id1057"/>
        <s v="Id1056"/>
        <s v="Id1055"/>
        <s v="Id1054"/>
        <s v="Id1053"/>
        <s v="Id1052"/>
        <s v="Id1051"/>
        <s v="Id1050"/>
        <s v="Id1049"/>
        <s v="Id1048"/>
        <s v="Id1047"/>
        <s v="Id1046"/>
        <s v="Id1045"/>
        <s v="Id1044"/>
        <s v="Id1043"/>
        <s v="Id1042"/>
        <s v="Id1041"/>
        <s v="Id1040"/>
        <s v="Id1039"/>
        <s v="Id1038"/>
        <s v="Id1037"/>
        <s v="Id1036"/>
        <s v="Id1035"/>
        <s v="Id1034"/>
        <s v="Id1033"/>
        <s v="Id1032"/>
        <s v="Id1031"/>
        <s v="Id1030"/>
        <s v="Id1029"/>
        <s v="Id1028"/>
        <s v="Id1027"/>
        <s v="Id1026"/>
        <s v="Id1025"/>
        <s v="Id1024"/>
        <s v="Id1023"/>
        <s v="Id1022"/>
        <s v="Id1021"/>
        <s v="Id1020"/>
        <s v="Id1019"/>
        <s v="Id1018"/>
        <s v="Id1017"/>
        <s v="Id1016"/>
        <s v="Id1015"/>
        <s v="Id1014"/>
        <s v="Id1013"/>
        <s v="Id1012"/>
        <s v="Id1011"/>
        <s v="Id1010"/>
        <s v="Id1009"/>
        <s v="Id1008"/>
        <s v="Id1007"/>
        <s v="Id1006"/>
        <s v="Id1005"/>
        <s v="Id1004"/>
        <s v="Id1003"/>
        <s v="Id1002"/>
        <s v="Id1001"/>
        <s v="Id1000"/>
        <s v="Id999"/>
        <s v="Id998"/>
        <s v="Id997"/>
        <s v="Id996"/>
        <s v="Id995"/>
        <s v="Id994"/>
        <s v="Id993"/>
        <s v="Id992"/>
        <s v="Id991"/>
        <s v="Id990"/>
        <s v="Id989"/>
        <s v="Id988"/>
        <s v="Id987"/>
        <s v="Id986"/>
        <s v="Id985"/>
        <s v="Id984"/>
        <s v="Id983"/>
        <s v="Id982"/>
        <s v="Id981"/>
        <s v="Id980"/>
        <s v="Id979"/>
        <s v="Id978"/>
        <s v="Id977"/>
        <s v="Id976"/>
        <s v="Id975"/>
        <s v="Id974"/>
        <s v="Id973"/>
        <s v="Id972"/>
        <s v="Id971"/>
        <s v="Id970"/>
        <s v="Id969"/>
        <s v="Id968"/>
        <s v="Id967"/>
        <s v="Id966"/>
        <s v="Id965"/>
        <s v="Id964"/>
        <s v="Id963"/>
        <s v="Id962"/>
        <s v="Id961"/>
        <s v="Id960"/>
        <s v="Id959"/>
        <s v="Id958"/>
        <s v="Id957"/>
        <s v="Id956"/>
        <s v="Id955"/>
        <s v="Id954"/>
        <s v="Id953"/>
        <s v="Id952"/>
        <s v="Id951"/>
        <s v="Id950"/>
        <s v="Id949"/>
        <s v="Id948"/>
        <s v="Id947"/>
        <s v="Id946"/>
        <s v="Id945"/>
        <s v="Id944"/>
        <s v="Id943"/>
        <s v="Id942"/>
        <s v="Id941"/>
        <s v="Id940"/>
        <s v="Id939"/>
        <s v="Id938"/>
        <s v="Id937"/>
        <s v="Id936"/>
        <s v="Id935"/>
        <s v="Id934"/>
        <s v="Id933"/>
        <s v="Id932"/>
        <s v="Id931"/>
        <s v="Id930"/>
        <s v="Id929"/>
        <s v="Id928"/>
        <s v="Id927"/>
        <s v="Id926"/>
        <s v="Id925"/>
        <s v="Id924"/>
        <s v="Id923"/>
        <s v="Id922"/>
        <s v="Id921"/>
        <s v="Id920"/>
        <s v="Id919"/>
        <s v="Id918"/>
        <s v="Id917"/>
        <s v="Id916"/>
        <s v="Id915"/>
        <s v="Id914"/>
        <s v="Id913"/>
        <s v="Id912"/>
        <s v="Id911"/>
        <s v="Id910"/>
        <s v="Id909"/>
        <s v="Id908"/>
        <s v="Id907"/>
        <s v="Id906"/>
        <s v="Id905"/>
        <s v="Id904"/>
        <s v="Id903"/>
        <s v="Id902"/>
        <s v="Id901"/>
        <s v="Id900"/>
        <s v="Id899"/>
        <s v="Id898"/>
        <s v="Id897"/>
        <s v="Id896"/>
        <s v="Id895"/>
        <s v="Id894"/>
        <s v="Id893"/>
        <s v="Id892"/>
        <s v="Id891"/>
        <s v="Id890"/>
        <s v="Id889"/>
        <s v="Id888"/>
        <s v="Id887"/>
        <s v="Id886"/>
        <s v="Id885"/>
        <s v="Id884"/>
        <s v="Id883"/>
        <s v="Id882"/>
        <s v="Id881"/>
        <s v="Id880"/>
        <s v="Id879"/>
        <s v="Id878"/>
        <s v="Id877"/>
        <s v="Id876"/>
        <s v="Id875"/>
        <s v="Id874"/>
        <s v="Id873"/>
        <s v="Id872"/>
        <s v="Id871"/>
        <s v="Id870"/>
        <s v="Id869"/>
        <s v="Id868"/>
        <s v="Id867"/>
        <s v="Id866"/>
        <s v="Id865"/>
        <s v="Id864"/>
        <s v="Id863"/>
        <s v="Id862"/>
        <s v="Id861"/>
        <s v="Id860"/>
        <s v="Id859"/>
        <s v="Id858"/>
        <s v="Id857"/>
        <s v="Id856"/>
        <s v="Id855"/>
        <s v="Id854"/>
        <s v="Id853"/>
        <s v="Id852"/>
        <s v="Id851"/>
        <s v="Id850"/>
        <s v="Id849"/>
        <s v="Id848"/>
        <s v="Id847"/>
        <s v="Id846"/>
        <s v="Id845"/>
        <s v="Id844"/>
        <s v="Id843"/>
        <s v="Id842"/>
        <s v="Id841"/>
        <s v="Id840"/>
        <s v="Id839"/>
        <s v="Id838"/>
        <s v="Id837"/>
        <s v="Id836"/>
        <s v="Id835"/>
        <s v="Id834"/>
        <s v="Id833"/>
        <s v="Id832"/>
        <s v="Id831"/>
        <s v="Id830"/>
        <s v="Id829"/>
        <s v="Id828"/>
        <s v="Id827"/>
        <s v="Id826"/>
        <s v="Id825"/>
        <s v="Id824"/>
        <s v="Id823"/>
        <s v="Id822"/>
        <s v="Id821"/>
        <s v="Id820"/>
        <s v="Id819"/>
        <s v="Id818"/>
        <s v="Id817"/>
        <s v="Id816"/>
        <s v="Id815"/>
        <s v="Id814"/>
        <s v="Id813"/>
        <s v="Id812"/>
        <s v="Id811"/>
        <s v="Id810"/>
        <s v="Id809"/>
        <s v="Id808"/>
        <s v="Id807"/>
        <s v="Id806"/>
        <s v="Id805"/>
        <s v="Id804"/>
        <s v="Id803"/>
        <s v="Id802"/>
        <s v="Id801"/>
        <s v="Id800"/>
        <s v="Id799"/>
        <s v="Id798"/>
        <s v="Id797"/>
        <s v="Id796"/>
        <s v="Id795"/>
        <s v="Id794"/>
        <s v="Id793"/>
        <s v="Id792"/>
        <s v="Id791"/>
        <s v="Id790"/>
        <s v="Id789"/>
        <s v="Id788"/>
        <s v="Id787"/>
        <s v="Id786"/>
        <s v="Id785"/>
        <s v="Id784"/>
        <s v="Id783"/>
        <s v="Id782"/>
        <s v="Id781"/>
        <s v="Id780"/>
        <s v="Id779"/>
        <s v="Id778"/>
        <s v="Id777"/>
        <s v="Id776"/>
        <s v="Id775"/>
        <s v="Id774"/>
        <s v="Id773"/>
        <s v="Id772"/>
        <s v="Id771"/>
        <s v="Id770"/>
        <s v="Id769"/>
        <s v="Id768"/>
        <s v="Id767"/>
        <s v="Id766"/>
        <s v="Id765"/>
        <s v="Id764"/>
        <s v="Id763"/>
        <s v="Id762"/>
        <s v="Id761"/>
        <s v="Id760"/>
        <s v="Id759"/>
        <s v="Id758"/>
        <s v="Id757"/>
        <s v="Id756"/>
        <s v="Id755"/>
        <s v="Id754"/>
        <s v="Id753"/>
        <s v="Id752"/>
        <s v="Id751"/>
        <s v="Id750"/>
        <s v="Id749"/>
        <s v="Id748"/>
        <s v="Id747"/>
        <s v="Id746"/>
        <s v="Id745"/>
        <s v="Id744"/>
        <s v="Id743"/>
        <s v="Id742"/>
        <s v="Id741"/>
        <s v="Id740"/>
        <s v="Id739"/>
        <s v="Id738"/>
        <s v="Id737"/>
        <s v="Id736"/>
        <s v="Id735"/>
        <s v="Id734"/>
        <s v="Id733"/>
        <s v="Id732"/>
        <s v="Id731"/>
        <s v="Id730"/>
        <s v="Id729"/>
        <s v="Id728"/>
        <s v="Id727"/>
        <s v="Id726"/>
        <s v="Id725"/>
        <s v="Id724"/>
        <s v="Id723"/>
        <s v="Id722"/>
        <s v="Id721"/>
        <s v="Id720"/>
        <s v="Id719"/>
        <s v="Id718"/>
        <s v="Id717"/>
        <s v="Id716"/>
        <s v="Id715"/>
        <s v="Id714"/>
        <s v="Id713"/>
        <s v="Id712"/>
        <s v="Id711"/>
        <s v="Id710"/>
        <s v="Id709"/>
        <s v="Id708"/>
        <s v="Id707"/>
        <s v="Id706"/>
        <s v="Id705"/>
        <s v="Id704"/>
        <s v="Id703"/>
        <s v="Id702"/>
        <s v="Id701"/>
        <s v="Id700"/>
        <s v="Id699"/>
        <s v="Id698"/>
        <s v="Id697"/>
        <s v="Id696"/>
        <s v="Id695"/>
        <s v="Id694"/>
        <s v="Id693"/>
        <s v="Id692"/>
        <s v="Id691"/>
        <s v="Id690"/>
        <s v="Id689"/>
        <s v="Id688"/>
        <s v="Id687"/>
        <s v="Id686"/>
        <s v="Id685"/>
        <s v="Id684"/>
        <s v="Id683"/>
        <s v="Id682"/>
        <s v="Id681"/>
        <s v="Id680"/>
        <s v="Id679"/>
        <s v="Id678"/>
        <s v="Id677"/>
        <s v="Id676"/>
        <s v="Id675"/>
        <s v="Id674"/>
        <s v="Id673"/>
        <s v="Id672"/>
        <s v="Id671"/>
        <s v="Id670"/>
        <s v="Id669"/>
        <s v="Id668"/>
        <s v="Id667"/>
        <s v="Id666"/>
        <s v="Id665"/>
        <s v="Id664"/>
        <s v="Id663"/>
        <s v="Id662"/>
        <s v="Id661"/>
        <s v="Id660"/>
        <s v="Id659"/>
        <s v="Id658"/>
        <s v="Id657"/>
        <s v="Id656"/>
        <s v="Id655"/>
        <s v="Id654"/>
        <s v="Id653"/>
        <s v="Id652"/>
        <s v="Id651"/>
        <s v="Id650"/>
        <s v="Id649"/>
        <s v="Id648"/>
        <s v="Id647"/>
        <s v="Id646"/>
        <s v="Id645"/>
        <s v="Id644"/>
        <s v="Id643"/>
        <s v="Id642"/>
        <s v="Id641"/>
        <s v="Id640"/>
        <s v="Id639"/>
        <s v="Id638"/>
        <s v="Id637"/>
        <s v="Id636"/>
        <s v="Id635"/>
        <s v="Id634"/>
        <s v="Id633"/>
        <s v="Id632"/>
        <s v="Id631"/>
        <s v="Id630"/>
        <s v="Id629"/>
        <s v="Id628"/>
        <s v="Id627"/>
        <s v="Id626"/>
        <s v="Id625"/>
        <s v="Id624"/>
        <s v="Id623"/>
        <s v="Id622"/>
        <s v="Id621"/>
        <s v="Id620"/>
        <s v="Id619"/>
        <s v="Id618"/>
        <s v="Id617"/>
        <s v="Id616"/>
        <s v="Id615"/>
        <s v="Id614"/>
        <s v="Id613"/>
        <s v="Id612"/>
        <s v="Id611"/>
        <s v="Id610"/>
        <s v="Id609"/>
        <s v="Id608"/>
        <s v="Id607"/>
        <s v="Id606"/>
        <s v="Id605"/>
        <s v="Id604"/>
        <s v="Id603"/>
        <s v="Id602"/>
        <s v="Id601"/>
        <s v="Id600"/>
        <s v="Id599"/>
        <s v="Id598"/>
        <s v="Id597"/>
        <s v="Id596"/>
        <s v="Id595"/>
        <s v="Id594"/>
        <s v="Id593"/>
        <s v="Id592"/>
        <s v="Id591"/>
        <s v="Id590"/>
        <s v="Id589"/>
        <s v="Id588"/>
        <s v="Id587"/>
        <s v="Id586"/>
        <s v="Id585"/>
        <s v="Id584"/>
        <s v="Id583"/>
        <s v="Id582"/>
        <s v="Id581"/>
        <s v="Id580"/>
        <s v="Id579"/>
        <s v="Id578"/>
        <s v="Id577"/>
        <s v="Id576"/>
        <s v="Id575"/>
        <s v="Id574"/>
        <s v="Id573"/>
        <s v="Id572"/>
        <s v="Id571"/>
        <s v="Id570"/>
        <s v="Id569"/>
        <s v="Id568"/>
        <s v="Id567"/>
        <s v="Id566"/>
        <s v="Id565"/>
        <s v="Id564"/>
        <s v="Id563"/>
        <s v="Id562"/>
        <s v="Id561"/>
        <s v="Id560"/>
        <s v="Id559"/>
        <s v="Id558"/>
        <s v="Id557"/>
        <s v="Id556"/>
        <s v="Id555"/>
        <s v="Id554"/>
        <s v="Id553"/>
        <s v="Id552"/>
        <s v="Id551"/>
        <s v="Id550"/>
        <s v="Id549"/>
        <s v="Id548"/>
        <s v="Id547"/>
        <s v="Id546"/>
        <s v="Id545"/>
        <s v="Id544"/>
        <s v="Id543"/>
        <s v="Id542"/>
        <s v="Id541"/>
        <s v="Id540"/>
        <s v="Id539"/>
        <s v="Id538"/>
        <s v="Id537"/>
        <s v="Id536"/>
        <s v="Id535"/>
        <s v="Id534"/>
        <s v="Id533"/>
        <s v="Id532"/>
        <s v="Id531"/>
        <s v="Id530"/>
        <s v="Id529"/>
        <s v="Id528"/>
        <s v="Id527"/>
        <s v="Id526"/>
        <s v="Id525"/>
        <s v="Id524"/>
        <s v="Id523"/>
        <s v="Id522"/>
        <s v="Id521"/>
        <s v="Id520"/>
        <s v="Id519"/>
        <s v="Id518"/>
        <s v="Id517"/>
        <s v="Id516"/>
        <s v="Id515"/>
        <s v="Id514"/>
        <s v="Id513"/>
        <s v="Id512"/>
        <s v="Id511"/>
        <s v="Id510"/>
        <s v="Id509"/>
        <s v="Id508"/>
        <s v="Id507"/>
        <s v="Id506"/>
        <s v="Id505"/>
        <s v="Id504"/>
        <s v="Id503"/>
        <s v="Id502"/>
        <s v="Id501"/>
        <s v="Id500"/>
        <s v="Id499"/>
        <s v="Id498"/>
        <s v="Id497"/>
        <s v="Id496"/>
        <s v="Id495"/>
        <s v="Id494"/>
        <s v="Id493"/>
        <s v="Id492"/>
        <s v="Id491"/>
        <s v="Id490"/>
        <s v="Id489"/>
        <s v="Id488"/>
        <s v="Id487"/>
        <s v="Id486"/>
        <s v="Id485"/>
        <s v="Id484"/>
        <s v="Id483"/>
        <s v="Id482"/>
        <s v="Id481"/>
        <s v="Id480"/>
        <s v="Id479"/>
        <s v="Id478"/>
        <s v="Id477"/>
        <s v="Id476"/>
        <s v="id2444"/>
        <s v="Id475"/>
        <s v="Id474"/>
        <s v="Id473"/>
        <s v="Id472"/>
        <s v="Id471"/>
        <s v="Id470"/>
        <s v="Id469"/>
        <s v="Id468"/>
        <s v="Id467"/>
        <s v="Id466"/>
        <s v="Id465"/>
        <s v="Id464"/>
        <s v="Id463"/>
        <s v="Id462"/>
        <s v="Id461"/>
        <s v="Id460"/>
        <s v="Id459"/>
        <s v="Id458"/>
        <s v="Id457"/>
        <s v="Id456"/>
        <s v="Id455"/>
        <s v="Id454"/>
        <s v="Id453"/>
        <s v="Id452"/>
        <s v="Id451"/>
        <s v="Id450"/>
        <s v="Id449"/>
        <s v="Id448"/>
        <s v="Id447"/>
        <s v="Id446"/>
        <s v="Id445"/>
        <s v="Id444"/>
        <s v="Id443"/>
        <s v="Id442"/>
        <s v="Id441"/>
        <s v="Id440"/>
        <s v="Id439"/>
        <s v="Id438"/>
        <s v="Id437"/>
        <s v="Id436"/>
        <s v="Id435"/>
        <s v="Id434"/>
        <s v="Id433"/>
        <s v="Id432"/>
        <s v="Id431"/>
        <s v="Id430"/>
        <s v="Id429"/>
        <s v="Id428"/>
        <s v="Id427"/>
        <s v="Id426"/>
        <s v="Id425"/>
        <s v="Id424"/>
        <s v="Id423"/>
        <s v="Id422"/>
        <s v="Id421"/>
        <s v="Id420"/>
        <s v="Id419"/>
        <s v="Id418"/>
        <s v="Id417"/>
        <s v="Id416"/>
        <s v="Id415"/>
        <s v="Id414"/>
        <s v="Id413"/>
        <s v="Id412"/>
        <s v="Id411"/>
        <s v="Id410"/>
        <s v="Id409"/>
        <s v="Id408"/>
        <s v="Id407"/>
        <s v="Id406"/>
        <s v="Id405"/>
        <s v="Id404"/>
        <s v="Id403"/>
        <s v="Id402"/>
        <s v="Id401"/>
        <s v="Id400"/>
        <s v="Id399"/>
        <s v="Id398"/>
        <s v="Id397"/>
        <s v="Id396"/>
        <s v="Id395"/>
        <s v="Id394"/>
        <s v="Id393"/>
        <s v="Id392"/>
        <s v="Id391"/>
        <s v="Id390"/>
        <s v="Id389"/>
        <s v="Id388"/>
        <s v="Id387"/>
        <s v="Id386"/>
        <s v="Id385"/>
        <s v="Id384"/>
        <s v="Id383"/>
        <s v="Id382"/>
        <s v="Id381"/>
        <s v="Id380"/>
        <s v="Id379"/>
        <s v="Id378"/>
        <s v="Id377"/>
        <s v="Id376"/>
        <s v="Id375"/>
        <s v="Id374"/>
        <s v="Id373"/>
        <s v="Id372"/>
        <s v="Id371"/>
        <s v="Id370"/>
        <s v="Id369"/>
        <s v="Id368"/>
        <s v="Id367"/>
        <s v="Id366"/>
        <s v="Id365"/>
        <s v="Id364"/>
        <s v="Id363"/>
        <s v="Id362"/>
        <s v="Id361"/>
        <s v="Id360"/>
        <s v="Id359"/>
        <s v="Id358"/>
        <s v="Id357"/>
        <s v="Id356"/>
        <s v="Id355"/>
        <s v="Id354"/>
        <s v="Id353"/>
        <s v="Id352"/>
        <s v="Id351"/>
        <s v="Id350"/>
        <s v="Id349"/>
        <s v="Id348"/>
        <s v="Id347"/>
        <s v="Id346"/>
        <s v="Id345"/>
        <s v="Id344"/>
        <s v="Id343"/>
        <s v="Id342"/>
        <s v="Id341"/>
        <s v="Id340"/>
        <s v="Id339"/>
        <s v="Id338"/>
        <s v="Id337"/>
        <s v="Id336"/>
        <s v="Id335"/>
        <s v="Id334"/>
        <s v="Id333"/>
        <s v="Id332"/>
        <s v="Id331"/>
        <s v="Id330"/>
        <s v="Id329"/>
        <s v="Id328"/>
        <s v="Id327"/>
        <s v="Id326"/>
        <s v="Id325"/>
        <s v="Id324"/>
        <s v="Id323"/>
        <s v="Id322"/>
        <s v="Id321"/>
        <s v="Id320"/>
        <s v="Id319"/>
        <s v="Id318"/>
        <s v="Id317"/>
        <s v="Id316"/>
        <s v="Id315"/>
        <s v="Id314"/>
        <s v="Id313"/>
        <s v="Id312"/>
        <s v="Id311"/>
        <s v="Id310"/>
        <s v="Id309"/>
        <s v="Id308"/>
        <s v="Id307"/>
        <s v="Id306"/>
        <s v="Id305"/>
        <s v="Id304"/>
        <s v="Id303"/>
        <s v="Id302"/>
        <s v="Id301"/>
        <s v="Id300"/>
        <s v="Id299"/>
        <s v="Id298"/>
        <s v="Id297"/>
        <s v="Id296"/>
        <s v="Id295"/>
        <s v="Id294"/>
        <s v="Id293"/>
        <s v="Id292"/>
        <s v="Id291"/>
        <s v="Id290"/>
        <s v="Id289"/>
        <s v="Id288"/>
        <s v="Id287"/>
        <s v="Id286"/>
        <s v="Id285"/>
        <s v="Id284"/>
        <s v="Id283"/>
        <s v="Id282"/>
        <s v="Id281"/>
        <s v="Id280"/>
        <s v="Id279"/>
        <s v="Id278"/>
        <s v="Id277"/>
        <s v="Id276"/>
        <s v="Id275"/>
        <s v="Id274"/>
        <s v="Id273"/>
        <s v="Id272"/>
        <s v="Id271"/>
        <s v="Id270"/>
        <s v="Id269"/>
        <s v="Id268"/>
        <s v="Id267"/>
        <s v="Id266"/>
        <s v="Id265"/>
        <s v="Id264"/>
        <s v="Id263"/>
        <s v="Id262"/>
        <s v="Id261"/>
        <s v="Id260"/>
        <s v="Id259"/>
        <s v="Id258"/>
        <s v="Id257"/>
        <s v="Id256"/>
        <s v="Id255"/>
        <s v="Id254"/>
        <s v="Id253"/>
        <s v="Id252"/>
        <s v="Id251"/>
        <s v="Id250"/>
        <s v="Id249"/>
        <s v="Id248"/>
        <s v="Id247"/>
        <s v="Id246"/>
        <s v="Id245"/>
        <s v="Id244"/>
        <s v="Id243"/>
        <s v="Id242"/>
        <s v="id3444"/>
        <s v="Id241"/>
        <s v="Id240"/>
        <s v="Id239"/>
        <s v="Id238"/>
        <s v="Id237"/>
        <s v="Id236"/>
        <s v="Id235"/>
        <s v="Id234"/>
        <s v="Id233"/>
        <s v="Id232"/>
        <s v="Id231"/>
        <s v="Id230"/>
        <s v="Id229"/>
        <s v="Id228"/>
        <s v="Id227"/>
        <s v="Id226"/>
        <s v="Id225"/>
        <s v="Id224"/>
        <s v="Id223"/>
        <s v="Id222"/>
        <s v="Id221"/>
        <s v="Id220"/>
        <s v="Id219"/>
        <s v="Id218"/>
        <s v="Id217"/>
        <s v="Id216"/>
        <s v="Id215"/>
        <s v="Id214"/>
        <s v="Id213"/>
        <s v="Id212"/>
        <s v="Id211"/>
        <s v="Id210"/>
        <s v="Id209"/>
        <s v="Id208"/>
        <s v="Id207"/>
        <s v="Id206"/>
        <s v="Id205"/>
        <s v="Id204"/>
        <s v="Id203"/>
        <s v="Id202"/>
        <s v="Id201"/>
        <s v="Id200"/>
        <s v="Id199"/>
        <s v="Id198"/>
        <s v="Id197"/>
        <s v="Id196"/>
        <s v="Id195"/>
        <s v="Id194"/>
        <s v="Id193"/>
        <s v="Id192"/>
        <s v="Id191"/>
        <s v="Id190"/>
        <s v="Id189"/>
        <s v="Id188"/>
        <s v="Id187"/>
        <s v="Id186"/>
        <s v="Id185"/>
        <s v="Id184"/>
        <s v="Id183"/>
        <s v="Id182"/>
        <s v="Id181"/>
        <s v="Id180"/>
        <s v="Id179"/>
        <s v="Id178"/>
        <s v="Id177"/>
        <s v="Id176"/>
        <s v="Id175"/>
        <s v="Id174"/>
        <s v="Id173"/>
        <s v="Id172"/>
        <s v="Id171"/>
        <s v="Id170"/>
        <s v="Id169"/>
        <s v="Id168"/>
        <s v="Id167"/>
        <s v="Id166"/>
        <s v="Id165"/>
        <s v="Id164"/>
        <s v="Id163"/>
        <s v="Id162"/>
        <s v="Id161"/>
        <s v="Id160"/>
        <s v="Id159"/>
        <s v="Id158"/>
        <s v="Id157"/>
        <s v="Id156"/>
        <s v="Id155"/>
        <s v="Id154"/>
        <s v="Id153"/>
        <s v="Id152"/>
        <s v="Id151"/>
        <s v="Id150"/>
        <s v="Id149"/>
        <s v="Id148"/>
        <s v="Id147"/>
        <s v="Id146"/>
        <s v="Id145"/>
        <s v="Id144"/>
        <s v="Id143"/>
        <s v="Id142"/>
        <s v="Id141"/>
        <s v="Id140"/>
        <s v="Id139"/>
        <s v="Id138"/>
        <s v="Id137"/>
        <s v="Id136"/>
        <s v="Id135"/>
        <s v="Id134"/>
        <s v="Id133"/>
        <s v="Id132"/>
        <s v="Id131"/>
        <s v="Id130"/>
        <s v="Id129"/>
        <s v="Id128"/>
        <s v="Id127"/>
        <s v="Id126"/>
        <s v="Id125"/>
        <s v="Id124"/>
        <s v="Id123"/>
        <s v="Id122"/>
        <s v="Id121"/>
        <s v="Id120"/>
        <s v="Id119"/>
        <s v="Id118"/>
        <s v="Id117"/>
        <s v="Id116"/>
        <s v="Id115"/>
        <s v="Id114"/>
        <s v="Id113"/>
        <s v="Id112"/>
        <s v="Id111"/>
        <s v="Id110"/>
        <s v="Id109"/>
        <s v="Id108"/>
        <s v="Id107"/>
        <s v="Id106"/>
        <s v="Id105"/>
        <s v="Id104"/>
        <s v="Id103"/>
        <s v="Id102"/>
        <s v="Id101"/>
        <s v="Id100"/>
        <s v="Id99"/>
        <s v="Id98"/>
        <s v="Id97"/>
        <s v="Id96"/>
        <s v="Id95"/>
        <s v="Id94"/>
        <s v="Id93"/>
        <s v="Id92"/>
        <s v="Id91"/>
        <s v="Id90"/>
        <s v="Id89"/>
        <s v="Id88"/>
        <s v="Id87"/>
        <s v="Id86"/>
        <s v="Id85"/>
        <s v="Id84"/>
        <s v="Id83"/>
        <s v="Id82"/>
        <s v="Id81"/>
        <s v="Id80"/>
        <s v="Id79"/>
        <s v="Id78"/>
        <s v="Id77"/>
        <s v="Id76"/>
        <s v="Id75"/>
        <s v="Id74"/>
        <s v="Id73"/>
        <s v="Id72"/>
        <s v="Id71"/>
        <s v="Id70"/>
        <s v="Id69"/>
        <s v="Id68"/>
        <s v="Id67"/>
        <s v="Id66"/>
        <s v="Id65"/>
        <s v="Id64"/>
        <s v="Id63"/>
        <s v="Id62"/>
        <s v="Id61"/>
        <s v="Id60"/>
        <s v="Id59"/>
        <s v="Id58"/>
        <s v="Id57"/>
        <s v="Id56"/>
        <s v="Id55"/>
        <s v="Id54"/>
        <s v="Id53"/>
        <s v="Id52"/>
        <s v="Id51"/>
        <s v="Id50"/>
        <s v="Id49"/>
        <s v="Id48"/>
        <s v="Id47"/>
        <s v="Id46"/>
        <s v="Id45"/>
        <s v="Id44"/>
        <s v="Id43"/>
        <s v="Id42"/>
        <s v="Id41"/>
        <s v="Id40"/>
        <s v="Id39"/>
        <s v="Id38"/>
        <s v="Id37"/>
        <s v="Id36"/>
        <s v="Id35"/>
        <s v="Id34"/>
        <s v="Id33"/>
        <s v="Id32"/>
        <s v="Id31"/>
        <s v="Id30"/>
        <s v="Id29"/>
        <s v="Id28"/>
        <s v="Id27"/>
        <s v="Id26"/>
        <s v="Id25"/>
        <s v="Id24"/>
        <s v="Id23"/>
        <s v="Id22"/>
        <s v="Id21"/>
        <s v="Id20"/>
        <s v="Id19"/>
        <s v="Id18"/>
        <s v="Id17"/>
        <s v="Id16"/>
        <s v="Id15"/>
        <s v="Id14"/>
        <s v="Id13"/>
        <s v="Id12"/>
        <s v="Id11"/>
        <s v="Id10"/>
        <s v="Id9"/>
        <s v="Id8"/>
        <s v="Id7"/>
        <s v="Id6"/>
        <s v="Id5"/>
        <s v="Id4"/>
        <s v="Id3"/>
        <s v="Id2"/>
        <s v="Id1"/>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Diabetes status" numFmtId="0">
      <sharedItems count="3">
        <s v="Diabetes"/>
        <s v="Prediabetes"/>
        <s v="Normal"/>
      </sharedItems>
    </cacheField>
    <cacheField name="Heart Issues" numFmtId="0">
      <sharedItems/>
    </cacheField>
    <cacheField name="Any Transplants" numFmtId="0">
      <sharedItems/>
    </cacheField>
    <cacheField name="Cancer history" numFmtId="0">
      <sharedItems count="2">
        <s v="No"/>
        <s v="Yes"/>
      </sharedItems>
    </cacheField>
    <cacheField name="NumberOfMajorSurgeries" numFmtId="0">
      <sharedItems containsSemiMixedTypes="0" containsString="0" containsNumber="1" containsInteger="1" minValue="0" maxValue="3" count="4">
        <n v="0"/>
        <n v="2"/>
        <n v="3"/>
        <n v="1"/>
      </sharedItems>
    </cacheField>
    <cacheField name="smoker" numFmtId="0">
      <sharedItems count="2">
        <s v="yes"/>
        <s v="No"/>
      </sharedItems>
    </cacheField>
    <cacheField name="weight status" numFmtId="0">
      <sharedItems count="4">
        <s v="normal weight"/>
        <s v="under weight"/>
        <s v="normalweight"/>
        <s v="underweight"/>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ishwarya" refreshedDate="45990.437248958333" createdVersion="8" refreshedVersion="8" minRefreshableVersion="3" recordCount="2343" xr:uid="{1C86314D-3D67-4810-B947-C95BB6D19C24}">
  <cacheSource type="worksheet">
    <worksheetSource ref="A1:J2342" sheet="Medical Examinations"/>
  </cacheSource>
  <cacheFields count="10">
    <cacheField name="Customer ID" numFmtId="0">
      <sharedItems count="2337">
        <s v="Id2335"/>
        <s v="Id2334"/>
        <s v="Id2333"/>
        <s v="Id2332"/>
        <s v="Id2331"/>
        <s v="Id2330"/>
        <s v="Id2329"/>
        <s v="Id2328"/>
        <s v="Id2327"/>
        <s v="Id2326"/>
        <s v="Id2325"/>
        <s v="Id2324"/>
        <s v="Id2323"/>
        <s v="Id2322"/>
        <s v="Id2321"/>
        <s v="Id2320"/>
        <s v="Id2319"/>
        <s v="Id2318"/>
        <s v="Id2317"/>
        <s v="Id2316"/>
        <s v="Id2315"/>
        <s v="Id2314"/>
        <s v="Id2313"/>
        <s v="Id2312"/>
        <s v="Id2311"/>
        <s v="Id2310"/>
        <s v="Id2309"/>
        <s v="Id2308"/>
        <s v="Id2307"/>
        <s v="Id2306"/>
        <s v="Id2305"/>
        <s v="Id2304"/>
        <s v="Id2303"/>
        <s v="Id2302"/>
        <s v="Id2301"/>
        <s v="Id2300"/>
        <s v="Id2299"/>
        <s v="Id2298"/>
        <s v="Id2297"/>
        <s v="Id2296"/>
        <s v="Id2294"/>
        <s v="Id2293"/>
        <s v="Id2292"/>
        <s v="Id2291"/>
        <s v="Id2216"/>
        <s v="Id2290"/>
        <s v="Id2289"/>
        <s v="Id2288"/>
        <s v="Id2287"/>
        <s v="Id2286"/>
        <s v="Id2285"/>
        <s v="Id2284"/>
        <s v="Id2283"/>
        <s v="Id2295"/>
        <s v="Id2282"/>
        <s v="Id2281"/>
        <s v="Id2280"/>
        <s v="Id2279"/>
        <s v="Id2278"/>
        <s v="Id2277"/>
        <s v="Id2276"/>
        <s v="Id2275"/>
        <s v="Id2274"/>
        <s v="Id2273"/>
        <s v="Id2272"/>
        <s v="Id2271"/>
        <s v="Id2270"/>
        <s v="Id2269"/>
        <s v="Id2268"/>
        <s v="Id2267"/>
        <s v="Id2266"/>
        <s v="Id2265"/>
        <s v="Id2264"/>
        <s v="Id2263"/>
        <s v="Id2262"/>
        <s v="Id2261"/>
        <s v="Id2260"/>
        <s v="Id2259"/>
        <s v="Id2258"/>
        <s v="Id2257"/>
        <s v="Id2256"/>
        <s v="Id2255"/>
        <s v="Id2254"/>
        <s v="Id2253"/>
        <s v="Id2252"/>
        <s v="Id2251"/>
        <s v="Id2250"/>
        <s v="Id2249"/>
        <s v="Id2248"/>
        <s v="Id2247"/>
        <s v="Id2246"/>
        <s v="Id2245"/>
        <s v="Id2244"/>
        <s v="Id2243"/>
        <s v="Id2242"/>
        <s v="Id2241"/>
        <s v="Id2240"/>
        <s v="Id2239"/>
        <s v="Id2238"/>
        <s v="Id2237"/>
        <s v="Id2236"/>
        <s v="Id2235"/>
        <s v="Id2234"/>
        <s v="Id2233"/>
        <s v="Id2232"/>
        <s v="Id2231"/>
        <s v="Id2230"/>
        <s v="Id2229"/>
        <s v="Id2228"/>
        <s v="Id2227"/>
        <s v="Id2226"/>
        <s v="Id2225"/>
        <s v="Id2224"/>
        <s v="Id2223"/>
        <s v="Id2222"/>
        <s v="Id2221"/>
        <s v="Id2220"/>
        <s v="Id2219"/>
        <s v="Id2218"/>
        <s v="Id2217"/>
        <s v="Id2215"/>
        <s v="Id2214"/>
        <s v="Id2213"/>
        <s v="Id2212"/>
        <s v="Id2211"/>
        <s v="Id2210"/>
        <s v="Id2209"/>
        <s v="Id2208"/>
        <s v="Id2207"/>
        <s v="Id2206"/>
        <s v="Id2205"/>
        <s v="Id2204"/>
        <s v="Id2203"/>
        <s v="Id2202"/>
        <s v="Id2201"/>
        <s v="Id2200"/>
        <s v="Id2199"/>
        <s v="Id2198"/>
        <s v="Id2197"/>
        <s v="Id2196"/>
        <s v="Id2195"/>
        <s v="Id2194"/>
        <s v="Id2193"/>
        <s v="Id2192"/>
        <s v="Id2191"/>
        <s v="Id2190"/>
        <s v="Id2189"/>
        <s v="Id2188"/>
        <s v="Id2187"/>
        <s v="Id2186"/>
        <s v="Id2185"/>
        <s v="Id2184"/>
        <s v="Id2183"/>
        <s v="Id2182"/>
        <s v="Id2181"/>
        <s v="Id2180"/>
        <s v="Id2179"/>
        <s v="Id2178"/>
        <s v="Id2177"/>
        <s v="Id2176"/>
        <s v="Id2175"/>
        <s v="Id2174"/>
        <s v="Id2173"/>
        <s v="Id2172"/>
        <s v="Id2171"/>
        <s v="Id2170"/>
        <s v="Id2169"/>
        <s v="Id2168"/>
        <s v="Id2167"/>
        <s v="Id2166"/>
        <s v="Id2165"/>
        <s v="Id2164"/>
        <s v="Id2163"/>
        <s v="Id2162"/>
        <s v="Id2161"/>
        <s v="Id2160"/>
        <s v="Id2159"/>
        <s v="Id2158"/>
        <s v="Id2157"/>
        <s v="Id2156"/>
        <s v="Id2155"/>
        <s v="Id2154"/>
        <s v="Id2153"/>
        <s v="Id2152"/>
        <s v="Id2151"/>
        <s v="Id2150"/>
        <s v="Id2149"/>
        <s v="Id2148"/>
        <s v="Id2147"/>
        <s v="Id2146"/>
        <s v="Id2145"/>
        <s v="Id2144"/>
        <s v="Id2143"/>
        <s v="Id2142"/>
        <s v="Id2141"/>
        <s v="Id2140"/>
        <s v="Id2139"/>
        <s v="Id2138"/>
        <s v="Id2137"/>
        <s v="Id2136"/>
        <s v="Id2135"/>
        <s v="Id2134"/>
        <s v="Id2133"/>
        <s v="Id2132"/>
        <s v="Id2131"/>
        <s v="Id2130"/>
        <s v="Id2129"/>
        <s v="Id2128"/>
        <s v="Id2127"/>
        <s v="Id2126"/>
        <s v="Id2125"/>
        <s v="Id2124"/>
        <s v="Id2123"/>
        <s v="Id2122"/>
        <s v="Id2121"/>
        <s v="Id2120"/>
        <s v="Id2119"/>
        <s v="Id2118"/>
        <s v="Id2117"/>
        <s v="Id2116"/>
        <s v="Id2115"/>
        <s v="Id2114"/>
        <s v="Id2113"/>
        <s v="Id2112"/>
        <s v="Id2111"/>
        <s v="Id2110"/>
        <s v="Id2109"/>
        <s v="Id2108"/>
        <s v="Id2107"/>
        <s v="Id2106"/>
        <s v="Id2105"/>
        <s v="Id2104"/>
        <s v="Id2103"/>
        <s v="Id2102"/>
        <s v="Id2101"/>
        <s v="Id2100"/>
        <s v="Id2099"/>
        <s v="Id2098"/>
        <s v="Id2097"/>
        <s v="Id2096"/>
        <s v="Id2095"/>
        <s v="Id2094"/>
        <s v="Id2093"/>
        <s v="Id2092"/>
        <s v="Id2091"/>
        <s v="Id2090"/>
        <s v="Id2089"/>
        <s v="Id2088"/>
        <s v="Id2087"/>
        <s v="Id2086"/>
        <s v="Id2085"/>
        <s v="Id2084"/>
        <s v="Id2083"/>
        <s v="Id2082"/>
        <s v="Id2081"/>
        <s v="Id2080"/>
        <s v="Id2079"/>
        <s v="Id2078"/>
        <s v="Id2077"/>
        <s v="Id2076"/>
        <s v="Id2075"/>
        <s v="Id2074"/>
        <s v="Id2073"/>
        <s v="Id2072"/>
        <s v="Id2071"/>
        <s v="Id2070"/>
        <s v="Id2069"/>
        <s v="Id2068"/>
        <s v="Id2067"/>
        <s v="Id2066"/>
        <s v="Id2065"/>
        <s v="Id2064"/>
        <s v="Id2063"/>
        <s v="Id2062"/>
        <s v="Id2061"/>
        <s v="Id2060"/>
        <s v="Id2059"/>
        <s v="Id2058"/>
        <s v="Id2057"/>
        <s v="Id2056"/>
        <s v="Id2055"/>
        <s v="Id2054"/>
        <s v="Id2053"/>
        <s v="Id2052"/>
        <s v="Id2051"/>
        <s v="Id2050"/>
        <s v="Id2049"/>
        <s v="Id2048"/>
        <s v="Id2047"/>
        <s v="Id2046"/>
        <s v="Id2045"/>
        <s v="Id2044"/>
        <s v="Id2043"/>
        <s v="Id2042"/>
        <s v="Id2041"/>
        <s v="Id2040"/>
        <s v="Id2039"/>
        <s v="Id2038"/>
        <s v="Id2037"/>
        <s v="Id2036"/>
        <s v="Id2035"/>
        <s v="Id2034"/>
        <s v="Id2033"/>
        <s v="Id2032"/>
        <s v="Id2031"/>
        <s v="Id2030"/>
        <s v="Id2029"/>
        <s v="Id2028"/>
        <s v="Id2027"/>
        <s v="Id2026"/>
        <s v="Id2025"/>
        <s v="Id2024"/>
        <s v="Id2023"/>
        <s v="Id2022"/>
        <s v="Id2021"/>
        <s v="Id2020"/>
        <s v="Id2019"/>
        <s v="Id2018"/>
        <s v="Id2017"/>
        <s v="Id2016"/>
        <s v="Id2015"/>
        <s v="Id2014"/>
        <s v="Id2013"/>
        <s v="Id2012"/>
        <s v="Id2011"/>
        <s v="Id2010"/>
        <s v="Id2009"/>
        <s v="Id2008"/>
        <s v="Id2007"/>
        <s v="Id2006"/>
        <s v="Id2005"/>
        <s v="Id2004"/>
        <s v="Id2003"/>
        <s v="Id2002"/>
        <s v="Id2001"/>
        <s v="Id2000"/>
        <s v="Id1999"/>
        <s v="Id1998"/>
        <s v="Id1997"/>
        <s v="Id1996"/>
        <s v="Id1995"/>
        <s v="Id1994"/>
        <s v="Id1993"/>
        <s v="Id1992"/>
        <s v="Id1991"/>
        <s v="Id1990"/>
        <s v="Id1989"/>
        <s v="Id1988"/>
        <s v="Id1987"/>
        <s v="Id1986"/>
        <s v="Id1985"/>
        <s v="Id1984"/>
        <s v="Id1983"/>
        <s v="Id1982"/>
        <s v="Id1981"/>
        <s v="Id1980"/>
        <s v="Id1979"/>
        <s v="Id1978"/>
        <s v="Id1977"/>
        <s v="Id1976"/>
        <s v="Id1975"/>
        <s v="Id1974"/>
        <s v="Id1973"/>
        <s v="Id1972"/>
        <s v="Id1971"/>
        <s v="Id1970"/>
        <s v="Id1969"/>
        <s v="Id1968"/>
        <s v="Id1967"/>
        <s v="Id1966"/>
        <s v="Id1965"/>
        <s v="Id1964"/>
        <s v="Id1963"/>
        <s v="Id1962"/>
        <s v="Id1961"/>
        <s v="Id1960"/>
        <s v="Id1959"/>
        <s v="Id1958"/>
        <s v="Id1957"/>
        <s v="Id1956"/>
        <s v="Id1955"/>
        <s v="Id1954"/>
        <s v="Id1953"/>
        <s v="Id1952"/>
        <s v="Id1951"/>
        <s v="Id1950"/>
        <s v="Id1949"/>
        <s v="Id1948"/>
        <s v="Id1947"/>
        <s v="Id1946"/>
        <s v="Id1945"/>
        <s v="Id1944"/>
        <s v="Id1943"/>
        <s v="Id1942"/>
        <s v="Id1941"/>
        <s v="Id1940"/>
        <s v="Id1939"/>
        <s v="Id1938"/>
        <s v="Id1937"/>
        <s v="Id1936"/>
        <s v="Id1935"/>
        <s v="Id1934"/>
        <s v="Id1933"/>
        <s v="Id1932"/>
        <s v="Id1931"/>
        <s v="Id1930"/>
        <s v="Id1929"/>
        <s v="Id1928"/>
        <s v="Id1927"/>
        <s v="Id1926"/>
        <s v="Id1925"/>
        <s v="Id1924"/>
        <s v="Id1923"/>
        <s v="Id1922"/>
        <s v="Id1921"/>
        <s v="Id1920"/>
        <s v="Id1919"/>
        <s v="Id1918"/>
        <s v="Id1917"/>
        <s v="Id1916"/>
        <s v="Id1915"/>
        <s v="Id1914"/>
        <s v="Id1913"/>
        <s v="Id1912"/>
        <s v="Id1911"/>
        <s v="Id1910"/>
        <s v="Id1909"/>
        <s v="Id1908"/>
        <s v="Id1907"/>
        <s v="Id1906"/>
        <s v="Id1905"/>
        <s v="Id1904"/>
        <s v="Id1903"/>
        <s v="Id1902"/>
        <s v="Id1901"/>
        <s v="Id1900"/>
        <s v="Id1899"/>
        <s v="Id1898"/>
        <s v="Id1897"/>
        <s v="Id1896"/>
        <s v="Id1895"/>
        <s v="Id1894"/>
        <s v="Id1893"/>
        <s v="Id1892"/>
        <s v="Id1891"/>
        <s v="Id1890"/>
        <s v="Id1889"/>
        <s v="Id1888"/>
        <s v="Id1887"/>
        <s v="Id1886"/>
        <s v="Id1885"/>
        <s v="Id1884"/>
        <s v="Id1883"/>
        <s v="Id1882"/>
        <s v="Id1881"/>
        <s v="Id1880"/>
        <s v="Id1879"/>
        <s v="Id1878"/>
        <s v="Id1877"/>
        <s v="Id1876"/>
        <s v="Id1875"/>
        <s v="Id1874"/>
        <s v="Id1873"/>
        <s v="Id1872"/>
        <s v="Id1871"/>
        <s v="Id1870"/>
        <s v="Id1869"/>
        <s v="Id1868"/>
        <s v="Id1867"/>
        <s v="Id1866"/>
        <s v="Id1865"/>
        <s v="Id1864"/>
        <s v="Id1863"/>
        <s v="Id1862"/>
        <s v="Id1861"/>
        <s v="Id1860"/>
        <s v="Id1859"/>
        <s v="Id1858"/>
        <s v="Id1857"/>
        <s v="Id1856"/>
        <s v="Id1855"/>
        <s v="Id1854"/>
        <s v="Id1853"/>
        <s v="Id1852"/>
        <s v="Id1851"/>
        <s v="Id1850"/>
        <s v="Id1849"/>
        <s v="Id1848"/>
        <s v="Id1847"/>
        <s v="Id1846"/>
        <s v="Id1845"/>
        <s v="Id1844"/>
        <s v="Id1843"/>
        <s v="Id1842"/>
        <s v="Id1841"/>
        <s v="Id1840"/>
        <s v="Id1839"/>
        <s v="Id1838"/>
        <s v="Id1837"/>
        <s v="Id1836"/>
        <s v="Id1835"/>
        <s v="Id1834"/>
        <s v="Id1833"/>
        <s v="Id1832"/>
        <s v="Id1831"/>
        <s v="Id1830"/>
        <s v="Id1829"/>
        <s v="Id1828"/>
        <s v="Id1827"/>
        <s v="Id1826"/>
        <s v="Id1825"/>
        <s v="Id1824"/>
        <s v="Id1823"/>
        <s v="Id1822"/>
        <s v="Id1821"/>
        <s v="Id1820"/>
        <s v="Id1819"/>
        <s v="Id1818"/>
        <s v="Id1817"/>
        <s v="Id1816"/>
        <s v="Id1815"/>
        <s v="Id1814"/>
        <s v="Id1813"/>
        <s v="Id1812"/>
        <s v="Id1811"/>
        <s v="Id1810"/>
        <s v="Id1809"/>
        <s v="Id1808"/>
        <s v="Id1807"/>
        <s v="Id1806"/>
        <s v="Id1805"/>
        <s v="Id1804"/>
        <s v="Id1803"/>
        <s v="Id1802"/>
        <s v="Id1801"/>
        <s v="Id1800"/>
        <s v="Id1799"/>
        <s v="Id1798"/>
        <s v="Id1797"/>
        <s v="Id1796"/>
        <s v="Id1795"/>
        <s v="Id1794"/>
        <s v="Id1793"/>
        <s v="Id1792"/>
        <s v="Id1791"/>
        <s v="Id1790"/>
        <s v="Id1789"/>
        <s v="Id1788"/>
        <s v="Id1787"/>
        <s v="Id1786"/>
        <s v="Id1785"/>
        <s v="Id1784"/>
        <s v="Id1783"/>
        <s v="Id1782"/>
        <s v="Id1781"/>
        <s v="Id1780"/>
        <s v="Id1779"/>
        <s v="Id1778"/>
        <s v="Id1777"/>
        <s v="Id1776"/>
        <s v="Id1775"/>
        <s v="Id1774"/>
        <s v="Id1773"/>
        <s v="Id1772"/>
        <s v="Id1771"/>
        <s v="Id1770"/>
        <s v="Id1769"/>
        <s v="Id1768"/>
        <s v="Id1767"/>
        <s v="Id1766"/>
        <s v="Id1765"/>
        <s v="Id1764"/>
        <s v="Id1763"/>
        <s v="Id1762"/>
        <s v="Id1761"/>
        <s v="Id1760"/>
        <s v="Id1759"/>
        <s v="Id1758"/>
        <s v="Id1757"/>
        <s v="Id1756"/>
        <s v="Id1755"/>
        <s v="Id1754"/>
        <s v="Id1753"/>
        <s v="Id1752"/>
        <s v="Id1751"/>
        <s v="Id1750"/>
        <s v="Id1749"/>
        <s v="Id1748"/>
        <s v="Id1747"/>
        <s v="Id1746"/>
        <s v="Id1745"/>
        <s v="Id1744"/>
        <s v="Id1743"/>
        <s v="Id1742"/>
        <s v="Id1741"/>
        <s v="Id1740"/>
        <s v="Id1739"/>
        <s v="Id1738"/>
        <s v="Id1737"/>
        <s v="Id1736"/>
        <s v="Id1735"/>
        <s v="Id1734"/>
        <s v="Id1733"/>
        <s v="Id1732"/>
        <s v="Id1731"/>
        <s v="Id1730"/>
        <s v="Id1729"/>
        <s v="Id1728"/>
        <s v="Id1727"/>
        <s v="Id1726"/>
        <s v="Id1725"/>
        <s v="Id1724"/>
        <s v="Id1723"/>
        <s v="Id1722"/>
        <s v="Id1721"/>
        <s v="Id1720"/>
        <s v="Id1719"/>
        <s v="Id1718"/>
        <s v="Id1717"/>
        <s v="Id1716"/>
        <s v="Id1715"/>
        <s v="Id1714"/>
        <s v="Id1713"/>
        <s v="Id1712"/>
        <s v="Id1711"/>
        <s v="Id1710"/>
        <s v="Id1709"/>
        <s v="Id1708"/>
        <s v="Id1707"/>
        <s v="Id1706"/>
        <s v="Id1705"/>
        <s v="Id1704"/>
        <s v="Id1703"/>
        <s v="Id1702"/>
        <s v="Id1701"/>
        <s v="Id1700"/>
        <s v="Id1699"/>
        <s v="Id1698"/>
        <s v="Id1697"/>
        <s v="Id1696"/>
        <s v="Id1695"/>
        <s v="Id1694"/>
        <s v="Id1693"/>
        <s v="Id1692"/>
        <s v="Id1691"/>
        <s v="Id1690"/>
        <s v="Id1689"/>
        <s v="Id1688"/>
        <s v="Id1687"/>
        <s v="Id1686"/>
        <s v="Id1685"/>
        <s v="Id1684"/>
        <s v="Id1683"/>
        <s v="Id1682"/>
        <s v="Id1681"/>
        <s v="Id1680"/>
        <s v="Id1679"/>
        <s v="Id1678"/>
        <s v="Id1677"/>
        <s v="Id1676"/>
        <s v="Id1675"/>
        <s v="Id1674"/>
        <s v="Id1673"/>
        <s v="Id1672"/>
        <s v="Id1671"/>
        <s v="Id1670"/>
        <s v="Id1669"/>
        <s v="Id1668"/>
        <s v="Id1667"/>
        <s v="Id1666"/>
        <s v="Id1665"/>
        <s v="Id1664"/>
        <s v="Id1663"/>
        <s v="Id1662"/>
        <s v="Id1661"/>
        <s v="Id1660"/>
        <s v="Id1659"/>
        <s v="Id1658"/>
        <s v="Id1657"/>
        <s v="Id1656"/>
        <s v="Id1655"/>
        <s v="Id1654"/>
        <s v="Id1653"/>
        <s v="Id1652"/>
        <s v="Id1651"/>
        <s v="Id1650"/>
        <s v="Id1649"/>
        <s v="Id1648"/>
        <s v="Id1647"/>
        <s v="Id1646"/>
        <s v="Id1645"/>
        <s v="Id1644"/>
        <s v="Id1643"/>
        <s v="Id1642"/>
        <s v="Id1641"/>
        <s v="Id1640"/>
        <s v="Id1639"/>
        <s v="Id1638"/>
        <s v="Id1637"/>
        <s v="Id1636"/>
        <s v="Id1635"/>
        <s v="Id1634"/>
        <s v="Id1633"/>
        <s v="Id1632"/>
        <s v="Id1631"/>
        <s v="Id1630"/>
        <s v="Id1629"/>
        <s v="Id1628"/>
        <s v="Id1627"/>
        <s v="Id1626"/>
        <s v="Id1625"/>
        <s v="Id1624"/>
        <s v="Id1623"/>
        <s v="Id1622"/>
        <s v="Id1621"/>
        <s v="Id1620"/>
        <s v="Id1619"/>
        <s v="Id1618"/>
        <s v="Id1617"/>
        <s v="Id1616"/>
        <s v="Id1615"/>
        <s v="Id1614"/>
        <s v="Id1613"/>
        <s v="Id1612"/>
        <s v="Id1611"/>
        <s v="Id1610"/>
        <s v="Id1609"/>
        <s v="Id1608"/>
        <s v="Id1607"/>
        <s v="Id1606"/>
        <s v="Id1605"/>
        <s v="Id1604"/>
        <s v="Id1603"/>
        <s v="Id1602"/>
        <s v="Id1601"/>
        <s v="Id1600"/>
        <s v="Id1599"/>
        <s v="Id1598"/>
        <s v="Id1597"/>
        <s v="Id1596"/>
        <s v="Id1595"/>
        <s v="Id1594"/>
        <s v="Id1593"/>
        <s v="Id1592"/>
        <s v="Id1591"/>
        <s v="Id1590"/>
        <s v="Id1589"/>
        <s v="Id1588"/>
        <s v="Id1587"/>
        <s v="Id1586"/>
        <s v="Id1585"/>
        <s v="Id1584"/>
        <s v="Id1583"/>
        <s v="Id1582"/>
        <s v="Id1581"/>
        <s v="Id1580"/>
        <s v="Id1579"/>
        <s v="Id1578"/>
        <s v="Id1577"/>
        <s v="Id1576"/>
        <s v="Id1575"/>
        <s v="Id1574"/>
        <s v="Id1573"/>
        <s v="Id1572"/>
        <s v="Id1571"/>
        <s v="Id1570"/>
        <s v="Id1569"/>
        <s v="Id1568"/>
        <s v="Id1567"/>
        <s v="Id1566"/>
        <s v="Id1565"/>
        <s v="Id1564"/>
        <s v="Id1563"/>
        <s v="Id1562"/>
        <s v="Id1561"/>
        <s v="Id1560"/>
        <s v="Id1559"/>
        <s v="Id1558"/>
        <s v="Id1557"/>
        <s v="Id1556"/>
        <s v="Id1555"/>
        <s v="Id1554"/>
        <s v="Id1553"/>
        <s v="Id1552"/>
        <s v="Id1551"/>
        <s v="Id1550"/>
        <s v="Id1549"/>
        <s v="Id1548"/>
        <s v="Id1547"/>
        <s v="Id1546"/>
        <s v="Id1545"/>
        <s v="Id1544"/>
        <s v="Id1543"/>
        <s v="Id1542"/>
        <s v="Id1541"/>
        <s v="Id1540"/>
        <s v="Id1539"/>
        <s v="Id1538"/>
        <s v="Id1537"/>
        <s v="Id1536"/>
        <s v="Id1535"/>
        <s v="Id1534"/>
        <s v="Id1533"/>
        <s v="Id1532"/>
        <s v="Id1531"/>
        <s v="Id1530"/>
        <s v="Id1529"/>
        <s v="Id1528"/>
        <s v="Id1527"/>
        <s v="Id1526"/>
        <s v="Id1525"/>
        <s v="Id1524"/>
        <s v="Id1523"/>
        <s v="Id1522"/>
        <s v="Id1521"/>
        <s v="Id1520"/>
        <s v="Id1519"/>
        <s v="Id1518"/>
        <s v="Id1517"/>
        <s v="Id1516"/>
        <s v="Id1515"/>
        <s v="Id1514"/>
        <s v="Id1513"/>
        <s v="Id1512"/>
        <s v="Id1511"/>
        <s v="Id1510"/>
        <s v="Id1509"/>
        <s v="Id1508"/>
        <s v="Id1507"/>
        <s v="Id1506"/>
        <s v="Id1505"/>
        <s v="Id1504"/>
        <s v="Id1503"/>
        <s v="Id1502"/>
        <s v="Id1501"/>
        <s v="Id1500"/>
        <s v="Id1499"/>
        <s v="Id1498"/>
        <s v="Id1497"/>
        <s v="Id1496"/>
        <s v="Id1495"/>
        <s v="Id1494"/>
        <s v="Id1493"/>
        <s v="Id1492"/>
        <s v="Id1491"/>
        <s v="Id1490"/>
        <s v="Id1489"/>
        <s v="Id1488"/>
        <s v="Id1487"/>
        <s v="Id1486"/>
        <s v="Id1485"/>
        <s v="Id1484"/>
        <s v="Id1483"/>
        <s v="Id1482"/>
        <s v="Id1481"/>
        <s v="Id1480"/>
        <s v="Id1479"/>
        <s v="Id1478"/>
        <s v="Id1477"/>
        <s v="Id1476"/>
        <s v="Id1475"/>
        <s v="Id1474"/>
        <s v="Id1473"/>
        <s v="Id1472"/>
        <s v="Id1471"/>
        <s v="Id1470"/>
        <s v="Id1469"/>
        <s v="Id1468"/>
        <s v="Id1467"/>
        <s v="Id1466"/>
        <s v="Id1465"/>
        <s v="Id1464"/>
        <s v="Id1463"/>
        <s v="Id1462"/>
        <s v="Id1461"/>
        <s v="Id1460"/>
        <s v="Id1459"/>
        <s v="Id1458"/>
        <s v="Id1457"/>
        <s v="Id1456"/>
        <s v="Id1455"/>
        <s v="Id1454"/>
        <s v="Id1453"/>
        <s v="Id1452"/>
        <s v="Id1451"/>
        <s v="Id1450"/>
        <s v="Id1449"/>
        <s v="Id1448"/>
        <s v="Id1447"/>
        <s v="Id1446"/>
        <s v="Id1445"/>
        <s v="Id1444"/>
        <s v="Id1443"/>
        <s v="Id1442"/>
        <s v="Id1441"/>
        <s v="Id1440"/>
        <s v="Id1439"/>
        <s v="Id1438"/>
        <s v="Id1437"/>
        <s v="Id1436"/>
        <s v="Id1435"/>
        <s v="Id1434"/>
        <s v="Id1433"/>
        <s v="Id1432"/>
        <s v="Id1431"/>
        <s v="Id1430"/>
        <s v="Id1429"/>
        <s v="Id1428"/>
        <s v="Id1427"/>
        <s v="Id1426"/>
        <s v="Id1425"/>
        <s v="Id1424"/>
        <s v="Id1423"/>
        <s v="Id1422"/>
        <s v="Id1421"/>
        <s v="Id1420"/>
        <s v="Id1419"/>
        <s v="Id1418"/>
        <s v="Id1417"/>
        <s v="Id1416"/>
        <s v="Id1415"/>
        <s v="Id1414"/>
        <s v="Id1413"/>
        <s v="Id1412"/>
        <s v="Id1411"/>
        <s v="Id1410"/>
        <s v="Id1409"/>
        <s v="Id1408"/>
        <s v="Id1407"/>
        <s v="Id1406"/>
        <s v="Id1405"/>
        <s v="Id1404"/>
        <s v="Id1403"/>
        <s v="Id1402"/>
        <s v="Id1401"/>
        <s v="Id1400"/>
        <s v="Id1399"/>
        <s v="Id1398"/>
        <s v="Id1397"/>
        <s v="Id1396"/>
        <s v="Id1395"/>
        <s v="Id1394"/>
        <s v="Id1393"/>
        <s v="Id1392"/>
        <s v="Id1391"/>
        <s v="Id1390"/>
        <s v="Id1389"/>
        <s v="Id1388"/>
        <s v="Id1387"/>
        <s v="Id1386"/>
        <s v="Id1385"/>
        <s v="Id1384"/>
        <s v="Id1383"/>
        <s v="Id1382"/>
        <s v="Id1381"/>
        <s v="Id1380"/>
        <s v="Id1379"/>
        <s v="Id1378"/>
        <s v="Id1377"/>
        <s v="Id1376"/>
        <s v="Id1375"/>
        <s v="Id1374"/>
        <s v="Id1373"/>
        <s v="Id1372"/>
        <s v="Id1371"/>
        <s v="Id1370"/>
        <s v="Id1369"/>
        <s v="Id1368"/>
        <s v="Id1367"/>
        <s v="Id1366"/>
        <s v="Id1365"/>
        <s v="Id1364"/>
        <s v="Id1363"/>
        <s v="Id1362"/>
        <s v="Id1361"/>
        <s v="Id1360"/>
        <s v="Id1359"/>
        <s v="Id1358"/>
        <s v="Id1357"/>
        <s v="Id1356"/>
        <s v="Id1355"/>
        <s v="Id1354"/>
        <s v="Id1353"/>
        <s v="Id1352"/>
        <s v="Id1351"/>
        <s v="Id1350"/>
        <s v="Id1349"/>
        <s v="Id1348"/>
        <s v="Id1347"/>
        <s v="Id1346"/>
        <s v="Id1345"/>
        <s v="Id1344"/>
        <s v="Id1343"/>
        <s v="Id1342"/>
        <s v="Id1341"/>
        <s v="Id1340"/>
        <s v="Id1339"/>
        <s v="Id1338"/>
        <s v="Id1337"/>
        <s v="Id1336"/>
        <s v="Id1335"/>
        <s v="Id1334"/>
        <s v="Id1333"/>
        <s v="Id1332"/>
        <s v="Id1331"/>
        <s v="Id1330"/>
        <s v="Id1329"/>
        <s v="Id1328"/>
        <s v="Id1327"/>
        <s v="Id1326"/>
        <s v="Id1325"/>
        <s v="Id1324"/>
        <s v="Id1323"/>
        <s v="Id1322"/>
        <s v="Id1321"/>
        <s v="Id1320"/>
        <s v="Id1319"/>
        <s v="Id1318"/>
        <s v="Id1317"/>
        <s v="Id1316"/>
        <s v="Id1315"/>
        <s v="Id1314"/>
        <s v="Id1313"/>
        <s v="Id1312"/>
        <s v="Id1311"/>
        <s v="Id1310"/>
        <s v="Id1309"/>
        <s v="Id1308"/>
        <s v="Id1307"/>
        <s v="Id1306"/>
        <s v="Id1305"/>
        <s v="Id1304"/>
        <s v="Id1303"/>
        <s v="Id1302"/>
        <s v="Id1301"/>
        <s v="Id1300"/>
        <s v="Id1299"/>
        <s v="Id1298"/>
        <s v="Id1297"/>
        <s v="Id1296"/>
        <s v="Id1295"/>
        <s v="Id1294"/>
        <s v="Id1293"/>
        <s v="Id1292"/>
        <s v="Id1291"/>
        <s v="Id1290"/>
        <s v="Id1289"/>
        <s v="Id1288"/>
        <s v="Id1287"/>
        <s v="Id1286"/>
        <s v="Id1285"/>
        <s v="Id1284"/>
        <s v="Id1283"/>
        <s v="Id1282"/>
        <s v="Id1281"/>
        <s v="Id1280"/>
        <s v="Id1279"/>
        <s v="Id1278"/>
        <s v="Id1277"/>
        <s v="Id1276"/>
        <s v="Id1275"/>
        <s v="Id1274"/>
        <s v="Id1273"/>
        <s v="Id1272"/>
        <s v="Id1271"/>
        <s v="Id1270"/>
        <s v="Id1269"/>
        <s v="Id1268"/>
        <s v="Id1267"/>
        <s v="Id1266"/>
        <s v="Id1265"/>
        <s v="Id1264"/>
        <s v="Id1263"/>
        <s v="Id1262"/>
        <s v="Id1261"/>
        <s v="Id1260"/>
        <s v="Id1259"/>
        <s v="Id1258"/>
        <s v="Id1257"/>
        <s v="Id1256"/>
        <s v="Id1255"/>
        <s v="Id1254"/>
        <s v="Id1253"/>
        <s v="Id1252"/>
        <s v="Id1251"/>
        <s v="Id1250"/>
        <s v="Id1249"/>
        <s v="Id1248"/>
        <s v="Id1247"/>
        <s v="Id1246"/>
        <s v="Id1245"/>
        <s v="Id1244"/>
        <s v="Id1243"/>
        <s v="Id1242"/>
        <s v="Id1241"/>
        <s v="Id1240"/>
        <s v="Id1239"/>
        <s v="Id1238"/>
        <s v="Id1237"/>
        <s v="Id1236"/>
        <s v="Id1235"/>
        <s v="Id1234"/>
        <s v="Id1233"/>
        <s v="Id1232"/>
        <s v="Id1231"/>
        <s v="Id1230"/>
        <s v="Id1229"/>
        <s v="Id1228"/>
        <s v="Id1227"/>
        <s v="Id1226"/>
        <s v="Id1225"/>
        <s v="Id1224"/>
        <s v="Id1223"/>
        <s v="Id1222"/>
        <s v="Id1221"/>
        <s v="Id1220"/>
        <s v="Id1219"/>
        <s v="Id1218"/>
        <s v="Id1217"/>
        <s v="Id1216"/>
        <s v="Id1215"/>
        <s v="Id1214"/>
        <s v="Id1213"/>
        <s v="Id1212"/>
        <s v="Id1211"/>
        <s v="Id1210"/>
        <s v="Id1209"/>
        <s v="Id1208"/>
        <s v="Id1207"/>
        <s v="Id1206"/>
        <s v="Id1205"/>
        <s v="Id1204"/>
        <s v="Id1203"/>
        <s v="Id1202"/>
        <s v="Id1201"/>
        <s v="Id1200"/>
        <s v="Id1199"/>
        <s v="Id1198"/>
        <s v="Id1197"/>
        <s v="Id1196"/>
        <s v="Id1195"/>
        <s v="Id1194"/>
        <s v="Id1193"/>
        <s v="Id1192"/>
        <s v="Id1191"/>
        <s v="Id1190"/>
        <s v="Id1189"/>
        <s v="Id1188"/>
        <s v="Id1187"/>
        <s v="Id1186"/>
        <s v="Id1185"/>
        <s v="Id1184"/>
        <s v="Id1183"/>
        <s v="Id1182"/>
        <s v="Id1181"/>
        <s v="Id1180"/>
        <s v="Id1179"/>
        <s v="Id1178"/>
        <s v="Id1177"/>
        <s v="Id1176"/>
        <s v="Id1175"/>
        <s v="Id1174"/>
        <s v="Id1173"/>
        <s v="Id1172"/>
        <s v="Id1171"/>
        <s v="Id1170"/>
        <s v="Id1169"/>
        <s v="Id1168"/>
        <s v="Id1167"/>
        <s v="Id1166"/>
        <s v="Id1165"/>
        <s v="Id1164"/>
        <s v="Id1163"/>
        <s v="Id1162"/>
        <s v="Id1161"/>
        <s v="Id1160"/>
        <s v="Id1159"/>
        <s v="Id1158"/>
        <s v="Id1157"/>
        <s v="Id1156"/>
        <s v="Id1155"/>
        <s v="Id1154"/>
        <s v="Id1153"/>
        <s v="Id1152"/>
        <s v="Id1151"/>
        <s v="Id1150"/>
        <s v="Id1149"/>
        <s v="Id1148"/>
        <s v="Id1147"/>
        <s v="Id1146"/>
        <s v="Id1145"/>
        <s v="Id1144"/>
        <s v="Id1143"/>
        <s v="Id1142"/>
        <s v="Id1141"/>
        <s v="Id1140"/>
        <s v="Id1139"/>
        <s v="Id1138"/>
        <s v="Id1137"/>
        <s v="Id1136"/>
        <s v="Id1135"/>
        <s v="Id1134"/>
        <s v="Id1133"/>
        <s v="Id1132"/>
        <s v="Id1131"/>
        <s v="Id1130"/>
        <s v="Id1129"/>
        <s v="Id1128"/>
        <s v="Id1127"/>
        <s v="Id1126"/>
        <s v="Id1125"/>
        <s v="Id1124"/>
        <s v="Id1123"/>
        <s v="Id1122"/>
        <s v="Id1121"/>
        <s v="Id1120"/>
        <s v="Id1119"/>
        <s v="Id1118"/>
        <s v="Id1117"/>
        <s v="Id1116"/>
        <s v="Id1115"/>
        <s v="Id1114"/>
        <s v="Id1113"/>
        <s v="Id1112"/>
        <s v="Id1111"/>
        <s v="Id1110"/>
        <s v="Id1109"/>
        <s v="Id1108"/>
        <s v="Id1107"/>
        <s v="Id1106"/>
        <s v="Id1105"/>
        <s v="Id1104"/>
        <s v="Id1103"/>
        <s v="Id1102"/>
        <s v="Id1101"/>
        <s v="Id1100"/>
        <s v="Id1099"/>
        <s v="Id1098"/>
        <s v="Id1097"/>
        <s v="Id1096"/>
        <s v="Id1095"/>
        <s v="Id1094"/>
        <s v="Id1093"/>
        <s v="Id1092"/>
        <s v="Id1091"/>
        <s v="Id1090"/>
        <s v="Id1089"/>
        <s v="Id1088"/>
        <s v="Id1087"/>
        <s v="Id1086"/>
        <s v="Id1085"/>
        <s v="Id1084"/>
        <s v="Id1083"/>
        <s v="Id1082"/>
        <s v="Id1081"/>
        <s v="Id1080"/>
        <s v="Id1079"/>
        <s v="Id1078"/>
        <s v="Id1077"/>
        <s v="Id1076"/>
        <s v="Id1075"/>
        <s v="Id1074"/>
        <s v="Id1073"/>
        <s v="Id1072"/>
        <s v="Id1071"/>
        <s v="Id1070"/>
        <s v="Id1069"/>
        <s v="Id1068"/>
        <s v="Id1067"/>
        <s v="Id1066"/>
        <s v="Id1065"/>
        <s v="Id1064"/>
        <s v="Id1063"/>
        <s v="Id1062"/>
        <s v="Id1061"/>
        <s v="Id1060"/>
        <s v="Id1059"/>
        <s v="Id1058"/>
        <s v="Id1057"/>
        <s v="Id1056"/>
        <s v="Id1055"/>
        <s v="Id1054"/>
        <s v="Id1053"/>
        <s v="Id1052"/>
        <s v="Id1051"/>
        <s v="Id1050"/>
        <s v="Id1049"/>
        <s v="Id1048"/>
        <s v="Id1047"/>
        <s v="Id1046"/>
        <s v="Id1045"/>
        <s v="Id1044"/>
        <s v="Id1043"/>
        <s v="Id1042"/>
        <s v="Id1041"/>
        <s v="Id1040"/>
        <s v="Id1039"/>
        <s v="Id1038"/>
        <s v="Id1037"/>
        <s v="Id1036"/>
        <s v="Id1035"/>
        <s v="Id1034"/>
        <s v="Id1033"/>
        <s v="Id1032"/>
        <s v="Id1031"/>
        <s v="Id1030"/>
        <s v="Id1029"/>
        <s v="Id1028"/>
        <s v="Id1027"/>
        <s v="Id1026"/>
        <s v="Id1025"/>
        <s v="Id1024"/>
        <s v="Id1023"/>
        <s v="Id1022"/>
        <s v="Id1021"/>
        <s v="Id1020"/>
        <s v="Id1019"/>
        <s v="Id1018"/>
        <s v="Id1017"/>
        <s v="Id1016"/>
        <s v="Id1015"/>
        <s v="Id1014"/>
        <s v="Id1013"/>
        <s v="Id1012"/>
        <s v="Id1011"/>
        <s v="Id1010"/>
        <s v="Id1009"/>
        <s v="Id1008"/>
        <s v="Id1007"/>
        <s v="Id1006"/>
        <s v="Id1005"/>
        <s v="Id1004"/>
        <s v="Id1003"/>
        <s v="Id1002"/>
        <s v="Id1001"/>
        <s v="Id1000"/>
        <s v="Id999"/>
        <s v="Id998"/>
        <s v="Id997"/>
        <s v="Id996"/>
        <s v="Id995"/>
        <s v="Id994"/>
        <s v="Id993"/>
        <s v="Id992"/>
        <s v="Id991"/>
        <s v="Id990"/>
        <s v="Id989"/>
        <s v="Id988"/>
        <s v="Id987"/>
        <s v="Id986"/>
        <s v="Id985"/>
        <s v="Id984"/>
        <s v="Id983"/>
        <s v="Id982"/>
        <s v="Id981"/>
        <s v="Id980"/>
        <s v="Id979"/>
        <s v="Id978"/>
        <s v="Id977"/>
        <s v="Id976"/>
        <s v="Id975"/>
        <s v="Id974"/>
        <s v="Id973"/>
        <s v="Id972"/>
        <s v="Id971"/>
        <s v="Id970"/>
        <s v="Id969"/>
        <s v="Id968"/>
        <s v="Id967"/>
        <s v="Id966"/>
        <s v="Id965"/>
        <s v="Id964"/>
        <s v="Id963"/>
        <s v="Id962"/>
        <s v="Id961"/>
        <s v="Id960"/>
        <s v="Id959"/>
        <s v="Id958"/>
        <s v="Id957"/>
        <s v="Id956"/>
        <s v="Id955"/>
        <s v="Id954"/>
        <s v="Id953"/>
        <s v="Id952"/>
        <s v="Id951"/>
        <s v="Id950"/>
        <s v="Id949"/>
        <s v="Id948"/>
        <s v="Id947"/>
        <s v="Id946"/>
        <s v="Id945"/>
        <s v="Id944"/>
        <s v="Id943"/>
        <s v="Id942"/>
        <s v="Id941"/>
        <s v="Id940"/>
        <s v="Id939"/>
        <s v="Id938"/>
        <s v="Id937"/>
        <s v="Id936"/>
        <s v="Id935"/>
        <s v="Id934"/>
        <s v="Id933"/>
        <s v="Id932"/>
        <s v="Id931"/>
        <s v="Id930"/>
        <s v="Id929"/>
        <s v="Id928"/>
        <s v="Id927"/>
        <s v="Id926"/>
        <s v="Id925"/>
        <s v="Id924"/>
        <s v="Id923"/>
        <s v="Id922"/>
        <s v="Id921"/>
        <s v="Id920"/>
        <s v="Id919"/>
        <s v="Id918"/>
        <s v="Id917"/>
        <s v="Id916"/>
        <s v="Id915"/>
        <s v="Id914"/>
        <s v="Id913"/>
        <s v="Id912"/>
        <s v="Id911"/>
        <s v="Id910"/>
        <s v="Id909"/>
        <s v="Id908"/>
        <s v="Id907"/>
        <s v="Id906"/>
        <s v="Id905"/>
        <s v="Id904"/>
        <s v="Id903"/>
        <s v="Id902"/>
        <s v="Id901"/>
        <s v="Id900"/>
        <s v="Id899"/>
        <s v="Id898"/>
        <s v="Id897"/>
        <s v="Id896"/>
        <s v="Id895"/>
        <s v="Id894"/>
        <s v="Id893"/>
        <s v="Id892"/>
        <s v="Id891"/>
        <s v="Id890"/>
        <s v="Id889"/>
        <s v="Id888"/>
        <s v="Id887"/>
        <s v="Id886"/>
        <s v="Id885"/>
        <s v="Id884"/>
        <s v="Id883"/>
        <s v="Id882"/>
        <s v="Id881"/>
        <s v="Id880"/>
        <s v="Id879"/>
        <s v="Id878"/>
        <s v="Id877"/>
        <s v="Id876"/>
        <s v="Id875"/>
        <s v="Id874"/>
        <s v="Id873"/>
        <s v="Id872"/>
        <s v="Id871"/>
        <s v="Id870"/>
        <s v="Id869"/>
        <s v="Id868"/>
        <s v="Id867"/>
        <s v="Id866"/>
        <s v="Id865"/>
        <s v="Id864"/>
        <s v="Id863"/>
        <s v="Id862"/>
        <s v="Id861"/>
        <s v="Id860"/>
        <s v="Id859"/>
        <s v="Id858"/>
        <s v="Id857"/>
        <s v="Id856"/>
        <s v="Id855"/>
        <s v="Id854"/>
        <s v="Id853"/>
        <s v="Id852"/>
        <s v="Id851"/>
        <s v="Id850"/>
        <s v="Id849"/>
        <s v="Id848"/>
        <s v="Id847"/>
        <s v="Id846"/>
        <s v="Id845"/>
        <s v="Id844"/>
        <s v="Id843"/>
        <s v="Id842"/>
        <s v="Id841"/>
        <s v="Id840"/>
        <s v="Id839"/>
        <s v="Id838"/>
        <s v="Id837"/>
        <s v="Id836"/>
        <s v="Id835"/>
        <s v="Id834"/>
        <s v="Id833"/>
        <s v="Id832"/>
        <s v="Id831"/>
        <s v="Id830"/>
        <s v="Id829"/>
        <s v="Id828"/>
        <s v="Id827"/>
        <s v="Id826"/>
        <s v="Id825"/>
        <s v="Id824"/>
        <s v="Id823"/>
        <s v="Id822"/>
        <s v="Id821"/>
        <s v="Id820"/>
        <s v="Id819"/>
        <s v="Id818"/>
        <s v="Id817"/>
        <s v="Id816"/>
        <s v="Id815"/>
        <s v="Id814"/>
        <s v="Id813"/>
        <s v="Id812"/>
        <s v="Id811"/>
        <s v="Id810"/>
        <s v="Id809"/>
        <s v="Id808"/>
        <s v="Id807"/>
        <s v="Id806"/>
        <s v="Id805"/>
        <s v="Id804"/>
        <s v="Id803"/>
        <s v="Id802"/>
        <s v="Id801"/>
        <s v="Id800"/>
        <s v="Id799"/>
        <s v="Id798"/>
        <s v="Id797"/>
        <s v="Id796"/>
        <s v="Id795"/>
        <s v="Id794"/>
        <s v="Id793"/>
        <s v="Id792"/>
        <s v="Id791"/>
        <s v="Id790"/>
        <s v="Id789"/>
        <s v="Id788"/>
        <s v="Id787"/>
        <s v="Id786"/>
        <s v="Id785"/>
        <s v="Id784"/>
        <s v="Id783"/>
        <s v="Id782"/>
        <s v="Id781"/>
        <s v="Id780"/>
        <s v="Id779"/>
        <s v="Id778"/>
        <s v="Id777"/>
        <s v="Id776"/>
        <s v="Id775"/>
        <s v="Id774"/>
        <s v="Id773"/>
        <s v="Id772"/>
        <s v="Id771"/>
        <s v="Id770"/>
        <s v="Id769"/>
        <s v="Id768"/>
        <s v="Id767"/>
        <s v="Id766"/>
        <s v="Id765"/>
        <s v="Id764"/>
        <s v="Id763"/>
        <s v="Id762"/>
        <s v="Id761"/>
        <s v="Id760"/>
        <s v="Id759"/>
        <s v="Id758"/>
        <s v="Id757"/>
        <s v="Id756"/>
        <s v="Id755"/>
        <s v="Id754"/>
        <s v="Id753"/>
        <s v="Id752"/>
        <s v="Id751"/>
        <s v="Id750"/>
        <s v="Id749"/>
        <s v="Id748"/>
        <s v="Id747"/>
        <s v="Id746"/>
        <s v="Id745"/>
        <s v="Id744"/>
        <s v="Id743"/>
        <s v="Id742"/>
        <s v="Id741"/>
        <s v="Id740"/>
        <s v="Id739"/>
        <s v="Id738"/>
        <s v="Id737"/>
        <s v="Id736"/>
        <s v="Id735"/>
        <s v="Id734"/>
        <s v="Id733"/>
        <s v="Id732"/>
        <s v="Id731"/>
        <s v="Id730"/>
        <s v="Id729"/>
        <s v="Id728"/>
        <s v="Id727"/>
        <s v="Id726"/>
        <s v="Id725"/>
        <s v="Id724"/>
        <s v="Id723"/>
        <s v="Id722"/>
        <s v="Id721"/>
        <s v="Id720"/>
        <s v="Id719"/>
        <s v="Id718"/>
        <s v="Id717"/>
        <s v="Id716"/>
        <s v="Id715"/>
        <s v="Id714"/>
        <s v="Id713"/>
        <s v="Id712"/>
        <s v="Id711"/>
        <s v="Id710"/>
        <s v="Id709"/>
        <s v="Id708"/>
        <s v="Id707"/>
        <s v="Id706"/>
        <s v="Id705"/>
        <s v="Id704"/>
        <s v="Id703"/>
        <s v="Id702"/>
        <s v="Id701"/>
        <s v="Id700"/>
        <s v="Id699"/>
        <s v="Id698"/>
        <s v="Id697"/>
        <s v="Id696"/>
        <s v="Id695"/>
        <s v="Id694"/>
        <s v="Id693"/>
        <s v="Id692"/>
        <s v="Id691"/>
        <s v="Id690"/>
        <s v="Id689"/>
        <s v="Id688"/>
        <s v="Id687"/>
        <s v="Id686"/>
        <s v="Id685"/>
        <s v="Id684"/>
        <s v="Id683"/>
        <s v="Id682"/>
        <s v="Id681"/>
        <s v="Id680"/>
        <s v="Id679"/>
        <s v="Id678"/>
        <s v="Id677"/>
        <s v="Id676"/>
        <s v="Id675"/>
        <s v="Id674"/>
        <s v="Id673"/>
        <s v="Id672"/>
        <s v="Id671"/>
        <s v="Id670"/>
        <s v="Id669"/>
        <s v="Id668"/>
        <s v="Id667"/>
        <s v="Id666"/>
        <s v="Id665"/>
        <s v="Id664"/>
        <s v="Id663"/>
        <s v="Id662"/>
        <s v="Id661"/>
        <s v="Id660"/>
        <s v="Id659"/>
        <s v="Id658"/>
        <s v="Id657"/>
        <s v="Id656"/>
        <s v="Id655"/>
        <s v="Id654"/>
        <s v="Id653"/>
        <s v="Id652"/>
        <s v="Id651"/>
        <s v="Id650"/>
        <s v="Id649"/>
        <s v="Id648"/>
        <s v="Id647"/>
        <s v="Id646"/>
        <s v="Id645"/>
        <s v="Id644"/>
        <s v="Id643"/>
        <s v="Id642"/>
        <s v="Id641"/>
        <s v="Id640"/>
        <s v="Id639"/>
        <s v="Id638"/>
        <s v="Id637"/>
        <s v="Id636"/>
        <s v="Id635"/>
        <s v="Id634"/>
        <s v="Id633"/>
        <s v="Id632"/>
        <s v="Id631"/>
        <s v="Id630"/>
        <s v="Id629"/>
        <s v="Id628"/>
        <s v="Id627"/>
        <s v="Id626"/>
        <s v="Id625"/>
        <s v="Id624"/>
        <s v="Id623"/>
        <s v="Id622"/>
        <s v="Id621"/>
        <s v="Id620"/>
        <s v="Id619"/>
        <s v="Id618"/>
        <s v="Id617"/>
        <s v="Id616"/>
        <s v="Id615"/>
        <s v="Id614"/>
        <s v="Id613"/>
        <s v="Id612"/>
        <s v="Id611"/>
        <s v="Id610"/>
        <s v="Id609"/>
        <s v="Id608"/>
        <s v="Id607"/>
        <s v="Id606"/>
        <s v="Id605"/>
        <s v="Id604"/>
        <s v="Id603"/>
        <s v="Id602"/>
        <s v="Id601"/>
        <s v="Id600"/>
        <s v="Id599"/>
        <s v="Id598"/>
        <s v="Id597"/>
        <s v="Id596"/>
        <s v="Id595"/>
        <s v="Id594"/>
        <s v="Id593"/>
        <s v="Id592"/>
        <s v="Id591"/>
        <s v="Id590"/>
        <s v="Id589"/>
        <s v="Id588"/>
        <s v="Id587"/>
        <s v="Id586"/>
        <s v="Id585"/>
        <s v="Id584"/>
        <s v="Id583"/>
        <s v="Id582"/>
        <s v="Id581"/>
        <s v="Id580"/>
        <s v="Id579"/>
        <s v="Id578"/>
        <s v="Id577"/>
        <s v="Id576"/>
        <s v="Id575"/>
        <s v="Id574"/>
        <s v="Id573"/>
        <s v="Id572"/>
        <s v="Id571"/>
        <s v="Id570"/>
        <s v="Id569"/>
        <s v="Id568"/>
        <s v="Id567"/>
        <s v="Id566"/>
        <s v="Id565"/>
        <s v="Id564"/>
        <s v="Id563"/>
        <s v="Id562"/>
        <s v="Id561"/>
        <s v="Id560"/>
        <s v="Id559"/>
        <s v="Id558"/>
        <s v="Id557"/>
        <s v="Id556"/>
        <s v="Id555"/>
        <s v="Id554"/>
        <s v="Id553"/>
        <s v="Id552"/>
        <s v="Id551"/>
        <s v="Id550"/>
        <s v="Id549"/>
        <s v="Id548"/>
        <s v="Id547"/>
        <s v="Id546"/>
        <s v="Id545"/>
        <s v="Id544"/>
        <s v="Id543"/>
        <s v="Id542"/>
        <s v="Id541"/>
        <s v="Id540"/>
        <s v="Id539"/>
        <s v="Id538"/>
        <s v="Id537"/>
        <s v="Id536"/>
        <s v="Id535"/>
        <s v="Id534"/>
        <s v="Id533"/>
        <s v="Id532"/>
        <s v="Id531"/>
        <s v="Id530"/>
        <s v="Id529"/>
        <s v="Id528"/>
        <s v="Id527"/>
        <s v="Id526"/>
        <s v="Id525"/>
        <s v="Id524"/>
        <s v="Id523"/>
        <s v="Id522"/>
        <s v="Id521"/>
        <s v="Id520"/>
        <s v="Id519"/>
        <s v="Id518"/>
        <s v="Id517"/>
        <s v="Id516"/>
        <s v="Id515"/>
        <s v="Id514"/>
        <s v="Id513"/>
        <s v="Id512"/>
        <s v="Id511"/>
        <s v="Id510"/>
        <s v="Id509"/>
        <s v="Id508"/>
        <s v="Id507"/>
        <s v="Id506"/>
        <s v="Id505"/>
        <s v="Id504"/>
        <s v="Id503"/>
        <s v="Id502"/>
        <s v="Id501"/>
        <s v="Id500"/>
        <s v="Id499"/>
        <s v="Id498"/>
        <s v="Id497"/>
        <s v="Id496"/>
        <s v="Id495"/>
        <s v="Id494"/>
        <s v="Id493"/>
        <s v="Id492"/>
        <s v="Id491"/>
        <s v="Id490"/>
        <s v="Id489"/>
        <s v="Id488"/>
        <s v="Id487"/>
        <s v="Id486"/>
        <s v="Id485"/>
        <s v="Id484"/>
        <s v="Id483"/>
        <s v="Id482"/>
        <s v="Id481"/>
        <s v="Id480"/>
        <s v="Id479"/>
        <s v="Id478"/>
        <s v="Id477"/>
        <s v="Id476"/>
        <s v="id2444"/>
        <s v="Id475"/>
        <s v="Id474"/>
        <s v="Id473"/>
        <s v="Id472"/>
        <s v="Id471"/>
        <s v="Id470"/>
        <s v="Id469"/>
        <s v="Id468"/>
        <s v="Id467"/>
        <s v="Id466"/>
        <s v="Id465"/>
        <s v="Id464"/>
        <s v="Id463"/>
        <s v="Id462"/>
        <s v="Id461"/>
        <s v="Id460"/>
        <s v="Id459"/>
        <s v="Id458"/>
        <s v="Id457"/>
        <s v="Id456"/>
        <s v="Id455"/>
        <s v="Id454"/>
        <s v="Id453"/>
        <s v="Id452"/>
        <s v="Id451"/>
        <s v="Id450"/>
        <s v="Id449"/>
        <s v="Id448"/>
        <s v="Id447"/>
        <s v="Id446"/>
        <s v="Id445"/>
        <s v="Id444"/>
        <s v="Id443"/>
        <s v="Id442"/>
        <s v="Id441"/>
        <s v="Id440"/>
        <s v="Id439"/>
        <s v="Id438"/>
        <s v="Id437"/>
        <s v="Id436"/>
        <s v="Id435"/>
        <s v="Id434"/>
        <s v="Id433"/>
        <s v="Id432"/>
        <s v="Id431"/>
        <s v="Id430"/>
        <s v="Id429"/>
        <s v="Id428"/>
        <s v="Id427"/>
        <s v="Id426"/>
        <s v="Id425"/>
        <s v="Id424"/>
        <s v="Id423"/>
        <s v="Id422"/>
        <s v="Id421"/>
        <s v="Id420"/>
        <s v="Id419"/>
        <s v="Id418"/>
        <s v="Id417"/>
        <s v="Id416"/>
        <s v="Id415"/>
        <s v="Id414"/>
        <s v="Id413"/>
        <s v="Id412"/>
        <s v="Id411"/>
        <s v="Id410"/>
        <s v="Id409"/>
        <s v="Id408"/>
        <s v="Id407"/>
        <s v="Id406"/>
        <s v="Id405"/>
        <s v="Id404"/>
        <s v="Id403"/>
        <s v="Id402"/>
        <s v="Id401"/>
        <s v="Id400"/>
        <s v="Id399"/>
        <s v="Id398"/>
        <s v="Id397"/>
        <s v="Id396"/>
        <s v="Id395"/>
        <s v="Id394"/>
        <s v="Id393"/>
        <s v="Id392"/>
        <s v="Id391"/>
        <s v="Id390"/>
        <s v="Id389"/>
        <s v="Id388"/>
        <s v="Id387"/>
        <s v="Id386"/>
        <s v="Id385"/>
        <s v="Id384"/>
        <s v="Id383"/>
        <s v="Id382"/>
        <s v="Id381"/>
        <s v="Id380"/>
        <s v="Id379"/>
        <s v="Id378"/>
        <s v="Id377"/>
        <s v="Id376"/>
        <s v="Id375"/>
        <s v="Id374"/>
        <s v="Id373"/>
        <s v="Id372"/>
        <s v="Id371"/>
        <s v="Id370"/>
        <s v="Id369"/>
        <s v="Id368"/>
        <s v="Id367"/>
        <s v="Id366"/>
        <s v="Id365"/>
        <s v="Id364"/>
        <s v="Id363"/>
        <s v="Id362"/>
        <s v="Id361"/>
        <s v="Id360"/>
        <s v="Id359"/>
        <s v="Id358"/>
        <s v="Id357"/>
        <s v="Id356"/>
        <s v="Id355"/>
        <s v="Id354"/>
        <s v="Id353"/>
        <s v="Id352"/>
        <s v="Id351"/>
        <s v="Id350"/>
        <s v="Id349"/>
        <s v="Id348"/>
        <s v="Id347"/>
        <s v="Id346"/>
        <s v="Id345"/>
        <s v="Id344"/>
        <s v="Id343"/>
        <s v="Id342"/>
        <s v="Id341"/>
        <s v="Id340"/>
        <s v="Id339"/>
        <s v="Id338"/>
        <s v="Id337"/>
        <s v="Id336"/>
        <s v="Id335"/>
        <s v="Id334"/>
        <s v="Id333"/>
        <s v="Id332"/>
        <s v="Id331"/>
        <s v="Id330"/>
        <s v="Id329"/>
        <s v="Id328"/>
        <s v="Id327"/>
        <s v="Id326"/>
        <s v="Id325"/>
        <s v="Id324"/>
        <s v="Id323"/>
        <s v="Id322"/>
        <s v="Id321"/>
        <s v="Id320"/>
        <s v="Id319"/>
        <s v="Id318"/>
        <s v="Id317"/>
        <s v="Id316"/>
        <s v="Id315"/>
        <s v="Id314"/>
        <s v="Id313"/>
        <s v="Id312"/>
        <s v="Id311"/>
        <s v="Id310"/>
        <s v="Id309"/>
        <s v="Id308"/>
        <s v="Id307"/>
        <s v="Id306"/>
        <s v="Id305"/>
        <s v="Id304"/>
        <s v="Id303"/>
        <s v="Id302"/>
        <s v="Id301"/>
        <s v="Id300"/>
        <s v="Id299"/>
        <s v="Id298"/>
        <s v="Id297"/>
        <s v="Id296"/>
        <s v="Id295"/>
        <s v="Id294"/>
        <s v="Id293"/>
        <s v="Id292"/>
        <s v="Id291"/>
        <s v="Id290"/>
        <s v="Id289"/>
        <s v="Id288"/>
        <s v="Id287"/>
        <s v="Id286"/>
        <s v="Id285"/>
        <s v="Id284"/>
        <s v="Id283"/>
        <s v="Id282"/>
        <s v="Id281"/>
        <s v="Id280"/>
        <s v="Id279"/>
        <s v="Id278"/>
        <s v="Id277"/>
        <s v="Id276"/>
        <s v="Id275"/>
        <s v="Id274"/>
        <s v="Id273"/>
        <s v="Id272"/>
        <s v="Id271"/>
        <s v="Id270"/>
        <s v="Id269"/>
        <s v="Id268"/>
        <s v="Id267"/>
        <s v="Id266"/>
        <s v="Id265"/>
        <s v="Id264"/>
        <s v="Id263"/>
        <s v="Id262"/>
        <s v="Id261"/>
        <s v="Id260"/>
        <s v="Id259"/>
        <s v="Id258"/>
        <s v="Id257"/>
        <s v="Id256"/>
        <s v="Id255"/>
        <s v="Id254"/>
        <s v="Id253"/>
        <s v="Id252"/>
        <s v="Id251"/>
        <s v="Id250"/>
        <s v="Id249"/>
        <s v="Id248"/>
        <s v="Id247"/>
        <s v="Id246"/>
        <s v="Id245"/>
        <s v="Id244"/>
        <s v="Id243"/>
        <s v="Id242"/>
        <s v="id3444"/>
        <s v="Id241"/>
        <s v="Id240"/>
        <s v="Id239"/>
        <s v="Id238"/>
        <s v="Id237"/>
        <s v="Id236"/>
        <s v="Id235"/>
        <s v="Id234"/>
        <s v="Id233"/>
        <s v="Id232"/>
        <s v="Id231"/>
        <s v="Id230"/>
        <s v="Id229"/>
        <s v="Id228"/>
        <s v="Id227"/>
        <s v="Id226"/>
        <s v="Id225"/>
        <s v="Id224"/>
        <s v="Id223"/>
        <s v="Id222"/>
        <s v="Id221"/>
        <s v="Id220"/>
        <s v="Id219"/>
        <s v="Id218"/>
        <s v="Id217"/>
        <s v="Id216"/>
        <s v="Id215"/>
        <s v="Id214"/>
        <s v="Id213"/>
        <s v="Id212"/>
        <s v="Id211"/>
        <s v="Id210"/>
        <s v="Id209"/>
        <s v="Id208"/>
        <s v="Id207"/>
        <s v="Id206"/>
        <s v="Id205"/>
        <s v="Id204"/>
        <s v="Id203"/>
        <s v="Id202"/>
        <s v="Id201"/>
        <s v="Id200"/>
        <s v="Id199"/>
        <s v="Id198"/>
        <s v="Id197"/>
        <s v="Id196"/>
        <s v="Id195"/>
        <s v="Id194"/>
        <s v="Id193"/>
        <s v="Id192"/>
        <s v="Id191"/>
        <s v="Id190"/>
        <s v="Id189"/>
        <s v="Id188"/>
        <s v="Id187"/>
        <s v="Id186"/>
        <s v="Id185"/>
        <s v="Id184"/>
        <s v="Id183"/>
        <s v="Id182"/>
        <s v="Id181"/>
        <s v="Id180"/>
        <s v="Id179"/>
        <s v="Id178"/>
        <s v="Id177"/>
        <s v="Id176"/>
        <s v="Id175"/>
        <s v="Id174"/>
        <s v="Id173"/>
        <s v="Id172"/>
        <s v="Id171"/>
        <s v="Id170"/>
        <s v="Id169"/>
        <s v="Id168"/>
        <s v="Id167"/>
        <s v="Id166"/>
        <s v="Id165"/>
        <s v="Id164"/>
        <s v="Id163"/>
        <s v="Id162"/>
        <s v="Id161"/>
        <s v="Id160"/>
        <s v="Id159"/>
        <s v="Id158"/>
        <s v="Id157"/>
        <s v="Id156"/>
        <s v="Id155"/>
        <s v="Id154"/>
        <s v="Id153"/>
        <s v="Id152"/>
        <s v="Id151"/>
        <s v="Id150"/>
        <s v="Id149"/>
        <s v="Id148"/>
        <s v="Id147"/>
        <s v="Id146"/>
        <s v="Id145"/>
        <s v="Id144"/>
        <s v="Id143"/>
        <s v="Id142"/>
        <s v="Id141"/>
        <s v="Id140"/>
        <s v="Id139"/>
        <s v="Id138"/>
        <s v="Id137"/>
        <s v="Id136"/>
        <s v="Id135"/>
        <s v="Id134"/>
        <s v="Id133"/>
        <s v="Id132"/>
        <s v="Id131"/>
        <s v="Id130"/>
        <s v="Id129"/>
        <s v="Id128"/>
        <s v="Id127"/>
        <s v="Id126"/>
        <s v="Id125"/>
        <s v="Id124"/>
        <s v="Id123"/>
        <s v="Id122"/>
        <s v="Id121"/>
        <s v="Id120"/>
        <s v="Id119"/>
        <s v="Id118"/>
        <s v="Id117"/>
        <s v="Id116"/>
        <s v="Id115"/>
        <s v="Id114"/>
        <s v="Id113"/>
        <s v="Id112"/>
        <s v="Id111"/>
        <s v="Id110"/>
        <s v="Id109"/>
        <s v="Id108"/>
        <s v="Id107"/>
        <s v="Id106"/>
        <s v="Id105"/>
        <s v="Id104"/>
        <s v="Id103"/>
        <s v="Id102"/>
        <s v="Id101"/>
        <s v="Id100"/>
        <s v="Id99"/>
        <s v="Id98"/>
        <s v="Id97"/>
        <s v="Id96"/>
        <s v="Id95"/>
        <s v="Id94"/>
        <s v="Id93"/>
        <s v="Id92"/>
        <s v="Id91"/>
        <s v="Id90"/>
        <s v="Id89"/>
        <s v="Id88"/>
        <s v="Id87"/>
        <s v="Id86"/>
        <s v="Id85"/>
        <s v="Id84"/>
        <s v="Id83"/>
        <s v="Id82"/>
        <s v="Id81"/>
        <s v="Id80"/>
        <s v="Id79"/>
        <s v="Id78"/>
        <s v="Id77"/>
        <s v="Id76"/>
        <s v="Id75"/>
        <s v="Id74"/>
        <s v="Id73"/>
        <s v="Id72"/>
        <s v="Id71"/>
        <s v="Id70"/>
        <s v="Id69"/>
        <s v="Id68"/>
        <s v="Id67"/>
        <s v="Id66"/>
        <s v="Id65"/>
        <s v="Id64"/>
        <s v="Id63"/>
        <s v="Id62"/>
        <s v="Id61"/>
        <s v="Id60"/>
        <s v="Id59"/>
        <s v="Id58"/>
        <s v="Id57"/>
        <s v="Id56"/>
        <s v="Id55"/>
        <s v="Id54"/>
        <s v="Id53"/>
        <s v="Id52"/>
        <s v="Id51"/>
        <s v="Id50"/>
        <s v="Id49"/>
        <s v="Id48"/>
        <s v="Id47"/>
        <s v="Id46"/>
        <s v="Id45"/>
        <s v="Id44"/>
        <s v="Id43"/>
        <s v="Id42"/>
        <s v="Id41"/>
        <s v="Id40"/>
        <s v="Id39"/>
        <s v="Id38"/>
        <s v="Id37"/>
        <s v="Id36"/>
        <s v="Id35"/>
        <s v="Id34"/>
        <s v="Id33"/>
        <s v="Id32"/>
        <s v="Id31"/>
        <s v="Id30"/>
        <s v="Id29"/>
        <s v="Id28"/>
        <s v="Id27"/>
        <s v="Id26"/>
        <s v="Id25"/>
        <s v="Id24"/>
        <s v="Id23"/>
        <s v="Id22"/>
        <s v="Id21"/>
        <s v="Id20"/>
        <s v="Id19"/>
        <s v="Id18"/>
        <s v="Id17"/>
        <s v="Id16"/>
        <s v="Id15"/>
        <s v="Id14"/>
        <s v="Id13"/>
        <s v="Id12"/>
        <s v="Id11"/>
        <s v="Id10"/>
        <s v="Id9"/>
        <s v="Id8"/>
        <s v="Id7"/>
        <s v="Id6"/>
        <s v="Id5"/>
        <s v="Id4"/>
        <s v="Id3"/>
        <s v="Id2"/>
        <s v="Id1"/>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Diabetes status" numFmtId="0">
      <sharedItems count="3">
        <s v="Diabetes"/>
        <s v="Prediabetes"/>
        <s v="Normal"/>
      </sharedItems>
    </cacheField>
    <cacheField name="Heart Issues" numFmtId="0">
      <sharedItems/>
    </cacheField>
    <cacheField name="Any Transplants" numFmtId="0">
      <sharedItems/>
    </cacheField>
    <cacheField name="Cancer history" numFmtId="0">
      <sharedItems/>
    </cacheField>
    <cacheField name="NumberOfMajor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normal weight"/>
        <s v="under weight"/>
        <s v="normalweight"/>
        <s v="underweight"/>
      </sharedItems>
    </cacheField>
  </cacheFields>
  <extLst>
    <ext xmlns:x14="http://schemas.microsoft.com/office/spreadsheetml/2009/9/main" uri="{725AE2AE-9491-48be-B2B4-4EB974FC3084}">
      <x14:pivotCacheDefinition pivotCacheId="17241046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3">
  <r>
    <x v="0"/>
    <n v="47.41"/>
    <n v="7.47"/>
    <x v="0"/>
    <s v="No"/>
    <s v="No"/>
    <x v="0"/>
    <x v="0"/>
    <x v="0"/>
    <x v="0"/>
  </r>
  <r>
    <x v="1"/>
    <n v="30.36"/>
    <n v="5.77"/>
    <x v="1"/>
    <s v="No"/>
    <s v="No"/>
    <x v="0"/>
    <x v="0"/>
    <x v="0"/>
    <x v="1"/>
  </r>
  <r>
    <x v="2"/>
    <n v="34.484999999999999"/>
    <n v="11.87"/>
    <x v="0"/>
    <s v="yes"/>
    <s v="No"/>
    <x v="0"/>
    <x v="1"/>
    <x v="0"/>
    <x v="1"/>
  </r>
  <r>
    <x v="3"/>
    <n v="38.094999999999999"/>
    <n v="6.05"/>
    <x v="1"/>
    <s v="No"/>
    <s v="No"/>
    <x v="0"/>
    <x v="0"/>
    <x v="0"/>
    <x v="1"/>
  </r>
  <r>
    <x v="4"/>
    <n v="35.53"/>
    <n v="5.45"/>
    <x v="1"/>
    <s v="No"/>
    <s v="No"/>
    <x v="0"/>
    <x v="0"/>
    <x v="0"/>
    <x v="1"/>
  </r>
  <r>
    <x v="5"/>
    <n v="32.799999999999997"/>
    <n v="6.59"/>
    <x v="0"/>
    <s v="No"/>
    <s v="No"/>
    <x v="0"/>
    <x v="0"/>
    <x v="0"/>
    <x v="1"/>
  </r>
  <r>
    <x v="6"/>
    <n v="36.4"/>
    <n v="6.07"/>
    <x v="1"/>
    <s v="No"/>
    <s v="No"/>
    <x v="0"/>
    <x v="0"/>
    <x v="0"/>
    <x v="1"/>
  </r>
  <r>
    <x v="7"/>
    <n v="36.96"/>
    <n v="7.93"/>
    <x v="0"/>
    <s v="No"/>
    <s v="No"/>
    <x v="0"/>
    <x v="2"/>
    <x v="0"/>
    <x v="1"/>
  </r>
  <r>
    <x v="8"/>
    <n v="41.14"/>
    <n v="9.58"/>
    <x v="0"/>
    <s v="yes"/>
    <s v="No"/>
    <x v="1"/>
    <x v="3"/>
    <x v="0"/>
    <x v="1"/>
  </r>
  <r>
    <x v="9"/>
    <n v="38.06"/>
    <n v="10.79"/>
    <x v="0"/>
    <s v="No"/>
    <s v="No"/>
    <x v="0"/>
    <x v="0"/>
    <x v="0"/>
    <x v="1"/>
  </r>
  <r>
    <x v="10"/>
    <n v="37.700000000000003"/>
    <n v="5.96"/>
    <x v="1"/>
    <s v="yes"/>
    <s v="No"/>
    <x v="0"/>
    <x v="1"/>
    <x v="0"/>
    <x v="1"/>
  </r>
  <r>
    <x v="11"/>
    <n v="42.13"/>
    <n v="11.9"/>
    <x v="0"/>
    <s v="No"/>
    <s v="No"/>
    <x v="0"/>
    <x v="0"/>
    <x v="0"/>
    <x v="1"/>
  </r>
  <r>
    <x v="12"/>
    <n v="40.92"/>
    <n v="8.41"/>
    <x v="0"/>
    <s v="No"/>
    <s v="No"/>
    <x v="0"/>
    <x v="0"/>
    <x v="0"/>
    <x v="1"/>
  </r>
  <r>
    <x v="13"/>
    <n v="40.564999999999998"/>
    <n v="7.02"/>
    <x v="0"/>
    <s v="No"/>
    <s v="No"/>
    <x v="0"/>
    <x v="0"/>
    <x v="0"/>
    <x v="1"/>
  </r>
  <r>
    <x v="14"/>
    <n v="36.384999999999998"/>
    <n v="7.59"/>
    <x v="0"/>
    <s v="yes"/>
    <s v="No"/>
    <x v="0"/>
    <x v="1"/>
    <x v="0"/>
    <x v="1"/>
  </r>
  <r>
    <x v="15"/>
    <n v="39.9"/>
    <n v="11.32"/>
    <x v="0"/>
    <s v="No"/>
    <s v="No"/>
    <x v="0"/>
    <x v="0"/>
    <x v="0"/>
    <x v="1"/>
  </r>
  <r>
    <x v="16"/>
    <n v="33.799999999999997"/>
    <n v="7.67"/>
    <x v="0"/>
    <s v="No"/>
    <s v="No"/>
    <x v="0"/>
    <x v="2"/>
    <x v="0"/>
    <x v="1"/>
  </r>
  <r>
    <x v="17"/>
    <n v="36.765000000000001"/>
    <n v="7.29"/>
    <x v="0"/>
    <s v="yes"/>
    <s v="No"/>
    <x v="1"/>
    <x v="3"/>
    <x v="0"/>
    <x v="1"/>
  </r>
  <r>
    <x v="18"/>
    <n v="36.954999999999998"/>
    <n v="4.72"/>
    <x v="1"/>
    <s v="yes"/>
    <s v="No"/>
    <x v="0"/>
    <x v="3"/>
    <x v="0"/>
    <x v="1"/>
  </r>
  <r>
    <x v="19"/>
    <n v="42.9"/>
    <n v="11.41"/>
    <x v="0"/>
    <s v="No"/>
    <s v="No"/>
    <x v="0"/>
    <x v="0"/>
    <x v="0"/>
    <x v="1"/>
  </r>
  <r>
    <x v="20"/>
    <n v="36.299999999999997"/>
    <n v="11.5"/>
    <x v="0"/>
    <s v="yes"/>
    <s v="No"/>
    <x v="0"/>
    <x v="1"/>
    <x v="0"/>
    <x v="2"/>
  </r>
  <r>
    <x v="21"/>
    <n v="32.200000000000003"/>
    <n v="6.22"/>
    <x v="1"/>
    <s v="yes"/>
    <s v="No"/>
    <x v="0"/>
    <x v="1"/>
    <x v="0"/>
    <x v="2"/>
  </r>
  <r>
    <x v="22"/>
    <n v="31.3"/>
    <n v="11.38"/>
    <x v="0"/>
    <s v="No"/>
    <s v="No"/>
    <x v="0"/>
    <x v="2"/>
    <x v="0"/>
    <x v="2"/>
  </r>
  <r>
    <x v="23"/>
    <n v="41.8"/>
    <n v="7.89"/>
    <x v="0"/>
    <s v="yes"/>
    <s v="No"/>
    <x v="0"/>
    <x v="1"/>
    <x v="0"/>
    <x v="2"/>
  </r>
  <r>
    <x v="24"/>
    <n v="35.090000000000003"/>
    <n v="4.38"/>
    <x v="1"/>
    <s v="yes"/>
    <s v="No"/>
    <x v="0"/>
    <x v="1"/>
    <x v="0"/>
    <x v="2"/>
  </r>
  <r>
    <x v="25"/>
    <n v="33.880000000000003"/>
    <n v="7.01"/>
    <x v="0"/>
    <s v="No"/>
    <s v="No"/>
    <x v="0"/>
    <x v="2"/>
    <x v="0"/>
    <x v="2"/>
  </r>
  <r>
    <x v="26"/>
    <n v="30.875"/>
    <n v="11.88"/>
    <x v="0"/>
    <s v="No"/>
    <s v="No"/>
    <x v="0"/>
    <x v="0"/>
    <x v="0"/>
    <x v="2"/>
  </r>
  <r>
    <x v="27"/>
    <n v="36.86"/>
    <n v="5.19"/>
    <x v="1"/>
    <s v="yes"/>
    <s v="No"/>
    <x v="1"/>
    <x v="3"/>
    <x v="0"/>
    <x v="2"/>
  </r>
  <r>
    <x v="28"/>
    <n v="35.86"/>
    <n v="6.74"/>
    <x v="0"/>
    <s v="yes"/>
    <s v="No"/>
    <x v="0"/>
    <x v="1"/>
    <x v="0"/>
    <x v="2"/>
  </r>
  <r>
    <x v="29"/>
    <n v="37.049999999999997"/>
    <n v="8.44"/>
    <x v="0"/>
    <s v="No"/>
    <s v="No"/>
    <x v="0"/>
    <x v="0"/>
    <x v="0"/>
    <x v="2"/>
  </r>
  <r>
    <x v="30"/>
    <n v="43.89"/>
    <n v="8.7100000000000009"/>
    <x v="0"/>
    <s v="No"/>
    <s v="No"/>
    <x v="0"/>
    <x v="0"/>
    <x v="0"/>
    <x v="2"/>
  </r>
  <r>
    <x v="31"/>
    <n v="42.35"/>
    <n v="5.08"/>
    <x v="1"/>
    <s v="yes"/>
    <s v="No"/>
    <x v="0"/>
    <x v="0"/>
    <x v="0"/>
    <x v="2"/>
  </r>
  <r>
    <x v="32"/>
    <n v="31.35"/>
    <n v="6.86"/>
    <x v="0"/>
    <s v="No"/>
    <s v="No"/>
    <x v="0"/>
    <x v="0"/>
    <x v="0"/>
    <x v="2"/>
  </r>
  <r>
    <x v="33"/>
    <n v="47.6"/>
    <n v="5.95"/>
    <x v="1"/>
    <s v="yes"/>
    <s v="No"/>
    <x v="0"/>
    <x v="0"/>
    <x v="0"/>
    <x v="2"/>
  </r>
  <r>
    <x v="34"/>
    <n v="46.2"/>
    <n v="6.09"/>
    <x v="1"/>
    <s v="No"/>
    <s v="No"/>
    <x v="1"/>
    <x v="3"/>
    <x v="0"/>
    <x v="2"/>
  </r>
  <r>
    <x v="35"/>
    <n v="32.015000000000001"/>
    <n v="11.75"/>
    <x v="0"/>
    <s v="No"/>
    <s v="No"/>
    <x v="0"/>
    <x v="0"/>
    <x v="0"/>
    <x v="2"/>
  </r>
  <r>
    <x v="36"/>
    <n v="40.564999999999998"/>
    <n v="7.37"/>
    <x v="0"/>
    <s v="No"/>
    <s v="No"/>
    <x v="0"/>
    <x v="0"/>
    <x v="0"/>
    <x v="2"/>
  </r>
  <r>
    <x v="37"/>
    <n v="32.450000000000003"/>
    <n v="11.91"/>
    <x v="0"/>
    <s v="No"/>
    <s v="No"/>
    <x v="0"/>
    <x v="0"/>
    <x v="0"/>
    <x v="2"/>
  </r>
  <r>
    <x v="38"/>
    <n v="34.96"/>
    <n v="6.52"/>
    <x v="0"/>
    <s v="No"/>
    <s v="No"/>
    <x v="0"/>
    <x v="0"/>
    <x v="0"/>
    <x v="2"/>
  </r>
  <r>
    <x v="39"/>
    <n v="35.5"/>
    <n v="5.14"/>
    <x v="1"/>
    <s v="No"/>
    <s v="No"/>
    <x v="1"/>
    <x v="3"/>
    <x v="0"/>
    <x v="2"/>
  </r>
  <r>
    <x v="40"/>
    <n v="52.58"/>
    <n v="4.1900000000000004"/>
    <x v="1"/>
    <s v="No"/>
    <s v="yes"/>
    <x v="0"/>
    <x v="3"/>
    <x v="0"/>
    <x v="2"/>
  </r>
  <r>
    <x v="41"/>
    <n v="35.200000000000003"/>
    <n v="11.68"/>
    <x v="0"/>
    <s v="yes"/>
    <s v="No"/>
    <x v="0"/>
    <x v="0"/>
    <x v="0"/>
    <x v="2"/>
  </r>
  <r>
    <x v="42"/>
    <n v="38.06"/>
    <n v="6.98"/>
    <x v="0"/>
    <s v="No"/>
    <s v="No"/>
    <x v="0"/>
    <x v="0"/>
    <x v="0"/>
    <x v="2"/>
  </r>
  <r>
    <x v="43"/>
    <n v="34.21"/>
    <n v="8.34"/>
    <x v="0"/>
    <s v="No"/>
    <s v="No"/>
    <x v="0"/>
    <x v="0"/>
    <x v="0"/>
    <x v="2"/>
  </r>
  <r>
    <x v="44"/>
    <n v="38.94"/>
    <n v="8.49"/>
    <x v="0"/>
    <s v="yes"/>
    <s v="No"/>
    <x v="0"/>
    <x v="3"/>
    <x v="0"/>
    <x v="2"/>
  </r>
  <r>
    <x v="45"/>
    <n v="30.21"/>
    <n v="5.34"/>
    <x v="1"/>
    <s v="yes"/>
    <s v="No"/>
    <x v="0"/>
    <x v="3"/>
    <x v="0"/>
    <x v="2"/>
  </r>
  <r>
    <x v="46"/>
    <n v="33.630000000000003"/>
    <n v="4.43"/>
    <x v="1"/>
    <s v="yes"/>
    <s v="No"/>
    <x v="0"/>
    <x v="1"/>
    <x v="0"/>
    <x v="2"/>
  </r>
  <r>
    <x v="47"/>
    <n v="40.369999999999997"/>
    <n v="4.47"/>
    <x v="1"/>
    <s v="No"/>
    <s v="No"/>
    <x v="0"/>
    <x v="0"/>
    <x v="0"/>
    <x v="2"/>
  </r>
  <r>
    <x v="48"/>
    <n v="53.09"/>
    <n v="4.82"/>
    <x v="1"/>
    <s v="yes"/>
    <s v="No"/>
    <x v="0"/>
    <x v="1"/>
    <x v="0"/>
    <x v="2"/>
  </r>
  <r>
    <x v="49"/>
    <n v="31.79"/>
    <n v="5.51"/>
    <x v="1"/>
    <s v="yes"/>
    <s v="No"/>
    <x v="0"/>
    <x v="1"/>
    <x v="0"/>
    <x v="2"/>
  </r>
  <r>
    <x v="50"/>
    <n v="41.895000000000003"/>
    <n v="10.87"/>
    <x v="0"/>
    <s v="yes"/>
    <s v="No"/>
    <x v="0"/>
    <x v="3"/>
    <x v="0"/>
    <x v="2"/>
  </r>
  <r>
    <x v="51"/>
    <n v="31.16"/>
    <n v="9.34"/>
    <x v="0"/>
    <s v="No"/>
    <s v="No"/>
    <x v="0"/>
    <x v="0"/>
    <x v="0"/>
    <x v="2"/>
  </r>
  <r>
    <x v="52"/>
    <n v="34.104999999999997"/>
    <n v="5.03"/>
    <x v="1"/>
    <s v="yes"/>
    <s v="No"/>
    <x v="1"/>
    <x v="3"/>
    <x v="0"/>
    <x v="2"/>
  </r>
  <r>
    <x v="53"/>
    <n v="51.93"/>
    <n v="11.05"/>
    <x v="0"/>
    <s v="No"/>
    <s v="No"/>
    <x v="0"/>
    <x v="0"/>
    <x v="0"/>
    <x v="2"/>
  </r>
  <r>
    <x v="54"/>
    <n v="38.950000000000003"/>
    <n v="11.95"/>
    <x v="0"/>
    <s v="No"/>
    <s v="No"/>
    <x v="0"/>
    <x v="0"/>
    <x v="0"/>
    <x v="2"/>
  </r>
  <r>
    <x v="55"/>
    <n v="36.630000000000003"/>
    <n v="7.72"/>
    <x v="0"/>
    <s v="yes"/>
    <s v="No"/>
    <x v="0"/>
    <x v="3"/>
    <x v="0"/>
    <x v="2"/>
  </r>
  <r>
    <x v="56"/>
    <n v="34.200000000000003"/>
    <n v="5.75"/>
    <x v="1"/>
    <s v="No"/>
    <s v="No"/>
    <x v="0"/>
    <x v="1"/>
    <x v="0"/>
    <x v="2"/>
  </r>
  <r>
    <x v="57"/>
    <n v="50.63"/>
    <n v="11.89"/>
    <x v="0"/>
    <s v="No"/>
    <s v="No"/>
    <x v="0"/>
    <x v="0"/>
    <x v="0"/>
    <x v="2"/>
  </r>
  <r>
    <x v="58"/>
    <n v="36.479999999999997"/>
    <n v="6.2"/>
    <x v="1"/>
    <s v="No"/>
    <s v="No"/>
    <x v="0"/>
    <x v="0"/>
    <x v="0"/>
    <x v="2"/>
  </r>
  <r>
    <x v="59"/>
    <n v="54.82"/>
    <n v="10.61"/>
    <x v="0"/>
    <s v="No"/>
    <s v="No"/>
    <x v="0"/>
    <x v="0"/>
    <x v="0"/>
    <x v="2"/>
  </r>
  <r>
    <x v="60"/>
    <n v="38.06"/>
    <n v="6.04"/>
    <x v="1"/>
    <s v="No"/>
    <s v="No"/>
    <x v="1"/>
    <x v="3"/>
    <x v="0"/>
    <x v="2"/>
  </r>
  <r>
    <x v="61"/>
    <n v="51.48"/>
    <n v="9.33"/>
    <x v="0"/>
    <s v="yes"/>
    <s v="No"/>
    <x v="0"/>
    <x v="0"/>
    <x v="0"/>
    <x v="2"/>
  </r>
  <r>
    <x v="62"/>
    <n v="52.06"/>
    <n v="11.47"/>
    <x v="0"/>
    <s v="No"/>
    <s v="No"/>
    <x v="0"/>
    <x v="0"/>
    <x v="0"/>
    <x v="2"/>
  </r>
  <r>
    <x v="63"/>
    <n v="30.684999999999999"/>
    <n v="7.02"/>
    <x v="0"/>
    <s v="yes"/>
    <s v="No"/>
    <x v="0"/>
    <x v="0"/>
    <x v="0"/>
    <x v="2"/>
  </r>
  <r>
    <x v="64"/>
    <n v="36.08"/>
    <n v="8.8000000000000007"/>
    <x v="0"/>
    <s v="yes"/>
    <s v="No"/>
    <x v="0"/>
    <x v="3"/>
    <x v="0"/>
    <x v="2"/>
  </r>
  <r>
    <x v="65"/>
    <n v="54.99"/>
    <n v="8.68"/>
    <x v="0"/>
    <s v="No"/>
    <s v="No"/>
    <x v="0"/>
    <x v="1"/>
    <x v="0"/>
    <x v="2"/>
  </r>
  <r>
    <x v="66"/>
    <n v="35.97"/>
    <n v="6.12"/>
    <x v="1"/>
    <s v="No"/>
    <s v="No"/>
    <x v="1"/>
    <x v="3"/>
    <x v="0"/>
    <x v="2"/>
  </r>
  <r>
    <x v="67"/>
    <n v="45.54"/>
    <n v="5.4"/>
    <x v="1"/>
    <s v="yes"/>
    <s v="No"/>
    <x v="1"/>
    <x v="3"/>
    <x v="0"/>
    <x v="2"/>
  </r>
  <r>
    <x v="68"/>
    <n v="35.53"/>
    <n v="4.3600000000000003"/>
    <x v="1"/>
    <s v="yes"/>
    <s v="No"/>
    <x v="0"/>
    <x v="0"/>
    <x v="0"/>
    <x v="2"/>
  </r>
  <r>
    <x v="69"/>
    <n v="30.8"/>
    <n v="9.77"/>
    <x v="0"/>
    <s v="No"/>
    <s v="No"/>
    <x v="0"/>
    <x v="0"/>
    <x v="0"/>
    <x v="2"/>
  </r>
  <r>
    <x v="70"/>
    <n v="38.39"/>
    <n v="4.25"/>
    <x v="1"/>
    <s v="No"/>
    <s v="No"/>
    <x v="0"/>
    <x v="3"/>
    <x v="0"/>
    <x v="2"/>
  </r>
  <r>
    <x v="71"/>
    <n v="32.299999999999997"/>
    <n v="4.76"/>
    <x v="1"/>
    <s v="No"/>
    <s v="No"/>
    <x v="0"/>
    <x v="1"/>
    <x v="0"/>
    <x v="2"/>
  </r>
  <r>
    <x v="72"/>
    <n v="48.8"/>
    <n v="6.22"/>
    <x v="1"/>
    <s v="yes"/>
    <s v="No"/>
    <x v="0"/>
    <x v="1"/>
    <x v="0"/>
    <x v="2"/>
  </r>
  <r>
    <x v="73"/>
    <n v="45.5"/>
    <n v="7.96"/>
    <x v="0"/>
    <s v="No"/>
    <s v="No"/>
    <x v="0"/>
    <x v="0"/>
    <x v="0"/>
    <x v="2"/>
  </r>
  <r>
    <x v="74"/>
    <n v="53.61"/>
    <n v="10.92"/>
    <x v="0"/>
    <s v="yes"/>
    <s v="No"/>
    <x v="0"/>
    <x v="3"/>
    <x v="0"/>
    <x v="2"/>
  </r>
  <r>
    <x v="75"/>
    <n v="36.19"/>
    <n v="11.51"/>
    <x v="0"/>
    <s v="yes"/>
    <s v="No"/>
    <x v="0"/>
    <x v="3"/>
    <x v="0"/>
    <x v="2"/>
  </r>
  <r>
    <x v="76"/>
    <n v="34.6"/>
    <n v="5.99"/>
    <x v="1"/>
    <s v="yes"/>
    <s v="No"/>
    <x v="0"/>
    <x v="0"/>
    <x v="0"/>
    <x v="2"/>
  </r>
  <r>
    <x v="77"/>
    <n v="54.12"/>
    <n v="11.57"/>
    <x v="0"/>
    <s v="No"/>
    <s v="No"/>
    <x v="0"/>
    <x v="0"/>
    <x v="0"/>
    <x v="2"/>
  </r>
  <r>
    <x v="78"/>
    <n v="48.82"/>
    <n v="6.67"/>
    <x v="0"/>
    <s v="yes"/>
    <s v="No"/>
    <x v="0"/>
    <x v="0"/>
    <x v="0"/>
    <x v="2"/>
  </r>
  <r>
    <x v="79"/>
    <n v="51.01"/>
    <n v="9.1999999999999993"/>
    <x v="0"/>
    <s v="No"/>
    <s v="No"/>
    <x v="0"/>
    <x v="0"/>
    <x v="0"/>
    <x v="2"/>
  </r>
  <r>
    <x v="80"/>
    <n v="45.65"/>
    <n v="5.1100000000000003"/>
    <x v="1"/>
    <s v="yes"/>
    <s v="No"/>
    <x v="0"/>
    <x v="3"/>
    <x v="0"/>
    <x v="2"/>
  </r>
  <r>
    <x v="81"/>
    <n v="52.9"/>
    <n v="5.34"/>
    <x v="1"/>
    <s v="No"/>
    <s v="No"/>
    <x v="0"/>
    <x v="0"/>
    <x v="0"/>
    <x v="2"/>
  </r>
  <r>
    <x v="82"/>
    <n v="45.41"/>
    <n v="4.03"/>
    <x v="1"/>
    <s v="yes"/>
    <s v="No"/>
    <x v="0"/>
    <x v="3"/>
    <x v="0"/>
    <x v="2"/>
  </r>
  <r>
    <x v="83"/>
    <n v="49.41"/>
    <n v="4.2300000000000004"/>
    <x v="1"/>
    <s v="yes"/>
    <s v="No"/>
    <x v="1"/>
    <x v="3"/>
    <x v="0"/>
    <x v="2"/>
  </r>
  <r>
    <x v="84"/>
    <n v="31.824999999999999"/>
    <n v="4.0599999999999996"/>
    <x v="1"/>
    <s v="No"/>
    <s v="No"/>
    <x v="0"/>
    <x v="1"/>
    <x v="0"/>
    <x v="2"/>
  </r>
  <r>
    <x v="85"/>
    <n v="51.28"/>
    <n v="4.68"/>
    <x v="1"/>
    <s v="No"/>
    <s v="No"/>
    <x v="0"/>
    <x v="1"/>
    <x v="0"/>
    <x v="2"/>
  </r>
  <r>
    <x v="86"/>
    <n v="34.96"/>
    <n v="4.34"/>
    <x v="1"/>
    <s v="No"/>
    <s v="No"/>
    <x v="1"/>
    <x v="3"/>
    <x v="0"/>
    <x v="2"/>
  </r>
  <r>
    <x v="87"/>
    <n v="33.11"/>
    <n v="10.51"/>
    <x v="0"/>
    <s v="No"/>
    <s v="No"/>
    <x v="0"/>
    <x v="0"/>
    <x v="0"/>
    <x v="2"/>
  </r>
  <r>
    <x v="88"/>
    <n v="54.74"/>
    <n v="5.84"/>
    <x v="1"/>
    <s v="yes"/>
    <s v="No"/>
    <x v="1"/>
    <x v="3"/>
    <x v="0"/>
    <x v="2"/>
  </r>
  <r>
    <x v="89"/>
    <n v="32.56"/>
    <n v="5.41"/>
    <x v="1"/>
    <s v="No"/>
    <s v="No"/>
    <x v="1"/>
    <x v="3"/>
    <x v="0"/>
    <x v="2"/>
  </r>
  <r>
    <x v="90"/>
    <n v="39.049999999999997"/>
    <n v="6.06"/>
    <x v="1"/>
    <s v="No"/>
    <s v="No"/>
    <x v="0"/>
    <x v="3"/>
    <x v="0"/>
    <x v="2"/>
  </r>
  <r>
    <x v="91"/>
    <n v="42.75"/>
    <n v="4.22"/>
    <x v="1"/>
    <s v="No"/>
    <s v="No"/>
    <x v="0"/>
    <x v="0"/>
    <x v="0"/>
    <x v="2"/>
  </r>
  <r>
    <x v="92"/>
    <n v="50.58"/>
    <n v="5.12"/>
    <x v="1"/>
    <s v="No"/>
    <s v="No"/>
    <x v="0"/>
    <x v="1"/>
    <x v="0"/>
    <x v="2"/>
  </r>
  <r>
    <x v="93"/>
    <n v="30.495000000000001"/>
    <n v="4.57"/>
    <x v="1"/>
    <s v="yes"/>
    <s v="No"/>
    <x v="0"/>
    <x v="0"/>
    <x v="0"/>
    <x v="2"/>
  </r>
  <r>
    <x v="94"/>
    <n v="48.31"/>
    <n v="9.58"/>
    <x v="0"/>
    <s v="yes"/>
    <s v="No"/>
    <x v="0"/>
    <x v="1"/>
    <x v="0"/>
    <x v="2"/>
  </r>
  <r>
    <x v="95"/>
    <n v="48.99"/>
    <n v="9.7799999999999994"/>
    <x v="0"/>
    <s v="yes"/>
    <s v="No"/>
    <x v="0"/>
    <x v="3"/>
    <x v="0"/>
    <x v="2"/>
  </r>
  <r>
    <x v="96"/>
    <n v="38.39"/>
    <n v="4.1100000000000003"/>
    <x v="1"/>
    <s v="yes"/>
    <s v="No"/>
    <x v="0"/>
    <x v="0"/>
    <x v="0"/>
    <x v="2"/>
  </r>
  <r>
    <x v="97"/>
    <n v="44.34"/>
    <n v="4.0199999999999996"/>
    <x v="1"/>
    <s v="yes"/>
    <s v="No"/>
    <x v="0"/>
    <x v="1"/>
    <x v="0"/>
    <x v="2"/>
  </r>
  <r>
    <x v="98"/>
    <n v="41.51"/>
    <n v="6.92"/>
    <x v="0"/>
    <s v="No"/>
    <s v="No"/>
    <x v="0"/>
    <x v="0"/>
    <x v="0"/>
    <x v="2"/>
  </r>
  <r>
    <x v="99"/>
    <n v="48.2"/>
    <n v="4.84"/>
    <x v="1"/>
    <s v="No"/>
    <s v="No"/>
    <x v="0"/>
    <x v="0"/>
    <x v="0"/>
    <x v="2"/>
  </r>
  <r>
    <x v="100"/>
    <n v="35.75"/>
    <n v="8"/>
    <x v="0"/>
    <s v="yes"/>
    <s v="No"/>
    <x v="0"/>
    <x v="0"/>
    <x v="0"/>
    <x v="2"/>
  </r>
  <r>
    <x v="101"/>
    <n v="53.81"/>
    <n v="8.77"/>
    <x v="0"/>
    <s v="yes"/>
    <s v="No"/>
    <x v="0"/>
    <x v="0"/>
    <x v="0"/>
    <x v="2"/>
  </r>
  <r>
    <x v="102"/>
    <n v="49.48"/>
    <n v="4.96"/>
    <x v="1"/>
    <s v="No"/>
    <s v="No"/>
    <x v="1"/>
    <x v="3"/>
    <x v="0"/>
    <x v="2"/>
  </r>
  <r>
    <x v="103"/>
    <n v="34.1"/>
    <n v="4.43"/>
    <x v="1"/>
    <s v="yes"/>
    <s v="No"/>
    <x v="0"/>
    <x v="0"/>
    <x v="0"/>
    <x v="2"/>
  </r>
  <r>
    <x v="104"/>
    <n v="35.299999999999997"/>
    <n v="5.82"/>
    <x v="1"/>
    <s v="yes"/>
    <s v="No"/>
    <x v="1"/>
    <x v="3"/>
    <x v="0"/>
    <x v="2"/>
  </r>
  <r>
    <x v="105"/>
    <n v="43.83"/>
    <n v="6.03"/>
    <x v="1"/>
    <s v="yes"/>
    <s v="No"/>
    <x v="0"/>
    <x v="1"/>
    <x v="0"/>
    <x v="2"/>
  </r>
  <r>
    <x v="106"/>
    <n v="50.07"/>
    <n v="9.27"/>
    <x v="0"/>
    <s v="No"/>
    <s v="No"/>
    <x v="0"/>
    <x v="0"/>
    <x v="0"/>
    <x v="2"/>
  </r>
  <r>
    <x v="107"/>
    <n v="32.774999999999999"/>
    <n v="5.53"/>
    <x v="1"/>
    <s v="No"/>
    <s v="No"/>
    <x v="0"/>
    <x v="0"/>
    <x v="0"/>
    <x v="2"/>
  </r>
  <r>
    <x v="108"/>
    <n v="34.104999999999997"/>
    <n v="5.07"/>
    <x v="1"/>
    <s v="No"/>
    <s v="No"/>
    <x v="0"/>
    <x v="3"/>
    <x v="0"/>
    <x v="2"/>
  </r>
  <r>
    <x v="109"/>
    <n v="48.93"/>
    <n v="11.17"/>
    <x v="0"/>
    <s v="yes"/>
    <s v="No"/>
    <x v="0"/>
    <x v="3"/>
    <x v="0"/>
    <x v="2"/>
  </r>
  <r>
    <x v="110"/>
    <n v="37.07"/>
    <n v="6.14"/>
    <x v="1"/>
    <s v="yes"/>
    <s v="No"/>
    <x v="0"/>
    <x v="0"/>
    <x v="0"/>
    <x v="2"/>
  </r>
  <r>
    <x v="111"/>
    <n v="51.51"/>
    <n v="6.26"/>
    <x v="1"/>
    <s v="yes"/>
    <s v="No"/>
    <x v="1"/>
    <x v="3"/>
    <x v="0"/>
    <x v="2"/>
  </r>
  <r>
    <x v="112"/>
    <n v="34.799999999999997"/>
    <n v="4.72"/>
    <x v="1"/>
    <s v="yes"/>
    <s v="No"/>
    <x v="0"/>
    <x v="0"/>
    <x v="0"/>
    <x v="2"/>
  </r>
  <r>
    <x v="113"/>
    <n v="36.67"/>
    <n v="5.18"/>
    <x v="1"/>
    <s v="No"/>
    <s v="No"/>
    <x v="0"/>
    <x v="3"/>
    <x v="0"/>
    <x v="2"/>
  </r>
  <r>
    <x v="114"/>
    <n v="30.9"/>
    <n v="9.4"/>
    <x v="0"/>
    <s v="No"/>
    <s v="No"/>
    <x v="0"/>
    <x v="1"/>
    <x v="0"/>
    <x v="2"/>
  </r>
  <r>
    <x v="115"/>
    <n v="30.495000000000001"/>
    <n v="6.29"/>
    <x v="1"/>
    <s v="No"/>
    <s v="No"/>
    <x v="0"/>
    <x v="0"/>
    <x v="0"/>
    <x v="2"/>
  </r>
  <r>
    <x v="116"/>
    <n v="44.88"/>
    <n v="6.04"/>
    <x v="1"/>
    <s v="No"/>
    <s v="No"/>
    <x v="1"/>
    <x v="3"/>
    <x v="0"/>
    <x v="2"/>
  </r>
  <r>
    <x v="117"/>
    <n v="44.32"/>
    <n v="10.55"/>
    <x v="0"/>
    <s v="No"/>
    <s v="No"/>
    <x v="0"/>
    <x v="0"/>
    <x v="0"/>
    <x v="2"/>
  </r>
  <r>
    <x v="118"/>
    <n v="46.39"/>
    <n v="5.09"/>
    <x v="1"/>
    <s v="No"/>
    <s v="No"/>
    <x v="0"/>
    <x v="0"/>
    <x v="0"/>
    <x v="2"/>
  </r>
  <r>
    <x v="119"/>
    <n v="42.13"/>
    <n v="5.2"/>
    <x v="1"/>
    <s v="yes"/>
    <s v="No"/>
    <x v="0"/>
    <x v="3"/>
    <x v="0"/>
    <x v="2"/>
  </r>
  <r>
    <x v="44"/>
    <n v="30.78"/>
    <n v="8.4499999999999993"/>
    <x v="0"/>
    <s v="yes"/>
    <s v="No"/>
    <x v="0"/>
    <x v="0"/>
    <x v="0"/>
    <x v="2"/>
  </r>
  <r>
    <x v="120"/>
    <n v="31.35"/>
    <n v="9.5399999999999991"/>
    <x v="0"/>
    <s v="No"/>
    <s v="No"/>
    <x v="0"/>
    <x v="0"/>
    <x v="0"/>
    <x v="2"/>
  </r>
  <r>
    <x v="121"/>
    <n v="41.46"/>
    <n v="4.99"/>
    <x v="1"/>
    <s v="yes"/>
    <s v="No"/>
    <x v="0"/>
    <x v="1"/>
    <x v="0"/>
    <x v="2"/>
  </r>
  <r>
    <x v="122"/>
    <n v="48"/>
    <n v="10.54"/>
    <x v="0"/>
    <s v="No"/>
    <s v="No"/>
    <x v="0"/>
    <x v="0"/>
    <x v="0"/>
    <x v="2"/>
  </r>
  <r>
    <x v="123"/>
    <n v="49.13"/>
    <n v="4.54"/>
    <x v="1"/>
    <s v="No"/>
    <s v="No"/>
    <x v="0"/>
    <x v="0"/>
    <x v="0"/>
    <x v="2"/>
  </r>
  <r>
    <x v="124"/>
    <n v="37.799999999999997"/>
    <n v="6.29"/>
    <x v="1"/>
    <s v="No"/>
    <s v="No"/>
    <x v="0"/>
    <x v="3"/>
    <x v="0"/>
    <x v="2"/>
  </r>
  <r>
    <x v="125"/>
    <n v="38.299999999999997"/>
    <n v="9.51"/>
    <x v="0"/>
    <s v="No"/>
    <s v="No"/>
    <x v="0"/>
    <x v="0"/>
    <x v="0"/>
    <x v="2"/>
  </r>
  <r>
    <x v="126"/>
    <n v="32.774999999999999"/>
    <n v="4.72"/>
    <x v="1"/>
    <s v="No"/>
    <s v="No"/>
    <x v="0"/>
    <x v="0"/>
    <x v="0"/>
    <x v="2"/>
  </r>
  <r>
    <x v="127"/>
    <n v="34.200000000000003"/>
    <n v="5.91"/>
    <x v="1"/>
    <s v="yes"/>
    <s v="No"/>
    <x v="0"/>
    <x v="0"/>
    <x v="0"/>
    <x v="2"/>
  </r>
  <r>
    <x v="128"/>
    <n v="30.2"/>
    <n v="9.58"/>
    <x v="0"/>
    <s v="No"/>
    <s v="No"/>
    <x v="0"/>
    <x v="0"/>
    <x v="0"/>
    <x v="2"/>
  </r>
  <r>
    <x v="129"/>
    <n v="48.32"/>
    <n v="5.77"/>
    <x v="1"/>
    <s v="No"/>
    <s v="No"/>
    <x v="0"/>
    <x v="0"/>
    <x v="0"/>
    <x v="2"/>
  </r>
  <r>
    <x v="130"/>
    <n v="44.86"/>
    <n v="4.38"/>
    <x v="1"/>
    <s v="yes"/>
    <s v="No"/>
    <x v="0"/>
    <x v="0"/>
    <x v="0"/>
    <x v="2"/>
  </r>
  <r>
    <x v="131"/>
    <n v="52.15"/>
    <n v="5.65"/>
    <x v="1"/>
    <s v="No"/>
    <s v="No"/>
    <x v="0"/>
    <x v="3"/>
    <x v="0"/>
    <x v="2"/>
  </r>
  <r>
    <x v="132"/>
    <n v="41.12"/>
    <n v="7.54"/>
    <x v="0"/>
    <s v="yes"/>
    <s v="No"/>
    <x v="0"/>
    <x v="0"/>
    <x v="0"/>
    <x v="2"/>
  </r>
  <r>
    <x v="133"/>
    <n v="38.39"/>
    <n v="5.1100000000000003"/>
    <x v="1"/>
    <s v="yes"/>
    <s v="No"/>
    <x v="0"/>
    <x v="3"/>
    <x v="0"/>
    <x v="2"/>
  </r>
  <r>
    <x v="134"/>
    <n v="46.85"/>
    <n v="4.25"/>
    <x v="1"/>
    <s v="No"/>
    <s v="No"/>
    <x v="1"/>
    <x v="3"/>
    <x v="0"/>
    <x v="2"/>
  </r>
  <r>
    <x v="135"/>
    <n v="42.24"/>
    <n v="5.55"/>
    <x v="1"/>
    <s v="No"/>
    <s v="yes"/>
    <x v="0"/>
    <x v="3"/>
    <x v="0"/>
    <x v="2"/>
  </r>
  <r>
    <x v="136"/>
    <n v="34.39"/>
    <n v="5.78"/>
    <x v="1"/>
    <s v="No"/>
    <s v="No"/>
    <x v="0"/>
    <x v="0"/>
    <x v="0"/>
    <x v="2"/>
  </r>
  <r>
    <x v="137"/>
    <n v="42.89"/>
    <n v="5.28"/>
    <x v="1"/>
    <s v="yes"/>
    <s v="No"/>
    <x v="0"/>
    <x v="0"/>
    <x v="0"/>
    <x v="2"/>
  </r>
  <r>
    <x v="138"/>
    <n v="36.299999999999997"/>
    <n v="5.39"/>
    <x v="1"/>
    <s v="No"/>
    <s v="No"/>
    <x v="0"/>
    <x v="0"/>
    <x v="0"/>
    <x v="2"/>
  </r>
  <r>
    <x v="139"/>
    <n v="35.200000000000003"/>
    <n v="8.01"/>
    <x v="0"/>
    <s v="yes"/>
    <s v="No"/>
    <x v="0"/>
    <x v="3"/>
    <x v="0"/>
    <x v="2"/>
  </r>
  <r>
    <x v="140"/>
    <n v="53.62"/>
    <n v="5.21"/>
    <x v="1"/>
    <s v="No"/>
    <s v="No"/>
    <x v="0"/>
    <x v="0"/>
    <x v="0"/>
    <x v="2"/>
  </r>
  <r>
    <x v="141"/>
    <n v="36.67"/>
    <n v="6.27"/>
    <x v="1"/>
    <s v="No"/>
    <s v="No"/>
    <x v="0"/>
    <x v="0"/>
    <x v="0"/>
    <x v="2"/>
  </r>
  <r>
    <x v="142"/>
    <n v="33.4"/>
    <n v="10.73"/>
    <x v="0"/>
    <s v="yes"/>
    <s v="No"/>
    <x v="0"/>
    <x v="3"/>
    <x v="0"/>
    <x v="2"/>
  </r>
  <r>
    <x v="143"/>
    <n v="42.71"/>
    <n v="10.52"/>
    <x v="0"/>
    <s v="No"/>
    <s v="No"/>
    <x v="0"/>
    <x v="0"/>
    <x v="0"/>
    <x v="2"/>
  </r>
  <r>
    <x v="144"/>
    <n v="41.52"/>
    <n v="11.82"/>
    <x v="0"/>
    <s v="yes"/>
    <s v="No"/>
    <x v="0"/>
    <x v="1"/>
    <x v="0"/>
    <x v="2"/>
  </r>
  <r>
    <x v="145"/>
    <n v="39.4"/>
    <n v="6.76"/>
    <x v="0"/>
    <s v="No"/>
    <s v="No"/>
    <x v="0"/>
    <x v="0"/>
    <x v="0"/>
    <x v="2"/>
  </r>
  <r>
    <x v="146"/>
    <n v="46.45"/>
    <n v="5.62"/>
    <x v="1"/>
    <s v="No"/>
    <s v="No"/>
    <x v="0"/>
    <x v="0"/>
    <x v="0"/>
    <x v="2"/>
  </r>
  <r>
    <x v="147"/>
    <n v="35.75"/>
    <n v="4.1900000000000004"/>
    <x v="1"/>
    <s v="No"/>
    <s v="No"/>
    <x v="0"/>
    <x v="0"/>
    <x v="0"/>
    <x v="2"/>
  </r>
  <r>
    <x v="148"/>
    <n v="26.07"/>
    <n v="5.32"/>
    <x v="1"/>
    <s v="No"/>
    <s v="No"/>
    <x v="0"/>
    <x v="0"/>
    <x v="0"/>
    <x v="2"/>
  </r>
  <r>
    <x v="149"/>
    <n v="36.54"/>
    <n v="4.46"/>
    <x v="1"/>
    <s v="yes"/>
    <s v="No"/>
    <x v="0"/>
    <x v="3"/>
    <x v="0"/>
    <x v="2"/>
  </r>
  <r>
    <x v="150"/>
    <n v="51.64"/>
    <n v="5.65"/>
    <x v="1"/>
    <s v="No"/>
    <s v="No"/>
    <x v="0"/>
    <x v="0"/>
    <x v="0"/>
    <x v="2"/>
  </r>
  <r>
    <x v="151"/>
    <n v="42.83"/>
    <n v="6.04"/>
    <x v="1"/>
    <s v="No"/>
    <s v="No"/>
    <x v="0"/>
    <x v="1"/>
    <x v="0"/>
    <x v="2"/>
  </r>
  <r>
    <x v="152"/>
    <n v="40.15"/>
    <n v="5.76"/>
    <x v="1"/>
    <s v="No"/>
    <s v="No"/>
    <x v="0"/>
    <x v="3"/>
    <x v="0"/>
    <x v="2"/>
  </r>
  <r>
    <x v="153"/>
    <n v="27.8"/>
    <n v="4.3600000000000003"/>
    <x v="1"/>
    <s v="No"/>
    <s v="No"/>
    <x v="1"/>
    <x v="3"/>
    <x v="0"/>
    <x v="2"/>
  </r>
  <r>
    <x v="154"/>
    <n v="45.81"/>
    <n v="4.76"/>
    <x v="1"/>
    <s v="yes"/>
    <s v="No"/>
    <x v="1"/>
    <x v="3"/>
    <x v="0"/>
    <x v="2"/>
  </r>
  <r>
    <x v="155"/>
    <n v="34.43"/>
    <n v="10.82"/>
    <x v="0"/>
    <s v="yes"/>
    <s v="No"/>
    <x v="0"/>
    <x v="3"/>
    <x v="0"/>
    <x v="2"/>
  </r>
  <r>
    <x v="156"/>
    <n v="41.33"/>
    <n v="4.01"/>
    <x v="1"/>
    <s v="yes"/>
    <s v="No"/>
    <x v="0"/>
    <x v="0"/>
    <x v="0"/>
    <x v="2"/>
  </r>
  <r>
    <x v="157"/>
    <n v="31.92"/>
    <n v="5.12"/>
    <x v="1"/>
    <s v="yes"/>
    <s v="No"/>
    <x v="0"/>
    <x v="3"/>
    <x v="0"/>
    <x v="2"/>
  </r>
  <r>
    <x v="158"/>
    <n v="39.799999999999997"/>
    <n v="10.54"/>
    <x v="0"/>
    <s v="yes"/>
    <s v="No"/>
    <x v="0"/>
    <x v="1"/>
    <x v="0"/>
    <x v="2"/>
  </r>
  <r>
    <x v="159"/>
    <n v="42.82"/>
    <n v="4.21"/>
    <x v="1"/>
    <s v="No"/>
    <s v="No"/>
    <x v="0"/>
    <x v="0"/>
    <x v="0"/>
    <x v="2"/>
  </r>
  <r>
    <x v="160"/>
    <n v="33.630000000000003"/>
    <n v="5.42"/>
    <x v="1"/>
    <s v="No"/>
    <s v="No"/>
    <x v="0"/>
    <x v="0"/>
    <x v="0"/>
    <x v="2"/>
  </r>
  <r>
    <x v="161"/>
    <n v="37.07"/>
    <n v="4.28"/>
    <x v="1"/>
    <s v="No"/>
    <s v="yes"/>
    <x v="0"/>
    <x v="3"/>
    <x v="0"/>
    <x v="2"/>
  </r>
  <r>
    <x v="162"/>
    <n v="35.625"/>
    <n v="8.9"/>
    <x v="0"/>
    <s v="No"/>
    <s v="No"/>
    <x v="0"/>
    <x v="0"/>
    <x v="0"/>
    <x v="2"/>
  </r>
  <r>
    <x v="163"/>
    <n v="42.69"/>
    <n v="4.8899999999999997"/>
    <x v="1"/>
    <s v="No"/>
    <s v="No"/>
    <x v="1"/>
    <x v="3"/>
    <x v="0"/>
    <x v="2"/>
  </r>
  <r>
    <x v="164"/>
    <n v="37.869999999999997"/>
    <n v="4.29"/>
    <x v="1"/>
    <s v="yes"/>
    <s v="No"/>
    <x v="1"/>
    <x v="3"/>
    <x v="0"/>
    <x v="2"/>
  </r>
  <r>
    <x v="165"/>
    <n v="40.61"/>
    <n v="8"/>
    <x v="0"/>
    <s v="yes"/>
    <s v="No"/>
    <x v="0"/>
    <x v="3"/>
    <x v="0"/>
    <x v="2"/>
  </r>
  <r>
    <x v="166"/>
    <n v="30.78"/>
    <n v="4.67"/>
    <x v="1"/>
    <s v="yes"/>
    <s v="No"/>
    <x v="0"/>
    <x v="0"/>
    <x v="0"/>
    <x v="2"/>
  </r>
  <r>
    <x v="167"/>
    <n v="49.49"/>
    <n v="4.5"/>
    <x v="1"/>
    <s v="No"/>
    <s v="No"/>
    <x v="0"/>
    <x v="0"/>
    <x v="0"/>
    <x v="2"/>
  </r>
  <r>
    <x v="168"/>
    <n v="37.619999999999997"/>
    <n v="6.32"/>
    <x v="1"/>
    <s v="yes"/>
    <s v="yes"/>
    <x v="0"/>
    <x v="1"/>
    <x v="0"/>
    <x v="2"/>
  </r>
  <r>
    <x v="169"/>
    <n v="36.08"/>
    <n v="6.1"/>
    <x v="1"/>
    <s v="yes"/>
    <s v="No"/>
    <x v="0"/>
    <x v="3"/>
    <x v="0"/>
    <x v="2"/>
  </r>
  <r>
    <x v="170"/>
    <n v="33.5"/>
    <n v="5.4"/>
    <x v="1"/>
    <s v="No"/>
    <s v="No"/>
    <x v="0"/>
    <x v="0"/>
    <x v="0"/>
    <x v="2"/>
  </r>
  <r>
    <x v="171"/>
    <n v="47.46"/>
    <n v="6.24"/>
    <x v="1"/>
    <s v="yes"/>
    <s v="No"/>
    <x v="0"/>
    <x v="3"/>
    <x v="0"/>
    <x v="2"/>
  </r>
  <r>
    <x v="172"/>
    <n v="49.24"/>
    <n v="4.45"/>
    <x v="1"/>
    <s v="No"/>
    <s v="No"/>
    <x v="0"/>
    <x v="0"/>
    <x v="0"/>
    <x v="2"/>
  </r>
  <r>
    <x v="173"/>
    <n v="54.4"/>
    <n v="5.22"/>
    <x v="1"/>
    <s v="No"/>
    <s v="No"/>
    <x v="0"/>
    <x v="3"/>
    <x v="0"/>
    <x v="2"/>
  </r>
  <r>
    <x v="174"/>
    <n v="35.53"/>
    <n v="4.6100000000000003"/>
    <x v="1"/>
    <s v="No"/>
    <s v="No"/>
    <x v="0"/>
    <x v="3"/>
    <x v="0"/>
    <x v="2"/>
  </r>
  <r>
    <x v="175"/>
    <n v="39.729999999999997"/>
    <n v="6.24"/>
    <x v="1"/>
    <s v="No"/>
    <s v="No"/>
    <x v="0"/>
    <x v="0"/>
    <x v="0"/>
    <x v="2"/>
  </r>
  <r>
    <x v="176"/>
    <n v="35.68"/>
    <n v="10.039999999999999"/>
    <x v="0"/>
    <s v="No"/>
    <s v="No"/>
    <x v="0"/>
    <x v="0"/>
    <x v="0"/>
    <x v="2"/>
  </r>
  <r>
    <x v="177"/>
    <n v="48.86"/>
    <n v="6.09"/>
    <x v="1"/>
    <s v="No"/>
    <s v="No"/>
    <x v="0"/>
    <x v="0"/>
    <x v="0"/>
    <x v="2"/>
  </r>
  <r>
    <x v="178"/>
    <n v="34.799999999999997"/>
    <n v="11.4"/>
    <x v="0"/>
    <s v="yes"/>
    <s v="No"/>
    <x v="1"/>
    <x v="3"/>
    <x v="1"/>
    <x v="2"/>
  </r>
  <r>
    <x v="179"/>
    <n v="32.49"/>
    <n v="4.29"/>
    <x v="1"/>
    <s v="No"/>
    <s v="No"/>
    <x v="1"/>
    <x v="3"/>
    <x v="0"/>
    <x v="2"/>
  </r>
  <r>
    <x v="180"/>
    <n v="39"/>
    <n v="5.7"/>
    <x v="1"/>
    <s v="No"/>
    <s v="No"/>
    <x v="0"/>
    <x v="1"/>
    <x v="0"/>
    <x v="2"/>
  </r>
  <r>
    <x v="181"/>
    <n v="35.299999999999997"/>
    <n v="6.09"/>
    <x v="1"/>
    <s v="No"/>
    <s v="No"/>
    <x v="0"/>
    <x v="3"/>
    <x v="0"/>
    <x v="2"/>
  </r>
  <r>
    <x v="182"/>
    <n v="33.42"/>
    <n v="10.67"/>
    <x v="0"/>
    <s v="No"/>
    <s v="No"/>
    <x v="0"/>
    <x v="0"/>
    <x v="0"/>
    <x v="2"/>
  </r>
  <r>
    <x v="183"/>
    <n v="37.18"/>
    <n v="6.75"/>
    <x v="1"/>
    <s v="yes"/>
    <s v="No"/>
    <x v="0"/>
    <x v="1"/>
    <x v="0"/>
    <x v="2"/>
  </r>
  <r>
    <x v="184"/>
    <n v="33.33"/>
    <n v="9.26"/>
    <x v="0"/>
    <s v="yes"/>
    <s v="No"/>
    <x v="0"/>
    <x v="1"/>
    <x v="1"/>
    <x v="2"/>
  </r>
  <r>
    <x v="185"/>
    <n v="53.21"/>
    <n v="4.2699999999999996"/>
    <x v="1"/>
    <s v="No"/>
    <s v="No"/>
    <x v="0"/>
    <x v="3"/>
    <x v="0"/>
    <x v="2"/>
  </r>
  <r>
    <x v="186"/>
    <n v="38.729999999999997"/>
    <n v="11.51"/>
    <x v="0"/>
    <s v="No"/>
    <s v="No"/>
    <x v="0"/>
    <x v="1"/>
    <x v="0"/>
    <x v="2"/>
  </r>
  <r>
    <x v="187"/>
    <n v="29.73"/>
    <n v="7.22"/>
    <x v="0"/>
    <s v="No"/>
    <s v="No"/>
    <x v="0"/>
    <x v="0"/>
    <x v="0"/>
    <x v="2"/>
  </r>
  <r>
    <x v="188"/>
    <n v="34.700000000000003"/>
    <n v="4.37"/>
    <x v="1"/>
    <s v="No"/>
    <s v="No"/>
    <x v="1"/>
    <x v="3"/>
    <x v="0"/>
    <x v="2"/>
  </r>
  <r>
    <x v="189"/>
    <n v="38.28"/>
    <n v="11.56"/>
    <x v="0"/>
    <s v="yes"/>
    <s v="No"/>
    <x v="0"/>
    <x v="3"/>
    <x v="0"/>
    <x v="2"/>
  </r>
  <r>
    <x v="190"/>
    <n v="33.57"/>
    <n v="8.82"/>
    <x v="0"/>
    <s v="yes"/>
    <s v="No"/>
    <x v="0"/>
    <x v="0"/>
    <x v="0"/>
    <x v="2"/>
  </r>
  <r>
    <x v="191"/>
    <n v="52.06"/>
    <n v="4.6900000000000004"/>
    <x v="1"/>
    <s v="No"/>
    <s v="No"/>
    <x v="0"/>
    <x v="3"/>
    <x v="0"/>
    <x v="2"/>
  </r>
  <r>
    <x v="192"/>
    <n v="38.17"/>
    <n v="4.53"/>
    <x v="1"/>
    <s v="No"/>
    <s v="yes"/>
    <x v="0"/>
    <x v="3"/>
    <x v="0"/>
    <x v="2"/>
  </r>
  <r>
    <x v="193"/>
    <n v="36.954999999999998"/>
    <n v="5.84"/>
    <x v="1"/>
    <s v="No"/>
    <s v="No"/>
    <x v="1"/>
    <x v="3"/>
    <x v="0"/>
    <x v="2"/>
  </r>
  <r>
    <x v="194"/>
    <n v="34.4"/>
    <n v="4.9000000000000004"/>
    <x v="1"/>
    <s v="No"/>
    <s v="No"/>
    <x v="1"/>
    <x v="3"/>
    <x v="0"/>
    <x v="2"/>
  </r>
  <r>
    <x v="195"/>
    <n v="31.73"/>
    <n v="4.3"/>
    <x v="1"/>
    <s v="No"/>
    <s v="No"/>
    <x v="0"/>
    <x v="0"/>
    <x v="0"/>
    <x v="2"/>
  </r>
  <r>
    <x v="196"/>
    <n v="36.64"/>
    <n v="11.34"/>
    <x v="0"/>
    <s v="No"/>
    <s v="No"/>
    <x v="0"/>
    <x v="0"/>
    <x v="0"/>
    <x v="2"/>
  </r>
  <r>
    <x v="197"/>
    <n v="36.85"/>
    <n v="5.88"/>
    <x v="1"/>
    <s v="No"/>
    <s v="yes"/>
    <x v="0"/>
    <x v="3"/>
    <x v="0"/>
    <x v="2"/>
  </r>
  <r>
    <x v="198"/>
    <n v="33.33"/>
    <n v="5.01"/>
    <x v="1"/>
    <s v="yes"/>
    <s v="No"/>
    <x v="1"/>
    <x v="3"/>
    <x v="0"/>
    <x v="2"/>
  </r>
  <r>
    <x v="199"/>
    <n v="39.14"/>
    <n v="4.4000000000000004"/>
    <x v="1"/>
    <s v="No"/>
    <s v="No"/>
    <x v="1"/>
    <x v="3"/>
    <x v="0"/>
    <x v="2"/>
  </r>
  <r>
    <x v="200"/>
    <n v="32.9"/>
    <n v="6.26"/>
    <x v="1"/>
    <s v="yes"/>
    <s v="No"/>
    <x v="0"/>
    <x v="0"/>
    <x v="0"/>
    <x v="2"/>
  </r>
  <r>
    <x v="201"/>
    <n v="29.78"/>
    <n v="10.27"/>
    <x v="0"/>
    <s v="yes"/>
    <s v="No"/>
    <x v="1"/>
    <x v="3"/>
    <x v="0"/>
    <x v="2"/>
  </r>
  <r>
    <x v="202"/>
    <n v="32.78"/>
    <n v="5.27"/>
    <x v="1"/>
    <s v="No"/>
    <s v="No"/>
    <x v="0"/>
    <x v="0"/>
    <x v="0"/>
    <x v="2"/>
  </r>
  <r>
    <x v="203"/>
    <n v="41.65"/>
    <n v="10.73"/>
    <x v="0"/>
    <s v="yes"/>
    <s v="No"/>
    <x v="0"/>
    <x v="0"/>
    <x v="0"/>
    <x v="2"/>
  </r>
  <r>
    <x v="204"/>
    <n v="50.79"/>
    <n v="4.45"/>
    <x v="1"/>
    <s v="No"/>
    <s v="No"/>
    <x v="0"/>
    <x v="3"/>
    <x v="0"/>
    <x v="2"/>
  </r>
  <r>
    <x v="205"/>
    <n v="35.43"/>
    <n v="5.25"/>
    <x v="1"/>
    <s v="yes"/>
    <s v="No"/>
    <x v="0"/>
    <x v="0"/>
    <x v="0"/>
    <x v="2"/>
  </r>
  <r>
    <x v="206"/>
    <n v="35.25"/>
    <n v="9.51"/>
    <x v="0"/>
    <s v="No"/>
    <s v="No"/>
    <x v="0"/>
    <x v="0"/>
    <x v="0"/>
    <x v="2"/>
  </r>
  <r>
    <x v="207"/>
    <n v="36.85"/>
    <n v="11.12"/>
    <x v="0"/>
    <s v="No"/>
    <s v="No"/>
    <x v="0"/>
    <x v="0"/>
    <x v="0"/>
    <x v="2"/>
  </r>
  <r>
    <x v="208"/>
    <n v="31.02"/>
    <n v="4.5599999999999996"/>
    <x v="1"/>
    <s v="No"/>
    <s v="yes"/>
    <x v="0"/>
    <x v="3"/>
    <x v="0"/>
    <x v="2"/>
  </r>
  <r>
    <x v="209"/>
    <n v="35.6"/>
    <n v="4.0199999999999996"/>
    <x v="1"/>
    <s v="yes"/>
    <s v="yes"/>
    <x v="0"/>
    <x v="1"/>
    <x v="0"/>
    <x v="2"/>
  </r>
  <r>
    <x v="210"/>
    <n v="34.39"/>
    <n v="8.7200000000000006"/>
    <x v="0"/>
    <s v="No"/>
    <s v="No"/>
    <x v="0"/>
    <x v="0"/>
    <x v="0"/>
    <x v="2"/>
  </r>
  <r>
    <x v="211"/>
    <n v="29.06"/>
    <n v="6.25"/>
    <x v="1"/>
    <s v="yes"/>
    <s v="No"/>
    <x v="0"/>
    <x v="3"/>
    <x v="0"/>
    <x v="2"/>
  </r>
  <r>
    <x v="212"/>
    <n v="35.799999999999997"/>
    <n v="7.32"/>
    <x v="0"/>
    <s v="No"/>
    <s v="No"/>
    <x v="0"/>
    <x v="1"/>
    <x v="0"/>
    <x v="2"/>
  </r>
  <r>
    <x v="213"/>
    <n v="49.8"/>
    <n v="4.24"/>
    <x v="1"/>
    <s v="No"/>
    <s v="No"/>
    <x v="0"/>
    <x v="3"/>
    <x v="0"/>
    <x v="2"/>
  </r>
  <r>
    <x v="214"/>
    <n v="35.71"/>
    <n v="6.84"/>
    <x v="0"/>
    <s v="No"/>
    <s v="No"/>
    <x v="0"/>
    <x v="1"/>
    <x v="0"/>
    <x v="2"/>
  </r>
  <r>
    <x v="215"/>
    <n v="30.8"/>
    <n v="5.23"/>
    <x v="1"/>
    <s v="yes"/>
    <s v="No"/>
    <x v="0"/>
    <x v="3"/>
    <x v="0"/>
    <x v="2"/>
  </r>
  <r>
    <x v="216"/>
    <n v="33.69"/>
    <n v="9.68"/>
    <x v="0"/>
    <s v="No"/>
    <s v="No"/>
    <x v="0"/>
    <x v="0"/>
    <x v="0"/>
    <x v="2"/>
  </r>
  <r>
    <x v="217"/>
    <n v="42.27"/>
    <n v="6.05"/>
    <x v="1"/>
    <s v="yes"/>
    <s v="No"/>
    <x v="0"/>
    <x v="3"/>
    <x v="0"/>
    <x v="2"/>
  </r>
  <r>
    <x v="218"/>
    <n v="53.25"/>
    <n v="6.11"/>
    <x v="1"/>
    <s v="yes"/>
    <s v="No"/>
    <x v="1"/>
    <x v="3"/>
    <x v="0"/>
    <x v="2"/>
  </r>
  <r>
    <x v="219"/>
    <n v="26.8"/>
    <n v="10.93"/>
    <x v="0"/>
    <s v="yes"/>
    <s v="No"/>
    <x v="0"/>
    <x v="0"/>
    <x v="1"/>
    <x v="2"/>
  </r>
  <r>
    <x v="220"/>
    <n v="28.5"/>
    <n v="5.12"/>
    <x v="1"/>
    <s v="No"/>
    <s v="No"/>
    <x v="0"/>
    <x v="3"/>
    <x v="0"/>
    <x v="2"/>
  </r>
  <r>
    <x v="221"/>
    <n v="22.895"/>
    <n v="5.72"/>
    <x v="1"/>
    <s v="No"/>
    <s v="No"/>
    <x v="0"/>
    <x v="0"/>
    <x v="0"/>
    <x v="2"/>
  </r>
  <r>
    <x v="222"/>
    <n v="34.06"/>
    <n v="11.83"/>
    <x v="0"/>
    <s v="yes"/>
    <s v="No"/>
    <x v="0"/>
    <x v="3"/>
    <x v="0"/>
    <x v="2"/>
  </r>
  <r>
    <x v="223"/>
    <n v="36.409999999999997"/>
    <n v="4.55"/>
    <x v="1"/>
    <s v="No"/>
    <s v="No"/>
    <x v="0"/>
    <x v="0"/>
    <x v="0"/>
    <x v="2"/>
  </r>
  <r>
    <x v="224"/>
    <n v="52.3"/>
    <n v="4.87"/>
    <x v="1"/>
    <s v="yes"/>
    <s v="No"/>
    <x v="1"/>
    <x v="3"/>
    <x v="0"/>
    <x v="2"/>
  </r>
  <r>
    <x v="225"/>
    <n v="52.66"/>
    <n v="4.45"/>
    <x v="1"/>
    <s v="No"/>
    <s v="No"/>
    <x v="0"/>
    <x v="3"/>
    <x v="0"/>
    <x v="2"/>
  </r>
  <r>
    <x v="226"/>
    <n v="29.57"/>
    <n v="9.42"/>
    <x v="0"/>
    <s v="yes"/>
    <s v="No"/>
    <x v="0"/>
    <x v="0"/>
    <x v="0"/>
    <x v="2"/>
  </r>
  <r>
    <x v="227"/>
    <n v="36.99"/>
    <n v="5.37"/>
    <x v="1"/>
    <s v="yes"/>
    <s v="No"/>
    <x v="1"/>
    <x v="3"/>
    <x v="0"/>
    <x v="2"/>
  </r>
  <r>
    <x v="228"/>
    <n v="31.4"/>
    <n v="4.5999999999999996"/>
    <x v="1"/>
    <s v="yes"/>
    <s v="No"/>
    <x v="0"/>
    <x v="3"/>
    <x v="0"/>
    <x v="2"/>
  </r>
  <r>
    <x v="229"/>
    <n v="34.9"/>
    <n v="6.22"/>
    <x v="1"/>
    <s v="No"/>
    <s v="No"/>
    <x v="1"/>
    <x v="3"/>
    <x v="0"/>
    <x v="2"/>
  </r>
  <r>
    <x v="230"/>
    <n v="31.13"/>
    <n v="4.5199999999999996"/>
    <x v="1"/>
    <s v="yes"/>
    <s v="No"/>
    <x v="0"/>
    <x v="3"/>
    <x v="0"/>
    <x v="2"/>
  </r>
  <r>
    <x v="231"/>
    <n v="34.799999999999997"/>
    <n v="6.18"/>
    <x v="1"/>
    <s v="No"/>
    <s v="No"/>
    <x v="1"/>
    <x v="3"/>
    <x v="0"/>
    <x v="2"/>
  </r>
  <r>
    <x v="232"/>
    <n v="31.68"/>
    <n v="4.4000000000000004"/>
    <x v="1"/>
    <s v="No"/>
    <s v="No"/>
    <x v="0"/>
    <x v="0"/>
    <x v="0"/>
    <x v="2"/>
  </r>
  <r>
    <x v="233"/>
    <n v="33.534999999999997"/>
    <n v="6.23"/>
    <x v="1"/>
    <s v="No"/>
    <s v="yes"/>
    <x v="0"/>
    <x v="3"/>
    <x v="0"/>
    <x v="2"/>
  </r>
  <r>
    <x v="234"/>
    <n v="31.92"/>
    <n v="5.33"/>
    <x v="1"/>
    <s v="yes"/>
    <s v="No"/>
    <x v="0"/>
    <x v="0"/>
    <x v="0"/>
    <x v="2"/>
  </r>
  <r>
    <x v="235"/>
    <n v="32.700000000000003"/>
    <n v="4.09"/>
    <x v="1"/>
    <s v="No"/>
    <s v="No"/>
    <x v="0"/>
    <x v="3"/>
    <x v="0"/>
    <x v="2"/>
  </r>
  <r>
    <x v="236"/>
    <n v="41.25"/>
    <n v="5.19"/>
    <x v="1"/>
    <s v="No"/>
    <s v="No"/>
    <x v="0"/>
    <x v="0"/>
    <x v="0"/>
    <x v="2"/>
  </r>
  <r>
    <x v="237"/>
    <n v="33.11"/>
    <n v="4.12"/>
    <x v="1"/>
    <s v="No"/>
    <s v="No"/>
    <x v="1"/>
    <x v="3"/>
    <x v="0"/>
    <x v="2"/>
  </r>
  <r>
    <x v="238"/>
    <n v="36.159999999999997"/>
    <n v="5.0999999999999996"/>
    <x v="1"/>
    <s v="No"/>
    <s v="No"/>
    <x v="0"/>
    <x v="3"/>
    <x v="0"/>
    <x v="2"/>
  </r>
  <r>
    <x v="239"/>
    <n v="33.72"/>
    <n v="6.21"/>
    <x v="1"/>
    <s v="yes"/>
    <s v="No"/>
    <x v="1"/>
    <x v="3"/>
    <x v="0"/>
    <x v="2"/>
  </r>
  <r>
    <x v="240"/>
    <n v="37.74"/>
    <n v="9.5299999999999994"/>
    <x v="0"/>
    <s v="yes"/>
    <s v="No"/>
    <x v="0"/>
    <x v="3"/>
    <x v="0"/>
    <x v="2"/>
  </r>
  <r>
    <x v="241"/>
    <n v="48.75"/>
    <n v="4.6399999999999997"/>
    <x v="1"/>
    <s v="yes"/>
    <s v="No"/>
    <x v="0"/>
    <x v="3"/>
    <x v="0"/>
    <x v="2"/>
  </r>
  <r>
    <x v="242"/>
    <n v="31.065000000000001"/>
    <n v="5.05"/>
    <x v="1"/>
    <s v="No"/>
    <s v="No"/>
    <x v="0"/>
    <x v="3"/>
    <x v="0"/>
    <x v="2"/>
  </r>
  <r>
    <x v="243"/>
    <n v="23.55"/>
    <n v="10.38"/>
    <x v="0"/>
    <s v="No"/>
    <s v="No"/>
    <x v="0"/>
    <x v="0"/>
    <x v="0"/>
    <x v="2"/>
  </r>
  <r>
    <x v="244"/>
    <n v="30.18"/>
    <n v="8.31"/>
    <x v="0"/>
    <s v="yes"/>
    <s v="No"/>
    <x v="0"/>
    <x v="3"/>
    <x v="0"/>
    <x v="2"/>
  </r>
  <r>
    <x v="245"/>
    <n v="29.94"/>
    <n v="7.59"/>
    <x v="0"/>
    <s v="No"/>
    <s v="No"/>
    <x v="0"/>
    <x v="0"/>
    <x v="0"/>
    <x v="2"/>
  </r>
  <r>
    <x v="246"/>
    <n v="31.4"/>
    <n v="5.49"/>
    <x v="1"/>
    <s v="No"/>
    <s v="No"/>
    <x v="0"/>
    <x v="0"/>
    <x v="0"/>
    <x v="2"/>
  </r>
  <r>
    <x v="247"/>
    <n v="53.06"/>
    <n v="11.68"/>
    <x v="0"/>
    <s v="No"/>
    <s v="No"/>
    <x v="0"/>
    <x v="0"/>
    <x v="0"/>
    <x v="2"/>
  </r>
  <r>
    <x v="248"/>
    <n v="30.25"/>
    <n v="4.1900000000000004"/>
    <x v="1"/>
    <s v="No"/>
    <s v="No"/>
    <x v="0"/>
    <x v="1"/>
    <x v="0"/>
    <x v="2"/>
  </r>
  <r>
    <x v="249"/>
    <n v="46.68"/>
    <n v="4.01"/>
    <x v="1"/>
    <s v="No"/>
    <s v="No"/>
    <x v="0"/>
    <x v="0"/>
    <x v="0"/>
    <x v="2"/>
  </r>
  <r>
    <x v="250"/>
    <n v="30.4"/>
    <n v="5.91"/>
    <x v="1"/>
    <s v="No"/>
    <s v="yes"/>
    <x v="0"/>
    <x v="1"/>
    <x v="0"/>
    <x v="2"/>
  </r>
  <r>
    <x v="251"/>
    <n v="30.2"/>
    <n v="4.47"/>
    <x v="1"/>
    <s v="yes"/>
    <s v="No"/>
    <x v="1"/>
    <x v="3"/>
    <x v="0"/>
    <x v="2"/>
  </r>
  <r>
    <x v="252"/>
    <n v="51.18"/>
    <n v="4.5599999999999996"/>
    <x v="1"/>
    <s v="yes"/>
    <s v="yes"/>
    <x v="0"/>
    <x v="1"/>
    <x v="0"/>
    <x v="2"/>
  </r>
  <r>
    <x v="253"/>
    <n v="22.18"/>
    <n v="9.9"/>
    <x v="0"/>
    <s v="No"/>
    <s v="No"/>
    <x v="0"/>
    <x v="0"/>
    <x v="0"/>
    <x v="2"/>
  </r>
  <r>
    <x v="254"/>
    <n v="31.92"/>
    <n v="5.1100000000000003"/>
    <x v="1"/>
    <s v="No"/>
    <s v="No"/>
    <x v="1"/>
    <x v="3"/>
    <x v="0"/>
    <x v="2"/>
  </r>
  <r>
    <x v="255"/>
    <n v="31.73"/>
    <n v="5.73"/>
    <x v="1"/>
    <s v="No"/>
    <s v="yes"/>
    <x v="0"/>
    <x v="3"/>
    <x v="0"/>
    <x v="2"/>
  </r>
  <r>
    <x v="256"/>
    <n v="45.52"/>
    <n v="6.04"/>
    <x v="1"/>
    <s v="No"/>
    <s v="No"/>
    <x v="1"/>
    <x v="3"/>
    <x v="0"/>
    <x v="2"/>
  </r>
  <r>
    <x v="257"/>
    <n v="52.81"/>
    <n v="5.19"/>
    <x v="1"/>
    <s v="No"/>
    <s v="No"/>
    <x v="1"/>
    <x v="3"/>
    <x v="0"/>
    <x v="2"/>
  </r>
  <r>
    <x v="258"/>
    <n v="33.58"/>
    <n v="5.56"/>
    <x v="1"/>
    <s v="No"/>
    <s v="No"/>
    <x v="0"/>
    <x v="3"/>
    <x v="0"/>
    <x v="2"/>
  </r>
  <r>
    <x v="259"/>
    <n v="30.684999999999999"/>
    <n v="8.23"/>
    <x v="0"/>
    <s v="No"/>
    <s v="No"/>
    <x v="0"/>
    <x v="0"/>
    <x v="0"/>
    <x v="2"/>
  </r>
  <r>
    <x v="260"/>
    <n v="37.524999999999999"/>
    <n v="9.0299999999999994"/>
    <x v="0"/>
    <s v="yes"/>
    <s v="No"/>
    <x v="0"/>
    <x v="1"/>
    <x v="1"/>
    <x v="2"/>
  </r>
  <r>
    <x v="261"/>
    <n v="34.5"/>
    <n v="4.07"/>
    <x v="1"/>
    <s v="yes"/>
    <s v="No"/>
    <x v="0"/>
    <x v="0"/>
    <x v="0"/>
    <x v="2"/>
  </r>
  <r>
    <x v="262"/>
    <n v="28.16"/>
    <n v="5.77"/>
    <x v="1"/>
    <s v="No"/>
    <s v="No"/>
    <x v="0"/>
    <x v="1"/>
    <x v="0"/>
    <x v="2"/>
  </r>
  <r>
    <x v="263"/>
    <n v="30.02"/>
    <n v="5.98"/>
    <x v="1"/>
    <s v="No"/>
    <s v="No"/>
    <x v="1"/>
    <x v="3"/>
    <x v="0"/>
    <x v="2"/>
  </r>
  <r>
    <x v="264"/>
    <n v="37.82"/>
    <n v="6.01"/>
    <x v="1"/>
    <s v="No"/>
    <s v="No"/>
    <x v="0"/>
    <x v="0"/>
    <x v="0"/>
    <x v="2"/>
  </r>
  <r>
    <x v="265"/>
    <n v="33.14"/>
    <n v="5.67"/>
    <x v="1"/>
    <s v="yes"/>
    <s v="No"/>
    <x v="0"/>
    <x v="0"/>
    <x v="0"/>
    <x v="2"/>
  </r>
  <r>
    <x v="266"/>
    <n v="25.14"/>
    <n v="6.02"/>
    <x v="1"/>
    <s v="yes"/>
    <s v="No"/>
    <x v="1"/>
    <x v="3"/>
    <x v="0"/>
    <x v="2"/>
  </r>
  <r>
    <x v="267"/>
    <n v="20.18"/>
    <n v="11.19"/>
    <x v="0"/>
    <s v="No"/>
    <s v="No"/>
    <x v="0"/>
    <x v="0"/>
    <x v="0"/>
    <x v="2"/>
  </r>
  <r>
    <x v="268"/>
    <n v="44.36"/>
    <n v="5.1100000000000003"/>
    <x v="1"/>
    <s v="No"/>
    <s v="No"/>
    <x v="0"/>
    <x v="0"/>
    <x v="0"/>
    <x v="2"/>
  </r>
  <r>
    <x v="269"/>
    <n v="23.82"/>
    <n v="10.85"/>
    <x v="0"/>
    <s v="yes"/>
    <s v="No"/>
    <x v="0"/>
    <x v="0"/>
    <x v="0"/>
    <x v="2"/>
  </r>
  <r>
    <x v="270"/>
    <n v="45"/>
    <n v="5.24"/>
    <x v="1"/>
    <s v="yes"/>
    <s v="No"/>
    <x v="0"/>
    <x v="3"/>
    <x v="0"/>
    <x v="2"/>
  </r>
  <r>
    <x v="271"/>
    <n v="26.62"/>
    <n v="10.08"/>
    <x v="0"/>
    <s v="No"/>
    <s v="No"/>
    <x v="0"/>
    <x v="0"/>
    <x v="0"/>
    <x v="2"/>
  </r>
  <r>
    <x v="272"/>
    <n v="32.67"/>
    <n v="10.97"/>
    <x v="0"/>
    <s v="yes"/>
    <s v="No"/>
    <x v="0"/>
    <x v="0"/>
    <x v="0"/>
    <x v="2"/>
  </r>
  <r>
    <x v="273"/>
    <n v="44.44"/>
    <n v="4.9000000000000004"/>
    <x v="1"/>
    <s v="yes"/>
    <s v="No"/>
    <x v="0"/>
    <x v="3"/>
    <x v="0"/>
    <x v="2"/>
  </r>
  <r>
    <x v="274"/>
    <n v="28.31"/>
    <n v="5.33"/>
    <x v="1"/>
    <s v="No"/>
    <s v="No"/>
    <x v="0"/>
    <x v="0"/>
    <x v="0"/>
    <x v="2"/>
  </r>
  <r>
    <x v="275"/>
    <n v="25.05"/>
    <n v="4.6100000000000003"/>
    <x v="1"/>
    <s v="No"/>
    <s v="No"/>
    <x v="0"/>
    <x v="1"/>
    <x v="0"/>
    <x v="2"/>
  </r>
  <r>
    <x v="276"/>
    <n v="28.34"/>
    <n v="8.18"/>
    <x v="0"/>
    <s v="No"/>
    <s v="No"/>
    <x v="0"/>
    <x v="0"/>
    <x v="0"/>
    <x v="2"/>
  </r>
  <r>
    <x v="277"/>
    <n v="17.765000000000001"/>
    <n v="5.62"/>
    <x v="1"/>
    <s v="No"/>
    <s v="No"/>
    <x v="0"/>
    <x v="0"/>
    <x v="0"/>
    <x v="3"/>
  </r>
  <r>
    <x v="278"/>
    <n v="36.119999999999997"/>
    <n v="5.82"/>
    <x v="1"/>
    <s v="No"/>
    <s v="No"/>
    <x v="0"/>
    <x v="0"/>
    <x v="0"/>
    <x v="2"/>
  </r>
  <r>
    <x v="279"/>
    <n v="23.19"/>
    <n v="7.66"/>
    <x v="0"/>
    <s v="No"/>
    <s v="No"/>
    <x v="0"/>
    <x v="0"/>
    <x v="0"/>
    <x v="2"/>
  </r>
  <r>
    <x v="280"/>
    <n v="35.99"/>
    <n v="4.2300000000000004"/>
    <x v="1"/>
    <s v="No"/>
    <s v="No"/>
    <x v="0"/>
    <x v="0"/>
    <x v="0"/>
    <x v="2"/>
  </r>
  <r>
    <x v="281"/>
    <n v="30.25"/>
    <n v="5.58"/>
    <x v="1"/>
    <s v="No"/>
    <s v="No"/>
    <x v="1"/>
    <x v="3"/>
    <x v="0"/>
    <x v="2"/>
  </r>
  <r>
    <x v="282"/>
    <n v="26.24"/>
    <n v="6.26"/>
    <x v="0"/>
    <s v="yes"/>
    <s v="No"/>
    <x v="0"/>
    <x v="0"/>
    <x v="0"/>
    <x v="2"/>
  </r>
  <r>
    <x v="283"/>
    <n v="31.36"/>
    <n v="10.6"/>
    <x v="0"/>
    <s v="yes"/>
    <s v="No"/>
    <x v="0"/>
    <x v="0"/>
    <x v="0"/>
    <x v="2"/>
  </r>
  <r>
    <x v="284"/>
    <n v="25.69"/>
    <n v="4.78"/>
    <x v="1"/>
    <s v="yes"/>
    <s v="No"/>
    <x v="0"/>
    <x v="0"/>
    <x v="0"/>
    <x v="2"/>
  </r>
  <r>
    <x v="285"/>
    <n v="25.46"/>
    <n v="6.03"/>
    <x v="1"/>
    <s v="No"/>
    <s v="No"/>
    <x v="0"/>
    <x v="1"/>
    <x v="0"/>
    <x v="2"/>
  </r>
  <r>
    <x v="286"/>
    <n v="31.83"/>
    <n v="11.55"/>
    <x v="0"/>
    <s v="yes"/>
    <s v="No"/>
    <x v="0"/>
    <x v="3"/>
    <x v="0"/>
    <x v="2"/>
  </r>
  <r>
    <x v="287"/>
    <n v="24.43"/>
    <n v="7.59"/>
    <x v="0"/>
    <s v="yes"/>
    <s v="No"/>
    <x v="0"/>
    <x v="3"/>
    <x v="0"/>
    <x v="2"/>
  </r>
  <r>
    <x v="288"/>
    <n v="41.9"/>
    <n v="4.26"/>
    <x v="1"/>
    <s v="No"/>
    <s v="No"/>
    <x v="0"/>
    <x v="0"/>
    <x v="0"/>
    <x v="2"/>
  </r>
  <r>
    <x v="289"/>
    <n v="22.88"/>
    <n v="5.9"/>
    <x v="1"/>
    <s v="yes"/>
    <s v="No"/>
    <x v="1"/>
    <x v="3"/>
    <x v="0"/>
    <x v="2"/>
  </r>
  <r>
    <x v="290"/>
    <n v="29.734999999999999"/>
    <n v="7.79"/>
    <x v="0"/>
    <s v="No"/>
    <s v="No"/>
    <x v="0"/>
    <x v="0"/>
    <x v="1"/>
    <x v="2"/>
  </r>
  <r>
    <x v="291"/>
    <n v="40.74"/>
    <n v="5.28"/>
    <x v="1"/>
    <s v="No"/>
    <s v="No"/>
    <x v="1"/>
    <x v="3"/>
    <x v="0"/>
    <x v="2"/>
  </r>
  <r>
    <x v="292"/>
    <n v="24.14"/>
    <n v="5.87"/>
    <x v="1"/>
    <s v="No"/>
    <s v="No"/>
    <x v="0"/>
    <x v="1"/>
    <x v="0"/>
    <x v="2"/>
  </r>
  <r>
    <x v="44"/>
    <n v="25.15"/>
    <n v="9.08"/>
    <x v="0"/>
    <s v="yes"/>
    <s v="No"/>
    <x v="0"/>
    <x v="3"/>
    <x v="0"/>
    <x v="2"/>
  </r>
  <r>
    <x v="293"/>
    <n v="28.71"/>
    <n v="5.2"/>
    <x v="1"/>
    <s v="No"/>
    <s v="No"/>
    <x v="0"/>
    <x v="3"/>
    <x v="0"/>
    <x v="2"/>
  </r>
  <r>
    <x v="294"/>
    <n v="23"/>
    <n v="5.48"/>
    <x v="1"/>
    <s v="No"/>
    <s v="No"/>
    <x v="0"/>
    <x v="0"/>
    <x v="0"/>
    <x v="2"/>
  </r>
  <r>
    <x v="295"/>
    <n v="36.86"/>
    <n v="11.95"/>
    <x v="0"/>
    <s v="No"/>
    <s v="No"/>
    <x v="0"/>
    <x v="0"/>
    <x v="1"/>
    <x v="2"/>
  </r>
  <r>
    <x v="296"/>
    <n v="24.25"/>
    <n v="8.6999999999999993"/>
    <x v="0"/>
    <s v="yes"/>
    <s v="No"/>
    <x v="0"/>
    <x v="3"/>
    <x v="0"/>
    <x v="2"/>
  </r>
  <r>
    <x v="297"/>
    <n v="23.85"/>
    <n v="7.84"/>
    <x v="0"/>
    <s v="No"/>
    <s v="No"/>
    <x v="0"/>
    <x v="0"/>
    <x v="0"/>
    <x v="2"/>
  </r>
  <r>
    <x v="298"/>
    <n v="40.020000000000003"/>
    <n v="5.19"/>
    <x v="1"/>
    <s v="yes"/>
    <s v="No"/>
    <x v="0"/>
    <x v="3"/>
    <x v="0"/>
    <x v="2"/>
  </r>
  <r>
    <x v="299"/>
    <n v="19.170000000000002"/>
    <n v="8.41"/>
    <x v="0"/>
    <s v="No"/>
    <s v="No"/>
    <x v="0"/>
    <x v="0"/>
    <x v="0"/>
    <x v="2"/>
  </r>
  <r>
    <x v="300"/>
    <n v="43.53"/>
    <n v="5.86"/>
    <x v="1"/>
    <s v="yes"/>
    <s v="yes"/>
    <x v="0"/>
    <x v="1"/>
    <x v="0"/>
    <x v="2"/>
  </r>
  <r>
    <x v="301"/>
    <n v="46.06"/>
    <n v="4.18"/>
    <x v="1"/>
    <s v="No"/>
    <s v="yes"/>
    <x v="0"/>
    <x v="3"/>
    <x v="0"/>
    <x v="2"/>
  </r>
  <r>
    <x v="302"/>
    <n v="29.92"/>
    <n v="11.99"/>
    <x v="0"/>
    <s v="yes"/>
    <s v="No"/>
    <x v="0"/>
    <x v="1"/>
    <x v="0"/>
    <x v="2"/>
  </r>
  <r>
    <x v="303"/>
    <n v="28.46"/>
    <n v="4.8499999999999996"/>
    <x v="1"/>
    <s v="yes"/>
    <s v="No"/>
    <x v="0"/>
    <x v="3"/>
    <x v="0"/>
    <x v="2"/>
  </r>
  <r>
    <x v="304"/>
    <n v="24.56"/>
    <n v="6.18"/>
    <x v="1"/>
    <s v="yes"/>
    <s v="No"/>
    <x v="1"/>
    <x v="3"/>
    <x v="0"/>
    <x v="2"/>
  </r>
  <r>
    <x v="305"/>
    <n v="41.19"/>
    <n v="6.37"/>
    <x v="1"/>
    <s v="No"/>
    <s v="No"/>
    <x v="0"/>
    <x v="0"/>
    <x v="0"/>
    <x v="2"/>
  </r>
  <r>
    <x v="306"/>
    <n v="18.63"/>
    <n v="9.81"/>
    <x v="0"/>
    <s v="yes"/>
    <s v="No"/>
    <x v="0"/>
    <x v="1"/>
    <x v="0"/>
    <x v="2"/>
  </r>
  <r>
    <x v="307"/>
    <n v="26.26"/>
    <n v="11.8"/>
    <x v="0"/>
    <s v="yes"/>
    <s v="No"/>
    <x v="0"/>
    <x v="3"/>
    <x v="0"/>
    <x v="2"/>
  </r>
  <r>
    <x v="308"/>
    <n v="22.37"/>
    <n v="5.86"/>
    <x v="1"/>
    <s v="yes"/>
    <s v="No"/>
    <x v="1"/>
    <x v="3"/>
    <x v="0"/>
    <x v="2"/>
  </r>
  <r>
    <x v="309"/>
    <n v="39.619999999999997"/>
    <n v="4.28"/>
    <x v="1"/>
    <s v="No"/>
    <s v="No"/>
    <x v="0"/>
    <x v="3"/>
    <x v="0"/>
    <x v="2"/>
  </r>
  <r>
    <x v="310"/>
    <n v="18.329999999999998"/>
    <n v="4.16"/>
    <x v="1"/>
    <s v="yes"/>
    <s v="No"/>
    <x v="0"/>
    <x v="0"/>
    <x v="0"/>
    <x v="3"/>
  </r>
  <r>
    <x v="311"/>
    <n v="17.11"/>
    <n v="4.9800000000000004"/>
    <x v="1"/>
    <s v="yes"/>
    <s v="No"/>
    <x v="1"/>
    <x v="3"/>
    <x v="0"/>
    <x v="3"/>
  </r>
  <r>
    <x v="312"/>
    <n v="43.5"/>
    <n v="6.38"/>
    <x v="1"/>
    <s v="No"/>
    <s v="yes"/>
    <x v="0"/>
    <x v="3"/>
    <x v="0"/>
    <x v="2"/>
  </r>
  <r>
    <x v="313"/>
    <n v="25.364999999999998"/>
    <n v="5.19"/>
    <x v="1"/>
    <s v="No"/>
    <s v="No"/>
    <x v="0"/>
    <x v="1"/>
    <x v="1"/>
    <x v="2"/>
  </r>
  <r>
    <x v="314"/>
    <n v="28.594999999999999"/>
    <n v="10.210000000000001"/>
    <x v="0"/>
    <s v="No"/>
    <s v="No"/>
    <x v="0"/>
    <x v="0"/>
    <x v="1"/>
    <x v="2"/>
  </r>
  <r>
    <x v="315"/>
    <n v="29.83"/>
    <n v="9.6999999999999993"/>
    <x v="0"/>
    <s v="yes"/>
    <s v="No"/>
    <x v="1"/>
    <x v="3"/>
    <x v="0"/>
    <x v="2"/>
  </r>
  <r>
    <x v="316"/>
    <n v="24.7"/>
    <n v="10.25"/>
    <x v="0"/>
    <s v="No"/>
    <s v="No"/>
    <x v="0"/>
    <x v="2"/>
    <x v="1"/>
    <x v="2"/>
  </r>
  <r>
    <x v="317"/>
    <n v="17.940000000000001"/>
    <n v="9.77"/>
    <x v="0"/>
    <s v="No"/>
    <s v="No"/>
    <x v="0"/>
    <x v="0"/>
    <x v="0"/>
    <x v="3"/>
  </r>
  <r>
    <x v="318"/>
    <n v="21.08"/>
    <n v="4.83"/>
    <x v="1"/>
    <s v="No"/>
    <s v="No"/>
    <x v="1"/>
    <x v="3"/>
    <x v="0"/>
    <x v="2"/>
  </r>
  <r>
    <x v="319"/>
    <n v="37.715000000000003"/>
    <n v="10.86"/>
    <x v="0"/>
    <s v="yes"/>
    <s v="No"/>
    <x v="0"/>
    <x v="0"/>
    <x v="1"/>
    <x v="2"/>
  </r>
  <r>
    <x v="320"/>
    <n v="22.39"/>
    <n v="9.5299999999999994"/>
    <x v="0"/>
    <s v="yes"/>
    <s v="No"/>
    <x v="0"/>
    <x v="0"/>
    <x v="0"/>
    <x v="2"/>
  </r>
  <r>
    <x v="321"/>
    <n v="28.78"/>
    <n v="5.68"/>
    <x v="1"/>
    <s v="No"/>
    <s v="No"/>
    <x v="0"/>
    <x v="0"/>
    <x v="0"/>
    <x v="2"/>
  </r>
  <r>
    <x v="322"/>
    <n v="18.329999999999998"/>
    <n v="5.57"/>
    <x v="1"/>
    <s v="yes"/>
    <s v="No"/>
    <x v="0"/>
    <x v="0"/>
    <x v="0"/>
    <x v="3"/>
  </r>
  <r>
    <x v="323"/>
    <n v="26.39"/>
    <n v="4.58"/>
    <x v="1"/>
    <s v="yes"/>
    <s v="No"/>
    <x v="0"/>
    <x v="3"/>
    <x v="0"/>
    <x v="2"/>
  </r>
  <r>
    <x v="324"/>
    <n v="19.260000000000002"/>
    <n v="8.9600000000000009"/>
    <x v="0"/>
    <s v="yes"/>
    <s v="No"/>
    <x v="0"/>
    <x v="3"/>
    <x v="0"/>
    <x v="2"/>
  </r>
  <r>
    <x v="325"/>
    <n v="26.92"/>
    <n v="6.09"/>
    <x v="1"/>
    <s v="No"/>
    <s v="No"/>
    <x v="0"/>
    <x v="0"/>
    <x v="0"/>
    <x v="2"/>
  </r>
  <r>
    <x v="326"/>
    <n v="19.73"/>
    <n v="4.3600000000000003"/>
    <x v="1"/>
    <s v="No"/>
    <s v="No"/>
    <x v="0"/>
    <x v="0"/>
    <x v="0"/>
    <x v="2"/>
  </r>
  <r>
    <x v="327"/>
    <n v="23.56"/>
    <n v="11.74"/>
    <x v="0"/>
    <s v="yes"/>
    <s v="No"/>
    <x v="0"/>
    <x v="0"/>
    <x v="0"/>
    <x v="2"/>
  </r>
  <r>
    <x v="328"/>
    <n v="37.67"/>
    <n v="5.89"/>
    <x v="1"/>
    <s v="No"/>
    <s v="No"/>
    <x v="0"/>
    <x v="3"/>
    <x v="0"/>
    <x v="2"/>
  </r>
  <r>
    <x v="329"/>
    <n v="18.73"/>
    <n v="10.64"/>
    <x v="0"/>
    <s v="No"/>
    <s v="No"/>
    <x v="0"/>
    <x v="1"/>
    <x v="0"/>
    <x v="2"/>
  </r>
  <r>
    <x v="330"/>
    <n v="33.090000000000003"/>
    <n v="6.06"/>
    <x v="1"/>
    <s v="No"/>
    <s v="No"/>
    <x v="1"/>
    <x v="3"/>
    <x v="0"/>
    <x v="2"/>
  </r>
  <r>
    <x v="331"/>
    <n v="18.329999999999998"/>
    <n v="7.46"/>
    <x v="0"/>
    <s v="yes"/>
    <s v="No"/>
    <x v="0"/>
    <x v="3"/>
    <x v="0"/>
    <x v="3"/>
  </r>
  <r>
    <x v="332"/>
    <n v="27.74"/>
    <n v="4.68"/>
    <x v="1"/>
    <s v="yes"/>
    <s v="No"/>
    <x v="0"/>
    <x v="1"/>
    <x v="0"/>
    <x v="2"/>
  </r>
  <r>
    <x v="333"/>
    <n v="24.2"/>
    <n v="6.15"/>
    <x v="1"/>
    <s v="No"/>
    <s v="No"/>
    <x v="0"/>
    <x v="3"/>
    <x v="0"/>
    <x v="2"/>
  </r>
  <r>
    <x v="334"/>
    <n v="22.03"/>
    <n v="4.28"/>
    <x v="1"/>
    <s v="yes"/>
    <s v="No"/>
    <x v="0"/>
    <x v="0"/>
    <x v="0"/>
    <x v="2"/>
  </r>
  <r>
    <x v="335"/>
    <n v="26.885000000000002"/>
    <n v="9.86"/>
    <x v="0"/>
    <s v="No"/>
    <s v="No"/>
    <x v="0"/>
    <x v="2"/>
    <x v="0"/>
    <x v="2"/>
  </r>
  <r>
    <x v="336"/>
    <n v="16.36"/>
    <n v="11.19"/>
    <x v="0"/>
    <s v="No"/>
    <s v="No"/>
    <x v="0"/>
    <x v="0"/>
    <x v="0"/>
    <x v="3"/>
  </r>
  <r>
    <x v="337"/>
    <n v="32.299999999999997"/>
    <n v="4.8899999999999997"/>
    <x v="1"/>
    <s v="yes"/>
    <s v="No"/>
    <x v="1"/>
    <x v="3"/>
    <x v="1"/>
    <x v="2"/>
  </r>
  <r>
    <x v="338"/>
    <n v="16.05"/>
    <n v="4.3499999999999996"/>
    <x v="1"/>
    <s v="yes"/>
    <s v="No"/>
    <x v="0"/>
    <x v="0"/>
    <x v="0"/>
    <x v="3"/>
  </r>
  <r>
    <x v="339"/>
    <n v="29.07"/>
    <n v="8.66"/>
    <x v="0"/>
    <s v="yes"/>
    <s v="No"/>
    <x v="0"/>
    <x v="1"/>
    <x v="0"/>
    <x v="2"/>
  </r>
  <r>
    <x v="340"/>
    <n v="17.43"/>
    <n v="8.64"/>
    <x v="0"/>
    <s v="No"/>
    <s v="No"/>
    <x v="0"/>
    <x v="0"/>
    <x v="0"/>
    <x v="3"/>
  </r>
  <r>
    <x v="341"/>
    <n v="19.329999999999998"/>
    <n v="4.2699999999999996"/>
    <x v="1"/>
    <s v="No"/>
    <s v="No"/>
    <x v="0"/>
    <x v="0"/>
    <x v="0"/>
    <x v="2"/>
  </r>
  <r>
    <x v="342"/>
    <n v="30.52"/>
    <n v="4.21"/>
    <x v="1"/>
    <s v="No"/>
    <s v="No"/>
    <x v="0"/>
    <x v="3"/>
    <x v="0"/>
    <x v="2"/>
  </r>
  <r>
    <x v="343"/>
    <n v="39.21"/>
    <n v="5.04"/>
    <x v="1"/>
    <s v="No"/>
    <s v="No"/>
    <x v="1"/>
    <x v="3"/>
    <x v="0"/>
    <x v="2"/>
  </r>
  <r>
    <x v="344"/>
    <n v="26.98"/>
    <n v="5.21"/>
    <x v="1"/>
    <s v="yes"/>
    <s v="No"/>
    <x v="0"/>
    <x v="1"/>
    <x v="0"/>
    <x v="2"/>
  </r>
  <r>
    <x v="345"/>
    <n v="25.84"/>
    <n v="8.83"/>
    <x v="0"/>
    <s v="No"/>
    <s v="No"/>
    <x v="0"/>
    <x v="0"/>
    <x v="1"/>
    <x v="2"/>
  </r>
  <r>
    <x v="346"/>
    <n v="28.31"/>
    <n v="8.4700000000000006"/>
    <x v="0"/>
    <s v="yes"/>
    <s v="No"/>
    <x v="0"/>
    <x v="1"/>
    <x v="0"/>
    <x v="2"/>
  </r>
  <r>
    <x v="347"/>
    <n v="23.94"/>
    <n v="4.2"/>
    <x v="1"/>
    <s v="No"/>
    <s v="No"/>
    <x v="0"/>
    <x v="0"/>
    <x v="0"/>
    <x v="2"/>
  </r>
  <r>
    <x v="348"/>
    <n v="20.03"/>
    <n v="6.14"/>
    <x v="1"/>
    <s v="yes"/>
    <s v="No"/>
    <x v="0"/>
    <x v="0"/>
    <x v="0"/>
    <x v="2"/>
  </r>
  <r>
    <x v="349"/>
    <n v="41.42"/>
    <n v="6.07"/>
    <x v="1"/>
    <s v="No"/>
    <s v="No"/>
    <x v="0"/>
    <x v="0"/>
    <x v="1"/>
    <x v="2"/>
  </r>
  <r>
    <x v="350"/>
    <n v="36.67"/>
    <n v="10.210000000000001"/>
    <x v="0"/>
    <s v="No"/>
    <s v="No"/>
    <x v="0"/>
    <x v="0"/>
    <x v="1"/>
    <x v="2"/>
  </r>
  <r>
    <x v="351"/>
    <n v="27.645"/>
    <n v="4.6900000000000004"/>
    <x v="1"/>
    <s v="No"/>
    <s v="No"/>
    <x v="0"/>
    <x v="0"/>
    <x v="1"/>
    <x v="2"/>
  </r>
  <r>
    <x v="352"/>
    <n v="22.72"/>
    <n v="5.71"/>
    <x v="1"/>
    <s v="No"/>
    <s v="No"/>
    <x v="0"/>
    <x v="0"/>
    <x v="0"/>
    <x v="2"/>
  </r>
  <r>
    <x v="353"/>
    <n v="36.520000000000003"/>
    <n v="9.07"/>
    <x v="0"/>
    <s v="yes"/>
    <s v="No"/>
    <x v="1"/>
    <x v="3"/>
    <x v="1"/>
    <x v="2"/>
  </r>
  <r>
    <x v="354"/>
    <n v="33.96"/>
    <n v="4.99"/>
    <x v="1"/>
    <s v="No"/>
    <s v="No"/>
    <x v="0"/>
    <x v="0"/>
    <x v="0"/>
    <x v="2"/>
  </r>
  <r>
    <x v="355"/>
    <n v="26.695"/>
    <n v="8.31"/>
    <x v="0"/>
    <s v="No"/>
    <s v="No"/>
    <x v="0"/>
    <x v="0"/>
    <x v="0"/>
    <x v="2"/>
  </r>
  <r>
    <x v="356"/>
    <n v="18.45"/>
    <n v="5.07"/>
    <x v="1"/>
    <s v="yes"/>
    <s v="No"/>
    <x v="0"/>
    <x v="0"/>
    <x v="0"/>
    <x v="3"/>
  </r>
  <r>
    <x v="357"/>
    <n v="33.18"/>
    <n v="4.79"/>
    <x v="1"/>
    <s v="No"/>
    <s v="No"/>
    <x v="0"/>
    <x v="0"/>
    <x v="0"/>
    <x v="2"/>
  </r>
  <r>
    <x v="358"/>
    <n v="36.1"/>
    <n v="11.39"/>
    <x v="0"/>
    <s v="yes"/>
    <s v="No"/>
    <x v="0"/>
    <x v="1"/>
    <x v="1"/>
    <x v="2"/>
  </r>
  <r>
    <x v="359"/>
    <n v="22.77"/>
    <n v="6"/>
    <x v="1"/>
    <s v="No"/>
    <s v="No"/>
    <x v="0"/>
    <x v="0"/>
    <x v="0"/>
    <x v="2"/>
  </r>
  <r>
    <x v="360"/>
    <n v="21.24"/>
    <n v="5.13"/>
    <x v="1"/>
    <s v="No"/>
    <s v="No"/>
    <x v="0"/>
    <x v="0"/>
    <x v="0"/>
    <x v="2"/>
  </r>
  <r>
    <x v="361"/>
    <n v="17.600000000000001"/>
    <n v="5.26"/>
    <x v="1"/>
    <s v="yes"/>
    <s v="No"/>
    <x v="0"/>
    <x v="0"/>
    <x v="0"/>
    <x v="3"/>
  </r>
  <r>
    <x v="362"/>
    <n v="26.29"/>
    <n v="6.84"/>
    <x v="0"/>
    <s v="No"/>
    <s v="No"/>
    <x v="0"/>
    <x v="0"/>
    <x v="0"/>
    <x v="2"/>
  </r>
  <r>
    <x v="363"/>
    <n v="35.31"/>
    <n v="9.0399999999999991"/>
    <x v="0"/>
    <s v="No"/>
    <s v="No"/>
    <x v="0"/>
    <x v="0"/>
    <x v="1"/>
    <x v="2"/>
  </r>
  <r>
    <x v="364"/>
    <n v="27.04"/>
    <n v="4.0999999999999996"/>
    <x v="1"/>
    <s v="No"/>
    <s v="No"/>
    <x v="0"/>
    <x v="3"/>
    <x v="0"/>
    <x v="2"/>
  </r>
  <r>
    <x v="365"/>
    <n v="30.23"/>
    <n v="4.2300000000000004"/>
    <x v="1"/>
    <s v="yes"/>
    <s v="No"/>
    <x v="1"/>
    <x v="3"/>
    <x v="0"/>
    <x v="2"/>
  </r>
  <r>
    <x v="366"/>
    <n v="30.6"/>
    <n v="6.48"/>
    <x v="1"/>
    <s v="yes"/>
    <s v="No"/>
    <x v="1"/>
    <x v="3"/>
    <x v="0"/>
    <x v="2"/>
  </r>
  <r>
    <x v="367"/>
    <n v="26.8"/>
    <n v="5.53"/>
    <x v="1"/>
    <s v="No"/>
    <s v="No"/>
    <x v="0"/>
    <x v="3"/>
    <x v="0"/>
    <x v="2"/>
  </r>
  <r>
    <x v="368"/>
    <n v="16.86"/>
    <n v="4.07"/>
    <x v="1"/>
    <s v="yes"/>
    <s v="No"/>
    <x v="0"/>
    <x v="0"/>
    <x v="0"/>
    <x v="3"/>
  </r>
  <r>
    <x v="369"/>
    <n v="16.3"/>
    <n v="5.51"/>
    <x v="1"/>
    <s v="No"/>
    <s v="No"/>
    <x v="0"/>
    <x v="3"/>
    <x v="0"/>
    <x v="3"/>
  </r>
  <r>
    <x v="370"/>
    <n v="29.81"/>
    <n v="11.66"/>
    <x v="0"/>
    <s v="No"/>
    <s v="No"/>
    <x v="0"/>
    <x v="0"/>
    <x v="0"/>
    <x v="2"/>
  </r>
  <r>
    <x v="371"/>
    <n v="16.329999999999998"/>
    <n v="7.26"/>
    <x v="0"/>
    <s v="yes"/>
    <s v="No"/>
    <x v="0"/>
    <x v="0"/>
    <x v="0"/>
    <x v="3"/>
  </r>
  <r>
    <x v="372"/>
    <n v="16.37"/>
    <n v="4.79"/>
    <x v="1"/>
    <s v="yes"/>
    <s v="No"/>
    <x v="0"/>
    <x v="0"/>
    <x v="0"/>
    <x v="3"/>
  </r>
  <r>
    <x v="373"/>
    <n v="22.42"/>
    <n v="4.68"/>
    <x v="1"/>
    <s v="yes"/>
    <s v="No"/>
    <x v="0"/>
    <x v="3"/>
    <x v="1"/>
    <x v="2"/>
  </r>
  <r>
    <x v="374"/>
    <n v="31.35"/>
    <n v="4.33"/>
    <x v="1"/>
    <s v="yes"/>
    <s v="No"/>
    <x v="1"/>
    <x v="3"/>
    <x v="1"/>
    <x v="2"/>
  </r>
  <r>
    <x v="375"/>
    <n v="31.9"/>
    <n v="11.89"/>
    <x v="0"/>
    <s v="No"/>
    <s v="No"/>
    <x v="0"/>
    <x v="0"/>
    <x v="1"/>
    <x v="2"/>
  </r>
  <r>
    <x v="376"/>
    <n v="30.6"/>
    <n v="5.24"/>
    <x v="1"/>
    <s v="No"/>
    <s v="No"/>
    <x v="0"/>
    <x v="0"/>
    <x v="0"/>
    <x v="2"/>
  </r>
  <r>
    <x v="377"/>
    <n v="28.975000000000001"/>
    <n v="7.63"/>
    <x v="0"/>
    <s v="No"/>
    <s v="No"/>
    <x v="0"/>
    <x v="0"/>
    <x v="0"/>
    <x v="2"/>
  </r>
  <r>
    <x v="378"/>
    <n v="24.86"/>
    <n v="8.92"/>
    <x v="0"/>
    <s v="yes"/>
    <s v="No"/>
    <x v="0"/>
    <x v="1"/>
    <x v="1"/>
    <x v="2"/>
  </r>
  <r>
    <x v="379"/>
    <n v="19.54"/>
    <n v="5.37"/>
    <x v="1"/>
    <s v="No"/>
    <s v="No"/>
    <x v="0"/>
    <x v="0"/>
    <x v="0"/>
    <x v="2"/>
  </r>
  <r>
    <x v="380"/>
    <n v="26.74"/>
    <n v="4.3099999999999996"/>
    <x v="1"/>
    <s v="No"/>
    <s v="No"/>
    <x v="0"/>
    <x v="0"/>
    <x v="0"/>
    <x v="2"/>
  </r>
  <r>
    <x v="381"/>
    <n v="22.99"/>
    <n v="10.46"/>
    <x v="0"/>
    <s v="No"/>
    <s v="No"/>
    <x v="0"/>
    <x v="2"/>
    <x v="0"/>
    <x v="2"/>
  </r>
  <r>
    <x v="382"/>
    <n v="31.46"/>
    <n v="7.39"/>
    <x v="0"/>
    <s v="No"/>
    <s v="No"/>
    <x v="0"/>
    <x v="0"/>
    <x v="1"/>
    <x v="2"/>
  </r>
  <r>
    <x v="383"/>
    <n v="30.86"/>
    <n v="6.18"/>
    <x v="1"/>
    <s v="No"/>
    <s v="yes"/>
    <x v="0"/>
    <x v="1"/>
    <x v="0"/>
    <x v="2"/>
  </r>
  <r>
    <x v="384"/>
    <n v="31.96"/>
    <n v="8.86"/>
    <x v="0"/>
    <s v="No"/>
    <s v="No"/>
    <x v="0"/>
    <x v="0"/>
    <x v="0"/>
    <x v="2"/>
  </r>
  <r>
    <x v="385"/>
    <n v="23.76"/>
    <n v="10.96"/>
    <x v="0"/>
    <s v="No"/>
    <s v="No"/>
    <x v="0"/>
    <x v="2"/>
    <x v="0"/>
    <x v="2"/>
  </r>
  <r>
    <x v="386"/>
    <n v="19.38"/>
    <n v="6.28"/>
    <x v="1"/>
    <s v="No"/>
    <s v="No"/>
    <x v="0"/>
    <x v="0"/>
    <x v="0"/>
    <x v="2"/>
  </r>
  <r>
    <x v="387"/>
    <n v="16.21"/>
    <n v="6.29"/>
    <x v="1"/>
    <s v="yes"/>
    <s v="No"/>
    <x v="0"/>
    <x v="3"/>
    <x v="0"/>
    <x v="3"/>
  </r>
  <r>
    <x v="388"/>
    <n v="32.54"/>
    <n v="4.0199999999999996"/>
    <x v="1"/>
    <s v="No"/>
    <s v="yes"/>
    <x v="0"/>
    <x v="3"/>
    <x v="0"/>
    <x v="2"/>
  </r>
  <r>
    <x v="389"/>
    <n v="36.765000000000001"/>
    <n v="11.95"/>
    <x v="0"/>
    <s v="yes"/>
    <s v="No"/>
    <x v="0"/>
    <x v="1"/>
    <x v="1"/>
    <x v="2"/>
  </r>
  <r>
    <x v="390"/>
    <n v="35.909999999999997"/>
    <n v="8.7100000000000009"/>
    <x v="0"/>
    <s v="No"/>
    <s v="No"/>
    <x v="0"/>
    <x v="0"/>
    <x v="1"/>
    <x v="2"/>
  </r>
  <r>
    <x v="391"/>
    <n v="32.06"/>
    <n v="4.67"/>
    <x v="1"/>
    <s v="No"/>
    <s v="yes"/>
    <x v="0"/>
    <x v="3"/>
    <x v="0"/>
    <x v="2"/>
  </r>
  <r>
    <x v="392"/>
    <n v="24.1"/>
    <n v="11.14"/>
    <x v="0"/>
    <s v="yes"/>
    <s v="No"/>
    <x v="0"/>
    <x v="3"/>
    <x v="1"/>
    <x v="2"/>
  </r>
  <r>
    <x v="393"/>
    <n v="27.1"/>
    <n v="9.0500000000000007"/>
    <x v="0"/>
    <s v="No"/>
    <s v="No"/>
    <x v="0"/>
    <x v="1"/>
    <x v="1"/>
    <x v="2"/>
  </r>
  <r>
    <x v="394"/>
    <n v="24.42"/>
    <n v="11.31"/>
    <x v="0"/>
    <s v="No"/>
    <s v="No"/>
    <x v="0"/>
    <x v="0"/>
    <x v="0"/>
    <x v="2"/>
  </r>
  <r>
    <x v="395"/>
    <n v="26.695"/>
    <n v="4.68"/>
    <x v="1"/>
    <s v="yes"/>
    <s v="No"/>
    <x v="0"/>
    <x v="1"/>
    <x v="0"/>
    <x v="2"/>
  </r>
  <r>
    <x v="396"/>
    <n v="27.79"/>
    <n v="6.05"/>
    <x v="1"/>
    <s v="yes"/>
    <s v="yes"/>
    <x v="0"/>
    <x v="3"/>
    <x v="0"/>
    <x v="2"/>
  </r>
  <r>
    <x v="397"/>
    <n v="32.68"/>
    <n v="4.68"/>
    <x v="1"/>
    <s v="yes"/>
    <s v="No"/>
    <x v="0"/>
    <x v="0"/>
    <x v="1"/>
    <x v="2"/>
  </r>
  <r>
    <x v="398"/>
    <n v="26.4"/>
    <n v="9.5"/>
    <x v="0"/>
    <s v="yes"/>
    <s v="No"/>
    <x v="0"/>
    <x v="1"/>
    <x v="1"/>
    <x v="2"/>
  </r>
  <r>
    <x v="399"/>
    <n v="23.655000000000001"/>
    <n v="10.84"/>
    <x v="0"/>
    <s v="yes"/>
    <s v="No"/>
    <x v="1"/>
    <x v="3"/>
    <x v="0"/>
    <x v="2"/>
  </r>
  <r>
    <x v="400"/>
    <n v="27.36"/>
    <n v="5.88"/>
    <x v="1"/>
    <s v="No"/>
    <s v="No"/>
    <x v="0"/>
    <x v="1"/>
    <x v="1"/>
    <x v="2"/>
  </r>
  <r>
    <x v="401"/>
    <n v="27.82"/>
    <n v="5.24"/>
    <x v="1"/>
    <s v="yes"/>
    <s v="No"/>
    <x v="0"/>
    <x v="0"/>
    <x v="0"/>
    <x v="2"/>
  </r>
  <r>
    <x v="402"/>
    <n v="25.46"/>
    <n v="11.75"/>
    <x v="0"/>
    <s v="No"/>
    <s v="No"/>
    <x v="0"/>
    <x v="0"/>
    <x v="1"/>
    <x v="2"/>
  </r>
  <r>
    <x v="403"/>
    <n v="25.1"/>
    <n v="6.97"/>
    <x v="0"/>
    <s v="No"/>
    <s v="No"/>
    <x v="0"/>
    <x v="0"/>
    <x v="0"/>
    <x v="2"/>
  </r>
  <r>
    <x v="404"/>
    <n v="32.11"/>
    <n v="4.76"/>
    <x v="1"/>
    <s v="No"/>
    <s v="No"/>
    <x v="0"/>
    <x v="1"/>
    <x v="1"/>
    <x v="2"/>
  </r>
  <r>
    <x v="405"/>
    <n v="29.8"/>
    <n v="8.24"/>
    <x v="0"/>
    <s v="yes"/>
    <s v="No"/>
    <x v="0"/>
    <x v="3"/>
    <x v="0"/>
    <x v="2"/>
  </r>
  <r>
    <x v="406"/>
    <n v="24.01"/>
    <n v="4.76"/>
    <x v="1"/>
    <s v="No"/>
    <s v="No"/>
    <x v="0"/>
    <x v="3"/>
    <x v="0"/>
    <x v="2"/>
  </r>
  <r>
    <x v="407"/>
    <n v="23.21"/>
    <n v="6.03"/>
    <x v="1"/>
    <s v="No"/>
    <s v="No"/>
    <x v="0"/>
    <x v="3"/>
    <x v="1"/>
    <x v="2"/>
  </r>
  <r>
    <x v="408"/>
    <n v="21.2"/>
    <n v="4.07"/>
    <x v="1"/>
    <s v="yes"/>
    <s v="No"/>
    <x v="0"/>
    <x v="3"/>
    <x v="0"/>
    <x v="2"/>
  </r>
  <r>
    <x v="409"/>
    <n v="28.215"/>
    <n v="8.26"/>
    <x v="0"/>
    <s v="yes"/>
    <s v="No"/>
    <x v="0"/>
    <x v="3"/>
    <x v="0"/>
    <x v="2"/>
  </r>
  <r>
    <x v="410"/>
    <n v="38.094999999999999"/>
    <n v="4.76"/>
    <x v="1"/>
    <s v="No"/>
    <s v="No"/>
    <x v="0"/>
    <x v="3"/>
    <x v="1"/>
    <x v="2"/>
  </r>
  <r>
    <x v="411"/>
    <n v="22.61"/>
    <n v="6.13"/>
    <x v="1"/>
    <s v="yes"/>
    <s v="No"/>
    <x v="1"/>
    <x v="3"/>
    <x v="0"/>
    <x v="2"/>
  </r>
  <r>
    <x v="412"/>
    <n v="24.32"/>
    <n v="10.47"/>
    <x v="0"/>
    <s v="yes"/>
    <s v="No"/>
    <x v="0"/>
    <x v="1"/>
    <x v="0"/>
    <x v="2"/>
  </r>
  <r>
    <x v="413"/>
    <n v="20.96"/>
    <n v="4.04"/>
    <x v="1"/>
    <s v="yes"/>
    <s v="No"/>
    <x v="0"/>
    <x v="3"/>
    <x v="0"/>
    <x v="2"/>
  </r>
  <r>
    <x v="414"/>
    <n v="19.68"/>
    <n v="5.74"/>
    <x v="1"/>
    <s v="No"/>
    <s v="No"/>
    <x v="0"/>
    <x v="0"/>
    <x v="0"/>
    <x v="2"/>
  </r>
  <r>
    <x v="415"/>
    <n v="18.100000000000001"/>
    <n v="6.33"/>
    <x v="1"/>
    <s v="No"/>
    <s v="No"/>
    <x v="0"/>
    <x v="3"/>
    <x v="0"/>
    <x v="3"/>
  </r>
  <r>
    <x v="416"/>
    <n v="29.64"/>
    <n v="4.28"/>
    <x v="1"/>
    <s v="yes"/>
    <s v="No"/>
    <x v="0"/>
    <x v="0"/>
    <x v="1"/>
    <x v="2"/>
  </r>
  <r>
    <x v="417"/>
    <n v="25.3"/>
    <n v="9.4700000000000006"/>
    <x v="0"/>
    <s v="yes"/>
    <s v="No"/>
    <x v="0"/>
    <x v="1"/>
    <x v="0"/>
    <x v="2"/>
  </r>
  <r>
    <x v="418"/>
    <n v="27.6"/>
    <n v="4.8499999999999996"/>
    <x v="1"/>
    <s v="yes"/>
    <s v="No"/>
    <x v="0"/>
    <x v="0"/>
    <x v="1"/>
    <x v="2"/>
  </r>
  <r>
    <x v="419"/>
    <n v="27.645"/>
    <n v="11.03"/>
    <x v="0"/>
    <s v="yes"/>
    <s v="No"/>
    <x v="0"/>
    <x v="3"/>
    <x v="0"/>
    <x v="2"/>
  </r>
  <r>
    <x v="420"/>
    <n v="27.6"/>
    <n v="5.22"/>
    <x v="1"/>
    <s v="No"/>
    <s v="No"/>
    <x v="0"/>
    <x v="1"/>
    <x v="0"/>
    <x v="2"/>
  </r>
  <r>
    <x v="421"/>
    <n v="25.08"/>
    <n v="9.52"/>
    <x v="0"/>
    <s v="yes"/>
    <s v="No"/>
    <x v="0"/>
    <x v="1"/>
    <x v="1"/>
    <x v="2"/>
  </r>
  <r>
    <x v="422"/>
    <n v="30.02"/>
    <n v="11.09"/>
    <x v="0"/>
    <s v="No"/>
    <s v="No"/>
    <x v="0"/>
    <x v="0"/>
    <x v="1"/>
    <x v="2"/>
  </r>
  <r>
    <x v="423"/>
    <n v="27.36"/>
    <n v="9.4499999999999993"/>
    <x v="0"/>
    <s v="yes"/>
    <s v="No"/>
    <x v="0"/>
    <x v="1"/>
    <x v="0"/>
    <x v="2"/>
  </r>
  <r>
    <x v="424"/>
    <n v="22.2"/>
    <n v="5.51"/>
    <x v="1"/>
    <s v="No"/>
    <s v="No"/>
    <x v="0"/>
    <x v="0"/>
    <x v="0"/>
    <x v="2"/>
  </r>
  <r>
    <x v="425"/>
    <n v="25.71"/>
    <n v="4.18"/>
    <x v="1"/>
    <s v="No"/>
    <s v="yes"/>
    <x v="0"/>
    <x v="3"/>
    <x v="0"/>
    <x v="2"/>
  </r>
  <r>
    <x v="426"/>
    <n v="41.91"/>
    <n v="5.98"/>
    <x v="1"/>
    <s v="yes"/>
    <s v="No"/>
    <x v="0"/>
    <x v="3"/>
    <x v="1"/>
    <x v="2"/>
  </r>
  <r>
    <x v="427"/>
    <n v="25.85"/>
    <n v="10.16"/>
    <x v="0"/>
    <s v="No"/>
    <s v="No"/>
    <x v="0"/>
    <x v="0"/>
    <x v="0"/>
    <x v="2"/>
  </r>
  <r>
    <x v="428"/>
    <n v="23.844999999999999"/>
    <n v="11.71"/>
    <x v="0"/>
    <s v="No"/>
    <s v="No"/>
    <x v="0"/>
    <x v="1"/>
    <x v="0"/>
    <x v="2"/>
  </r>
  <r>
    <x v="429"/>
    <n v="30.59"/>
    <n v="5.23"/>
    <x v="1"/>
    <s v="No"/>
    <s v="No"/>
    <x v="1"/>
    <x v="3"/>
    <x v="1"/>
    <x v="2"/>
  </r>
  <r>
    <x v="430"/>
    <n v="24.795000000000002"/>
    <n v="6.85"/>
    <x v="0"/>
    <s v="No"/>
    <s v="No"/>
    <x v="0"/>
    <x v="0"/>
    <x v="0"/>
    <x v="2"/>
  </r>
  <r>
    <x v="431"/>
    <n v="24.13"/>
    <n v="7.05"/>
    <x v="0"/>
    <s v="yes"/>
    <s v="No"/>
    <x v="0"/>
    <x v="1"/>
    <x v="0"/>
    <x v="2"/>
  </r>
  <r>
    <x v="432"/>
    <n v="25.84"/>
    <n v="11.64"/>
    <x v="0"/>
    <s v="No"/>
    <s v="No"/>
    <x v="0"/>
    <x v="1"/>
    <x v="0"/>
    <x v="2"/>
  </r>
  <r>
    <x v="433"/>
    <n v="28"/>
    <n v="10.52"/>
    <x v="0"/>
    <s v="No"/>
    <s v="No"/>
    <x v="0"/>
    <x v="0"/>
    <x v="0"/>
    <x v="2"/>
  </r>
  <r>
    <x v="434"/>
    <n v="34.1"/>
    <n v="4.01"/>
    <x v="1"/>
    <s v="yes"/>
    <s v="No"/>
    <x v="1"/>
    <x v="3"/>
    <x v="1"/>
    <x v="2"/>
  </r>
  <r>
    <x v="435"/>
    <n v="26.125"/>
    <n v="8.56"/>
    <x v="0"/>
    <s v="yes"/>
    <s v="No"/>
    <x v="0"/>
    <x v="3"/>
    <x v="0"/>
    <x v="2"/>
  </r>
  <r>
    <x v="436"/>
    <n v="25.6"/>
    <n v="10.5"/>
    <x v="0"/>
    <s v="No"/>
    <s v="No"/>
    <x v="0"/>
    <x v="1"/>
    <x v="0"/>
    <x v="2"/>
  </r>
  <r>
    <x v="437"/>
    <n v="24.32"/>
    <n v="6.39"/>
    <x v="0"/>
    <s v="No"/>
    <s v="No"/>
    <x v="0"/>
    <x v="0"/>
    <x v="1"/>
    <x v="2"/>
  </r>
  <r>
    <x v="438"/>
    <n v="22.88"/>
    <n v="5.71"/>
    <x v="1"/>
    <s v="yes"/>
    <s v="No"/>
    <x v="1"/>
    <x v="3"/>
    <x v="0"/>
    <x v="2"/>
  </r>
  <r>
    <x v="439"/>
    <n v="24.984999999999999"/>
    <n v="4.43"/>
    <x v="1"/>
    <s v="yes"/>
    <s v="No"/>
    <x v="1"/>
    <x v="3"/>
    <x v="1"/>
    <x v="2"/>
  </r>
  <r>
    <x v="440"/>
    <n v="33.1"/>
    <n v="5.52"/>
    <x v="1"/>
    <s v="No"/>
    <s v="No"/>
    <x v="1"/>
    <x v="3"/>
    <x v="1"/>
    <x v="2"/>
  </r>
  <r>
    <x v="441"/>
    <n v="27.83"/>
    <n v="9.1999999999999993"/>
    <x v="0"/>
    <s v="yes"/>
    <s v="No"/>
    <x v="0"/>
    <x v="3"/>
    <x v="0"/>
    <x v="2"/>
  </r>
  <r>
    <x v="442"/>
    <n v="30.875"/>
    <n v="10.97"/>
    <x v="0"/>
    <s v="yes"/>
    <s v="No"/>
    <x v="0"/>
    <x v="1"/>
    <x v="1"/>
    <x v="2"/>
  </r>
  <r>
    <x v="443"/>
    <n v="27.265000000000001"/>
    <n v="4.25"/>
    <x v="1"/>
    <s v="No"/>
    <s v="No"/>
    <x v="1"/>
    <x v="3"/>
    <x v="1"/>
    <x v="2"/>
  </r>
  <r>
    <x v="444"/>
    <n v="26.7"/>
    <n v="5.23"/>
    <x v="1"/>
    <s v="No"/>
    <s v="No"/>
    <x v="1"/>
    <x v="3"/>
    <x v="0"/>
    <x v="2"/>
  </r>
  <r>
    <x v="445"/>
    <n v="29.925000000000001"/>
    <n v="5.96"/>
    <x v="1"/>
    <s v="yes"/>
    <s v="No"/>
    <x v="1"/>
    <x v="3"/>
    <x v="0"/>
    <x v="2"/>
  </r>
  <r>
    <x v="446"/>
    <n v="19.95"/>
    <n v="4.29"/>
    <x v="1"/>
    <s v="yes"/>
    <s v="No"/>
    <x v="0"/>
    <x v="1"/>
    <x v="0"/>
    <x v="2"/>
  </r>
  <r>
    <x v="447"/>
    <n v="24.225000000000001"/>
    <n v="4.09"/>
    <x v="1"/>
    <s v="No"/>
    <s v="No"/>
    <x v="0"/>
    <x v="0"/>
    <x v="1"/>
    <x v="2"/>
  </r>
  <r>
    <x v="448"/>
    <n v="28.12"/>
    <n v="4.88"/>
    <x v="1"/>
    <s v="No"/>
    <s v="No"/>
    <x v="0"/>
    <x v="0"/>
    <x v="0"/>
    <x v="2"/>
  </r>
  <r>
    <x v="449"/>
    <n v="23.21"/>
    <n v="6.76"/>
    <x v="0"/>
    <s v="No"/>
    <s v="No"/>
    <x v="0"/>
    <x v="0"/>
    <x v="0"/>
    <x v="2"/>
  </r>
  <r>
    <x v="450"/>
    <n v="23.98"/>
    <n v="10.67"/>
    <x v="0"/>
    <s v="No"/>
    <s v="No"/>
    <x v="0"/>
    <x v="0"/>
    <x v="1"/>
    <x v="2"/>
  </r>
  <r>
    <x v="451"/>
    <n v="30"/>
    <n v="6.21"/>
    <x v="1"/>
    <s v="No"/>
    <s v="No"/>
    <x v="0"/>
    <x v="0"/>
    <x v="0"/>
    <x v="2"/>
  </r>
  <r>
    <x v="452"/>
    <n v="17.350000000000001"/>
    <n v="5.03"/>
    <x v="1"/>
    <s v="yes"/>
    <s v="No"/>
    <x v="0"/>
    <x v="0"/>
    <x v="0"/>
    <x v="3"/>
  </r>
  <r>
    <x v="453"/>
    <n v="22.704999999999998"/>
    <n v="5.27"/>
    <x v="1"/>
    <s v="No"/>
    <s v="No"/>
    <x v="0"/>
    <x v="0"/>
    <x v="1"/>
    <x v="2"/>
  </r>
  <r>
    <x v="454"/>
    <n v="25.41"/>
    <n v="10.53"/>
    <x v="0"/>
    <s v="yes"/>
    <s v="No"/>
    <x v="0"/>
    <x v="3"/>
    <x v="0"/>
    <x v="2"/>
  </r>
  <r>
    <x v="455"/>
    <n v="18.23"/>
    <n v="5.78"/>
    <x v="1"/>
    <s v="No"/>
    <s v="No"/>
    <x v="1"/>
    <x v="3"/>
    <x v="0"/>
    <x v="3"/>
  </r>
  <r>
    <x v="456"/>
    <n v="24.7"/>
    <n v="4.3600000000000003"/>
    <x v="1"/>
    <s v="No"/>
    <s v="No"/>
    <x v="1"/>
    <x v="3"/>
    <x v="0"/>
    <x v="2"/>
  </r>
  <r>
    <x v="457"/>
    <n v="37.4"/>
    <n v="9.7200000000000006"/>
    <x v="0"/>
    <s v="yes"/>
    <s v="No"/>
    <x v="1"/>
    <x v="3"/>
    <x v="1"/>
    <x v="2"/>
  </r>
  <r>
    <x v="458"/>
    <n v="26.885000000000002"/>
    <n v="5.18"/>
    <x v="1"/>
    <s v="No"/>
    <s v="No"/>
    <x v="1"/>
    <x v="3"/>
    <x v="0"/>
    <x v="2"/>
  </r>
  <r>
    <x v="459"/>
    <n v="25.27"/>
    <n v="5.29"/>
    <x v="1"/>
    <s v="No"/>
    <s v="No"/>
    <x v="1"/>
    <x v="3"/>
    <x v="0"/>
    <x v="2"/>
  </r>
  <r>
    <x v="460"/>
    <n v="23.655000000000001"/>
    <n v="4.8600000000000003"/>
    <x v="1"/>
    <s v="yes"/>
    <s v="No"/>
    <x v="0"/>
    <x v="0"/>
    <x v="0"/>
    <x v="2"/>
  </r>
  <r>
    <x v="461"/>
    <n v="55.05"/>
    <n v="7.66"/>
    <x v="0"/>
    <s v="No"/>
    <s v="No"/>
    <x v="0"/>
    <x v="0"/>
    <x v="1"/>
    <x v="2"/>
  </r>
  <r>
    <x v="462"/>
    <n v="24.89"/>
    <n v="6.1"/>
    <x v="1"/>
    <s v="yes"/>
    <s v="No"/>
    <x v="1"/>
    <x v="3"/>
    <x v="0"/>
    <x v="2"/>
  </r>
  <r>
    <x v="463"/>
    <n v="18.715"/>
    <n v="4.4400000000000004"/>
    <x v="1"/>
    <s v="No"/>
    <s v="No"/>
    <x v="0"/>
    <x v="0"/>
    <x v="1"/>
    <x v="2"/>
  </r>
  <r>
    <x v="464"/>
    <n v="28.12"/>
    <n v="6.15"/>
    <x v="1"/>
    <s v="No"/>
    <s v="No"/>
    <x v="0"/>
    <x v="0"/>
    <x v="0"/>
    <x v="2"/>
  </r>
  <r>
    <x v="465"/>
    <n v="26.6"/>
    <n v="4.53"/>
    <x v="1"/>
    <s v="No"/>
    <s v="No"/>
    <x v="0"/>
    <x v="0"/>
    <x v="0"/>
    <x v="2"/>
  </r>
  <r>
    <x v="466"/>
    <n v="30.114999999999998"/>
    <n v="5.48"/>
    <x v="1"/>
    <s v="No"/>
    <s v="yes"/>
    <x v="0"/>
    <x v="3"/>
    <x v="1"/>
    <x v="2"/>
  </r>
  <r>
    <x v="467"/>
    <n v="24.605"/>
    <n v="5.48"/>
    <x v="1"/>
    <s v="No"/>
    <s v="No"/>
    <x v="0"/>
    <x v="0"/>
    <x v="0"/>
    <x v="2"/>
  </r>
  <r>
    <x v="468"/>
    <n v="29.6"/>
    <n v="8.1"/>
    <x v="0"/>
    <s v="No"/>
    <s v="No"/>
    <x v="0"/>
    <x v="0"/>
    <x v="1"/>
    <x v="2"/>
  </r>
  <r>
    <x v="469"/>
    <n v="24.42"/>
    <n v="7.16"/>
    <x v="0"/>
    <s v="No"/>
    <s v="No"/>
    <x v="0"/>
    <x v="0"/>
    <x v="0"/>
    <x v="2"/>
  </r>
  <r>
    <x v="470"/>
    <n v="20.9"/>
    <n v="4.55"/>
    <x v="1"/>
    <s v="yes"/>
    <s v="No"/>
    <x v="1"/>
    <x v="3"/>
    <x v="0"/>
    <x v="2"/>
  </r>
  <r>
    <x v="471"/>
    <n v="22.895"/>
    <n v="6.03"/>
    <x v="1"/>
    <s v="No"/>
    <s v="No"/>
    <x v="0"/>
    <x v="0"/>
    <x v="0"/>
    <x v="2"/>
  </r>
  <r>
    <x v="472"/>
    <n v="28.3"/>
    <n v="5.47"/>
    <x v="1"/>
    <s v="yes"/>
    <s v="No"/>
    <x v="1"/>
    <x v="3"/>
    <x v="0"/>
    <x v="2"/>
  </r>
  <r>
    <x v="473"/>
    <n v="54.3"/>
    <n v="4.1500000000000004"/>
    <x v="1"/>
    <s v="yes"/>
    <s v="No"/>
    <x v="0"/>
    <x v="3"/>
    <x v="1"/>
    <x v="2"/>
  </r>
  <r>
    <x v="474"/>
    <n v="33.344999999999999"/>
    <n v="11.32"/>
    <x v="0"/>
    <s v="yes"/>
    <s v="No"/>
    <x v="0"/>
    <x v="3"/>
    <x v="1"/>
    <x v="2"/>
  </r>
  <r>
    <x v="475"/>
    <n v="33"/>
    <n v="9.51"/>
    <x v="0"/>
    <s v="yes"/>
    <s v="No"/>
    <x v="0"/>
    <x v="0"/>
    <x v="1"/>
    <x v="2"/>
  </r>
  <r>
    <x v="476"/>
    <n v="28.024999999999999"/>
    <n v="7.67"/>
    <x v="0"/>
    <s v="yes"/>
    <s v="No"/>
    <x v="0"/>
    <x v="3"/>
    <x v="0"/>
    <x v="2"/>
  </r>
  <r>
    <x v="477"/>
    <n v="28.69"/>
    <n v="6.23"/>
    <x v="1"/>
    <s v="No"/>
    <s v="No"/>
    <x v="0"/>
    <x v="3"/>
    <x v="0"/>
    <x v="2"/>
  </r>
  <r>
    <x v="478"/>
    <n v="40.28"/>
    <n v="8.9"/>
    <x v="0"/>
    <s v="No"/>
    <s v="No"/>
    <x v="0"/>
    <x v="0"/>
    <x v="1"/>
    <x v="2"/>
  </r>
  <r>
    <x v="479"/>
    <n v="37.299999999999997"/>
    <n v="7.79"/>
    <x v="0"/>
    <s v="yes"/>
    <s v="No"/>
    <x v="0"/>
    <x v="0"/>
    <x v="1"/>
    <x v="2"/>
  </r>
  <r>
    <x v="480"/>
    <n v="54.47"/>
    <n v="4.49"/>
    <x v="1"/>
    <s v="yes"/>
    <s v="No"/>
    <x v="0"/>
    <x v="1"/>
    <x v="1"/>
    <x v="2"/>
  </r>
  <r>
    <x v="481"/>
    <n v="38.06"/>
    <n v="5.24"/>
    <x v="1"/>
    <s v="yes"/>
    <s v="No"/>
    <x v="1"/>
    <x v="3"/>
    <x v="1"/>
    <x v="2"/>
  </r>
  <r>
    <x v="482"/>
    <n v="51.47"/>
    <n v="9.6"/>
    <x v="0"/>
    <s v="No"/>
    <s v="No"/>
    <x v="0"/>
    <x v="0"/>
    <x v="1"/>
    <x v="2"/>
  </r>
  <r>
    <x v="483"/>
    <n v="29.8"/>
    <n v="5.78"/>
    <x v="1"/>
    <s v="yes"/>
    <s v="No"/>
    <x v="0"/>
    <x v="0"/>
    <x v="1"/>
    <x v="2"/>
  </r>
  <r>
    <x v="484"/>
    <n v="49.77"/>
    <n v="7.02"/>
    <x v="0"/>
    <s v="No"/>
    <s v="No"/>
    <x v="0"/>
    <x v="0"/>
    <x v="1"/>
    <x v="2"/>
  </r>
  <r>
    <x v="485"/>
    <n v="25.555"/>
    <n v="4.09"/>
    <x v="1"/>
    <s v="yes"/>
    <s v="No"/>
    <x v="0"/>
    <x v="0"/>
    <x v="0"/>
    <x v="2"/>
  </r>
  <r>
    <x v="486"/>
    <n v="29.64"/>
    <n v="4.93"/>
    <x v="1"/>
    <s v="No"/>
    <s v="No"/>
    <x v="1"/>
    <x v="3"/>
    <x v="1"/>
    <x v="2"/>
  </r>
  <r>
    <x v="487"/>
    <n v="53.93"/>
    <n v="5.34"/>
    <x v="1"/>
    <s v="yes"/>
    <s v="No"/>
    <x v="0"/>
    <x v="1"/>
    <x v="1"/>
    <x v="2"/>
  </r>
  <r>
    <x v="488"/>
    <n v="28.024999999999999"/>
    <n v="5.65"/>
    <x v="1"/>
    <s v="No"/>
    <s v="No"/>
    <x v="0"/>
    <x v="3"/>
    <x v="0"/>
    <x v="2"/>
  </r>
  <r>
    <x v="489"/>
    <n v="27.5"/>
    <n v="4.49"/>
    <x v="1"/>
    <s v="No"/>
    <s v="No"/>
    <x v="0"/>
    <x v="0"/>
    <x v="1"/>
    <x v="2"/>
  </r>
  <r>
    <x v="490"/>
    <n v="21.8"/>
    <n v="10.55"/>
    <x v="0"/>
    <s v="No"/>
    <s v="No"/>
    <x v="0"/>
    <x v="0"/>
    <x v="0"/>
    <x v="2"/>
  </r>
  <r>
    <x v="491"/>
    <n v="26.41"/>
    <n v="4.92"/>
    <x v="1"/>
    <s v="yes"/>
    <s v="No"/>
    <x v="1"/>
    <x v="3"/>
    <x v="0"/>
    <x v="2"/>
  </r>
  <r>
    <x v="492"/>
    <n v="27.835000000000001"/>
    <n v="5.9"/>
    <x v="1"/>
    <s v="yes"/>
    <s v="No"/>
    <x v="0"/>
    <x v="3"/>
    <x v="0"/>
    <x v="2"/>
  </r>
  <r>
    <x v="493"/>
    <n v="51.74"/>
    <n v="4.9800000000000004"/>
    <x v="1"/>
    <s v="yes"/>
    <s v="No"/>
    <x v="0"/>
    <x v="1"/>
    <x v="1"/>
    <x v="2"/>
  </r>
  <r>
    <x v="494"/>
    <n v="23.37"/>
    <n v="5.8"/>
    <x v="1"/>
    <s v="No"/>
    <s v="No"/>
    <x v="0"/>
    <x v="0"/>
    <x v="0"/>
    <x v="2"/>
  </r>
  <r>
    <x v="495"/>
    <n v="29.7"/>
    <n v="6.21"/>
    <x v="1"/>
    <s v="yes"/>
    <s v="No"/>
    <x v="1"/>
    <x v="3"/>
    <x v="0"/>
    <x v="2"/>
  </r>
  <r>
    <x v="496"/>
    <n v="20.045000000000002"/>
    <n v="6.17"/>
    <x v="1"/>
    <s v="No"/>
    <s v="No"/>
    <x v="1"/>
    <x v="3"/>
    <x v="0"/>
    <x v="2"/>
  </r>
  <r>
    <x v="497"/>
    <n v="27.83"/>
    <n v="5.36"/>
    <x v="1"/>
    <s v="No"/>
    <s v="No"/>
    <x v="0"/>
    <x v="1"/>
    <x v="1"/>
    <x v="2"/>
  </r>
  <r>
    <x v="498"/>
    <n v="28.93"/>
    <n v="5.2"/>
    <x v="1"/>
    <s v="No"/>
    <s v="No"/>
    <x v="0"/>
    <x v="0"/>
    <x v="0"/>
    <x v="2"/>
  </r>
  <r>
    <x v="499"/>
    <n v="33.82"/>
    <n v="5.42"/>
    <x v="1"/>
    <s v="No"/>
    <s v="No"/>
    <x v="0"/>
    <x v="0"/>
    <x v="1"/>
    <x v="2"/>
  </r>
  <r>
    <x v="500"/>
    <n v="20.234999999999999"/>
    <n v="6.84"/>
    <x v="0"/>
    <s v="No"/>
    <s v="No"/>
    <x v="0"/>
    <x v="0"/>
    <x v="0"/>
    <x v="2"/>
  </r>
  <r>
    <x v="501"/>
    <n v="49.2"/>
    <n v="10.9"/>
    <x v="0"/>
    <s v="yes"/>
    <s v="No"/>
    <x v="1"/>
    <x v="3"/>
    <x v="1"/>
    <x v="2"/>
  </r>
  <r>
    <x v="502"/>
    <n v="26.4"/>
    <n v="4.87"/>
    <x v="1"/>
    <s v="yes"/>
    <s v="No"/>
    <x v="0"/>
    <x v="0"/>
    <x v="0"/>
    <x v="2"/>
  </r>
  <r>
    <x v="503"/>
    <n v="28.38"/>
    <n v="6.07"/>
    <x v="1"/>
    <s v="No"/>
    <s v="No"/>
    <x v="0"/>
    <x v="3"/>
    <x v="0"/>
    <x v="2"/>
  </r>
  <r>
    <x v="504"/>
    <n v="24.64"/>
    <n v="4.33"/>
    <x v="1"/>
    <s v="No"/>
    <s v="No"/>
    <x v="0"/>
    <x v="0"/>
    <x v="0"/>
    <x v="2"/>
  </r>
  <r>
    <x v="505"/>
    <n v="39.71"/>
    <n v="5.83"/>
    <x v="1"/>
    <s v="No"/>
    <s v="No"/>
    <x v="0"/>
    <x v="3"/>
    <x v="1"/>
    <x v="2"/>
  </r>
  <r>
    <x v="506"/>
    <n v="22.22"/>
    <n v="5.5"/>
    <x v="1"/>
    <s v="No"/>
    <s v="No"/>
    <x v="0"/>
    <x v="0"/>
    <x v="0"/>
    <x v="2"/>
  </r>
  <r>
    <x v="507"/>
    <n v="33.344999999999999"/>
    <n v="4.79"/>
    <x v="1"/>
    <s v="No"/>
    <s v="No"/>
    <x v="1"/>
    <x v="3"/>
    <x v="1"/>
    <x v="2"/>
  </r>
  <r>
    <x v="508"/>
    <n v="24.42"/>
    <n v="5.81"/>
    <x v="1"/>
    <s v="No"/>
    <s v="No"/>
    <x v="0"/>
    <x v="3"/>
    <x v="0"/>
    <x v="2"/>
  </r>
  <r>
    <x v="509"/>
    <n v="29.81"/>
    <n v="5.58"/>
    <x v="1"/>
    <s v="No"/>
    <s v="No"/>
    <x v="0"/>
    <x v="0"/>
    <x v="0"/>
    <x v="2"/>
  </r>
  <r>
    <x v="510"/>
    <n v="51.18"/>
    <n v="4.4000000000000004"/>
    <x v="1"/>
    <s v="yes"/>
    <s v="No"/>
    <x v="0"/>
    <x v="1"/>
    <x v="1"/>
    <x v="2"/>
  </r>
  <r>
    <x v="511"/>
    <n v="51.37"/>
    <n v="8.18"/>
    <x v="1"/>
    <s v="yes"/>
    <s v="No"/>
    <x v="0"/>
    <x v="0"/>
    <x v="1"/>
    <x v="2"/>
  </r>
  <r>
    <x v="512"/>
    <n v="36.19"/>
    <n v="5.52"/>
    <x v="1"/>
    <s v="yes"/>
    <s v="No"/>
    <x v="0"/>
    <x v="0"/>
    <x v="1"/>
    <x v="2"/>
  </r>
  <r>
    <x v="513"/>
    <n v="25.9"/>
    <n v="4.84"/>
    <x v="1"/>
    <s v="No"/>
    <s v="No"/>
    <x v="0"/>
    <x v="0"/>
    <x v="0"/>
    <x v="2"/>
  </r>
  <r>
    <x v="514"/>
    <n v="35.72"/>
    <n v="4.08"/>
    <x v="1"/>
    <s v="No"/>
    <s v="No"/>
    <x v="1"/>
    <x v="3"/>
    <x v="1"/>
    <x v="2"/>
  </r>
  <r>
    <x v="515"/>
    <n v="27.94"/>
    <n v="4.4800000000000004"/>
    <x v="1"/>
    <s v="No"/>
    <s v="No"/>
    <x v="1"/>
    <x v="3"/>
    <x v="0"/>
    <x v="2"/>
  </r>
  <r>
    <x v="516"/>
    <n v="27.1"/>
    <n v="5.73"/>
    <x v="1"/>
    <s v="No"/>
    <s v="No"/>
    <x v="0"/>
    <x v="0"/>
    <x v="0"/>
    <x v="2"/>
  </r>
  <r>
    <x v="517"/>
    <n v="18.3"/>
    <n v="5.46"/>
    <x v="1"/>
    <s v="yes"/>
    <s v="No"/>
    <x v="1"/>
    <x v="3"/>
    <x v="0"/>
    <x v="3"/>
  </r>
  <r>
    <x v="518"/>
    <n v="25.3"/>
    <n v="5.0199999999999996"/>
    <x v="1"/>
    <s v="yes"/>
    <s v="No"/>
    <x v="0"/>
    <x v="3"/>
    <x v="0"/>
    <x v="2"/>
  </r>
  <r>
    <x v="519"/>
    <n v="38.83"/>
    <n v="6.36"/>
    <x v="1"/>
    <s v="No"/>
    <s v="No"/>
    <x v="0"/>
    <x v="3"/>
    <x v="1"/>
    <x v="2"/>
  </r>
  <r>
    <x v="520"/>
    <n v="27.6"/>
    <n v="5.36"/>
    <x v="1"/>
    <s v="No"/>
    <s v="No"/>
    <x v="0"/>
    <x v="3"/>
    <x v="1"/>
    <x v="2"/>
  </r>
  <r>
    <x v="521"/>
    <n v="46.4"/>
    <n v="8.3699999999999992"/>
    <x v="0"/>
    <s v="yes"/>
    <s v="No"/>
    <x v="1"/>
    <x v="3"/>
    <x v="1"/>
    <x v="2"/>
  </r>
  <r>
    <x v="522"/>
    <n v="51.92"/>
    <n v="5.18"/>
    <x v="1"/>
    <s v="yes"/>
    <s v="No"/>
    <x v="1"/>
    <x v="3"/>
    <x v="1"/>
    <x v="2"/>
  </r>
  <r>
    <x v="523"/>
    <n v="32.395000000000003"/>
    <n v="5.68"/>
    <x v="1"/>
    <s v="yes"/>
    <s v="No"/>
    <x v="0"/>
    <x v="3"/>
    <x v="1"/>
    <x v="2"/>
  </r>
  <r>
    <x v="524"/>
    <n v="46.19"/>
    <n v="7.31"/>
    <x v="0"/>
    <s v="yes"/>
    <s v="No"/>
    <x v="1"/>
    <x v="3"/>
    <x v="1"/>
    <x v="2"/>
  </r>
  <r>
    <x v="525"/>
    <n v="27.93"/>
    <n v="4.67"/>
    <x v="1"/>
    <s v="No"/>
    <s v="No"/>
    <x v="1"/>
    <x v="3"/>
    <x v="1"/>
    <x v="2"/>
  </r>
  <r>
    <x v="526"/>
    <n v="45.62"/>
    <n v="6.87"/>
    <x v="0"/>
    <s v="No"/>
    <s v="No"/>
    <x v="0"/>
    <x v="0"/>
    <x v="1"/>
    <x v="2"/>
  </r>
  <r>
    <x v="527"/>
    <n v="35.31"/>
    <n v="5.87"/>
    <x v="1"/>
    <s v="No"/>
    <s v="No"/>
    <x v="1"/>
    <x v="3"/>
    <x v="1"/>
    <x v="2"/>
  </r>
  <r>
    <x v="528"/>
    <n v="30.4"/>
    <n v="4.07"/>
    <x v="1"/>
    <s v="yes"/>
    <s v="No"/>
    <x v="0"/>
    <x v="3"/>
    <x v="1"/>
    <x v="2"/>
  </r>
  <r>
    <x v="529"/>
    <n v="20.13"/>
    <n v="6.47"/>
    <x v="1"/>
    <s v="No"/>
    <s v="No"/>
    <x v="1"/>
    <x v="3"/>
    <x v="0"/>
    <x v="2"/>
  </r>
  <r>
    <x v="530"/>
    <n v="23.655000000000001"/>
    <n v="5.14"/>
    <x v="1"/>
    <s v="No"/>
    <s v="No"/>
    <x v="0"/>
    <x v="3"/>
    <x v="0"/>
    <x v="2"/>
  </r>
  <r>
    <x v="531"/>
    <n v="49.05"/>
    <n v="9.77"/>
    <x v="0"/>
    <s v="yes"/>
    <s v="No"/>
    <x v="0"/>
    <x v="0"/>
    <x v="1"/>
    <x v="2"/>
  </r>
  <r>
    <x v="532"/>
    <n v="51.94"/>
    <n v="8.8000000000000007"/>
    <x v="0"/>
    <s v="yes"/>
    <s v="No"/>
    <x v="0"/>
    <x v="1"/>
    <x v="1"/>
    <x v="2"/>
  </r>
  <r>
    <x v="533"/>
    <n v="29.83"/>
    <n v="5.84"/>
    <x v="1"/>
    <s v="No"/>
    <s v="No"/>
    <x v="0"/>
    <x v="3"/>
    <x v="0"/>
    <x v="2"/>
  </r>
  <r>
    <x v="534"/>
    <n v="22.6"/>
    <n v="10.43"/>
    <x v="0"/>
    <s v="yes"/>
    <s v="No"/>
    <x v="0"/>
    <x v="3"/>
    <x v="0"/>
    <x v="2"/>
  </r>
  <r>
    <x v="535"/>
    <n v="46.69"/>
    <n v="4.25"/>
    <x v="1"/>
    <s v="yes"/>
    <s v="No"/>
    <x v="0"/>
    <x v="3"/>
    <x v="1"/>
    <x v="2"/>
  </r>
  <r>
    <x v="536"/>
    <n v="28.49"/>
    <n v="4.8899999999999997"/>
    <x v="1"/>
    <s v="No"/>
    <s v="No"/>
    <x v="0"/>
    <x v="0"/>
    <x v="0"/>
    <x v="2"/>
  </r>
  <r>
    <x v="537"/>
    <n v="28.5"/>
    <n v="5.55"/>
    <x v="1"/>
    <s v="yes"/>
    <s v="No"/>
    <x v="0"/>
    <x v="3"/>
    <x v="0"/>
    <x v="2"/>
  </r>
  <r>
    <x v="538"/>
    <n v="24.4"/>
    <n v="4.5199999999999996"/>
    <x v="1"/>
    <s v="No"/>
    <s v="No"/>
    <x v="0"/>
    <x v="3"/>
    <x v="0"/>
    <x v="2"/>
  </r>
  <r>
    <x v="539"/>
    <n v="29.15"/>
    <n v="4.45"/>
    <x v="1"/>
    <s v="yes"/>
    <s v="No"/>
    <x v="0"/>
    <x v="3"/>
    <x v="0"/>
    <x v="2"/>
  </r>
  <r>
    <x v="540"/>
    <n v="27.28"/>
    <n v="4.72"/>
    <x v="1"/>
    <s v="No"/>
    <s v="yes"/>
    <x v="0"/>
    <x v="3"/>
    <x v="0"/>
    <x v="2"/>
  </r>
  <r>
    <x v="541"/>
    <n v="32.229999999999997"/>
    <n v="4.6500000000000004"/>
    <x v="1"/>
    <s v="yes"/>
    <s v="No"/>
    <x v="1"/>
    <x v="3"/>
    <x v="1"/>
    <x v="2"/>
  </r>
  <r>
    <x v="542"/>
    <n v="44.2"/>
    <n v="11.34"/>
    <x v="0"/>
    <s v="yes"/>
    <s v="No"/>
    <x v="1"/>
    <x v="3"/>
    <x v="1"/>
    <x v="2"/>
  </r>
  <r>
    <x v="543"/>
    <n v="29.734999999999999"/>
    <n v="4.53"/>
    <x v="1"/>
    <s v="No"/>
    <s v="No"/>
    <x v="1"/>
    <x v="3"/>
    <x v="1"/>
    <x v="2"/>
  </r>
  <r>
    <x v="544"/>
    <n v="28.31"/>
    <n v="6.35"/>
    <x v="1"/>
    <s v="No"/>
    <s v="No"/>
    <x v="0"/>
    <x v="0"/>
    <x v="0"/>
    <x v="2"/>
  </r>
  <r>
    <x v="545"/>
    <n v="46.62"/>
    <n v="8.51"/>
    <x v="0"/>
    <s v="No"/>
    <s v="No"/>
    <x v="0"/>
    <x v="0"/>
    <x v="1"/>
    <x v="2"/>
  </r>
  <r>
    <x v="546"/>
    <n v="51.75"/>
    <n v="8.59"/>
    <x v="0"/>
    <s v="yes"/>
    <s v="No"/>
    <x v="0"/>
    <x v="3"/>
    <x v="1"/>
    <x v="2"/>
  </r>
  <r>
    <x v="547"/>
    <n v="25.7"/>
    <n v="4.13"/>
    <x v="1"/>
    <s v="yes"/>
    <s v="No"/>
    <x v="0"/>
    <x v="0"/>
    <x v="0"/>
    <x v="2"/>
  </r>
  <r>
    <x v="548"/>
    <n v="31.79"/>
    <n v="4.55"/>
    <x v="1"/>
    <s v="No"/>
    <s v="No"/>
    <x v="0"/>
    <x v="0"/>
    <x v="1"/>
    <x v="2"/>
  </r>
  <r>
    <x v="549"/>
    <n v="24.795000000000002"/>
    <n v="4.5199999999999996"/>
    <x v="1"/>
    <s v="No"/>
    <s v="No"/>
    <x v="0"/>
    <x v="0"/>
    <x v="0"/>
    <x v="2"/>
  </r>
  <r>
    <x v="550"/>
    <n v="53.98"/>
    <n v="5.07"/>
    <x v="1"/>
    <s v="No"/>
    <s v="No"/>
    <x v="1"/>
    <x v="3"/>
    <x v="1"/>
    <x v="2"/>
  </r>
  <r>
    <x v="551"/>
    <n v="41.325000000000003"/>
    <n v="4.04"/>
    <x v="1"/>
    <s v="yes"/>
    <s v="No"/>
    <x v="1"/>
    <x v="3"/>
    <x v="1"/>
    <x v="2"/>
  </r>
  <r>
    <x v="552"/>
    <n v="51.65"/>
    <n v="5.3"/>
    <x v="1"/>
    <s v="yes"/>
    <s v="No"/>
    <x v="0"/>
    <x v="0"/>
    <x v="1"/>
    <x v="2"/>
  </r>
  <r>
    <x v="553"/>
    <n v="44.52"/>
    <n v="8.64"/>
    <x v="0"/>
    <s v="yes"/>
    <s v="No"/>
    <x v="1"/>
    <x v="3"/>
    <x v="1"/>
    <x v="2"/>
  </r>
  <r>
    <x v="554"/>
    <n v="53.29"/>
    <n v="4.03"/>
    <x v="1"/>
    <s v="No"/>
    <s v="No"/>
    <x v="1"/>
    <x v="3"/>
    <x v="1"/>
    <x v="2"/>
  </r>
  <r>
    <x v="555"/>
    <n v="46.63"/>
    <n v="4.26"/>
    <x v="1"/>
    <s v="yes"/>
    <s v="No"/>
    <x v="0"/>
    <x v="1"/>
    <x v="1"/>
    <x v="2"/>
  </r>
  <r>
    <x v="556"/>
    <n v="28.88"/>
    <n v="5.35"/>
    <x v="1"/>
    <s v="No"/>
    <s v="No"/>
    <x v="1"/>
    <x v="3"/>
    <x v="0"/>
    <x v="2"/>
  </r>
  <r>
    <x v="557"/>
    <n v="23.98"/>
    <n v="4.9000000000000004"/>
    <x v="1"/>
    <s v="No"/>
    <s v="No"/>
    <x v="0"/>
    <x v="0"/>
    <x v="1"/>
    <x v="2"/>
  </r>
  <r>
    <x v="558"/>
    <n v="23.65"/>
    <n v="4.5"/>
    <x v="1"/>
    <s v="No"/>
    <s v="No"/>
    <x v="0"/>
    <x v="0"/>
    <x v="1"/>
    <x v="2"/>
  </r>
  <r>
    <x v="559"/>
    <n v="49.09"/>
    <n v="8.3800000000000008"/>
    <x v="0"/>
    <s v="yes"/>
    <s v="No"/>
    <x v="0"/>
    <x v="1"/>
    <x v="1"/>
    <x v="2"/>
  </r>
  <r>
    <x v="560"/>
    <n v="28.024999999999999"/>
    <n v="7.03"/>
    <x v="0"/>
    <s v="No"/>
    <s v="No"/>
    <x v="0"/>
    <x v="0"/>
    <x v="0"/>
    <x v="2"/>
  </r>
  <r>
    <x v="561"/>
    <n v="43.32"/>
    <n v="8.75"/>
    <x v="0"/>
    <s v="yes"/>
    <s v="No"/>
    <x v="1"/>
    <x v="3"/>
    <x v="1"/>
    <x v="2"/>
  </r>
  <r>
    <x v="562"/>
    <n v="45.92"/>
    <n v="9.51"/>
    <x v="0"/>
    <s v="No"/>
    <s v="No"/>
    <x v="0"/>
    <x v="0"/>
    <x v="1"/>
    <x v="2"/>
  </r>
  <r>
    <x v="563"/>
    <n v="44.03"/>
    <n v="9.36"/>
    <x v="0"/>
    <s v="No"/>
    <s v="No"/>
    <x v="0"/>
    <x v="0"/>
    <x v="1"/>
    <x v="2"/>
  </r>
  <r>
    <x v="564"/>
    <n v="24.6"/>
    <n v="4.8099999999999996"/>
    <x v="1"/>
    <s v="No"/>
    <s v="No"/>
    <x v="0"/>
    <x v="0"/>
    <x v="0"/>
    <x v="2"/>
  </r>
  <r>
    <x v="565"/>
    <n v="49.15"/>
    <n v="8.08"/>
    <x v="0"/>
    <s v="No"/>
    <s v="No"/>
    <x v="0"/>
    <x v="0"/>
    <x v="1"/>
    <x v="2"/>
  </r>
  <r>
    <x v="566"/>
    <n v="28.31"/>
    <n v="6.29"/>
    <x v="1"/>
    <s v="No"/>
    <s v="No"/>
    <x v="1"/>
    <x v="3"/>
    <x v="0"/>
    <x v="2"/>
  </r>
  <r>
    <x v="567"/>
    <n v="22.99"/>
    <n v="6.29"/>
    <x v="1"/>
    <s v="No"/>
    <s v="No"/>
    <x v="0"/>
    <x v="3"/>
    <x v="0"/>
    <x v="2"/>
  </r>
  <r>
    <x v="568"/>
    <n v="29.07"/>
    <n v="5.12"/>
    <x v="1"/>
    <s v="No"/>
    <s v="No"/>
    <x v="1"/>
    <x v="3"/>
    <x v="0"/>
    <x v="2"/>
  </r>
  <r>
    <x v="569"/>
    <n v="42.02"/>
    <n v="9.9499999999999993"/>
    <x v="0"/>
    <s v="yes"/>
    <s v="No"/>
    <x v="1"/>
    <x v="3"/>
    <x v="1"/>
    <x v="2"/>
  </r>
  <r>
    <x v="570"/>
    <n v="49.07"/>
    <n v="9.08"/>
    <x v="0"/>
    <s v="yes"/>
    <s v="No"/>
    <x v="0"/>
    <x v="3"/>
    <x v="1"/>
    <x v="2"/>
  </r>
  <r>
    <x v="571"/>
    <n v="19.8"/>
    <n v="4.82"/>
    <x v="1"/>
    <s v="No"/>
    <s v="No"/>
    <x v="0"/>
    <x v="0"/>
    <x v="0"/>
    <x v="2"/>
  </r>
  <r>
    <x v="572"/>
    <n v="27.36"/>
    <n v="4.6500000000000004"/>
    <x v="1"/>
    <s v="No"/>
    <s v="yes"/>
    <x v="0"/>
    <x v="3"/>
    <x v="0"/>
    <x v="2"/>
  </r>
  <r>
    <x v="573"/>
    <n v="42.95"/>
    <n v="5.16"/>
    <x v="1"/>
    <s v="yes"/>
    <s v="No"/>
    <x v="0"/>
    <x v="3"/>
    <x v="1"/>
    <x v="2"/>
  </r>
  <r>
    <x v="574"/>
    <n v="42.66"/>
    <n v="10.44"/>
    <x v="0"/>
    <s v="No"/>
    <s v="No"/>
    <x v="0"/>
    <x v="0"/>
    <x v="1"/>
    <x v="2"/>
  </r>
  <r>
    <x v="575"/>
    <n v="33.630000000000003"/>
    <n v="5.69"/>
    <x v="1"/>
    <s v="No"/>
    <s v="No"/>
    <x v="0"/>
    <x v="3"/>
    <x v="1"/>
    <x v="2"/>
  </r>
  <r>
    <x v="576"/>
    <n v="26.84"/>
    <n v="6.5"/>
    <x v="1"/>
    <s v="No"/>
    <s v="No"/>
    <x v="0"/>
    <x v="0"/>
    <x v="0"/>
    <x v="2"/>
  </r>
  <r>
    <x v="577"/>
    <n v="28.3"/>
    <n v="5.73"/>
    <x v="1"/>
    <s v="No"/>
    <s v="No"/>
    <x v="1"/>
    <x v="3"/>
    <x v="0"/>
    <x v="2"/>
  </r>
  <r>
    <x v="578"/>
    <n v="27.06"/>
    <n v="5.74"/>
    <x v="1"/>
    <s v="yes"/>
    <s v="No"/>
    <x v="0"/>
    <x v="0"/>
    <x v="0"/>
    <x v="2"/>
  </r>
  <r>
    <x v="579"/>
    <n v="47.13"/>
    <n v="8.6999999999999993"/>
    <x v="0"/>
    <s v="No"/>
    <s v="No"/>
    <x v="0"/>
    <x v="0"/>
    <x v="1"/>
    <x v="2"/>
  </r>
  <r>
    <x v="580"/>
    <n v="51.72"/>
    <n v="5.09"/>
    <x v="1"/>
    <s v="No"/>
    <s v="No"/>
    <x v="0"/>
    <x v="0"/>
    <x v="1"/>
    <x v="2"/>
  </r>
  <r>
    <x v="581"/>
    <n v="48.59"/>
    <n v="5.57"/>
    <x v="1"/>
    <s v="No"/>
    <s v="No"/>
    <x v="0"/>
    <x v="0"/>
    <x v="1"/>
    <x v="2"/>
  </r>
  <r>
    <x v="582"/>
    <n v="45.18"/>
    <n v="10.87"/>
    <x v="0"/>
    <s v="No"/>
    <s v="No"/>
    <x v="0"/>
    <x v="0"/>
    <x v="1"/>
    <x v="2"/>
  </r>
  <r>
    <x v="583"/>
    <n v="27.9"/>
    <n v="6.02"/>
    <x v="1"/>
    <s v="No"/>
    <s v="No"/>
    <x v="1"/>
    <x v="3"/>
    <x v="0"/>
    <x v="2"/>
  </r>
  <r>
    <x v="584"/>
    <n v="51.33"/>
    <n v="7"/>
    <x v="0"/>
    <s v="No"/>
    <s v="No"/>
    <x v="0"/>
    <x v="0"/>
    <x v="1"/>
    <x v="2"/>
  </r>
  <r>
    <x v="585"/>
    <n v="30.59"/>
    <n v="5.56"/>
    <x v="1"/>
    <s v="yes"/>
    <s v="No"/>
    <x v="0"/>
    <x v="3"/>
    <x v="1"/>
    <x v="2"/>
  </r>
  <r>
    <x v="586"/>
    <n v="39.229999999999997"/>
    <n v="8.4499999999999993"/>
    <x v="0"/>
    <s v="No"/>
    <s v="No"/>
    <x v="0"/>
    <x v="0"/>
    <x v="1"/>
    <x v="2"/>
  </r>
  <r>
    <x v="587"/>
    <n v="19.094999999999999"/>
    <n v="6.19"/>
    <x v="1"/>
    <s v="No"/>
    <s v="No"/>
    <x v="0"/>
    <x v="0"/>
    <x v="0"/>
    <x v="2"/>
  </r>
  <r>
    <x v="588"/>
    <n v="49.72"/>
    <n v="7.71"/>
    <x v="0"/>
    <s v="No"/>
    <s v="No"/>
    <x v="0"/>
    <x v="0"/>
    <x v="1"/>
    <x v="2"/>
  </r>
  <r>
    <x v="589"/>
    <n v="21.754999999999999"/>
    <n v="4.63"/>
    <x v="1"/>
    <s v="No"/>
    <s v="No"/>
    <x v="1"/>
    <x v="3"/>
    <x v="0"/>
    <x v="2"/>
  </r>
  <r>
    <x v="590"/>
    <n v="48.39"/>
    <n v="4.6100000000000003"/>
    <x v="1"/>
    <s v="No"/>
    <s v="No"/>
    <x v="0"/>
    <x v="0"/>
    <x v="1"/>
    <x v="2"/>
  </r>
  <r>
    <x v="591"/>
    <n v="47.15"/>
    <n v="9.5299999999999994"/>
    <x v="0"/>
    <s v="yes"/>
    <s v="No"/>
    <x v="0"/>
    <x v="3"/>
    <x v="1"/>
    <x v="2"/>
  </r>
  <r>
    <x v="592"/>
    <n v="47.59"/>
    <n v="11.43"/>
    <x v="0"/>
    <s v="yes"/>
    <s v="No"/>
    <x v="0"/>
    <x v="1"/>
    <x v="1"/>
    <x v="2"/>
  </r>
  <r>
    <x v="593"/>
    <n v="39.81"/>
    <n v="7.65"/>
    <x v="0"/>
    <s v="yes"/>
    <s v="No"/>
    <x v="1"/>
    <x v="3"/>
    <x v="1"/>
    <x v="2"/>
  </r>
  <r>
    <x v="594"/>
    <n v="31.02"/>
    <n v="5.87"/>
    <x v="1"/>
    <s v="yes"/>
    <s v="No"/>
    <x v="0"/>
    <x v="0"/>
    <x v="1"/>
    <x v="2"/>
  </r>
  <r>
    <x v="595"/>
    <n v="24.75"/>
    <n v="4.3600000000000003"/>
    <x v="1"/>
    <s v="yes"/>
    <s v="No"/>
    <x v="0"/>
    <x v="3"/>
    <x v="0"/>
    <x v="2"/>
  </r>
  <r>
    <x v="596"/>
    <n v="30.114999999999998"/>
    <n v="10.119999999999999"/>
    <x v="0"/>
    <s v="No"/>
    <s v="No"/>
    <x v="0"/>
    <x v="2"/>
    <x v="1"/>
    <x v="2"/>
  </r>
  <r>
    <x v="597"/>
    <n v="26.03"/>
    <n v="4.01"/>
    <x v="1"/>
    <s v="No"/>
    <s v="No"/>
    <x v="1"/>
    <x v="3"/>
    <x v="0"/>
    <x v="2"/>
  </r>
  <r>
    <x v="598"/>
    <n v="20.045000000000002"/>
    <n v="4.7699999999999996"/>
    <x v="1"/>
    <s v="yes"/>
    <s v="No"/>
    <x v="0"/>
    <x v="3"/>
    <x v="0"/>
    <x v="2"/>
  </r>
  <r>
    <x v="599"/>
    <n v="40.24"/>
    <n v="6.83"/>
    <x v="1"/>
    <s v="No"/>
    <s v="No"/>
    <x v="0"/>
    <x v="0"/>
    <x v="1"/>
    <x v="2"/>
  </r>
  <r>
    <x v="600"/>
    <n v="43.15"/>
    <n v="6.14"/>
    <x v="1"/>
    <s v="yes"/>
    <s v="No"/>
    <x v="1"/>
    <x v="3"/>
    <x v="1"/>
    <x v="2"/>
  </r>
  <r>
    <x v="601"/>
    <n v="27.7"/>
    <n v="5.6"/>
    <x v="1"/>
    <s v="No"/>
    <s v="No"/>
    <x v="1"/>
    <x v="3"/>
    <x v="0"/>
    <x v="2"/>
  </r>
  <r>
    <x v="602"/>
    <n v="45.68"/>
    <n v="4.8"/>
    <x v="1"/>
    <s v="No"/>
    <s v="No"/>
    <x v="0"/>
    <x v="1"/>
    <x v="1"/>
    <x v="2"/>
  </r>
  <r>
    <x v="603"/>
    <n v="27.3"/>
    <n v="11.89"/>
    <x v="0"/>
    <s v="No"/>
    <s v="No"/>
    <x v="0"/>
    <x v="0"/>
    <x v="0"/>
    <x v="2"/>
  </r>
  <r>
    <x v="604"/>
    <n v="54.45"/>
    <n v="4.7300000000000004"/>
    <x v="1"/>
    <s v="yes"/>
    <s v="No"/>
    <x v="0"/>
    <x v="3"/>
    <x v="1"/>
    <x v="2"/>
  </r>
  <r>
    <x v="605"/>
    <n v="54.43"/>
    <n v="4.6100000000000003"/>
    <x v="1"/>
    <s v="yes"/>
    <s v="No"/>
    <x v="0"/>
    <x v="3"/>
    <x v="1"/>
    <x v="2"/>
  </r>
  <r>
    <x v="606"/>
    <n v="48.01"/>
    <n v="7.3"/>
    <x v="0"/>
    <s v="No"/>
    <s v="No"/>
    <x v="0"/>
    <x v="0"/>
    <x v="1"/>
    <x v="2"/>
  </r>
  <r>
    <x v="607"/>
    <n v="48.32"/>
    <n v="5.88"/>
    <x v="1"/>
    <s v="No"/>
    <s v="No"/>
    <x v="0"/>
    <x v="0"/>
    <x v="1"/>
    <x v="2"/>
  </r>
  <r>
    <x v="608"/>
    <n v="22.895"/>
    <n v="4.0599999999999996"/>
    <x v="1"/>
    <s v="No"/>
    <s v="No"/>
    <x v="1"/>
    <x v="3"/>
    <x v="0"/>
    <x v="2"/>
  </r>
  <r>
    <x v="609"/>
    <n v="54.85"/>
    <n v="4.9000000000000004"/>
    <x v="1"/>
    <s v="No"/>
    <s v="No"/>
    <x v="0"/>
    <x v="3"/>
    <x v="1"/>
    <x v="2"/>
  </r>
  <r>
    <x v="610"/>
    <n v="21.85"/>
    <n v="5.52"/>
    <x v="1"/>
    <s v="No"/>
    <s v="No"/>
    <x v="1"/>
    <x v="3"/>
    <x v="0"/>
    <x v="2"/>
  </r>
  <r>
    <x v="611"/>
    <n v="51.86"/>
    <n v="5.2"/>
    <x v="1"/>
    <s v="yes"/>
    <s v="No"/>
    <x v="0"/>
    <x v="0"/>
    <x v="1"/>
    <x v="2"/>
  </r>
  <r>
    <x v="612"/>
    <n v="39.049999999999997"/>
    <n v="7.59"/>
    <x v="0"/>
    <s v="No"/>
    <s v="No"/>
    <x v="0"/>
    <x v="2"/>
    <x v="1"/>
    <x v="2"/>
  </r>
  <r>
    <x v="613"/>
    <n v="31.824999999999999"/>
    <n v="8.2799999999999994"/>
    <x v="0"/>
    <s v="No"/>
    <s v="No"/>
    <x v="0"/>
    <x v="2"/>
    <x v="1"/>
    <x v="2"/>
  </r>
  <r>
    <x v="614"/>
    <n v="46.43"/>
    <n v="6.72"/>
    <x v="0"/>
    <s v="No"/>
    <s v="No"/>
    <x v="0"/>
    <x v="0"/>
    <x v="1"/>
    <x v="2"/>
  </r>
  <r>
    <x v="615"/>
    <n v="53.63"/>
    <n v="5.47"/>
    <x v="1"/>
    <s v="yes"/>
    <s v="No"/>
    <x v="0"/>
    <x v="3"/>
    <x v="1"/>
    <x v="2"/>
  </r>
  <r>
    <x v="616"/>
    <n v="48.7"/>
    <n v="4.71"/>
    <x v="1"/>
    <s v="No"/>
    <s v="No"/>
    <x v="0"/>
    <x v="0"/>
    <x v="1"/>
    <x v="2"/>
  </r>
  <r>
    <x v="617"/>
    <n v="48.81"/>
    <n v="5.49"/>
    <x v="1"/>
    <s v="No"/>
    <s v="No"/>
    <x v="0"/>
    <x v="0"/>
    <x v="1"/>
    <x v="2"/>
  </r>
  <r>
    <x v="618"/>
    <n v="47.53"/>
    <n v="4.72"/>
    <x v="1"/>
    <s v="No"/>
    <s v="No"/>
    <x v="0"/>
    <x v="0"/>
    <x v="1"/>
    <x v="2"/>
  </r>
  <r>
    <x v="619"/>
    <n v="36.85"/>
    <n v="6.7"/>
    <x v="0"/>
    <s v="No"/>
    <s v="No"/>
    <x v="0"/>
    <x v="0"/>
    <x v="1"/>
    <x v="2"/>
  </r>
  <r>
    <x v="620"/>
    <n v="29.3"/>
    <n v="5.5"/>
    <x v="1"/>
    <s v="No"/>
    <s v="No"/>
    <x v="0"/>
    <x v="0"/>
    <x v="1"/>
    <x v="2"/>
  </r>
  <r>
    <x v="621"/>
    <n v="19.3"/>
    <n v="4.46"/>
    <x v="1"/>
    <s v="No"/>
    <s v="No"/>
    <x v="0"/>
    <x v="3"/>
    <x v="0"/>
    <x v="2"/>
  </r>
  <r>
    <x v="622"/>
    <n v="24.13"/>
    <n v="5.29"/>
    <x v="1"/>
    <s v="yes"/>
    <s v="No"/>
    <x v="1"/>
    <x v="3"/>
    <x v="0"/>
    <x v="2"/>
  </r>
  <r>
    <x v="623"/>
    <n v="46.7"/>
    <n v="10.99"/>
    <x v="0"/>
    <s v="No"/>
    <s v="No"/>
    <x v="0"/>
    <x v="0"/>
    <x v="1"/>
    <x v="2"/>
  </r>
  <r>
    <x v="624"/>
    <n v="45.27"/>
    <n v="5.2"/>
    <x v="1"/>
    <s v="yes"/>
    <s v="No"/>
    <x v="0"/>
    <x v="0"/>
    <x v="1"/>
    <x v="2"/>
  </r>
  <r>
    <x v="625"/>
    <n v="44.29"/>
    <n v="9.66"/>
    <x v="0"/>
    <s v="No"/>
    <s v="No"/>
    <x v="0"/>
    <x v="1"/>
    <x v="1"/>
    <x v="2"/>
  </r>
  <r>
    <x v="626"/>
    <n v="54.59"/>
    <n v="4.22"/>
    <x v="1"/>
    <s v="yes"/>
    <s v="No"/>
    <x v="0"/>
    <x v="3"/>
    <x v="1"/>
    <x v="2"/>
  </r>
  <r>
    <x v="627"/>
    <n v="32.965000000000003"/>
    <n v="11.78"/>
    <x v="0"/>
    <s v="No"/>
    <s v="No"/>
    <x v="0"/>
    <x v="0"/>
    <x v="1"/>
    <x v="2"/>
  </r>
  <r>
    <x v="628"/>
    <n v="38.049999999999997"/>
    <n v="9.6199999999999992"/>
    <x v="0"/>
    <s v="No"/>
    <s v="No"/>
    <x v="0"/>
    <x v="0"/>
    <x v="1"/>
    <x v="2"/>
  </r>
  <r>
    <x v="629"/>
    <n v="46.14"/>
    <n v="10.78"/>
    <x v="0"/>
    <s v="No"/>
    <s v="No"/>
    <x v="0"/>
    <x v="0"/>
    <x v="1"/>
    <x v="2"/>
  </r>
  <r>
    <x v="630"/>
    <n v="41.325000000000003"/>
    <n v="5.1100000000000003"/>
    <x v="1"/>
    <s v="yes"/>
    <s v="No"/>
    <x v="0"/>
    <x v="1"/>
    <x v="1"/>
    <x v="2"/>
  </r>
  <r>
    <x v="631"/>
    <n v="44.64"/>
    <n v="7.18"/>
    <x v="0"/>
    <s v="No"/>
    <s v="No"/>
    <x v="0"/>
    <x v="0"/>
    <x v="1"/>
    <x v="2"/>
  </r>
  <r>
    <x v="632"/>
    <n v="25.175000000000001"/>
    <n v="4.96"/>
    <x v="1"/>
    <s v="No"/>
    <s v="yes"/>
    <x v="0"/>
    <x v="3"/>
    <x v="1"/>
    <x v="2"/>
  </r>
  <r>
    <x v="633"/>
    <n v="43.11"/>
    <n v="4.67"/>
    <x v="1"/>
    <s v="yes"/>
    <s v="No"/>
    <x v="0"/>
    <x v="0"/>
    <x v="1"/>
    <x v="2"/>
  </r>
  <r>
    <x v="634"/>
    <n v="53.32"/>
    <n v="5.0599999999999996"/>
    <x v="1"/>
    <s v="No"/>
    <s v="No"/>
    <x v="0"/>
    <x v="0"/>
    <x v="1"/>
    <x v="2"/>
  </r>
  <r>
    <x v="635"/>
    <n v="38.04"/>
    <n v="5.0199999999999996"/>
    <x v="1"/>
    <s v="yes"/>
    <s v="No"/>
    <x v="0"/>
    <x v="3"/>
    <x v="1"/>
    <x v="2"/>
  </r>
  <r>
    <x v="636"/>
    <n v="37.9"/>
    <n v="7.76"/>
    <x v="0"/>
    <s v="No"/>
    <s v="No"/>
    <x v="0"/>
    <x v="0"/>
    <x v="1"/>
    <x v="2"/>
  </r>
  <r>
    <x v="637"/>
    <n v="39.6"/>
    <n v="9.32"/>
    <x v="0"/>
    <s v="No"/>
    <s v="No"/>
    <x v="0"/>
    <x v="0"/>
    <x v="1"/>
    <x v="2"/>
  </r>
  <r>
    <x v="638"/>
    <n v="50.92"/>
    <n v="5.31"/>
    <x v="1"/>
    <s v="yes"/>
    <s v="No"/>
    <x v="0"/>
    <x v="3"/>
    <x v="1"/>
    <x v="2"/>
  </r>
  <r>
    <x v="639"/>
    <n v="21.85"/>
    <n v="5.56"/>
    <x v="1"/>
    <s v="yes"/>
    <s v="No"/>
    <x v="0"/>
    <x v="0"/>
    <x v="0"/>
    <x v="2"/>
  </r>
  <r>
    <x v="640"/>
    <n v="36.08"/>
    <n v="7.11"/>
    <x v="0"/>
    <s v="yes"/>
    <s v="No"/>
    <x v="1"/>
    <x v="3"/>
    <x v="1"/>
    <x v="2"/>
  </r>
  <r>
    <x v="641"/>
    <n v="40.44"/>
    <n v="5.13"/>
    <x v="1"/>
    <s v="yes"/>
    <s v="No"/>
    <x v="1"/>
    <x v="3"/>
    <x v="1"/>
    <x v="2"/>
  </r>
  <r>
    <x v="642"/>
    <n v="38.094999999999999"/>
    <n v="10.199999999999999"/>
    <x v="0"/>
    <s v="No"/>
    <s v="No"/>
    <x v="0"/>
    <x v="0"/>
    <x v="1"/>
    <x v="2"/>
  </r>
  <r>
    <x v="643"/>
    <n v="44.95"/>
    <n v="10.4"/>
    <x v="0"/>
    <s v="No"/>
    <s v="No"/>
    <x v="0"/>
    <x v="0"/>
    <x v="1"/>
    <x v="2"/>
  </r>
  <r>
    <x v="644"/>
    <n v="35.54"/>
    <n v="10.67"/>
    <x v="0"/>
    <s v="No"/>
    <s v="No"/>
    <x v="0"/>
    <x v="0"/>
    <x v="1"/>
    <x v="2"/>
  </r>
  <r>
    <x v="645"/>
    <n v="39.799999999999997"/>
    <n v="4.6500000000000004"/>
    <x v="1"/>
    <s v="yes"/>
    <s v="No"/>
    <x v="0"/>
    <x v="1"/>
    <x v="1"/>
    <x v="2"/>
  </r>
  <r>
    <x v="646"/>
    <n v="33.659999999999997"/>
    <n v="5.65"/>
    <x v="1"/>
    <s v="yes"/>
    <s v="No"/>
    <x v="0"/>
    <x v="1"/>
    <x v="1"/>
    <x v="2"/>
  </r>
  <r>
    <x v="647"/>
    <n v="35.5"/>
    <n v="11.97"/>
    <x v="0"/>
    <s v="No"/>
    <s v="No"/>
    <x v="0"/>
    <x v="0"/>
    <x v="1"/>
    <x v="2"/>
  </r>
  <r>
    <x v="648"/>
    <n v="41.63"/>
    <n v="6.71"/>
    <x v="1"/>
    <s v="No"/>
    <s v="No"/>
    <x v="0"/>
    <x v="0"/>
    <x v="1"/>
    <x v="2"/>
  </r>
  <r>
    <x v="649"/>
    <n v="46.49"/>
    <n v="11.92"/>
    <x v="0"/>
    <s v="No"/>
    <s v="No"/>
    <x v="0"/>
    <x v="0"/>
    <x v="1"/>
    <x v="2"/>
  </r>
  <r>
    <x v="650"/>
    <n v="43.29"/>
    <n v="5.35"/>
    <x v="1"/>
    <s v="No"/>
    <s v="No"/>
    <x v="0"/>
    <x v="1"/>
    <x v="1"/>
    <x v="2"/>
  </r>
  <r>
    <x v="651"/>
    <n v="43.08"/>
    <n v="8.9600000000000009"/>
    <x v="0"/>
    <s v="yes"/>
    <s v="No"/>
    <x v="0"/>
    <x v="3"/>
    <x v="1"/>
    <x v="2"/>
  </r>
  <r>
    <x v="652"/>
    <n v="39.07"/>
    <n v="11.93"/>
    <x v="0"/>
    <s v="No"/>
    <s v="No"/>
    <x v="0"/>
    <x v="0"/>
    <x v="1"/>
    <x v="2"/>
  </r>
  <r>
    <x v="653"/>
    <n v="41.3"/>
    <n v="9.59"/>
    <x v="0"/>
    <s v="No"/>
    <s v="No"/>
    <x v="0"/>
    <x v="0"/>
    <x v="1"/>
    <x v="2"/>
  </r>
  <r>
    <x v="654"/>
    <n v="42.95"/>
    <n v="11.88"/>
    <x v="0"/>
    <s v="yes"/>
    <s v="No"/>
    <x v="0"/>
    <x v="1"/>
    <x v="1"/>
    <x v="2"/>
  </r>
  <r>
    <x v="655"/>
    <n v="46.96"/>
    <n v="4.6399999999999997"/>
    <x v="1"/>
    <s v="No"/>
    <s v="No"/>
    <x v="1"/>
    <x v="3"/>
    <x v="1"/>
    <x v="2"/>
  </r>
  <r>
    <x v="656"/>
    <n v="30.495000000000001"/>
    <n v="9.5299999999999994"/>
    <x v="0"/>
    <s v="No"/>
    <s v="No"/>
    <x v="0"/>
    <x v="0"/>
    <x v="1"/>
    <x v="2"/>
  </r>
  <r>
    <x v="657"/>
    <n v="17.954999999999998"/>
    <n v="5.29"/>
    <x v="1"/>
    <s v="yes"/>
    <s v="No"/>
    <x v="0"/>
    <x v="3"/>
    <x v="0"/>
    <x v="3"/>
  </r>
  <r>
    <x v="658"/>
    <n v="25.6"/>
    <n v="10.95"/>
    <x v="0"/>
    <s v="No"/>
    <s v="No"/>
    <x v="0"/>
    <x v="2"/>
    <x v="1"/>
    <x v="2"/>
  </r>
  <r>
    <x v="659"/>
    <n v="34.21"/>
    <n v="9.17"/>
    <x v="0"/>
    <s v="No"/>
    <s v="No"/>
    <x v="0"/>
    <x v="0"/>
    <x v="1"/>
    <x v="2"/>
  </r>
  <r>
    <x v="660"/>
    <n v="39.74"/>
    <n v="7.39"/>
    <x v="0"/>
    <s v="No"/>
    <s v="No"/>
    <x v="0"/>
    <x v="0"/>
    <x v="1"/>
    <x v="2"/>
  </r>
  <r>
    <x v="661"/>
    <n v="49.53"/>
    <n v="9.1300000000000008"/>
    <x v="0"/>
    <s v="yes"/>
    <s v="No"/>
    <x v="0"/>
    <x v="0"/>
    <x v="1"/>
    <x v="2"/>
  </r>
  <r>
    <x v="662"/>
    <n v="39.33"/>
    <n v="10.4"/>
    <x v="0"/>
    <s v="No"/>
    <s v="No"/>
    <x v="0"/>
    <x v="2"/>
    <x v="1"/>
    <x v="2"/>
  </r>
  <r>
    <x v="663"/>
    <n v="39.979999999999997"/>
    <n v="9.4600000000000009"/>
    <x v="0"/>
    <s v="yes"/>
    <s v="No"/>
    <x v="0"/>
    <x v="1"/>
    <x v="1"/>
    <x v="2"/>
  </r>
  <r>
    <x v="664"/>
    <n v="46.51"/>
    <n v="8.69"/>
    <x v="0"/>
    <s v="yes"/>
    <s v="No"/>
    <x v="0"/>
    <x v="0"/>
    <x v="1"/>
    <x v="2"/>
  </r>
  <r>
    <x v="665"/>
    <n v="43.58"/>
    <n v="4.2300000000000004"/>
    <x v="1"/>
    <s v="No"/>
    <s v="No"/>
    <x v="1"/>
    <x v="3"/>
    <x v="1"/>
    <x v="2"/>
  </r>
  <r>
    <x v="666"/>
    <n v="42.28"/>
    <n v="9.16"/>
    <x v="0"/>
    <s v="yes"/>
    <s v="No"/>
    <x v="0"/>
    <x v="3"/>
    <x v="1"/>
    <x v="2"/>
  </r>
  <r>
    <x v="667"/>
    <n v="35.520000000000003"/>
    <n v="8.26"/>
    <x v="0"/>
    <s v="No"/>
    <s v="No"/>
    <x v="0"/>
    <x v="0"/>
    <x v="1"/>
    <x v="2"/>
  </r>
  <r>
    <x v="668"/>
    <n v="33.6"/>
    <n v="11.25"/>
    <x v="0"/>
    <s v="No"/>
    <s v="No"/>
    <x v="0"/>
    <x v="0"/>
    <x v="1"/>
    <x v="2"/>
  </r>
  <r>
    <x v="669"/>
    <n v="22.42"/>
    <n v="6.74"/>
    <x v="0"/>
    <s v="No"/>
    <s v="No"/>
    <x v="0"/>
    <x v="0"/>
    <x v="0"/>
    <x v="2"/>
  </r>
  <r>
    <x v="670"/>
    <n v="46.86"/>
    <n v="4.87"/>
    <x v="1"/>
    <s v="No"/>
    <s v="No"/>
    <x v="0"/>
    <x v="0"/>
    <x v="1"/>
    <x v="2"/>
  </r>
  <r>
    <x v="671"/>
    <n v="32.965000000000003"/>
    <n v="6.68"/>
    <x v="0"/>
    <s v="No"/>
    <s v="No"/>
    <x v="0"/>
    <x v="2"/>
    <x v="1"/>
    <x v="2"/>
  </r>
  <r>
    <x v="672"/>
    <n v="39.340000000000003"/>
    <n v="5.0199999999999996"/>
    <x v="1"/>
    <s v="yes"/>
    <s v="No"/>
    <x v="1"/>
    <x v="3"/>
    <x v="1"/>
    <x v="2"/>
  </r>
  <r>
    <x v="673"/>
    <n v="47"/>
    <n v="10.64"/>
    <x v="0"/>
    <s v="yes"/>
    <s v="No"/>
    <x v="0"/>
    <x v="0"/>
    <x v="1"/>
    <x v="2"/>
  </r>
  <r>
    <x v="674"/>
    <n v="36.71"/>
    <n v="8.74"/>
    <x v="0"/>
    <s v="yes"/>
    <s v="No"/>
    <x v="0"/>
    <x v="0"/>
    <x v="1"/>
    <x v="2"/>
  </r>
  <r>
    <x v="675"/>
    <n v="53.48"/>
    <n v="5.64"/>
    <x v="1"/>
    <s v="No"/>
    <s v="No"/>
    <x v="0"/>
    <x v="0"/>
    <x v="1"/>
    <x v="2"/>
  </r>
  <r>
    <x v="676"/>
    <n v="35.5"/>
    <n v="10.37"/>
    <x v="0"/>
    <s v="No"/>
    <s v="No"/>
    <x v="0"/>
    <x v="0"/>
    <x v="1"/>
    <x v="2"/>
  </r>
  <r>
    <x v="677"/>
    <n v="36.979999999999997"/>
    <n v="9.56"/>
    <x v="0"/>
    <s v="yes"/>
    <s v="No"/>
    <x v="0"/>
    <x v="0"/>
    <x v="1"/>
    <x v="2"/>
  </r>
  <r>
    <x v="678"/>
    <n v="32.395000000000003"/>
    <n v="8.23"/>
    <x v="0"/>
    <s v="yes"/>
    <s v="No"/>
    <x v="1"/>
    <x v="3"/>
    <x v="1"/>
    <x v="2"/>
  </r>
  <r>
    <x v="679"/>
    <n v="32.729999999999997"/>
    <n v="7.03"/>
    <x v="0"/>
    <s v="No"/>
    <s v="No"/>
    <x v="0"/>
    <x v="0"/>
    <x v="1"/>
    <x v="2"/>
  </r>
  <r>
    <x v="680"/>
    <n v="20.52"/>
    <n v="5.45"/>
    <x v="1"/>
    <s v="No"/>
    <s v="No"/>
    <x v="0"/>
    <x v="3"/>
    <x v="0"/>
    <x v="2"/>
  </r>
  <r>
    <x v="681"/>
    <n v="51.72"/>
    <n v="5.76"/>
    <x v="1"/>
    <s v="No"/>
    <s v="No"/>
    <x v="0"/>
    <x v="0"/>
    <x v="1"/>
    <x v="2"/>
  </r>
  <r>
    <x v="682"/>
    <n v="50.2"/>
    <n v="5.4"/>
    <x v="1"/>
    <s v="No"/>
    <s v="No"/>
    <x v="0"/>
    <x v="0"/>
    <x v="1"/>
    <x v="2"/>
  </r>
  <r>
    <x v="683"/>
    <n v="25.52"/>
    <n v="6.35"/>
    <x v="1"/>
    <s v="No"/>
    <s v="No"/>
    <x v="1"/>
    <x v="3"/>
    <x v="1"/>
    <x v="2"/>
  </r>
  <r>
    <x v="684"/>
    <n v="35.200000000000003"/>
    <n v="6.26"/>
    <x v="1"/>
    <s v="yes"/>
    <s v="No"/>
    <x v="0"/>
    <x v="1"/>
    <x v="1"/>
    <x v="2"/>
  </r>
  <r>
    <x v="685"/>
    <n v="41.26"/>
    <n v="5.97"/>
    <x v="1"/>
    <s v="yes"/>
    <s v="No"/>
    <x v="0"/>
    <x v="0"/>
    <x v="1"/>
    <x v="2"/>
  </r>
  <r>
    <x v="686"/>
    <n v="17.195"/>
    <n v="5.29"/>
    <x v="1"/>
    <s v="yes"/>
    <s v="No"/>
    <x v="0"/>
    <x v="0"/>
    <x v="0"/>
    <x v="3"/>
  </r>
  <r>
    <x v="687"/>
    <n v="23.085000000000001"/>
    <n v="4.2699999999999996"/>
    <x v="1"/>
    <s v="yes"/>
    <s v="No"/>
    <x v="0"/>
    <x v="1"/>
    <x v="1"/>
    <x v="2"/>
  </r>
  <r>
    <x v="688"/>
    <n v="21.66"/>
    <n v="5.2"/>
    <x v="1"/>
    <s v="yes"/>
    <s v="No"/>
    <x v="0"/>
    <x v="1"/>
    <x v="1"/>
    <x v="2"/>
  </r>
  <r>
    <x v="689"/>
    <n v="36.47"/>
    <n v="8.23"/>
    <x v="0"/>
    <s v="yes"/>
    <s v="No"/>
    <x v="0"/>
    <x v="0"/>
    <x v="1"/>
    <x v="2"/>
  </r>
  <r>
    <x v="690"/>
    <n v="36.08"/>
    <n v="10.33"/>
    <x v="0"/>
    <s v="yes"/>
    <s v="No"/>
    <x v="0"/>
    <x v="0"/>
    <x v="1"/>
    <x v="2"/>
  </r>
  <r>
    <x v="691"/>
    <n v="23.18"/>
    <n v="6.13"/>
    <x v="1"/>
    <s v="No"/>
    <s v="No"/>
    <x v="0"/>
    <x v="0"/>
    <x v="1"/>
    <x v="2"/>
  </r>
  <r>
    <x v="692"/>
    <n v="39.159999999999997"/>
    <n v="8.08"/>
    <x v="0"/>
    <s v="No"/>
    <s v="No"/>
    <x v="0"/>
    <x v="2"/>
    <x v="1"/>
    <x v="2"/>
  </r>
  <r>
    <x v="693"/>
    <n v="38.19"/>
    <n v="10.49"/>
    <x v="0"/>
    <s v="No"/>
    <s v="No"/>
    <x v="0"/>
    <x v="2"/>
    <x v="1"/>
    <x v="2"/>
  </r>
  <r>
    <x v="694"/>
    <n v="26.41"/>
    <n v="8.11"/>
    <x v="0"/>
    <s v="No"/>
    <s v="No"/>
    <x v="0"/>
    <x v="2"/>
    <x v="1"/>
    <x v="2"/>
  </r>
  <r>
    <x v="695"/>
    <n v="28.785"/>
    <n v="6.6"/>
    <x v="1"/>
    <s v="No"/>
    <s v="No"/>
    <x v="0"/>
    <x v="0"/>
    <x v="1"/>
    <x v="2"/>
  </r>
  <r>
    <x v="696"/>
    <n v="26.695"/>
    <n v="10.14"/>
    <x v="0"/>
    <s v="yes"/>
    <s v="No"/>
    <x v="1"/>
    <x v="3"/>
    <x v="1"/>
    <x v="2"/>
  </r>
  <r>
    <x v="697"/>
    <n v="32.799999999999997"/>
    <n v="6.06"/>
    <x v="1"/>
    <s v="yes"/>
    <s v="No"/>
    <x v="0"/>
    <x v="3"/>
    <x v="1"/>
    <x v="2"/>
  </r>
  <r>
    <x v="698"/>
    <n v="35.869999999999997"/>
    <n v="9.91"/>
    <x v="0"/>
    <s v="yes"/>
    <s v="No"/>
    <x v="0"/>
    <x v="0"/>
    <x v="1"/>
    <x v="2"/>
  </r>
  <r>
    <x v="699"/>
    <n v="21.66"/>
    <n v="4.1399999999999997"/>
    <x v="1"/>
    <s v="yes"/>
    <s v="No"/>
    <x v="0"/>
    <x v="1"/>
    <x v="1"/>
    <x v="2"/>
  </r>
  <r>
    <x v="700"/>
    <n v="37.72"/>
    <n v="4.38"/>
    <x v="1"/>
    <s v="yes"/>
    <s v="No"/>
    <x v="1"/>
    <x v="3"/>
    <x v="1"/>
    <x v="2"/>
  </r>
  <r>
    <x v="701"/>
    <n v="39.700000000000003"/>
    <n v="9.83"/>
    <x v="0"/>
    <s v="No"/>
    <s v="No"/>
    <x v="0"/>
    <x v="2"/>
    <x v="1"/>
    <x v="2"/>
  </r>
  <r>
    <x v="702"/>
    <n v="35.97"/>
    <n v="11.08"/>
    <x v="0"/>
    <s v="No"/>
    <s v="No"/>
    <x v="0"/>
    <x v="2"/>
    <x v="1"/>
    <x v="2"/>
  </r>
  <r>
    <x v="703"/>
    <n v="37.85"/>
    <n v="11.01"/>
    <x v="0"/>
    <s v="No"/>
    <s v="No"/>
    <x v="0"/>
    <x v="0"/>
    <x v="1"/>
    <x v="2"/>
  </r>
  <r>
    <x v="704"/>
    <n v="21.66"/>
    <n v="4.37"/>
    <x v="1"/>
    <s v="No"/>
    <s v="yes"/>
    <x v="0"/>
    <x v="3"/>
    <x v="0"/>
    <x v="2"/>
  </r>
  <r>
    <x v="705"/>
    <n v="39.369999999999997"/>
    <n v="5.91"/>
    <x v="1"/>
    <s v="No"/>
    <s v="No"/>
    <x v="0"/>
    <x v="1"/>
    <x v="1"/>
    <x v="2"/>
  </r>
  <r>
    <x v="706"/>
    <n v="40.880000000000003"/>
    <n v="7.65"/>
    <x v="0"/>
    <s v="No"/>
    <s v="No"/>
    <x v="0"/>
    <x v="0"/>
    <x v="1"/>
    <x v="2"/>
  </r>
  <r>
    <x v="707"/>
    <n v="26.22"/>
    <n v="5.37"/>
    <x v="1"/>
    <s v="yes"/>
    <s v="No"/>
    <x v="0"/>
    <x v="1"/>
    <x v="1"/>
    <x v="2"/>
  </r>
  <r>
    <x v="708"/>
    <n v="25.08"/>
    <n v="5.75"/>
    <x v="1"/>
    <s v="yes"/>
    <s v="No"/>
    <x v="0"/>
    <x v="1"/>
    <x v="1"/>
    <x v="2"/>
  </r>
  <r>
    <x v="709"/>
    <n v="39.1"/>
    <n v="6.79"/>
    <x v="0"/>
    <s v="yes"/>
    <s v="No"/>
    <x v="0"/>
    <x v="1"/>
    <x v="1"/>
    <x v="2"/>
  </r>
  <r>
    <x v="710"/>
    <n v="37.905000000000001"/>
    <n v="7.03"/>
    <x v="0"/>
    <s v="No"/>
    <s v="No"/>
    <x v="0"/>
    <x v="2"/>
    <x v="1"/>
    <x v="2"/>
  </r>
  <r>
    <x v="711"/>
    <n v="43.35"/>
    <n v="5.41"/>
    <x v="1"/>
    <s v="yes"/>
    <s v="No"/>
    <x v="1"/>
    <x v="3"/>
    <x v="1"/>
    <x v="2"/>
  </r>
  <r>
    <x v="712"/>
    <n v="36.15"/>
    <n v="8.0500000000000007"/>
    <x v="0"/>
    <s v="No"/>
    <s v="No"/>
    <x v="0"/>
    <x v="0"/>
    <x v="1"/>
    <x v="2"/>
  </r>
  <r>
    <x v="713"/>
    <n v="44.98"/>
    <n v="5.94"/>
    <x v="1"/>
    <s v="No"/>
    <s v="No"/>
    <x v="0"/>
    <x v="3"/>
    <x v="1"/>
    <x v="2"/>
  </r>
  <r>
    <x v="714"/>
    <n v="38.28"/>
    <n v="5.51"/>
    <x v="1"/>
    <s v="No"/>
    <s v="yes"/>
    <x v="0"/>
    <x v="3"/>
    <x v="1"/>
    <x v="2"/>
  </r>
  <r>
    <x v="715"/>
    <n v="32.299999999999997"/>
    <n v="6.55"/>
    <x v="0"/>
    <s v="yes"/>
    <s v="No"/>
    <x v="0"/>
    <x v="1"/>
    <x v="1"/>
    <x v="2"/>
  </r>
  <r>
    <x v="716"/>
    <n v="39.51"/>
    <n v="5.79"/>
    <x v="1"/>
    <s v="yes"/>
    <s v="No"/>
    <x v="0"/>
    <x v="0"/>
    <x v="1"/>
    <x v="2"/>
  </r>
  <r>
    <x v="717"/>
    <n v="50.46"/>
    <n v="4.5599999999999996"/>
    <x v="1"/>
    <s v="No"/>
    <s v="No"/>
    <x v="0"/>
    <x v="0"/>
    <x v="1"/>
    <x v="2"/>
  </r>
  <r>
    <x v="718"/>
    <n v="31.73"/>
    <n v="7"/>
    <x v="0"/>
    <s v="No"/>
    <s v="No"/>
    <x v="0"/>
    <x v="0"/>
    <x v="1"/>
    <x v="2"/>
  </r>
  <r>
    <x v="719"/>
    <n v="32.1"/>
    <n v="6.57"/>
    <x v="0"/>
    <s v="yes"/>
    <s v="No"/>
    <x v="1"/>
    <x v="3"/>
    <x v="1"/>
    <x v="2"/>
  </r>
  <r>
    <x v="720"/>
    <n v="27.83"/>
    <n v="11.61"/>
    <x v="0"/>
    <s v="yes"/>
    <s v="No"/>
    <x v="1"/>
    <x v="3"/>
    <x v="1"/>
    <x v="2"/>
  </r>
  <r>
    <x v="721"/>
    <n v="27.72"/>
    <n v="8.16"/>
    <x v="0"/>
    <s v="yes"/>
    <s v="No"/>
    <x v="1"/>
    <x v="3"/>
    <x v="1"/>
    <x v="2"/>
  </r>
  <r>
    <x v="722"/>
    <n v="36.765000000000001"/>
    <n v="4.4800000000000004"/>
    <x v="1"/>
    <s v="yes"/>
    <s v="No"/>
    <x v="0"/>
    <x v="1"/>
    <x v="1"/>
    <x v="2"/>
  </r>
  <r>
    <x v="723"/>
    <n v="48.36"/>
    <n v="4.08"/>
    <x v="1"/>
    <s v="No"/>
    <s v="No"/>
    <x v="0"/>
    <x v="0"/>
    <x v="1"/>
    <x v="2"/>
  </r>
  <r>
    <x v="724"/>
    <n v="31.445"/>
    <n v="4.4000000000000004"/>
    <x v="1"/>
    <s v="yes"/>
    <s v="No"/>
    <x v="0"/>
    <x v="1"/>
    <x v="1"/>
    <x v="2"/>
  </r>
  <r>
    <x v="725"/>
    <n v="27.55"/>
    <n v="9.02"/>
    <x v="0"/>
    <s v="No"/>
    <s v="No"/>
    <x v="0"/>
    <x v="0"/>
    <x v="1"/>
    <x v="2"/>
  </r>
  <r>
    <x v="726"/>
    <n v="33.11"/>
    <n v="8.06"/>
    <x v="0"/>
    <s v="No"/>
    <s v="No"/>
    <x v="0"/>
    <x v="0"/>
    <x v="1"/>
    <x v="2"/>
  </r>
  <r>
    <x v="727"/>
    <n v="36.85"/>
    <n v="6.21"/>
    <x v="1"/>
    <s v="yes"/>
    <s v="No"/>
    <x v="0"/>
    <x v="1"/>
    <x v="1"/>
    <x v="2"/>
  </r>
  <r>
    <x v="728"/>
    <n v="36.299999999999997"/>
    <n v="5.79"/>
    <x v="1"/>
    <s v="yes"/>
    <s v="No"/>
    <x v="0"/>
    <x v="1"/>
    <x v="1"/>
    <x v="2"/>
  </r>
  <r>
    <x v="44"/>
    <n v="45.34"/>
    <n v="5.69"/>
    <x v="1"/>
    <s v="yes"/>
    <s v="No"/>
    <x v="0"/>
    <x v="0"/>
    <x v="1"/>
    <x v="2"/>
  </r>
  <r>
    <x v="729"/>
    <n v="31.8"/>
    <n v="5.36"/>
    <x v="1"/>
    <s v="yes"/>
    <s v="No"/>
    <x v="0"/>
    <x v="1"/>
    <x v="1"/>
    <x v="2"/>
  </r>
  <r>
    <x v="730"/>
    <n v="41.02"/>
    <n v="11.37"/>
    <x v="0"/>
    <s v="No"/>
    <s v="No"/>
    <x v="0"/>
    <x v="0"/>
    <x v="1"/>
    <x v="2"/>
  </r>
  <r>
    <x v="731"/>
    <n v="32.68"/>
    <n v="11.87"/>
    <x v="0"/>
    <s v="No"/>
    <s v="No"/>
    <x v="0"/>
    <x v="0"/>
    <x v="1"/>
    <x v="2"/>
  </r>
  <r>
    <x v="732"/>
    <n v="21.7"/>
    <n v="4.9000000000000004"/>
    <x v="1"/>
    <s v="No"/>
    <s v="No"/>
    <x v="1"/>
    <x v="3"/>
    <x v="0"/>
    <x v="2"/>
  </r>
  <r>
    <x v="733"/>
    <n v="40.479999999999997"/>
    <n v="6.7"/>
    <x v="0"/>
    <s v="No"/>
    <s v="No"/>
    <x v="0"/>
    <x v="2"/>
    <x v="1"/>
    <x v="2"/>
  </r>
  <r>
    <x v="734"/>
    <n v="34.5"/>
    <n v="10.3"/>
    <x v="0"/>
    <s v="No"/>
    <s v="No"/>
    <x v="0"/>
    <x v="2"/>
    <x v="1"/>
    <x v="2"/>
  </r>
  <r>
    <x v="735"/>
    <n v="45.9"/>
    <n v="11.14"/>
    <x v="0"/>
    <s v="yes"/>
    <s v="No"/>
    <x v="0"/>
    <x v="3"/>
    <x v="1"/>
    <x v="2"/>
  </r>
  <r>
    <x v="736"/>
    <n v="33.479999999999997"/>
    <n v="4.74"/>
    <x v="1"/>
    <s v="yes"/>
    <s v="No"/>
    <x v="0"/>
    <x v="1"/>
    <x v="1"/>
    <x v="2"/>
  </r>
  <r>
    <x v="737"/>
    <n v="28.31"/>
    <n v="5.96"/>
    <x v="1"/>
    <s v="yes"/>
    <s v="No"/>
    <x v="0"/>
    <x v="1"/>
    <x v="1"/>
    <x v="2"/>
  </r>
  <r>
    <x v="738"/>
    <n v="21.565000000000001"/>
    <n v="4.95"/>
    <x v="1"/>
    <s v="No"/>
    <s v="yes"/>
    <x v="0"/>
    <x v="3"/>
    <x v="0"/>
    <x v="2"/>
  </r>
  <r>
    <x v="739"/>
    <n v="35.590000000000003"/>
    <n v="5.21"/>
    <x v="1"/>
    <s v="yes"/>
    <s v="No"/>
    <x v="1"/>
    <x v="3"/>
    <x v="1"/>
    <x v="2"/>
  </r>
  <r>
    <x v="740"/>
    <n v="43.44"/>
    <n v="4.8600000000000003"/>
    <x v="1"/>
    <s v="yes"/>
    <s v="No"/>
    <x v="0"/>
    <x v="0"/>
    <x v="1"/>
    <x v="2"/>
  </r>
  <r>
    <x v="741"/>
    <n v="21.754999999999999"/>
    <n v="7.79"/>
    <x v="0"/>
    <s v="yes"/>
    <s v="No"/>
    <x v="0"/>
    <x v="0"/>
    <x v="1"/>
    <x v="2"/>
  </r>
  <r>
    <x v="742"/>
    <n v="44.55"/>
    <n v="7.12"/>
    <x v="0"/>
    <s v="yes"/>
    <s v="No"/>
    <x v="0"/>
    <x v="3"/>
    <x v="1"/>
    <x v="2"/>
  </r>
  <r>
    <x v="743"/>
    <n v="43.32"/>
    <n v="4.67"/>
    <x v="1"/>
    <s v="yes"/>
    <s v="No"/>
    <x v="0"/>
    <x v="0"/>
    <x v="1"/>
    <x v="2"/>
  </r>
  <r>
    <x v="744"/>
    <n v="31.23"/>
    <n v="9.1199999999999992"/>
    <x v="0"/>
    <s v="yes"/>
    <s v="No"/>
    <x v="1"/>
    <x v="3"/>
    <x v="1"/>
    <x v="2"/>
  </r>
  <r>
    <x v="745"/>
    <n v="42.81"/>
    <n v="4.1500000000000004"/>
    <x v="1"/>
    <s v="No"/>
    <s v="No"/>
    <x v="0"/>
    <x v="3"/>
    <x v="1"/>
    <x v="2"/>
  </r>
  <r>
    <x v="746"/>
    <n v="35.909999999999997"/>
    <n v="6.72"/>
    <x v="0"/>
    <s v="yes"/>
    <s v="No"/>
    <x v="0"/>
    <x v="1"/>
    <x v="1"/>
    <x v="2"/>
  </r>
  <r>
    <x v="747"/>
    <n v="36.65"/>
    <n v="5.01"/>
    <x v="1"/>
    <s v="yes"/>
    <s v="No"/>
    <x v="1"/>
    <x v="3"/>
    <x v="1"/>
    <x v="2"/>
  </r>
  <r>
    <x v="748"/>
    <n v="22.04"/>
    <n v="10.9"/>
    <x v="0"/>
    <s v="yes"/>
    <s v="No"/>
    <x v="0"/>
    <x v="1"/>
    <x v="1"/>
    <x v="2"/>
  </r>
  <r>
    <x v="749"/>
    <n v="31.824999999999999"/>
    <n v="5.52"/>
    <x v="1"/>
    <s v="yes"/>
    <s v="No"/>
    <x v="0"/>
    <x v="3"/>
    <x v="1"/>
    <x v="2"/>
  </r>
  <r>
    <x v="750"/>
    <n v="53.58"/>
    <n v="4.55"/>
    <x v="1"/>
    <s v="No"/>
    <s v="No"/>
    <x v="0"/>
    <x v="3"/>
    <x v="1"/>
    <x v="2"/>
  </r>
  <r>
    <x v="751"/>
    <n v="34.299999999999997"/>
    <n v="11.76"/>
    <x v="0"/>
    <s v="No"/>
    <s v="No"/>
    <x v="0"/>
    <x v="0"/>
    <x v="1"/>
    <x v="2"/>
  </r>
  <r>
    <x v="752"/>
    <n v="32.11"/>
    <n v="7.06"/>
    <x v="0"/>
    <s v="No"/>
    <s v="No"/>
    <x v="0"/>
    <x v="0"/>
    <x v="1"/>
    <x v="2"/>
  </r>
  <r>
    <x v="753"/>
    <n v="31.78"/>
    <n v="11.35"/>
    <x v="0"/>
    <s v="yes"/>
    <s v="No"/>
    <x v="1"/>
    <x v="3"/>
    <x v="1"/>
    <x v="2"/>
  </r>
  <r>
    <x v="754"/>
    <n v="46.89"/>
    <n v="5.52"/>
    <x v="1"/>
    <s v="No"/>
    <s v="No"/>
    <x v="0"/>
    <x v="0"/>
    <x v="1"/>
    <x v="2"/>
  </r>
  <r>
    <x v="755"/>
    <n v="39.35"/>
    <n v="7.86"/>
    <x v="0"/>
    <s v="yes"/>
    <s v="No"/>
    <x v="0"/>
    <x v="3"/>
    <x v="1"/>
    <x v="2"/>
  </r>
  <r>
    <x v="756"/>
    <n v="39.200000000000003"/>
    <n v="11.38"/>
    <x v="0"/>
    <s v="No"/>
    <s v="No"/>
    <x v="0"/>
    <x v="0"/>
    <x v="1"/>
    <x v="2"/>
  </r>
  <r>
    <x v="757"/>
    <n v="39.159999999999997"/>
    <n v="10.48"/>
    <x v="0"/>
    <s v="No"/>
    <s v="No"/>
    <x v="0"/>
    <x v="0"/>
    <x v="1"/>
    <x v="2"/>
  </r>
  <r>
    <x v="758"/>
    <n v="44.1"/>
    <n v="5.04"/>
    <x v="1"/>
    <s v="yes"/>
    <s v="No"/>
    <x v="0"/>
    <x v="0"/>
    <x v="1"/>
    <x v="2"/>
  </r>
  <r>
    <x v="759"/>
    <n v="33.200000000000003"/>
    <n v="9.06"/>
    <x v="0"/>
    <s v="No"/>
    <s v="No"/>
    <x v="0"/>
    <x v="0"/>
    <x v="1"/>
    <x v="2"/>
  </r>
  <r>
    <x v="760"/>
    <n v="29.92"/>
    <n v="11.07"/>
    <x v="0"/>
    <s v="No"/>
    <s v="No"/>
    <x v="0"/>
    <x v="0"/>
    <x v="1"/>
    <x v="2"/>
  </r>
  <r>
    <x v="761"/>
    <n v="25"/>
    <n v="10.45"/>
    <x v="0"/>
    <s v="No"/>
    <s v="No"/>
    <x v="0"/>
    <x v="0"/>
    <x v="1"/>
    <x v="2"/>
  </r>
  <r>
    <x v="762"/>
    <n v="38.869999999999997"/>
    <n v="8.6300000000000008"/>
    <x v="0"/>
    <s v="yes"/>
    <s v="No"/>
    <x v="0"/>
    <x v="3"/>
    <x v="1"/>
    <x v="2"/>
  </r>
  <r>
    <x v="763"/>
    <n v="32.299999999999997"/>
    <n v="5.28"/>
    <x v="1"/>
    <s v="yes"/>
    <s v="No"/>
    <x v="0"/>
    <x v="1"/>
    <x v="1"/>
    <x v="2"/>
  </r>
  <r>
    <x v="764"/>
    <n v="31.16"/>
    <n v="7.49"/>
    <x v="0"/>
    <s v="yes"/>
    <s v="No"/>
    <x v="0"/>
    <x v="1"/>
    <x v="1"/>
    <x v="2"/>
  </r>
  <r>
    <x v="765"/>
    <n v="54.59"/>
    <n v="4.2699999999999996"/>
    <x v="1"/>
    <s v="No"/>
    <s v="No"/>
    <x v="0"/>
    <x v="0"/>
    <x v="1"/>
    <x v="2"/>
  </r>
  <r>
    <x v="766"/>
    <n v="21.09"/>
    <n v="9.2200000000000006"/>
    <x v="0"/>
    <s v="yes"/>
    <s v="No"/>
    <x v="0"/>
    <x v="1"/>
    <x v="1"/>
    <x v="2"/>
  </r>
  <r>
    <x v="767"/>
    <n v="52.41"/>
    <n v="5.99"/>
    <x v="1"/>
    <s v="No"/>
    <s v="No"/>
    <x v="0"/>
    <x v="3"/>
    <x v="1"/>
    <x v="2"/>
  </r>
  <r>
    <x v="768"/>
    <n v="41.47"/>
    <n v="5.86"/>
    <x v="1"/>
    <s v="yes"/>
    <s v="No"/>
    <x v="0"/>
    <x v="1"/>
    <x v="1"/>
    <x v="2"/>
  </r>
  <r>
    <x v="769"/>
    <n v="33.1"/>
    <n v="5.19"/>
    <x v="1"/>
    <s v="yes"/>
    <s v="No"/>
    <x v="0"/>
    <x v="1"/>
    <x v="1"/>
    <x v="2"/>
  </r>
  <r>
    <x v="770"/>
    <n v="30.8"/>
    <n v="4.37"/>
    <x v="1"/>
    <s v="yes"/>
    <s v="No"/>
    <x v="0"/>
    <x v="1"/>
    <x v="1"/>
    <x v="2"/>
  </r>
  <r>
    <x v="771"/>
    <n v="42.06"/>
    <n v="5.32"/>
    <x v="1"/>
    <s v="No"/>
    <s v="No"/>
    <x v="0"/>
    <x v="3"/>
    <x v="1"/>
    <x v="2"/>
  </r>
  <r>
    <x v="772"/>
    <n v="39.270000000000003"/>
    <n v="5.64"/>
    <x v="1"/>
    <s v="No"/>
    <s v="No"/>
    <x v="1"/>
    <x v="3"/>
    <x v="1"/>
    <x v="2"/>
  </r>
  <r>
    <x v="773"/>
    <n v="30.71"/>
    <n v="5.59"/>
    <x v="1"/>
    <s v="yes"/>
    <s v="No"/>
    <x v="0"/>
    <x v="3"/>
    <x v="1"/>
    <x v="2"/>
  </r>
  <r>
    <x v="774"/>
    <n v="47.19"/>
    <n v="5.29"/>
    <x v="1"/>
    <s v="No"/>
    <s v="No"/>
    <x v="0"/>
    <x v="0"/>
    <x v="1"/>
    <x v="2"/>
  </r>
  <r>
    <x v="775"/>
    <n v="30.02"/>
    <n v="6.65"/>
    <x v="1"/>
    <s v="No"/>
    <s v="No"/>
    <x v="0"/>
    <x v="0"/>
    <x v="1"/>
    <x v="2"/>
  </r>
  <r>
    <x v="776"/>
    <n v="37.909999999999997"/>
    <n v="5.68"/>
    <x v="1"/>
    <s v="yes"/>
    <s v="No"/>
    <x v="0"/>
    <x v="0"/>
    <x v="1"/>
    <x v="2"/>
  </r>
  <r>
    <x v="777"/>
    <n v="54.61"/>
    <n v="4.49"/>
    <x v="1"/>
    <s v="No"/>
    <s v="No"/>
    <x v="0"/>
    <x v="0"/>
    <x v="1"/>
    <x v="2"/>
  </r>
  <r>
    <x v="778"/>
    <n v="36.005000000000003"/>
    <n v="6.9"/>
    <x v="1"/>
    <s v="No"/>
    <s v="No"/>
    <x v="0"/>
    <x v="0"/>
    <x v="1"/>
    <x v="2"/>
  </r>
  <r>
    <x v="779"/>
    <n v="28.7"/>
    <n v="11.52"/>
    <x v="0"/>
    <s v="No"/>
    <s v="No"/>
    <x v="0"/>
    <x v="0"/>
    <x v="1"/>
    <x v="2"/>
  </r>
  <r>
    <x v="780"/>
    <n v="34.295000000000002"/>
    <n v="11.24"/>
    <x v="0"/>
    <s v="No"/>
    <s v="No"/>
    <x v="0"/>
    <x v="0"/>
    <x v="1"/>
    <x v="2"/>
  </r>
  <r>
    <x v="781"/>
    <n v="27.55"/>
    <n v="10.98"/>
    <x v="0"/>
    <s v="No"/>
    <s v="No"/>
    <x v="0"/>
    <x v="0"/>
    <x v="1"/>
    <x v="2"/>
  </r>
  <r>
    <x v="782"/>
    <n v="40.700000000000003"/>
    <n v="5.42"/>
    <x v="1"/>
    <s v="No"/>
    <s v="No"/>
    <x v="0"/>
    <x v="0"/>
    <x v="1"/>
    <x v="2"/>
  </r>
  <r>
    <x v="783"/>
    <n v="18.335000000000001"/>
    <n v="10.97"/>
    <x v="0"/>
    <s v="No"/>
    <s v="No"/>
    <x v="0"/>
    <x v="0"/>
    <x v="1"/>
    <x v="3"/>
  </r>
  <r>
    <x v="784"/>
    <n v="33.914999999999999"/>
    <n v="9.56"/>
    <x v="0"/>
    <s v="yes"/>
    <s v="No"/>
    <x v="0"/>
    <x v="1"/>
    <x v="1"/>
    <x v="2"/>
  </r>
  <r>
    <x v="785"/>
    <n v="33.534999999999997"/>
    <n v="9.4"/>
    <x v="0"/>
    <s v="yes"/>
    <s v="No"/>
    <x v="0"/>
    <x v="1"/>
    <x v="1"/>
    <x v="2"/>
  </r>
  <r>
    <x v="786"/>
    <n v="23.655000000000001"/>
    <n v="8.48"/>
    <x v="0"/>
    <s v="yes"/>
    <s v="No"/>
    <x v="0"/>
    <x v="1"/>
    <x v="1"/>
    <x v="2"/>
  </r>
  <r>
    <x v="787"/>
    <n v="28"/>
    <n v="5.57"/>
    <x v="1"/>
    <s v="No"/>
    <s v="No"/>
    <x v="0"/>
    <x v="0"/>
    <x v="1"/>
    <x v="2"/>
  </r>
  <r>
    <x v="788"/>
    <n v="30.23"/>
    <n v="6.94"/>
    <x v="0"/>
    <s v="yes"/>
    <s v="No"/>
    <x v="1"/>
    <x v="3"/>
    <x v="1"/>
    <x v="2"/>
  </r>
  <r>
    <x v="789"/>
    <n v="51.14"/>
    <n v="4.05"/>
    <x v="1"/>
    <s v="No"/>
    <s v="No"/>
    <x v="0"/>
    <x v="3"/>
    <x v="1"/>
    <x v="2"/>
  </r>
  <r>
    <x v="790"/>
    <n v="24.32"/>
    <n v="10.220000000000001"/>
    <x v="0"/>
    <s v="No"/>
    <s v="No"/>
    <x v="0"/>
    <x v="0"/>
    <x v="1"/>
    <x v="2"/>
  </r>
  <r>
    <x v="791"/>
    <n v="38.06"/>
    <n v="9.24"/>
    <x v="0"/>
    <s v="No"/>
    <s v="No"/>
    <x v="0"/>
    <x v="0"/>
    <x v="1"/>
    <x v="2"/>
  </r>
  <r>
    <x v="792"/>
    <n v="37.700000000000003"/>
    <n v="8.6"/>
    <x v="0"/>
    <s v="No"/>
    <s v="No"/>
    <x v="0"/>
    <x v="0"/>
    <x v="1"/>
    <x v="2"/>
  </r>
  <r>
    <x v="793"/>
    <n v="44"/>
    <n v="9.32"/>
    <x v="0"/>
    <s v="yes"/>
    <s v="No"/>
    <x v="0"/>
    <x v="1"/>
    <x v="1"/>
    <x v="2"/>
  </r>
  <r>
    <x v="794"/>
    <n v="41.45"/>
    <n v="6.12"/>
    <x v="1"/>
    <s v="yes"/>
    <s v="No"/>
    <x v="0"/>
    <x v="0"/>
    <x v="1"/>
    <x v="2"/>
  </r>
  <r>
    <x v="795"/>
    <n v="25.364999999999998"/>
    <n v="9.19"/>
    <x v="0"/>
    <s v="yes"/>
    <s v="No"/>
    <x v="0"/>
    <x v="0"/>
    <x v="1"/>
    <x v="2"/>
  </r>
  <r>
    <x v="796"/>
    <n v="34.56"/>
    <n v="5.84"/>
    <x v="1"/>
    <s v="yes"/>
    <s v="No"/>
    <x v="1"/>
    <x v="3"/>
    <x v="1"/>
    <x v="2"/>
  </r>
  <r>
    <x v="797"/>
    <n v="28.2"/>
    <n v="7.19"/>
    <x v="0"/>
    <s v="yes"/>
    <s v="No"/>
    <x v="0"/>
    <x v="1"/>
    <x v="1"/>
    <x v="2"/>
  </r>
  <r>
    <x v="798"/>
    <n v="30.43"/>
    <n v="9.39"/>
    <x v="0"/>
    <s v="No"/>
    <s v="No"/>
    <x v="0"/>
    <x v="0"/>
    <x v="1"/>
    <x v="2"/>
  </r>
  <r>
    <x v="799"/>
    <n v="32.395000000000003"/>
    <n v="4.2699999999999996"/>
    <x v="1"/>
    <s v="yes"/>
    <s v="No"/>
    <x v="0"/>
    <x v="3"/>
    <x v="1"/>
    <x v="2"/>
  </r>
  <r>
    <x v="800"/>
    <n v="24.035"/>
    <n v="11.71"/>
    <x v="0"/>
    <s v="No"/>
    <s v="No"/>
    <x v="0"/>
    <x v="0"/>
    <x v="1"/>
    <x v="2"/>
  </r>
  <r>
    <x v="801"/>
    <n v="37.119999999999997"/>
    <n v="5.29"/>
    <x v="1"/>
    <s v="No"/>
    <s v="No"/>
    <x v="0"/>
    <x v="1"/>
    <x v="1"/>
    <x v="2"/>
  </r>
  <r>
    <x v="802"/>
    <n v="34.840000000000003"/>
    <n v="6"/>
    <x v="1"/>
    <s v="yes"/>
    <s v="No"/>
    <x v="1"/>
    <x v="3"/>
    <x v="1"/>
    <x v="2"/>
  </r>
  <r>
    <x v="803"/>
    <n v="29.53"/>
    <n v="10.64"/>
    <x v="0"/>
    <s v="No"/>
    <s v="No"/>
    <x v="0"/>
    <x v="0"/>
    <x v="1"/>
    <x v="2"/>
  </r>
  <r>
    <x v="804"/>
    <n v="42.51"/>
    <n v="8.2100000000000009"/>
    <x v="0"/>
    <s v="yes"/>
    <s v="No"/>
    <x v="0"/>
    <x v="0"/>
    <x v="1"/>
    <x v="2"/>
  </r>
  <r>
    <x v="805"/>
    <n v="38.14"/>
    <n v="5.58"/>
    <x v="1"/>
    <s v="No"/>
    <s v="No"/>
    <x v="1"/>
    <x v="3"/>
    <x v="1"/>
    <x v="2"/>
  </r>
  <r>
    <x v="806"/>
    <n v="39.93"/>
    <n v="8.75"/>
    <x v="0"/>
    <s v="No"/>
    <s v="No"/>
    <x v="0"/>
    <x v="0"/>
    <x v="1"/>
    <x v="2"/>
  </r>
  <r>
    <x v="807"/>
    <n v="38.83"/>
    <n v="11.86"/>
    <x v="0"/>
    <s v="No"/>
    <s v="No"/>
    <x v="0"/>
    <x v="0"/>
    <x v="1"/>
    <x v="2"/>
  </r>
  <r>
    <x v="808"/>
    <n v="37.4"/>
    <n v="11.46"/>
    <x v="0"/>
    <s v="No"/>
    <s v="No"/>
    <x v="0"/>
    <x v="0"/>
    <x v="1"/>
    <x v="2"/>
  </r>
  <r>
    <x v="809"/>
    <n v="21.4"/>
    <n v="9.0299999999999994"/>
    <x v="0"/>
    <s v="No"/>
    <s v="No"/>
    <x v="0"/>
    <x v="0"/>
    <x v="1"/>
    <x v="2"/>
  </r>
  <r>
    <x v="810"/>
    <n v="38.380000000000003"/>
    <n v="8.26"/>
    <x v="0"/>
    <s v="yes"/>
    <s v="No"/>
    <x v="0"/>
    <x v="1"/>
    <x v="1"/>
    <x v="2"/>
  </r>
  <r>
    <x v="811"/>
    <n v="33.659999999999997"/>
    <n v="5.42"/>
    <x v="1"/>
    <s v="yes"/>
    <s v="No"/>
    <x v="0"/>
    <x v="1"/>
    <x v="1"/>
    <x v="2"/>
  </r>
  <r>
    <x v="812"/>
    <n v="31.79"/>
    <n v="11.33"/>
    <x v="0"/>
    <s v="yes"/>
    <s v="No"/>
    <x v="1"/>
    <x v="3"/>
    <x v="1"/>
    <x v="2"/>
  </r>
  <r>
    <x v="813"/>
    <n v="29.7"/>
    <n v="7.69"/>
    <x v="0"/>
    <s v="yes"/>
    <s v="No"/>
    <x v="1"/>
    <x v="3"/>
    <x v="1"/>
    <x v="2"/>
  </r>
  <r>
    <x v="814"/>
    <n v="25.46"/>
    <n v="8.77"/>
    <x v="0"/>
    <s v="yes"/>
    <s v="No"/>
    <x v="1"/>
    <x v="3"/>
    <x v="1"/>
    <x v="2"/>
  </r>
  <r>
    <x v="815"/>
    <n v="39.14"/>
    <n v="4.91"/>
    <x v="1"/>
    <s v="No"/>
    <s v="yes"/>
    <x v="0"/>
    <x v="3"/>
    <x v="1"/>
    <x v="2"/>
  </r>
  <r>
    <x v="816"/>
    <n v="41.2"/>
    <n v="4.95"/>
    <x v="1"/>
    <s v="No"/>
    <s v="No"/>
    <x v="0"/>
    <x v="3"/>
    <x v="1"/>
    <x v="2"/>
  </r>
  <r>
    <x v="817"/>
    <n v="28.81"/>
    <n v="10.8"/>
    <x v="0"/>
    <s v="yes"/>
    <s v="No"/>
    <x v="1"/>
    <x v="3"/>
    <x v="1"/>
    <x v="2"/>
  </r>
  <r>
    <x v="818"/>
    <n v="37.409999999999997"/>
    <n v="7.21"/>
    <x v="0"/>
    <s v="No"/>
    <s v="No"/>
    <x v="0"/>
    <x v="1"/>
    <x v="1"/>
    <x v="2"/>
  </r>
  <r>
    <x v="819"/>
    <n v="52.54"/>
    <n v="5.12"/>
    <x v="1"/>
    <s v="No"/>
    <s v="No"/>
    <x v="1"/>
    <x v="3"/>
    <x v="1"/>
    <x v="2"/>
  </r>
  <r>
    <x v="820"/>
    <n v="17.29"/>
    <n v="4.62"/>
    <x v="1"/>
    <s v="No"/>
    <s v="yes"/>
    <x v="0"/>
    <x v="3"/>
    <x v="0"/>
    <x v="3"/>
  </r>
  <r>
    <x v="821"/>
    <n v="31.74"/>
    <n v="7.68"/>
    <x v="0"/>
    <s v="yes"/>
    <s v="No"/>
    <x v="0"/>
    <x v="0"/>
    <x v="1"/>
    <x v="2"/>
  </r>
  <r>
    <x v="822"/>
    <n v="26.504999999999999"/>
    <n v="6.79"/>
    <x v="0"/>
    <s v="yes"/>
    <s v="No"/>
    <x v="1"/>
    <x v="3"/>
    <x v="1"/>
    <x v="2"/>
  </r>
  <r>
    <x v="823"/>
    <n v="36.479999999999997"/>
    <n v="11.09"/>
    <x v="0"/>
    <s v="No"/>
    <s v="No"/>
    <x v="0"/>
    <x v="0"/>
    <x v="1"/>
    <x v="2"/>
  </r>
  <r>
    <x v="824"/>
    <n v="39.159999999999997"/>
    <n v="5.24"/>
    <x v="1"/>
    <s v="yes"/>
    <s v="No"/>
    <x v="1"/>
    <x v="3"/>
    <x v="1"/>
    <x v="2"/>
  </r>
  <r>
    <x v="825"/>
    <n v="28.22"/>
    <n v="7.51"/>
    <x v="0"/>
    <s v="yes"/>
    <s v="No"/>
    <x v="1"/>
    <x v="3"/>
    <x v="1"/>
    <x v="2"/>
  </r>
  <r>
    <x v="826"/>
    <n v="35"/>
    <n v="4.13"/>
    <x v="1"/>
    <s v="No"/>
    <s v="No"/>
    <x v="0"/>
    <x v="1"/>
    <x v="1"/>
    <x v="2"/>
  </r>
  <r>
    <x v="827"/>
    <n v="36.24"/>
    <n v="8.3800000000000008"/>
    <x v="0"/>
    <s v="yes"/>
    <s v="No"/>
    <x v="0"/>
    <x v="3"/>
    <x v="1"/>
    <x v="2"/>
  </r>
  <r>
    <x v="828"/>
    <n v="36.954999999999998"/>
    <n v="8.07"/>
    <x v="0"/>
    <s v="No"/>
    <s v="No"/>
    <x v="0"/>
    <x v="0"/>
    <x v="1"/>
    <x v="2"/>
  </r>
  <r>
    <x v="829"/>
    <n v="29.64"/>
    <n v="8.9499999999999993"/>
    <x v="0"/>
    <s v="No"/>
    <s v="No"/>
    <x v="0"/>
    <x v="0"/>
    <x v="1"/>
    <x v="2"/>
  </r>
  <r>
    <x v="830"/>
    <n v="42.74"/>
    <n v="6.31"/>
    <x v="1"/>
    <s v="yes"/>
    <s v="No"/>
    <x v="0"/>
    <x v="3"/>
    <x v="1"/>
    <x v="2"/>
  </r>
  <r>
    <x v="831"/>
    <n v="36.130000000000003"/>
    <n v="7.19"/>
    <x v="0"/>
    <s v="yes"/>
    <s v="No"/>
    <x v="0"/>
    <x v="1"/>
    <x v="1"/>
    <x v="2"/>
  </r>
  <r>
    <x v="832"/>
    <n v="31.55"/>
    <n v="6.11"/>
    <x v="1"/>
    <s v="yes"/>
    <s v="No"/>
    <x v="0"/>
    <x v="3"/>
    <x v="1"/>
    <x v="2"/>
  </r>
  <r>
    <x v="833"/>
    <n v="52.75"/>
    <n v="6.02"/>
    <x v="1"/>
    <s v="No"/>
    <s v="No"/>
    <x v="0"/>
    <x v="3"/>
    <x v="1"/>
    <x v="2"/>
  </r>
  <r>
    <x v="834"/>
    <n v="36.67"/>
    <n v="11.86"/>
    <x v="0"/>
    <s v="No"/>
    <s v="No"/>
    <x v="0"/>
    <x v="0"/>
    <x v="1"/>
    <x v="2"/>
  </r>
  <r>
    <x v="835"/>
    <n v="38.06"/>
    <n v="8.25"/>
    <x v="0"/>
    <s v="No"/>
    <s v="No"/>
    <x v="0"/>
    <x v="0"/>
    <x v="1"/>
    <x v="2"/>
  </r>
  <r>
    <x v="836"/>
    <n v="38"/>
    <n v="8.1300000000000008"/>
    <x v="0"/>
    <s v="No"/>
    <s v="No"/>
    <x v="0"/>
    <x v="0"/>
    <x v="1"/>
    <x v="2"/>
  </r>
  <r>
    <x v="837"/>
    <n v="35.1"/>
    <n v="10.1"/>
    <x v="0"/>
    <s v="No"/>
    <s v="No"/>
    <x v="0"/>
    <x v="0"/>
    <x v="1"/>
    <x v="2"/>
  </r>
  <r>
    <x v="838"/>
    <n v="33.82"/>
    <n v="5.89"/>
    <x v="1"/>
    <s v="yes"/>
    <s v="No"/>
    <x v="0"/>
    <x v="1"/>
    <x v="1"/>
    <x v="2"/>
  </r>
  <r>
    <x v="839"/>
    <n v="37.43"/>
    <n v="4.97"/>
    <x v="1"/>
    <s v="No"/>
    <s v="No"/>
    <x v="0"/>
    <x v="1"/>
    <x v="1"/>
    <x v="2"/>
  </r>
  <r>
    <x v="840"/>
    <n v="30.5"/>
    <n v="9.9"/>
    <x v="0"/>
    <s v="No"/>
    <s v="No"/>
    <x v="0"/>
    <x v="0"/>
    <x v="1"/>
    <x v="2"/>
  </r>
  <r>
    <x v="841"/>
    <n v="24.53"/>
    <n v="9.0500000000000007"/>
    <x v="0"/>
    <s v="No"/>
    <s v="No"/>
    <x v="0"/>
    <x v="0"/>
    <x v="1"/>
    <x v="2"/>
  </r>
  <r>
    <x v="842"/>
    <n v="25.74"/>
    <n v="10.93"/>
    <x v="0"/>
    <s v="No"/>
    <s v="No"/>
    <x v="0"/>
    <x v="0"/>
    <x v="1"/>
    <x v="2"/>
  </r>
  <r>
    <x v="843"/>
    <n v="34.08"/>
    <n v="7.58"/>
    <x v="0"/>
    <s v="yes"/>
    <s v="No"/>
    <x v="0"/>
    <x v="1"/>
    <x v="1"/>
    <x v="2"/>
  </r>
  <r>
    <x v="844"/>
    <n v="31.35"/>
    <n v="11"/>
    <x v="0"/>
    <s v="yes"/>
    <s v="No"/>
    <x v="1"/>
    <x v="3"/>
    <x v="1"/>
    <x v="2"/>
  </r>
  <r>
    <x v="845"/>
    <n v="26.79"/>
    <n v="5.0599999999999996"/>
    <x v="1"/>
    <s v="No"/>
    <s v="No"/>
    <x v="0"/>
    <x v="3"/>
    <x v="1"/>
    <x v="2"/>
  </r>
  <r>
    <x v="846"/>
    <n v="42.78"/>
    <n v="6.11"/>
    <x v="1"/>
    <s v="yes"/>
    <s v="No"/>
    <x v="0"/>
    <x v="3"/>
    <x v="1"/>
    <x v="2"/>
  </r>
  <r>
    <x v="847"/>
    <n v="46.75"/>
    <n v="6.66"/>
    <x v="0"/>
    <s v="yes"/>
    <s v="No"/>
    <x v="0"/>
    <x v="1"/>
    <x v="1"/>
    <x v="2"/>
  </r>
  <r>
    <x v="848"/>
    <n v="32.15"/>
    <n v="4.0199999999999996"/>
    <x v="1"/>
    <s v="yes"/>
    <s v="No"/>
    <x v="1"/>
    <x v="3"/>
    <x v="1"/>
    <x v="2"/>
  </r>
  <r>
    <x v="849"/>
    <n v="43.4"/>
    <n v="8.81"/>
    <x v="0"/>
    <s v="yes"/>
    <s v="No"/>
    <x v="0"/>
    <x v="1"/>
    <x v="1"/>
    <x v="2"/>
  </r>
  <r>
    <x v="850"/>
    <n v="31.57"/>
    <n v="7.92"/>
    <x v="0"/>
    <s v="yes"/>
    <s v="No"/>
    <x v="0"/>
    <x v="1"/>
    <x v="1"/>
    <x v="2"/>
  </r>
  <r>
    <x v="851"/>
    <n v="24.32"/>
    <n v="7.48"/>
    <x v="0"/>
    <s v="No"/>
    <s v="No"/>
    <x v="0"/>
    <x v="0"/>
    <x v="1"/>
    <x v="2"/>
  </r>
  <r>
    <x v="852"/>
    <n v="31.07"/>
    <n v="4.62"/>
    <x v="1"/>
    <s v="yes"/>
    <s v="No"/>
    <x v="0"/>
    <x v="1"/>
    <x v="1"/>
    <x v="2"/>
  </r>
  <r>
    <x v="853"/>
    <n v="35.814999999999998"/>
    <n v="8.4700000000000006"/>
    <x v="0"/>
    <s v="No"/>
    <s v="No"/>
    <x v="0"/>
    <x v="0"/>
    <x v="1"/>
    <x v="2"/>
  </r>
  <r>
    <x v="854"/>
    <n v="40.81"/>
    <n v="10.58"/>
    <x v="0"/>
    <s v="yes"/>
    <s v="No"/>
    <x v="0"/>
    <x v="0"/>
    <x v="1"/>
    <x v="2"/>
  </r>
  <r>
    <x v="855"/>
    <n v="24.605"/>
    <n v="7.48"/>
    <x v="0"/>
    <s v="No"/>
    <s v="No"/>
    <x v="0"/>
    <x v="0"/>
    <x v="1"/>
    <x v="2"/>
  </r>
  <r>
    <x v="856"/>
    <n v="21.47"/>
    <n v="7.82"/>
    <x v="0"/>
    <s v="No"/>
    <s v="No"/>
    <x v="0"/>
    <x v="0"/>
    <x v="1"/>
    <x v="2"/>
  </r>
  <r>
    <x v="857"/>
    <n v="52.89"/>
    <n v="4.96"/>
    <x v="1"/>
    <s v="yes"/>
    <s v="No"/>
    <x v="0"/>
    <x v="3"/>
    <x v="1"/>
    <x v="2"/>
  </r>
  <r>
    <x v="858"/>
    <n v="32.965000000000003"/>
    <n v="6.15"/>
    <x v="1"/>
    <s v="yes"/>
    <s v="No"/>
    <x v="0"/>
    <x v="3"/>
    <x v="1"/>
    <x v="2"/>
  </r>
  <r>
    <x v="859"/>
    <n v="36.799999999999997"/>
    <n v="4.62"/>
    <x v="1"/>
    <s v="No"/>
    <s v="No"/>
    <x v="1"/>
    <x v="3"/>
    <x v="1"/>
    <x v="2"/>
  </r>
  <r>
    <x v="860"/>
    <n v="34.299999999999997"/>
    <n v="4.87"/>
    <x v="1"/>
    <s v="No"/>
    <s v="No"/>
    <x v="0"/>
    <x v="1"/>
    <x v="1"/>
    <x v="2"/>
  </r>
  <r>
    <x v="861"/>
    <n v="35.244999999999997"/>
    <n v="4.63"/>
    <x v="1"/>
    <s v="No"/>
    <s v="No"/>
    <x v="0"/>
    <x v="0"/>
    <x v="1"/>
    <x v="2"/>
  </r>
  <r>
    <x v="862"/>
    <n v="26.23"/>
    <n v="11.93"/>
    <x v="0"/>
    <s v="No"/>
    <s v="No"/>
    <x v="0"/>
    <x v="0"/>
    <x v="1"/>
    <x v="2"/>
  </r>
  <r>
    <x v="863"/>
    <n v="36.1"/>
    <n v="5.65"/>
    <x v="1"/>
    <s v="yes"/>
    <s v="No"/>
    <x v="0"/>
    <x v="1"/>
    <x v="1"/>
    <x v="2"/>
  </r>
  <r>
    <x v="864"/>
    <n v="37.1"/>
    <n v="11.21"/>
    <x v="0"/>
    <s v="yes"/>
    <s v="No"/>
    <x v="1"/>
    <x v="3"/>
    <x v="1"/>
    <x v="2"/>
  </r>
  <r>
    <x v="865"/>
    <n v="27.5"/>
    <n v="10.62"/>
    <x v="0"/>
    <s v="yes"/>
    <s v="No"/>
    <x v="1"/>
    <x v="3"/>
    <x v="1"/>
    <x v="2"/>
  </r>
  <r>
    <x v="866"/>
    <n v="24.7"/>
    <n v="10.7"/>
    <x v="0"/>
    <s v="yes"/>
    <s v="No"/>
    <x v="1"/>
    <x v="3"/>
    <x v="1"/>
    <x v="2"/>
  </r>
  <r>
    <x v="867"/>
    <n v="26.78"/>
    <n v="10.02"/>
    <x v="0"/>
    <s v="yes"/>
    <s v="No"/>
    <x v="1"/>
    <x v="3"/>
    <x v="1"/>
    <x v="2"/>
  </r>
  <r>
    <x v="868"/>
    <n v="45.8"/>
    <n v="4.8499999999999996"/>
    <x v="1"/>
    <s v="No"/>
    <s v="No"/>
    <x v="0"/>
    <x v="0"/>
    <x v="1"/>
    <x v="2"/>
  </r>
  <r>
    <x v="869"/>
    <n v="29"/>
    <n v="4.3899999999999997"/>
    <x v="1"/>
    <s v="yes"/>
    <s v="No"/>
    <x v="0"/>
    <x v="1"/>
    <x v="1"/>
    <x v="2"/>
  </r>
  <r>
    <x v="870"/>
    <n v="33.534999999999997"/>
    <n v="8.24"/>
    <x v="0"/>
    <s v="yes"/>
    <s v="No"/>
    <x v="0"/>
    <x v="0"/>
    <x v="1"/>
    <x v="2"/>
  </r>
  <r>
    <x v="871"/>
    <n v="32.774999999999999"/>
    <n v="9.77"/>
    <x v="0"/>
    <s v="yes"/>
    <s v="No"/>
    <x v="0"/>
    <x v="0"/>
    <x v="1"/>
    <x v="2"/>
  </r>
  <r>
    <x v="872"/>
    <n v="37.51"/>
    <n v="5.5"/>
    <x v="1"/>
    <s v="yes"/>
    <s v="No"/>
    <x v="0"/>
    <x v="1"/>
    <x v="1"/>
    <x v="2"/>
  </r>
  <r>
    <x v="873"/>
    <n v="39.86"/>
    <n v="11.84"/>
    <x v="0"/>
    <s v="yes"/>
    <s v="No"/>
    <x v="0"/>
    <x v="3"/>
    <x v="1"/>
    <x v="2"/>
  </r>
  <r>
    <x v="874"/>
    <n v="42.13"/>
    <n v="4.66"/>
    <x v="1"/>
    <s v="No"/>
    <s v="No"/>
    <x v="0"/>
    <x v="0"/>
    <x v="1"/>
    <x v="2"/>
  </r>
  <r>
    <x v="875"/>
    <n v="35.99"/>
    <n v="11.11"/>
    <x v="0"/>
    <s v="No"/>
    <s v="No"/>
    <x v="0"/>
    <x v="0"/>
    <x v="1"/>
    <x v="2"/>
  </r>
  <r>
    <x v="876"/>
    <n v="35.200000000000003"/>
    <n v="7.72"/>
    <x v="0"/>
    <s v="yes"/>
    <s v="No"/>
    <x v="1"/>
    <x v="3"/>
    <x v="1"/>
    <x v="2"/>
  </r>
  <r>
    <x v="877"/>
    <n v="29.91"/>
    <n v="5.55"/>
    <x v="1"/>
    <s v="yes"/>
    <s v="No"/>
    <x v="0"/>
    <x v="1"/>
    <x v="1"/>
    <x v="2"/>
  </r>
  <r>
    <x v="878"/>
    <n v="36.479999999999997"/>
    <n v="5.05"/>
    <x v="1"/>
    <s v="yes"/>
    <s v="No"/>
    <x v="0"/>
    <x v="3"/>
    <x v="1"/>
    <x v="2"/>
  </r>
  <r>
    <x v="879"/>
    <n v="27.5"/>
    <n v="8.69"/>
    <x v="0"/>
    <s v="yes"/>
    <s v="No"/>
    <x v="1"/>
    <x v="3"/>
    <x v="1"/>
    <x v="2"/>
  </r>
  <r>
    <x v="880"/>
    <n v="33.44"/>
    <n v="5.9"/>
    <x v="1"/>
    <s v="yes"/>
    <s v="No"/>
    <x v="0"/>
    <x v="3"/>
    <x v="1"/>
    <x v="2"/>
  </r>
  <r>
    <x v="881"/>
    <n v="28.215"/>
    <n v="6.29"/>
    <x v="1"/>
    <s v="yes"/>
    <s v="No"/>
    <x v="0"/>
    <x v="3"/>
    <x v="1"/>
    <x v="2"/>
  </r>
  <r>
    <x v="882"/>
    <n v="27.17"/>
    <n v="5.84"/>
    <x v="1"/>
    <s v="yes"/>
    <s v="No"/>
    <x v="0"/>
    <x v="3"/>
    <x v="1"/>
    <x v="2"/>
  </r>
  <r>
    <x v="883"/>
    <n v="35.380000000000003"/>
    <n v="6.12"/>
    <x v="1"/>
    <s v="No"/>
    <s v="No"/>
    <x v="0"/>
    <x v="0"/>
    <x v="1"/>
    <x v="2"/>
  </r>
  <r>
    <x v="884"/>
    <n v="43.48"/>
    <n v="6.24"/>
    <x v="1"/>
    <s v="No"/>
    <s v="No"/>
    <x v="0"/>
    <x v="0"/>
    <x v="1"/>
    <x v="2"/>
  </r>
  <r>
    <x v="885"/>
    <n v="41.73"/>
    <n v="6.25"/>
    <x v="1"/>
    <s v="No"/>
    <s v="No"/>
    <x v="0"/>
    <x v="3"/>
    <x v="1"/>
    <x v="2"/>
  </r>
  <r>
    <x v="886"/>
    <n v="28.9"/>
    <n v="11.96"/>
    <x v="0"/>
    <s v="No"/>
    <s v="No"/>
    <x v="0"/>
    <x v="0"/>
    <x v="1"/>
    <x v="2"/>
  </r>
  <r>
    <x v="887"/>
    <n v="25.74"/>
    <n v="7.69"/>
    <x v="0"/>
    <s v="No"/>
    <s v="No"/>
    <x v="0"/>
    <x v="0"/>
    <x v="1"/>
    <x v="2"/>
  </r>
  <r>
    <x v="888"/>
    <n v="36.06"/>
    <n v="8.83"/>
    <x v="0"/>
    <s v="No"/>
    <s v="No"/>
    <x v="0"/>
    <x v="0"/>
    <x v="1"/>
    <x v="2"/>
  </r>
  <r>
    <x v="889"/>
    <n v="43.28"/>
    <n v="4.41"/>
    <x v="1"/>
    <s v="No"/>
    <s v="No"/>
    <x v="0"/>
    <x v="0"/>
    <x v="1"/>
    <x v="2"/>
  </r>
  <r>
    <x v="890"/>
    <n v="28.785"/>
    <n v="9.1"/>
    <x v="0"/>
    <s v="yes"/>
    <s v="No"/>
    <x v="1"/>
    <x v="3"/>
    <x v="1"/>
    <x v="2"/>
  </r>
  <r>
    <x v="891"/>
    <n v="25.46"/>
    <n v="11.52"/>
    <x v="0"/>
    <s v="yes"/>
    <s v="No"/>
    <x v="1"/>
    <x v="3"/>
    <x v="1"/>
    <x v="2"/>
  </r>
  <r>
    <x v="892"/>
    <n v="30.8"/>
    <n v="10.95"/>
    <x v="0"/>
    <s v="No"/>
    <s v="No"/>
    <x v="0"/>
    <x v="0"/>
    <x v="1"/>
    <x v="2"/>
  </r>
  <r>
    <x v="893"/>
    <n v="28.88"/>
    <n v="11.5"/>
    <x v="0"/>
    <s v="No"/>
    <s v="No"/>
    <x v="0"/>
    <x v="0"/>
    <x v="1"/>
    <x v="2"/>
  </r>
  <r>
    <x v="894"/>
    <n v="23"/>
    <n v="9.8800000000000008"/>
    <x v="0"/>
    <s v="No"/>
    <s v="No"/>
    <x v="0"/>
    <x v="0"/>
    <x v="1"/>
    <x v="2"/>
  </r>
  <r>
    <x v="895"/>
    <n v="38.25"/>
    <n v="6.2"/>
    <x v="1"/>
    <s v="No"/>
    <s v="No"/>
    <x v="0"/>
    <x v="3"/>
    <x v="1"/>
    <x v="2"/>
  </r>
  <r>
    <x v="896"/>
    <n v="39.25"/>
    <n v="8.41"/>
    <x v="0"/>
    <s v="yes"/>
    <s v="No"/>
    <x v="0"/>
    <x v="3"/>
    <x v="1"/>
    <x v="2"/>
  </r>
  <r>
    <x v="897"/>
    <n v="26.6"/>
    <n v="5.07"/>
    <x v="1"/>
    <s v="yes"/>
    <s v="No"/>
    <x v="0"/>
    <x v="1"/>
    <x v="1"/>
    <x v="2"/>
  </r>
  <r>
    <x v="898"/>
    <n v="35.700000000000003"/>
    <n v="4.0599999999999996"/>
    <x v="1"/>
    <s v="No"/>
    <s v="No"/>
    <x v="1"/>
    <x v="3"/>
    <x v="1"/>
    <x v="2"/>
  </r>
  <r>
    <x v="899"/>
    <n v="20.100000000000001"/>
    <n v="10.52"/>
    <x v="0"/>
    <s v="No"/>
    <s v="No"/>
    <x v="0"/>
    <x v="0"/>
    <x v="1"/>
    <x v="2"/>
  </r>
  <r>
    <x v="900"/>
    <n v="22.23"/>
    <n v="9.65"/>
    <x v="0"/>
    <s v="No"/>
    <s v="No"/>
    <x v="0"/>
    <x v="0"/>
    <x v="1"/>
    <x v="2"/>
  </r>
  <r>
    <x v="901"/>
    <n v="36.47"/>
    <n v="6.21"/>
    <x v="1"/>
    <s v="No"/>
    <s v="No"/>
    <x v="0"/>
    <x v="0"/>
    <x v="1"/>
    <x v="2"/>
  </r>
  <r>
    <x v="902"/>
    <n v="49.64"/>
    <n v="4.76"/>
    <x v="1"/>
    <s v="No"/>
    <s v="No"/>
    <x v="1"/>
    <x v="3"/>
    <x v="1"/>
    <x v="2"/>
  </r>
  <r>
    <x v="903"/>
    <n v="36.799999999999997"/>
    <n v="5.73"/>
    <x v="1"/>
    <s v="yes"/>
    <s v="No"/>
    <x v="1"/>
    <x v="3"/>
    <x v="1"/>
    <x v="2"/>
  </r>
  <r>
    <x v="904"/>
    <n v="33.880000000000003"/>
    <n v="10.78"/>
    <x v="0"/>
    <s v="yes"/>
    <s v="No"/>
    <x v="0"/>
    <x v="0"/>
    <x v="1"/>
    <x v="2"/>
  </r>
  <r>
    <x v="905"/>
    <n v="32.01"/>
    <n v="5.08"/>
    <x v="1"/>
    <s v="yes"/>
    <s v="No"/>
    <x v="0"/>
    <x v="3"/>
    <x v="1"/>
    <x v="2"/>
  </r>
  <r>
    <x v="906"/>
    <n v="33.630000000000003"/>
    <n v="11.39"/>
    <x v="0"/>
    <s v="No"/>
    <s v="No"/>
    <x v="0"/>
    <x v="0"/>
    <x v="1"/>
    <x v="2"/>
  </r>
  <r>
    <x v="907"/>
    <n v="34.865000000000002"/>
    <n v="5.35"/>
    <x v="1"/>
    <s v="yes"/>
    <s v="No"/>
    <x v="0"/>
    <x v="3"/>
    <x v="1"/>
    <x v="2"/>
  </r>
  <r>
    <x v="908"/>
    <n v="43.11"/>
    <n v="5.6"/>
    <x v="1"/>
    <s v="No"/>
    <s v="No"/>
    <x v="0"/>
    <x v="0"/>
    <x v="1"/>
    <x v="2"/>
  </r>
  <r>
    <x v="909"/>
    <n v="30.305"/>
    <n v="4.2699999999999996"/>
    <x v="1"/>
    <s v="yes"/>
    <s v="No"/>
    <x v="0"/>
    <x v="3"/>
    <x v="1"/>
    <x v="2"/>
  </r>
  <r>
    <x v="910"/>
    <n v="25.175000000000001"/>
    <n v="5.57"/>
    <x v="1"/>
    <s v="yes"/>
    <s v="No"/>
    <x v="0"/>
    <x v="3"/>
    <x v="1"/>
    <x v="2"/>
  </r>
  <r>
    <x v="911"/>
    <n v="26.8"/>
    <n v="5.68"/>
    <x v="1"/>
    <s v="yes"/>
    <s v="No"/>
    <x v="0"/>
    <x v="3"/>
    <x v="1"/>
    <x v="2"/>
  </r>
  <r>
    <x v="912"/>
    <n v="21.78"/>
    <n v="5.3"/>
    <x v="1"/>
    <s v="No"/>
    <s v="yes"/>
    <x v="0"/>
    <x v="3"/>
    <x v="1"/>
    <x v="2"/>
  </r>
  <r>
    <x v="913"/>
    <n v="30.14"/>
    <n v="9.4499999999999993"/>
    <x v="0"/>
    <s v="yes"/>
    <s v="No"/>
    <x v="0"/>
    <x v="0"/>
    <x v="1"/>
    <x v="2"/>
  </r>
  <r>
    <x v="914"/>
    <n v="29.7"/>
    <n v="6.79"/>
    <x v="0"/>
    <s v="yes"/>
    <s v="No"/>
    <x v="0"/>
    <x v="0"/>
    <x v="1"/>
    <x v="2"/>
  </r>
  <r>
    <x v="915"/>
    <n v="32.395000000000003"/>
    <n v="11.1"/>
    <x v="0"/>
    <s v="yes"/>
    <s v="No"/>
    <x v="0"/>
    <x v="0"/>
    <x v="1"/>
    <x v="2"/>
  </r>
  <r>
    <x v="916"/>
    <n v="36.64"/>
    <n v="7.26"/>
    <x v="0"/>
    <s v="No"/>
    <s v="No"/>
    <x v="0"/>
    <x v="0"/>
    <x v="1"/>
    <x v="2"/>
  </r>
  <r>
    <x v="917"/>
    <n v="39.049999999999997"/>
    <n v="5.27"/>
    <x v="1"/>
    <s v="yes"/>
    <s v="No"/>
    <x v="0"/>
    <x v="3"/>
    <x v="1"/>
    <x v="2"/>
  </r>
  <r>
    <x v="918"/>
    <n v="33.1"/>
    <n v="5.46"/>
    <x v="1"/>
    <s v="yes"/>
    <s v="No"/>
    <x v="0"/>
    <x v="3"/>
    <x v="1"/>
    <x v="2"/>
  </r>
  <r>
    <x v="919"/>
    <n v="31.824999999999999"/>
    <n v="8.1300000000000008"/>
    <x v="0"/>
    <s v="No"/>
    <s v="No"/>
    <x v="0"/>
    <x v="0"/>
    <x v="1"/>
    <x v="2"/>
  </r>
  <r>
    <x v="920"/>
    <n v="29"/>
    <n v="4.25"/>
    <x v="1"/>
    <s v="yes"/>
    <s v="No"/>
    <x v="0"/>
    <x v="3"/>
    <x v="1"/>
    <x v="2"/>
  </r>
  <r>
    <x v="921"/>
    <n v="30.495000000000001"/>
    <n v="8.68"/>
    <x v="0"/>
    <s v="No"/>
    <s v="No"/>
    <x v="0"/>
    <x v="0"/>
    <x v="1"/>
    <x v="2"/>
  </r>
  <r>
    <x v="922"/>
    <n v="25.2"/>
    <n v="6.25"/>
    <x v="1"/>
    <s v="yes"/>
    <s v="No"/>
    <x v="0"/>
    <x v="3"/>
    <x v="1"/>
    <x v="2"/>
  </r>
  <r>
    <x v="923"/>
    <n v="22.77"/>
    <n v="4.47"/>
    <x v="1"/>
    <s v="yes"/>
    <s v="No"/>
    <x v="0"/>
    <x v="3"/>
    <x v="1"/>
    <x v="2"/>
  </r>
  <r>
    <x v="924"/>
    <n v="23.18"/>
    <n v="8.31"/>
    <x v="0"/>
    <s v="No"/>
    <s v="No"/>
    <x v="0"/>
    <x v="0"/>
    <x v="1"/>
    <x v="2"/>
  </r>
  <r>
    <x v="925"/>
    <n v="35.409999999999997"/>
    <n v="5.68"/>
    <x v="1"/>
    <s v="No"/>
    <s v="No"/>
    <x v="0"/>
    <x v="0"/>
    <x v="1"/>
    <x v="2"/>
  </r>
  <r>
    <x v="926"/>
    <n v="32.11"/>
    <n v="4.75"/>
    <x v="1"/>
    <s v="yes"/>
    <s v="No"/>
    <x v="0"/>
    <x v="1"/>
    <x v="1"/>
    <x v="2"/>
  </r>
  <r>
    <x v="927"/>
    <n v="34.479999999999997"/>
    <n v="6.31"/>
    <x v="1"/>
    <s v="No"/>
    <s v="No"/>
    <x v="1"/>
    <x v="3"/>
    <x v="1"/>
    <x v="2"/>
  </r>
  <r>
    <x v="928"/>
    <n v="34.39"/>
    <n v="6.28"/>
    <x v="1"/>
    <s v="yes"/>
    <s v="No"/>
    <x v="0"/>
    <x v="3"/>
    <x v="1"/>
    <x v="2"/>
  </r>
  <r>
    <x v="929"/>
    <n v="26.4"/>
    <n v="9.2899999999999991"/>
    <x v="0"/>
    <s v="yes"/>
    <s v="No"/>
    <x v="1"/>
    <x v="3"/>
    <x v="1"/>
    <x v="2"/>
  </r>
  <r>
    <x v="930"/>
    <n v="28.1"/>
    <n v="5.79"/>
    <x v="1"/>
    <s v="yes"/>
    <s v="No"/>
    <x v="1"/>
    <x v="3"/>
    <x v="1"/>
    <x v="2"/>
  </r>
  <r>
    <x v="931"/>
    <n v="27"/>
    <n v="4.54"/>
    <x v="1"/>
    <s v="yes"/>
    <s v="No"/>
    <x v="0"/>
    <x v="3"/>
    <x v="1"/>
    <x v="2"/>
  </r>
  <r>
    <x v="932"/>
    <n v="28.594999999999999"/>
    <n v="4.68"/>
    <x v="1"/>
    <s v="yes"/>
    <s v="No"/>
    <x v="0"/>
    <x v="3"/>
    <x v="1"/>
    <x v="2"/>
  </r>
  <r>
    <x v="933"/>
    <n v="36.799999999999997"/>
    <n v="5.88"/>
    <x v="1"/>
    <s v="No"/>
    <s v="No"/>
    <x v="0"/>
    <x v="3"/>
    <x v="1"/>
    <x v="2"/>
  </r>
  <r>
    <x v="934"/>
    <n v="23.75"/>
    <n v="5.42"/>
    <x v="1"/>
    <s v="yes"/>
    <s v="No"/>
    <x v="1"/>
    <x v="3"/>
    <x v="1"/>
    <x v="2"/>
  </r>
  <r>
    <x v="935"/>
    <n v="35.619999999999997"/>
    <n v="4.16"/>
    <x v="1"/>
    <s v="No"/>
    <s v="No"/>
    <x v="0"/>
    <x v="0"/>
    <x v="1"/>
    <x v="2"/>
  </r>
  <r>
    <x v="936"/>
    <n v="30.69"/>
    <n v="7.05"/>
    <x v="0"/>
    <s v="yes"/>
    <s v="No"/>
    <x v="0"/>
    <x v="1"/>
    <x v="1"/>
    <x v="2"/>
  </r>
  <r>
    <x v="937"/>
    <n v="35.799999999999997"/>
    <n v="5.63"/>
    <x v="1"/>
    <s v="yes"/>
    <s v="No"/>
    <x v="0"/>
    <x v="1"/>
    <x v="1"/>
    <x v="2"/>
  </r>
  <r>
    <x v="938"/>
    <n v="28.785"/>
    <n v="4.24"/>
    <x v="1"/>
    <s v="yes"/>
    <s v="No"/>
    <x v="0"/>
    <x v="1"/>
    <x v="1"/>
    <x v="2"/>
  </r>
  <r>
    <x v="939"/>
    <n v="28.594999999999999"/>
    <n v="4.96"/>
    <x v="1"/>
    <s v="yes"/>
    <s v="No"/>
    <x v="0"/>
    <x v="1"/>
    <x v="1"/>
    <x v="2"/>
  </r>
  <r>
    <x v="940"/>
    <n v="48.75"/>
    <n v="4.34"/>
    <x v="1"/>
    <s v="No"/>
    <s v="No"/>
    <x v="0"/>
    <x v="0"/>
    <x v="1"/>
    <x v="2"/>
  </r>
  <r>
    <x v="941"/>
    <n v="28.31"/>
    <n v="5.43"/>
    <x v="1"/>
    <s v="yes"/>
    <s v="No"/>
    <x v="0"/>
    <x v="1"/>
    <x v="1"/>
    <x v="2"/>
  </r>
  <r>
    <x v="942"/>
    <n v="38.39"/>
    <n v="8.33"/>
    <x v="0"/>
    <s v="yes"/>
    <s v="No"/>
    <x v="0"/>
    <x v="3"/>
    <x v="1"/>
    <x v="2"/>
  </r>
  <r>
    <x v="943"/>
    <n v="25.87"/>
    <n v="5.63"/>
    <x v="1"/>
    <s v="yes"/>
    <s v="No"/>
    <x v="0"/>
    <x v="3"/>
    <x v="1"/>
    <x v="2"/>
  </r>
  <r>
    <x v="944"/>
    <n v="43.7"/>
    <n v="7.23"/>
    <x v="0"/>
    <s v="No"/>
    <s v="No"/>
    <x v="0"/>
    <x v="0"/>
    <x v="1"/>
    <x v="2"/>
  </r>
  <r>
    <x v="945"/>
    <n v="40.945"/>
    <n v="10.57"/>
    <x v="0"/>
    <s v="No"/>
    <s v="No"/>
    <x v="0"/>
    <x v="0"/>
    <x v="1"/>
    <x v="2"/>
  </r>
  <r>
    <x v="946"/>
    <n v="27.94"/>
    <n v="7.92"/>
    <x v="0"/>
    <s v="No"/>
    <s v="No"/>
    <x v="0"/>
    <x v="0"/>
    <x v="1"/>
    <x v="2"/>
  </r>
  <r>
    <x v="947"/>
    <n v="31.9"/>
    <n v="10.119999999999999"/>
    <x v="0"/>
    <s v="No"/>
    <s v="No"/>
    <x v="0"/>
    <x v="1"/>
    <x v="1"/>
    <x v="2"/>
  </r>
  <r>
    <x v="948"/>
    <n v="31.64"/>
    <n v="7.91"/>
    <x v="0"/>
    <s v="No"/>
    <s v="No"/>
    <x v="0"/>
    <x v="0"/>
    <x v="1"/>
    <x v="2"/>
  </r>
  <r>
    <x v="949"/>
    <n v="46.7"/>
    <n v="10.9"/>
    <x v="0"/>
    <s v="No"/>
    <s v="No"/>
    <x v="0"/>
    <x v="0"/>
    <x v="1"/>
    <x v="2"/>
  </r>
  <r>
    <x v="950"/>
    <n v="18.335000000000001"/>
    <n v="11.83"/>
    <x v="0"/>
    <s v="No"/>
    <s v="No"/>
    <x v="0"/>
    <x v="0"/>
    <x v="1"/>
    <x v="3"/>
  </r>
  <r>
    <x v="951"/>
    <n v="31.24"/>
    <n v="7.42"/>
    <x v="0"/>
    <s v="yes"/>
    <s v="No"/>
    <x v="0"/>
    <x v="1"/>
    <x v="1"/>
    <x v="2"/>
  </r>
  <r>
    <x v="952"/>
    <n v="39.22"/>
    <n v="5.62"/>
    <x v="1"/>
    <s v="yes"/>
    <s v="No"/>
    <x v="0"/>
    <x v="3"/>
    <x v="1"/>
    <x v="2"/>
  </r>
  <r>
    <x v="953"/>
    <n v="24.414999999999999"/>
    <n v="7.16"/>
    <x v="0"/>
    <s v="No"/>
    <s v="No"/>
    <x v="0"/>
    <x v="0"/>
    <x v="1"/>
    <x v="2"/>
  </r>
  <r>
    <x v="954"/>
    <n v="32.299999999999997"/>
    <n v="9.89"/>
    <x v="0"/>
    <s v="No"/>
    <s v="No"/>
    <x v="0"/>
    <x v="0"/>
    <x v="1"/>
    <x v="2"/>
  </r>
  <r>
    <x v="955"/>
    <n v="39.94"/>
    <n v="5.14"/>
    <x v="1"/>
    <s v="No"/>
    <s v="No"/>
    <x v="0"/>
    <x v="0"/>
    <x v="1"/>
    <x v="2"/>
  </r>
  <r>
    <x v="956"/>
    <n v="30"/>
    <n v="5.61"/>
    <x v="1"/>
    <s v="yes"/>
    <s v="No"/>
    <x v="1"/>
    <x v="3"/>
    <x v="1"/>
    <x v="2"/>
  </r>
  <r>
    <x v="957"/>
    <n v="35.340000000000003"/>
    <n v="5.51"/>
    <x v="1"/>
    <s v="yes"/>
    <s v="No"/>
    <x v="1"/>
    <x v="3"/>
    <x v="1"/>
    <x v="2"/>
  </r>
  <r>
    <x v="958"/>
    <n v="32.204999999999998"/>
    <n v="8.3800000000000008"/>
    <x v="0"/>
    <s v="yes"/>
    <s v="No"/>
    <x v="0"/>
    <x v="1"/>
    <x v="1"/>
    <x v="2"/>
  </r>
  <r>
    <x v="959"/>
    <n v="33.880000000000003"/>
    <n v="4.68"/>
    <x v="1"/>
    <s v="No"/>
    <s v="yes"/>
    <x v="0"/>
    <x v="3"/>
    <x v="1"/>
    <x v="2"/>
  </r>
  <r>
    <x v="960"/>
    <n v="26.63"/>
    <n v="4.3600000000000003"/>
    <x v="1"/>
    <s v="yes"/>
    <s v="No"/>
    <x v="0"/>
    <x v="1"/>
    <x v="1"/>
    <x v="2"/>
  </r>
  <r>
    <x v="961"/>
    <n v="28.7"/>
    <n v="7.74"/>
    <x v="0"/>
    <s v="No"/>
    <s v="No"/>
    <x v="0"/>
    <x v="0"/>
    <x v="1"/>
    <x v="2"/>
  </r>
  <r>
    <x v="962"/>
    <n v="25.65"/>
    <n v="4.05"/>
    <x v="1"/>
    <s v="yes"/>
    <s v="No"/>
    <x v="0"/>
    <x v="1"/>
    <x v="1"/>
    <x v="2"/>
  </r>
  <r>
    <x v="963"/>
    <n v="36.384999999999998"/>
    <n v="11.49"/>
    <x v="0"/>
    <s v="No"/>
    <s v="No"/>
    <x v="0"/>
    <x v="0"/>
    <x v="1"/>
    <x v="2"/>
  </r>
  <r>
    <x v="964"/>
    <n v="34.69"/>
    <n v="5.65"/>
    <x v="1"/>
    <s v="No"/>
    <s v="No"/>
    <x v="0"/>
    <x v="0"/>
    <x v="1"/>
    <x v="2"/>
  </r>
  <r>
    <x v="965"/>
    <n v="37.68"/>
    <n v="4.29"/>
    <x v="1"/>
    <s v="yes"/>
    <s v="No"/>
    <x v="0"/>
    <x v="0"/>
    <x v="1"/>
    <x v="2"/>
  </r>
  <r>
    <x v="966"/>
    <n v="35.49"/>
    <n v="4.74"/>
    <x v="1"/>
    <s v="yes"/>
    <s v="No"/>
    <x v="1"/>
    <x v="3"/>
    <x v="1"/>
    <x v="2"/>
  </r>
  <r>
    <x v="967"/>
    <n v="44.7"/>
    <n v="7.6"/>
    <x v="0"/>
    <s v="yes"/>
    <s v="No"/>
    <x v="0"/>
    <x v="1"/>
    <x v="1"/>
    <x v="2"/>
  </r>
  <r>
    <x v="968"/>
    <n v="38.380000000000003"/>
    <n v="8.5"/>
    <x v="0"/>
    <s v="yes"/>
    <s v="No"/>
    <x v="0"/>
    <x v="1"/>
    <x v="1"/>
    <x v="2"/>
  </r>
  <r>
    <x v="969"/>
    <n v="35.244999999999997"/>
    <n v="11.22"/>
    <x v="0"/>
    <s v="yes"/>
    <s v="No"/>
    <x v="0"/>
    <x v="0"/>
    <x v="1"/>
    <x v="2"/>
  </r>
  <r>
    <x v="970"/>
    <n v="49.84"/>
    <n v="5.0999999999999996"/>
    <x v="1"/>
    <s v="yes"/>
    <s v="No"/>
    <x v="1"/>
    <x v="3"/>
    <x v="1"/>
    <x v="2"/>
  </r>
  <r>
    <x v="971"/>
    <n v="49.06"/>
    <n v="5.43"/>
    <x v="1"/>
    <s v="yes"/>
    <s v="No"/>
    <x v="0"/>
    <x v="3"/>
    <x v="1"/>
    <x v="2"/>
  </r>
  <r>
    <x v="972"/>
    <n v="30.88"/>
    <n v="5.82"/>
    <x v="1"/>
    <s v="No"/>
    <s v="No"/>
    <x v="0"/>
    <x v="1"/>
    <x v="1"/>
    <x v="2"/>
  </r>
  <r>
    <x v="973"/>
    <n v="33.35"/>
    <n v="6.05"/>
    <x v="1"/>
    <s v="No"/>
    <s v="No"/>
    <x v="1"/>
    <x v="3"/>
    <x v="1"/>
    <x v="2"/>
  </r>
  <r>
    <x v="974"/>
    <n v="38"/>
    <n v="6.38"/>
    <x v="1"/>
    <s v="yes"/>
    <s v="No"/>
    <x v="0"/>
    <x v="3"/>
    <x v="1"/>
    <x v="2"/>
  </r>
  <r>
    <x v="975"/>
    <n v="36.08"/>
    <n v="5.73"/>
    <x v="1"/>
    <s v="yes"/>
    <s v="No"/>
    <x v="0"/>
    <x v="3"/>
    <x v="1"/>
    <x v="2"/>
  </r>
  <r>
    <x v="976"/>
    <n v="35.700000000000003"/>
    <n v="5.47"/>
    <x v="1"/>
    <s v="yes"/>
    <s v="No"/>
    <x v="0"/>
    <x v="3"/>
    <x v="1"/>
    <x v="2"/>
  </r>
  <r>
    <x v="977"/>
    <n v="34.01"/>
    <n v="11.3"/>
    <x v="0"/>
    <s v="No"/>
    <s v="No"/>
    <x v="0"/>
    <x v="0"/>
    <x v="1"/>
    <x v="2"/>
  </r>
  <r>
    <x v="978"/>
    <n v="31.54"/>
    <n v="6.72"/>
    <x v="0"/>
    <s v="No"/>
    <s v="No"/>
    <x v="0"/>
    <x v="0"/>
    <x v="1"/>
    <x v="2"/>
  </r>
  <r>
    <x v="979"/>
    <n v="23.3"/>
    <n v="5.36"/>
    <x v="1"/>
    <s v="yes"/>
    <s v="No"/>
    <x v="0"/>
    <x v="3"/>
    <x v="1"/>
    <x v="2"/>
  </r>
  <r>
    <x v="980"/>
    <n v="27.75"/>
    <n v="9.8800000000000008"/>
    <x v="0"/>
    <s v="No"/>
    <s v="No"/>
    <x v="0"/>
    <x v="0"/>
    <x v="1"/>
    <x v="2"/>
  </r>
  <r>
    <x v="981"/>
    <n v="42.46"/>
    <n v="4.1100000000000003"/>
    <x v="1"/>
    <s v="No"/>
    <s v="No"/>
    <x v="0"/>
    <x v="0"/>
    <x v="1"/>
    <x v="2"/>
  </r>
  <r>
    <x v="982"/>
    <n v="54.47"/>
    <n v="7.48"/>
    <x v="0"/>
    <s v="No"/>
    <s v="No"/>
    <x v="0"/>
    <x v="0"/>
    <x v="1"/>
    <x v="2"/>
  </r>
  <r>
    <x v="983"/>
    <n v="24.93"/>
    <n v="9.18"/>
    <x v="0"/>
    <s v="yes"/>
    <s v="No"/>
    <x v="1"/>
    <x v="3"/>
    <x v="1"/>
    <x v="2"/>
  </r>
  <r>
    <x v="984"/>
    <n v="48.12"/>
    <n v="4.51"/>
    <x v="1"/>
    <s v="yes"/>
    <s v="No"/>
    <x v="0"/>
    <x v="3"/>
    <x v="1"/>
    <x v="2"/>
  </r>
  <r>
    <x v="985"/>
    <n v="24.91"/>
    <n v="7.33"/>
    <x v="0"/>
    <s v="yes"/>
    <s v="No"/>
    <x v="1"/>
    <x v="3"/>
    <x v="1"/>
    <x v="2"/>
  </r>
  <r>
    <x v="986"/>
    <n v="27.645"/>
    <n v="10.56"/>
    <x v="0"/>
    <s v="No"/>
    <s v="No"/>
    <x v="0"/>
    <x v="0"/>
    <x v="1"/>
    <x v="2"/>
  </r>
  <r>
    <x v="987"/>
    <n v="33.700000000000003"/>
    <n v="4.01"/>
    <x v="1"/>
    <s v="No"/>
    <s v="No"/>
    <x v="0"/>
    <x v="1"/>
    <x v="1"/>
    <x v="2"/>
  </r>
  <r>
    <x v="988"/>
    <n v="38.93"/>
    <n v="5.64"/>
    <x v="1"/>
    <s v="yes"/>
    <s v="No"/>
    <x v="0"/>
    <x v="3"/>
    <x v="1"/>
    <x v="2"/>
  </r>
  <r>
    <x v="989"/>
    <n v="32.774999999999999"/>
    <n v="8.02"/>
    <x v="0"/>
    <s v="yes"/>
    <s v="No"/>
    <x v="0"/>
    <x v="1"/>
    <x v="1"/>
    <x v="2"/>
  </r>
  <r>
    <x v="990"/>
    <n v="29.83"/>
    <n v="7.2"/>
    <x v="0"/>
    <s v="yes"/>
    <s v="No"/>
    <x v="0"/>
    <x v="0"/>
    <x v="1"/>
    <x v="2"/>
  </r>
  <r>
    <x v="991"/>
    <n v="28.31"/>
    <n v="4.55"/>
    <x v="1"/>
    <s v="No"/>
    <s v="yes"/>
    <x v="0"/>
    <x v="3"/>
    <x v="1"/>
    <x v="2"/>
  </r>
  <r>
    <x v="992"/>
    <n v="29.79"/>
    <n v="9.0299999999999994"/>
    <x v="0"/>
    <s v="No"/>
    <s v="No"/>
    <x v="0"/>
    <x v="0"/>
    <x v="1"/>
    <x v="2"/>
  </r>
  <r>
    <x v="993"/>
    <n v="36.6"/>
    <n v="5.2"/>
    <x v="1"/>
    <s v="yes"/>
    <s v="No"/>
    <x v="1"/>
    <x v="3"/>
    <x v="1"/>
    <x v="2"/>
  </r>
  <r>
    <x v="994"/>
    <n v="35.93"/>
    <n v="8.3000000000000007"/>
    <x v="1"/>
    <s v="yes"/>
    <s v="No"/>
    <x v="0"/>
    <x v="0"/>
    <x v="1"/>
    <x v="2"/>
  </r>
  <r>
    <x v="995"/>
    <n v="28.6"/>
    <n v="5.56"/>
    <x v="1"/>
    <s v="yes"/>
    <s v="No"/>
    <x v="1"/>
    <x v="3"/>
    <x v="1"/>
    <x v="2"/>
  </r>
  <r>
    <x v="996"/>
    <n v="39.17"/>
    <n v="4.1500000000000004"/>
    <x v="1"/>
    <s v="No"/>
    <s v="No"/>
    <x v="0"/>
    <x v="0"/>
    <x v="1"/>
    <x v="2"/>
  </r>
  <r>
    <x v="997"/>
    <n v="26.41"/>
    <n v="5.99"/>
    <x v="1"/>
    <s v="yes"/>
    <s v="No"/>
    <x v="1"/>
    <x v="3"/>
    <x v="1"/>
    <x v="2"/>
  </r>
  <r>
    <x v="998"/>
    <n v="30.63"/>
    <n v="5.8"/>
    <x v="1"/>
    <s v="yes"/>
    <s v="No"/>
    <x v="0"/>
    <x v="0"/>
    <x v="1"/>
    <x v="2"/>
  </r>
  <r>
    <x v="999"/>
    <n v="31.73"/>
    <n v="7.32"/>
    <x v="0"/>
    <s v="yes"/>
    <s v="No"/>
    <x v="0"/>
    <x v="1"/>
    <x v="1"/>
    <x v="2"/>
  </r>
  <r>
    <x v="1000"/>
    <n v="30.7"/>
    <n v="5.16"/>
    <x v="1"/>
    <s v="No"/>
    <s v="No"/>
    <x v="0"/>
    <x v="1"/>
    <x v="1"/>
    <x v="2"/>
  </r>
  <r>
    <x v="1001"/>
    <n v="25.934999999999999"/>
    <n v="5.96"/>
    <x v="1"/>
    <s v="yes"/>
    <s v="No"/>
    <x v="0"/>
    <x v="1"/>
    <x v="1"/>
    <x v="2"/>
  </r>
  <r>
    <x v="1002"/>
    <n v="35.9"/>
    <n v="4.8499999999999996"/>
    <x v="1"/>
    <s v="yes"/>
    <s v="No"/>
    <x v="1"/>
    <x v="3"/>
    <x v="1"/>
    <x v="2"/>
  </r>
  <r>
    <x v="1003"/>
    <n v="26.7"/>
    <n v="5.09"/>
    <x v="1"/>
    <s v="yes"/>
    <s v="No"/>
    <x v="1"/>
    <x v="3"/>
    <x v="1"/>
    <x v="2"/>
  </r>
  <r>
    <x v="1004"/>
    <n v="33.71"/>
    <n v="4.9400000000000004"/>
    <x v="1"/>
    <s v="No"/>
    <s v="No"/>
    <x v="0"/>
    <x v="0"/>
    <x v="1"/>
    <x v="2"/>
  </r>
  <r>
    <x v="1005"/>
    <n v="41.91"/>
    <n v="4.92"/>
    <x v="1"/>
    <s v="yes"/>
    <s v="No"/>
    <x v="0"/>
    <x v="1"/>
    <x v="1"/>
    <x v="2"/>
  </r>
  <r>
    <x v="1006"/>
    <n v="39.82"/>
    <n v="6.05"/>
    <x v="1"/>
    <s v="yes"/>
    <s v="No"/>
    <x v="0"/>
    <x v="1"/>
    <x v="1"/>
    <x v="2"/>
  </r>
  <r>
    <x v="1007"/>
    <n v="28.12"/>
    <n v="4.67"/>
    <x v="1"/>
    <s v="No"/>
    <s v="No"/>
    <x v="0"/>
    <x v="1"/>
    <x v="1"/>
    <x v="2"/>
  </r>
  <r>
    <x v="1008"/>
    <n v="26.98"/>
    <n v="9.81"/>
    <x v="0"/>
    <s v="yes"/>
    <s v="No"/>
    <x v="0"/>
    <x v="0"/>
    <x v="1"/>
    <x v="2"/>
  </r>
  <r>
    <x v="1009"/>
    <n v="27.2"/>
    <n v="6.06"/>
    <x v="1"/>
    <s v="yes"/>
    <s v="No"/>
    <x v="0"/>
    <x v="1"/>
    <x v="1"/>
    <x v="2"/>
  </r>
  <r>
    <x v="1010"/>
    <n v="25.3"/>
    <n v="5.19"/>
    <x v="1"/>
    <s v="yes"/>
    <s v="No"/>
    <x v="0"/>
    <x v="1"/>
    <x v="1"/>
    <x v="2"/>
  </r>
  <r>
    <x v="1011"/>
    <n v="30.25"/>
    <n v="10.16"/>
    <x v="0"/>
    <s v="No"/>
    <s v="No"/>
    <x v="0"/>
    <x v="0"/>
    <x v="1"/>
    <x v="2"/>
  </r>
  <r>
    <x v="1012"/>
    <n v="54"/>
    <n v="4.68"/>
    <x v="1"/>
    <s v="yes"/>
    <s v="yes"/>
    <x v="0"/>
    <x v="1"/>
    <x v="1"/>
    <x v="2"/>
  </r>
  <r>
    <x v="1013"/>
    <n v="51.86"/>
    <n v="5.32"/>
    <x v="1"/>
    <s v="yes"/>
    <s v="No"/>
    <x v="0"/>
    <x v="0"/>
    <x v="1"/>
    <x v="2"/>
  </r>
  <r>
    <x v="1014"/>
    <n v="31.39"/>
    <n v="6.99"/>
    <x v="0"/>
    <s v="No"/>
    <s v="No"/>
    <x v="0"/>
    <x v="0"/>
    <x v="1"/>
    <x v="2"/>
  </r>
  <r>
    <x v="1015"/>
    <n v="39.97"/>
    <n v="5.55"/>
    <x v="1"/>
    <s v="No"/>
    <s v="No"/>
    <x v="0"/>
    <x v="0"/>
    <x v="1"/>
    <x v="2"/>
  </r>
  <r>
    <x v="1016"/>
    <n v="41.23"/>
    <n v="6.94"/>
    <x v="0"/>
    <s v="No"/>
    <s v="No"/>
    <x v="0"/>
    <x v="0"/>
    <x v="1"/>
    <x v="2"/>
  </r>
  <r>
    <x v="1017"/>
    <n v="49.45"/>
    <n v="4.2"/>
    <x v="1"/>
    <s v="yes"/>
    <s v="No"/>
    <x v="0"/>
    <x v="0"/>
    <x v="1"/>
    <x v="2"/>
  </r>
  <r>
    <x v="1018"/>
    <n v="41.04"/>
    <n v="5.59"/>
    <x v="1"/>
    <s v="No"/>
    <s v="No"/>
    <x v="0"/>
    <x v="0"/>
    <x v="1"/>
    <x v="2"/>
  </r>
  <r>
    <x v="1019"/>
    <n v="27.93"/>
    <n v="9.9600000000000009"/>
    <x v="0"/>
    <s v="No"/>
    <s v="No"/>
    <x v="0"/>
    <x v="0"/>
    <x v="1"/>
    <x v="2"/>
  </r>
  <r>
    <x v="1020"/>
    <n v="21.01"/>
    <n v="7.37"/>
    <x v="0"/>
    <s v="No"/>
    <s v="No"/>
    <x v="0"/>
    <x v="0"/>
    <x v="1"/>
    <x v="2"/>
  </r>
  <r>
    <x v="1021"/>
    <n v="52.37"/>
    <n v="5.0599999999999996"/>
    <x v="1"/>
    <s v="yes"/>
    <s v="yes"/>
    <x v="0"/>
    <x v="1"/>
    <x v="1"/>
    <x v="2"/>
  </r>
  <r>
    <x v="1022"/>
    <n v="40.369999999999997"/>
    <n v="8.2100000000000009"/>
    <x v="0"/>
    <s v="No"/>
    <s v="No"/>
    <x v="0"/>
    <x v="0"/>
    <x v="1"/>
    <x v="2"/>
  </r>
  <r>
    <x v="1023"/>
    <n v="41.47"/>
    <n v="10.34"/>
    <x v="0"/>
    <s v="No"/>
    <s v="No"/>
    <x v="0"/>
    <x v="1"/>
    <x v="1"/>
    <x v="2"/>
  </r>
  <r>
    <x v="1024"/>
    <n v="33.725000000000001"/>
    <n v="5.51"/>
    <x v="1"/>
    <s v="yes"/>
    <s v="No"/>
    <x v="0"/>
    <x v="1"/>
    <x v="1"/>
    <x v="2"/>
  </r>
  <r>
    <x v="1025"/>
    <n v="28.1"/>
    <n v="11.2"/>
    <x v="0"/>
    <s v="No"/>
    <s v="No"/>
    <x v="0"/>
    <x v="0"/>
    <x v="1"/>
    <x v="2"/>
  </r>
  <r>
    <x v="1026"/>
    <n v="37.43"/>
    <n v="4.3499999999999996"/>
    <x v="1"/>
    <s v="yes"/>
    <s v="No"/>
    <x v="1"/>
    <x v="3"/>
    <x v="1"/>
    <x v="2"/>
  </r>
  <r>
    <x v="1027"/>
    <n v="23.7"/>
    <n v="10.45"/>
    <x v="0"/>
    <s v="No"/>
    <s v="No"/>
    <x v="0"/>
    <x v="0"/>
    <x v="1"/>
    <x v="2"/>
  </r>
  <r>
    <x v="1028"/>
    <n v="24.795000000000002"/>
    <n v="4.07"/>
    <x v="1"/>
    <s v="yes"/>
    <s v="No"/>
    <x v="1"/>
    <x v="3"/>
    <x v="1"/>
    <x v="2"/>
  </r>
  <r>
    <x v="1029"/>
    <n v="31.9"/>
    <n v="8.34"/>
    <x v="0"/>
    <s v="No"/>
    <s v="No"/>
    <x v="0"/>
    <x v="0"/>
    <x v="1"/>
    <x v="2"/>
  </r>
  <r>
    <x v="1030"/>
    <n v="32.68"/>
    <n v="7.41"/>
    <x v="0"/>
    <s v="No"/>
    <s v="No"/>
    <x v="0"/>
    <x v="0"/>
    <x v="1"/>
    <x v="2"/>
  </r>
  <r>
    <x v="1031"/>
    <n v="47.13"/>
    <n v="4.3099999999999996"/>
    <x v="1"/>
    <s v="No"/>
    <s v="No"/>
    <x v="0"/>
    <x v="0"/>
    <x v="1"/>
    <x v="2"/>
  </r>
  <r>
    <x v="1032"/>
    <n v="36.67"/>
    <n v="10.83"/>
    <x v="0"/>
    <s v="No"/>
    <s v="No"/>
    <x v="0"/>
    <x v="0"/>
    <x v="1"/>
    <x v="2"/>
  </r>
  <r>
    <x v="1033"/>
    <n v="33.630000000000003"/>
    <n v="11.31"/>
    <x v="0"/>
    <s v="No"/>
    <s v="No"/>
    <x v="0"/>
    <x v="0"/>
    <x v="1"/>
    <x v="2"/>
  </r>
  <r>
    <x v="1034"/>
    <n v="32.67"/>
    <n v="11.81"/>
    <x v="0"/>
    <s v="yes"/>
    <s v="No"/>
    <x v="0"/>
    <x v="0"/>
    <x v="1"/>
    <x v="2"/>
  </r>
  <r>
    <x v="1035"/>
    <n v="33.299999999999997"/>
    <n v="8.26"/>
    <x v="0"/>
    <s v="yes"/>
    <s v="No"/>
    <x v="0"/>
    <x v="1"/>
    <x v="1"/>
    <x v="2"/>
  </r>
  <r>
    <x v="1036"/>
    <n v="30.78"/>
    <n v="10.74"/>
    <x v="0"/>
    <s v="yes"/>
    <s v="No"/>
    <x v="0"/>
    <x v="1"/>
    <x v="1"/>
    <x v="2"/>
  </r>
  <r>
    <x v="1037"/>
    <n v="28.975000000000001"/>
    <n v="7.69"/>
    <x v="0"/>
    <s v="yes"/>
    <s v="No"/>
    <x v="0"/>
    <x v="0"/>
    <x v="1"/>
    <x v="2"/>
  </r>
  <r>
    <x v="1038"/>
    <n v="33.4"/>
    <n v="4.84"/>
    <x v="1"/>
    <s v="No"/>
    <s v="No"/>
    <x v="0"/>
    <x v="0"/>
    <x v="1"/>
    <x v="2"/>
  </r>
  <r>
    <x v="1039"/>
    <n v="21.5"/>
    <n v="9.77"/>
    <x v="0"/>
    <s v="yes"/>
    <s v="No"/>
    <x v="0"/>
    <x v="0"/>
    <x v="1"/>
    <x v="2"/>
  </r>
  <r>
    <x v="1040"/>
    <n v="38.14"/>
    <n v="5.84"/>
    <x v="1"/>
    <s v="No"/>
    <s v="No"/>
    <x v="0"/>
    <x v="0"/>
    <x v="1"/>
    <x v="2"/>
  </r>
  <r>
    <x v="1041"/>
    <n v="35.42"/>
    <n v="8.6999999999999993"/>
    <x v="0"/>
    <s v="yes"/>
    <s v="No"/>
    <x v="0"/>
    <x v="3"/>
    <x v="1"/>
    <x v="2"/>
  </r>
  <r>
    <x v="1042"/>
    <n v="35.625"/>
    <n v="10.79"/>
    <x v="0"/>
    <s v="No"/>
    <s v="No"/>
    <x v="0"/>
    <x v="0"/>
    <x v="1"/>
    <x v="2"/>
  </r>
  <r>
    <x v="1043"/>
    <n v="45.51"/>
    <n v="4.32"/>
    <x v="1"/>
    <s v="No"/>
    <s v="No"/>
    <x v="0"/>
    <x v="3"/>
    <x v="1"/>
    <x v="2"/>
  </r>
  <r>
    <x v="1044"/>
    <n v="37.1"/>
    <n v="7.19"/>
    <x v="0"/>
    <s v="yes"/>
    <s v="No"/>
    <x v="0"/>
    <x v="0"/>
    <x v="1"/>
    <x v="2"/>
  </r>
  <r>
    <x v="1045"/>
    <n v="30.5"/>
    <n v="11.94"/>
    <x v="0"/>
    <s v="yes"/>
    <s v="No"/>
    <x v="0"/>
    <x v="0"/>
    <x v="1"/>
    <x v="2"/>
  </r>
  <r>
    <x v="1046"/>
    <n v="28.16"/>
    <n v="5.56"/>
    <x v="1"/>
    <s v="No"/>
    <s v="No"/>
    <x v="0"/>
    <x v="1"/>
    <x v="1"/>
    <x v="2"/>
  </r>
  <r>
    <x v="1047"/>
    <n v="29.1"/>
    <n v="5.64"/>
    <x v="1"/>
    <s v="yes"/>
    <s v="No"/>
    <x v="0"/>
    <x v="0"/>
    <x v="1"/>
    <x v="2"/>
  </r>
  <r>
    <x v="1048"/>
    <n v="30.22"/>
    <n v="4.6500000000000004"/>
    <x v="1"/>
    <s v="No"/>
    <s v="No"/>
    <x v="0"/>
    <x v="0"/>
    <x v="1"/>
    <x v="2"/>
  </r>
  <r>
    <x v="1049"/>
    <n v="24.29"/>
    <n v="9.0500000000000007"/>
    <x v="0"/>
    <s v="No"/>
    <s v="No"/>
    <x v="0"/>
    <x v="0"/>
    <x v="1"/>
    <x v="2"/>
  </r>
  <r>
    <x v="1050"/>
    <n v="29.39"/>
    <n v="4.5199999999999996"/>
    <x v="1"/>
    <s v="yes"/>
    <s v="No"/>
    <x v="0"/>
    <x v="0"/>
    <x v="1"/>
    <x v="2"/>
  </r>
  <r>
    <x v="1051"/>
    <n v="25.66"/>
    <n v="4.62"/>
    <x v="1"/>
    <s v="yes"/>
    <s v="No"/>
    <x v="0"/>
    <x v="3"/>
    <x v="1"/>
    <x v="2"/>
  </r>
  <r>
    <x v="1052"/>
    <n v="39.11"/>
    <n v="5.87"/>
    <x v="1"/>
    <s v="No"/>
    <s v="No"/>
    <x v="0"/>
    <x v="0"/>
    <x v="1"/>
    <x v="2"/>
  </r>
  <r>
    <x v="1053"/>
    <n v="43.78"/>
    <n v="5.71"/>
    <x v="1"/>
    <s v="No"/>
    <s v="No"/>
    <x v="0"/>
    <x v="3"/>
    <x v="1"/>
    <x v="2"/>
  </r>
  <r>
    <x v="1054"/>
    <n v="24.35"/>
    <n v="9.08"/>
    <x v="0"/>
    <s v="No"/>
    <s v="No"/>
    <x v="0"/>
    <x v="0"/>
    <x v="1"/>
    <x v="2"/>
  </r>
  <r>
    <x v="1055"/>
    <n v="40.299999999999997"/>
    <n v="5.3"/>
    <x v="1"/>
    <s v="yes"/>
    <s v="No"/>
    <x v="0"/>
    <x v="1"/>
    <x v="1"/>
    <x v="2"/>
  </r>
  <r>
    <x v="1056"/>
    <n v="32.774999999999999"/>
    <n v="11.76"/>
    <x v="0"/>
    <s v="yes"/>
    <s v="No"/>
    <x v="0"/>
    <x v="0"/>
    <x v="1"/>
    <x v="2"/>
  </r>
  <r>
    <x v="1057"/>
    <n v="39.6"/>
    <n v="5.1100000000000003"/>
    <x v="1"/>
    <s v="yes"/>
    <s v="No"/>
    <x v="0"/>
    <x v="1"/>
    <x v="1"/>
    <x v="2"/>
  </r>
  <r>
    <x v="1058"/>
    <n v="30.97"/>
    <n v="5.54"/>
    <x v="1"/>
    <s v="No"/>
    <s v="No"/>
    <x v="0"/>
    <x v="1"/>
    <x v="1"/>
    <x v="2"/>
  </r>
  <r>
    <x v="1059"/>
    <n v="27.645"/>
    <n v="8.8699999999999992"/>
    <x v="1"/>
    <s v="yes"/>
    <s v="No"/>
    <x v="0"/>
    <x v="0"/>
    <x v="1"/>
    <x v="2"/>
  </r>
  <r>
    <x v="1060"/>
    <n v="34.43"/>
    <n v="5.96"/>
    <x v="1"/>
    <s v="yes"/>
    <s v="No"/>
    <x v="0"/>
    <x v="1"/>
    <x v="1"/>
    <x v="2"/>
  </r>
  <r>
    <x v="1061"/>
    <n v="39.6"/>
    <n v="4.4400000000000004"/>
    <x v="1"/>
    <s v="yes"/>
    <s v="No"/>
    <x v="1"/>
    <x v="3"/>
    <x v="1"/>
    <x v="2"/>
  </r>
  <r>
    <x v="1062"/>
    <n v="22.1"/>
    <n v="4.6500000000000004"/>
    <x v="1"/>
    <s v="yes"/>
    <s v="No"/>
    <x v="0"/>
    <x v="1"/>
    <x v="1"/>
    <x v="2"/>
  </r>
  <r>
    <x v="1063"/>
    <n v="33.25"/>
    <n v="5.64"/>
    <x v="1"/>
    <s v="yes"/>
    <s v="No"/>
    <x v="1"/>
    <x v="3"/>
    <x v="1"/>
    <x v="2"/>
  </r>
  <r>
    <x v="1064"/>
    <n v="33.33"/>
    <n v="10.19"/>
    <x v="0"/>
    <s v="No"/>
    <s v="No"/>
    <x v="0"/>
    <x v="0"/>
    <x v="1"/>
    <x v="2"/>
  </r>
  <r>
    <x v="1065"/>
    <n v="30.5"/>
    <n v="10.79"/>
    <x v="0"/>
    <s v="No"/>
    <s v="No"/>
    <x v="0"/>
    <x v="0"/>
    <x v="1"/>
    <x v="2"/>
  </r>
  <r>
    <x v="1066"/>
    <n v="30.3"/>
    <n v="4.24"/>
    <x v="1"/>
    <s v="No"/>
    <s v="No"/>
    <x v="0"/>
    <x v="0"/>
    <x v="1"/>
    <x v="2"/>
  </r>
  <r>
    <x v="1067"/>
    <n v="26.22"/>
    <n v="5.83"/>
    <x v="1"/>
    <s v="No"/>
    <s v="No"/>
    <x v="0"/>
    <x v="1"/>
    <x v="1"/>
    <x v="2"/>
  </r>
  <r>
    <x v="1068"/>
    <n v="29.99"/>
    <n v="11.85"/>
    <x v="0"/>
    <s v="No"/>
    <s v="No"/>
    <x v="0"/>
    <x v="0"/>
    <x v="1"/>
    <x v="2"/>
  </r>
  <r>
    <x v="1069"/>
    <n v="36.380000000000003"/>
    <n v="5.98"/>
    <x v="1"/>
    <s v="No"/>
    <s v="No"/>
    <x v="0"/>
    <x v="3"/>
    <x v="1"/>
    <x v="2"/>
  </r>
  <r>
    <x v="1070"/>
    <n v="31.16"/>
    <n v="4.26"/>
    <x v="1"/>
    <s v="yes"/>
    <s v="No"/>
    <x v="1"/>
    <x v="3"/>
    <x v="1"/>
    <x v="2"/>
  </r>
  <r>
    <x v="1071"/>
    <n v="25.55"/>
    <n v="4.96"/>
    <x v="1"/>
    <s v="yes"/>
    <s v="No"/>
    <x v="0"/>
    <x v="3"/>
    <x v="1"/>
    <x v="2"/>
  </r>
  <r>
    <x v="1072"/>
    <n v="28.77"/>
    <n v="4"/>
    <x v="1"/>
    <s v="yes"/>
    <s v="No"/>
    <x v="0"/>
    <x v="0"/>
    <x v="1"/>
    <x v="2"/>
  </r>
  <r>
    <x v="1073"/>
    <n v="23.14"/>
    <n v="4.1500000000000004"/>
    <x v="1"/>
    <s v="yes"/>
    <s v="No"/>
    <x v="0"/>
    <x v="3"/>
    <x v="1"/>
    <x v="2"/>
  </r>
  <r>
    <x v="1074"/>
    <n v="39.6"/>
    <n v="11.36"/>
    <x v="0"/>
    <s v="No"/>
    <s v="No"/>
    <x v="0"/>
    <x v="0"/>
    <x v="1"/>
    <x v="2"/>
  </r>
  <r>
    <x v="1075"/>
    <n v="29.2"/>
    <n v="7.53"/>
    <x v="0"/>
    <s v="No"/>
    <s v="No"/>
    <x v="0"/>
    <x v="0"/>
    <x v="1"/>
    <x v="2"/>
  </r>
  <r>
    <x v="1076"/>
    <n v="32.774999999999999"/>
    <n v="7.95"/>
    <x v="0"/>
    <s v="No"/>
    <s v="No"/>
    <x v="0"/>
    <x v="0"/>
    <x v="1"/>
    <x v="2"/>
  </r>
  <r>
    <x v="1077"/>
    <n v="24.035"/>
    <n v="8.5"/>
    <x v="0"/>
    <s v="No"/>
    <s v="No"/>
    <x v="0"/>
    <x v="0"/>
    <x v="1"/>
    <x v="2"/>
  </r>
  <r>
    <x v="1078"/>
    <n v="30.55"/>
    <n v="5.89"/>
    <x v="1"/>
    <s v="No"/>
    <s v="No"/>
    <x v="1"/>
    <x v="3"/>
    <x v="1"/>
    <x v="2"/>
  </r>
  <r>
    <x v="1079"/>
    <n v="28.81"/>
    <n v="8.76"/>
    <x v="0"/>
    <s v="No"/>
    <s v="No"/>
    <x v="0"/>
    <x v="1"/>
    <x v="1"/>
    <x v="2"/>
  </r>
  <r>
    <x v="1080"/>
    <n v="31.66"/>
    <n v="4.1100000000000003"/>
    <x v="1"/>
    <s v="No"/>
    <s v="No"/>
    <x v="0"/>
    <x v="0"/>
    <x v="1"/>
    <x v="2"/>
  </r>
  <r>
    <x v="1081"/>
    <n v="28.215"/>
    <n v="7.56"/>
    <x v="0"/>
    <s v="yes"/>
    <s v="No"/>
    <x v="0"/>
    <x v="3"/>
    <x v="1"/>
    <x v="2"/>
  </r>
  <r>
    <x v="1082"/>
    <n v="26.12"/>
    <n v="4.17"/>
    <x v="1"/>
    <s v="yes"/>
    <s v="No"/>
    <x v="1"/>
    <x v="3"/>
    <x v="1"/>
    <x v="2"/>
  </r>
  <r>
    <x v="1083"/>
    <n v="36.630000000000003"/>
    <n v="11.42"/>
    <x v="0"/>
    <s v="No"/>
    <s v="No"/>
    <x v="0"/>
    <x v="1"/>
    <x v="1"/>
    <x v="2"/>
  </r>
  <r>
    <x v="1084"/>
    <n v="33.344999999999999"/>
    <n v="7.33"/>
    <x v="0"/>
    <s v="No"/>
    <s v="No"/>
    <x v="0"/>
    <x v="1"/>
    <x v="1"/>
    <x v="2"/>
  </r>
  <r>
    <x v="1085"/>
    <n v="27.11"/>
    <n v="6.7"/>
    <x v="0"/>
    <s v="No"/>
    <s v="No"/>
    <x v="0"/>
    <x v="0"/>
    <x v="1"/>
    <x v="2"/>
  </r>
  <r>
    <x v="1086"/>
    <n v="26.6"/>
    <n v="5.27"/>
    <x v="1"/>
    <s v="yes"/>
    <s v="No"/>
    <x v="1"/>
    <x v="3"/>
    <x v="1"/>
    <x v="2"/>
  </r>
  <r>
    <x v="1087"/>
    <n v="30.41"/>
    <n v="7.72"/>
    <x v="0"/>
    <s v="No"/>
    <s v="No"/>
    <x v="0"/>
    <x v="0"/>
    <x v="1"/>
    <x v="2"/>
  </r>
  <r>
    <x v="1088"/>
    <n v="28.98"/>
    <n v="8.68"/>
    <x v="0"/>
    <s v="No"/>
    <s v="No"/>
    <x v="0"/>
    <x v="1"/>
    <x v="1"/>
    <x v="2"/>
  </r>
  <r>
    <x v="1089"/>
    <n v="31.24"/>
    <n v="9.8000000000000007"/>
    <x v="0"/>
    <s v="No"/>
    <s v="No"/>
    <x v="0"/>
    <x v="0"/>
    <x v="1"/>
    <x v="2"/>
  </r>
  <r>
    <x v="1090"/>
    <n v="31.54"/>
    <n v="4.4400000000000004"/>
    <x v="1"/>
    <s v="No"/>
    <s v="No"/>
    <x v="0"/>
    <x v="0"/>
    <x v="1"/>
    <x v="2"/>
  </r>
  <r>
    <x v="1091"/>
    <n v="38.6"/>
    <n v="7.19"/>
    <x v="0"/>
    <s v="yes"/>
    <s v="No"/>
    <x v="0"/>
    <x v="1"/>
    <x v="1"/>
    <x v="2"/>
  </r>
  <r>
    <x v="1092"/>
    <n v="37.950000000000003"/>
    <n v="6.06"/>
    <x v="1"/>
    <s v="No"/>
    <s v="No"/>
    <x v="0"/>
    <x v="0"/>
    <x v="1"/>
    <x v="2"/>
  </r>
  <r>
    <x v="1093"/>
    <n v="38.97"/>
    <n v="5.12"/>
    <x v="1"/>
    <s v="No"/>
    <s v="No"/>
    <x v="0"/>
    <x v="0"/>
    <x v="1"/>
    <x v="2"/>
  </r>
  <r>
    <x v="1094"/>
    <n v="21.2"/>
    <n v="10.72"/>
    <x v="0"/>
    <s v="No"/>
    <s v="No"/>
    <x v="0"/>
    <x v="0"/>
    <x v="1"/>
    <x v="2"/>
  </r>
  <r>
    <x v="1095"/>
    <n v="23.96"/>
    <n v="9.58"/>
    <x v="0"/>
    <s v="yes"/>
    <s v="No"/>
    <x v="1"/>
    <x v="3"/>
    <x v="1"/>
    <x v="2"/>
  </r>
  <r>
    <x v="1096"/>
    <n v="35.93"/>
    <n v="6.4"/>
    <x v="1"/>
    <s v="yes"/>
    <s v="No"/>
    <x v="0"/>
    <x v="3"/>
    <x v="1"/>
    <x v="2"/>
  </r>
  <r>
    <x v="1097"/>
    <n v="26.11"/>
    <n v="6.8"/>
    <x v="0"/>
    <s v="yes"/>
    <s v="No"/>
    <x v="0"/>
    <x v="1"/>
    <x v="1"/>
    <x v="2"/>
  </r>
  <r>
    <x v="1098"/>
    <n v="32.299999999999997"/>
    <n v="9.48"/>
    <x v="0"/>
    <s v="No"/>
    <s v="No"/>
    <x v="0"/>
    <x v="1"/>
    <x v="1"/>
    <x v="2"/>
  </r>
  <r>
    <x v="1099"/>
    <n v="28.69"/>
    <n v="7.45"/>
    <x v="0"/>
    <s v="No"/>
    <s v="No"/>
    <x v="0"/>
    <x v="1"/>
    <x v="1"/>
    <x v="2"/>
  </r>
  <r>
    <x v="1100"/>
    <n v="31.28"/>
    <n v="6.94"/>
    <x v="0"/>
    <s v="yes"/>
    <s v="No"/>
    <x v="0"/>
    <x v="3"/>
    <x v="1"/>
    <x v="2"/>
  </r>
  <r>
    <x v="1101"/>
    <n v="30.21"/>
    <n v="7.83"/>
    <x v="0"/>
    <s v="No"/>
    <s v="No"/>
    <x v="0"/>
    <x v="0"/>
    <x v="1"/>
    <x v="2"/>
  </r>
  <r>
    <x v="1102"/>
    <n v="38.28"/>
    <n v="10.17"/>
    <x v="0"/>
    <s v="yes"/>
    <s v="No"/>
    <x v="0"/>
    <x v="0"/>
    <x v="1"/>
    <x v="2"/>
  </r>
  <r>
    <x v="1103"/>
    <n v="29.9"/>
    <n v="8.9600000000000009"/>
    <x v="0"/>
    <s v="yes"/>
    <s v="No"/>
    <x v="0"/>
    <x v="0"/>
    <x v="1"/>
    <x v="2"/>
  </r>
  <r>
    <x v="1104"/>
    <n v="23.18"/>
    <n v="6.96"/>
    <x v="0"/>
    <s v="yes"/>
    <s v="No"/>
    <x v="0"/>
    <x v="1"/>
    <x v="1"/>
    <x v="2"/>
  </r>
  <r>
    <x v="1105"/>
    <n v="33.020000000000003"/>
    <n v="5.07"/>
    <x v="1"/>
    <s v="yes"/>
    <s v="No"/>
    <x v="0"/>
    <x v="0"/>
    <x v="1"/>
    <x v="2"/>
  </r>
  <r>
    <x v="1106"/>
    <n v="27.29"/>
    <n v="5.85"/>
    <x v="1"/>
    <s v="No"/>
    <s v="No"/>
    <x v="0"/>
    <x v="1"/>
    <x v="1"/>
    <x v="2"/>
  </r>
  <r>
    <x v="1107"/>
    <n v="23.18"/>
    <n v="10.56"/>
    <x v="0"/>
    <s v="No"/>
    <s v="No"/>
    <x v="0"/>
    <x v="1"/>
    <x v="1"/>
    <x v="2"/>
  </r>
  <r>
    <x v="1108"/>
    <n v="32.659999999999997"/>
    <n v="8.92"/>
    <x v="0"/>
    <s v="yes"/>
    <s v="No"/>
    <x v="0"/>
    <x v="0"/>
    <x v="1"/>
    <x v="2"/>
  </r>
  <r>
    <x v="1109"/>
    <n v="30.78"/>
    <n v="8.6300000000000008"/>
    <x v="0"/>
    <s v="No"/>
    <s v="No"/>
    <x v="0"/>
    <x v="0"/>
    <x v="1"/>
    <x v="2"/>
  </r>
  <r>
    <x v="1110"/>
    <n v="47.2"/>
    <n v="6.29"/>
    <x v="1"/>
    <s v="yes"/>
    <s v="No"/>
    <x v="1"/>
    <x v="3"/>
    <x v="1"/>
    <x v="2"/>
  </r>
  <r>
    <x v="1111"/>
    <n v="31.6"/>
    <n v="5.75"/>
    <x v="1"/>
    <s v="No"/>
    <s v="No"/>
    <x v="0"/>
    <x v="1"/>
    <x v="1"/>
    <x v="2"/>
  </r>
  <r>
    <x v="1112"/>
    <n v="33.914999999999999"/>
    <n v="6.66"/>
    <x v="0"/>
    <s v="yes"/>
    <s v="No"/>
    <x v="0"/>
    <x v="3"/>
    <x v="1"/>
    <x v="2"/>
  </r>
  <r>
    <x v="1113"/>
    <n v="23.54"/>
    <n v="5.0999999999999996"/>
    <x v="1"/>
    <s v="No"/>
    <s v="No"/>
    <x v="0"/>
    <x v="1"/>
    <x v="1"/>
    <x v="2"/>
  </r>
  <r>
    <x v="1114"/>
    <n v="27.074999999999999"/>
    <n v="4.41"/>
    <x v="1"/>
    <s v="No"/>
    <s v="No"/>
    <x v="0"/>
    <x v="1"/>
    <x v="1"/>
    <x v="2"/>
  </r>
  <r>
    <x v="1115"/>
    <n v="25.8"/>
    <n v="5.52"/>
    <x v="1"/>
    <s v="yes"/>
    <s v="No"/>
    <x v="0"/>
    <x v="0"/>
    <x v="1"/>
    <x v="2"/>
  </r>
  <r>
    <x v="1116"/>
    <n v="36.1"/>
    <n v="4.62"/>
    <x v="1"/>
    <s v="yes"/>
    <s v="No"/>
    <x v="1"/>
    <x v="3"/>
    <x v="1"/>
    <x v="2"/>
  </r>
  <r>
    <x v="1117"/>
    <n v="30.495000000000001"/>
    <n v="5.74"/>
    <x v="1"/>
    <s v="yes"/>
    <s v="No"/>
    <x v="1"/>
    <x v="3"/>
    <x v="1"/>
    <x v="2"/>
  </r>
  <r>
    <x v="1118"/>
    <n v="21.4"/>
    <n v="6.3"/>
    <x v="1"/>
    <s v="yes"/>
    <s v="No"/>
    <x v="1"/>
    <x v="3"/>
    <x v="1"/>
    <x v="2"/>
  </r>
  <r>
    <x v="1119"/>
    <n v="32.299999999999997"/>
    <n v="10.27"/>
    <x v="0"/>
    <s v="No"/>
    <s v="No"/>
    <x v="0"/>
    <x v="0"/>
    <x v="1"/>
    <x v="2"/>
  </r>
  <r>
    <x v="1120"/>
    <n v="29.78"/>
    <n v="5.85"/>
    <x v="1"/>
    <s v="No"/>
    <s v="No"/>
    <x v="1"/>
    <x v="3"/>
    <x v="1"/>
    <x v="2"/>
  </r>
  <r>
    <x v="1121"/>
    <n v="34.76"/>
    <n v="5.92"/>
    <x v="1"/>
    <s v="yes"/>
    <s v="No"/>
    <x v="0"/>
    <x v="3"/>
    <x v="1"/>
    <x v="2"/>
  </r>
  <r>
    <x v="1122"/>
    <n v="18.335000000000001"/>
    <n v="10.01"/>
    <x v="0"/>
    <s v="yes"/>
    <s v="No"/>
    <x v="0"/>
    <x v="1"/>
    <x v="1"/>
    <x v="3"/>
  </r>
  <r>
    <x v="1123"/>
    <n v="32.299999999999997"/>
    <n v="9.59"/>
    <x v="0"/>
    <s v="No"/>
    <s v="No"/>
    <x v="0"/>
    <x v="0"/>
    <x v="1"/>
    <x v="2"/>
  </r>
  <r>
    <x v="1124"/>
    <n v="27.74"/>
    <n v="10.37"/>
    <x v="0"/>
    <s v="No"/>
    <s v="No"/>
    <x v="0"/>
    <x v="0"/>
    <x v="1"/>
    <x v="2"/>
  </r>
  <r>
    <x v="1125"/>
    <n v="24"/>
    <n v="4.01"/>
    <x v="1"/>
    <s v="yes"/>
    <s v="No"/>
    <x v="0"/>
    <x v="3"/>
    <x v="1"/>
    <x v="2"/>
  </r>
  <r>
    <x v="1126"/>
    <n v="31.78"/>
    <n v="4.24"/>
    <x v="1"/>
    <s v="yes"/>
    <s v="No"/>
    <x v="1"/>
    <x v="3"/>
    <x v="1"/>
    <x v="2"/>
  </r>
  <r>
    <x v="1127"/>
    <n v="32.25"/>
    <n v="5.36"/>
    <x v="1"/>
    <s v="yes"/>
    <s v="No"/>
    <x v="0"/>
    <x v="0"/>
    <x v="1"/>
    <x v="2"/>
  </r>
  <r>
    <x v="1128"/>
    <n v="30.114999999999998"/>
    <n v="4.99"/>
    <x v="1"/>
    <s v="No"/>
    <s v="No"/>
    <x v="0"/>
    <x v="1"/>
    <x v="1"/>
    <x v="2"/>
  </r>
  <r>
    <x v="1129"/>
    <n v="22.41"/>
    <n v="8.68"/>
    <x v="0"/>
    <s v="No"/>
    <s v="No"/>
    <x v="0"/>
    <x v="0"/>
    <x v="1"/>
    <x v="2"/>
  </r>
  <r>
    <x v="1130"/>
    <n v="45.72"/>
    <n v="4.2300000000000004"/>
    <x v="1"/>
    <s v="yes"/>
    <s v="No"/>
    <x v="0"/>
    <x v="0"/>
    <x v="1"/>
    <x v="2"/>
  </r>
  <r>
    <x v="1131"/>
    <n v="25"/>
    <n v="5.32"/>
    <x v="1"/>
    <s v="yes"/>
    <s v="No"/>
    <x v="0"/>
    <x v="1"/>
    <x v="1"/>
    <x v="2"/>
  </r>
  <r>
    <x v="1132"/>
    <n v="39.5"/>
    <n v="6.66"/>
    <x v="0"/>
    <s v="No"/>
    <s v="No"/>
    <x v="0"/>
    <x v="0"/>
    <x v="1"/>
    <x v="2"/>
  </r>
  <r>
    <x v="1133"/>
    <n v="37.729999999999997"/>
    <n v="7.4"/>
    <x v="0"/>
    <s v="No"/>
    <s v="No"/>
    <x v="0"/>
    <x v="0"/>
    <x v="1"/>
    <x v="2"/>
  </r>
  <r>
    <x v="1134"/>
    <n v="40.659999999999997"/>
    <n v="10.08"/>
    <x v="0"/>
    <s v="No"/>
    <s v="No"/>
    <x v="0"/>
    <x v="0"/>
    <x v="1"/>
    <x v="2"/>
  </r>
  <r>
    <x v="1135"/>
    <n v="34.200000000000003"/>
    <n v="8.58"/>
    <x v="0"/>
    <s v="No"/>
    <s v="No"/>
    <x v="0"/>
    <x v="0"/>
    <x v="1"/>
    <x v="2"/>
  </r>
  <r>
    <x v="1136"/>
    <n v="46.51"/>
    <n v="5.84"/>
    <x v="1"/>
    <s v="No"/>
    <s v="No"/>
    <x v="0"/>
    <x v="3"/>
    <x v="1"/>
    <x v="2"/>
  </r>
  <r>
    <x v="1137"/>
    <n v="28.88"/>
    <n v="4.8600000000000003"/>
    <x v="1"/>
    <s v="yes"/>
    <s v="No"/>
    <x v="1"/>
    <x v="3"/>
    <x v="1"/>
    <x v="2"/>
  </r>
  <r>
    <x v="1138"/>
    <n v="33.914999999999999"/>
    <n v="11.52"/>
    <x v="0"/>
    <s v="No"/>
    <s v="No"/>
    <x v="0"/>
    <x v="0"/>
    <x v="1"/>
    <x v="2"/>
  </r>
  <r>
    <x v="1139"/>
    <n v="24.32"/>
    <n v="6.15"/>
    <x v="1"/>
    <s v="yes"/>
    <s v="No"/>
    <x v="1"/>
    <x v="3"/>
    <x v="1"/>
    <x v="2"/>
  </r>
  <r>
    <x v="1140"/>
    <n v="25.8"/>
    <n v="9.94"/>
    <x v="0"/>
    <s v="No"/>
    <s v="No"/>
    <x v="0"/>
    <x v="0"/>
    <x v="1"/>
    <x v="2"/>
  </r>
  <r>
    <x v="1141"/>
    <n v="21.56"/>
    <n v="10.56"/>
    <x v="0"/>
    <s v="No"/>
    <s v="No"/>
    <x v="0"/>
    <x v="0"/>
    <x v="1"/>
    <x v="2"/>
  </r>
  <r>
    <x v="1142"/>
    <n v="31.6"/>
    <n v="6.79"/>
    <x v="0"/>
    <s v="No"/>
    <s v="No"/>
    <x v="0"/>
    <x v="0"/>
    <x v="1"/>
    <x v="2"/>
  </r>
  <r>
    <x v="1143"/>
    <n v="42.93"/>
    <n v="4.8"/>
    <x v="1"/>
    <s v="No"/>
    <s v="No"/>
    <x v="0"/>
    <x v="3"/>
    <x v="1"/>
    <x v="2"/>
  </r>
  <r>
    <x v="1144"/>
    <n v="26.72"/>
    <n v="5.75"/>
    <x v="1"/>
    <s v="No"/>
    <s v="No"/>
    <x v="0"/>
    <x v="1"/>
    <x v="1"/>
    <x v="2"/>
  </r>
  <r>
    <x v="1145"/>
    <n v="26.67"/>
    <n v="5.81"/>
    <x v="1"/>
    <s v="No"/>
    <s v="No"/>
    <x v="0"/>
    <x v="1"/>
    <x v="1"/>
    <x v="2"/>
  </r>
  <r>
    <x v="1146"/>
    <n v="42.68"/>
    <n v="9.2799999999999994"/>
    <x v="0"/>
    <s v="No"/>
    <s v="No"/>
    <x v="0"/>
    <x v="1"/>
    <x v="1"/>
    <x v="2"/>
  </r>
  <r>
    <x v="1147"/>
    <n v="24.31"/>
    <n v="6.37"/>
    <x v="1"/>
    <s v="No"/>
    <s v="No"/>
    <x v="0"/>
    <x v="0"/>
    <x v="1"/>
    <x v="2"/>
  </r>
  <r>
    <x v="1148"/>
    <n v="44.75"/>
    <n v="5.09"/>
    <x v="1"/>
    <s v="yes"/>
    <s v="No"/>
    <x v="0"/>
    <x v="0"/>
    <x v="1"/>
    <x v="2"/>
  </r>
  <r>
    <x v="1149"/>
    <n v="30.78"/>
    <n v="7.94"/>
    <x v="0"/>
    <s v="No"/>
    <s v="No"/>
    <x v="0"/>
    <x v="1"/>
    <x v="1"/>
    <x v="2"/>
  </r>
  <r>
    <x v="1150"/>
    <n v="21.86"/>
    <n v="10.95"/>
    <x v="0"/>
    <s v="No"/>
    <s v="No"/>
    <x v="0"/>
    <x v="0"/>
    <x v="1"/>
    <x v="2"/>
  </r>
  <r>
    <x v="1151"/>
    <n v="49.09"/>
    <n v="6.3"/>
    <x v="1"/>
    <s v="yes"/>
    <s v="No"/>
    <x v="0"/>
    <x v="0"/>
    <x v="1"/>
    <x v="2"/>
  </r>
  <r>
    <x v="1152"/>
    <n v="47.74"/>
    <n v="8.0500000000000007"/>
    <x v="0"/>
    <s v="yes"/>
    <s v="No"/>
    <x v="0"/>
    <x v="1"/>
    <x v="1"/>
    <x v="2"/>
  </r>
  <r>
    <x v="1153"/>
    <n v="30.2"/>
    <n v="9.8800000000000008"/>
    <x v="0"/>
    <s v="yes"/>
    <s v="No"/>
    <x v="0"/>
    <x v="1"/>
    <x v="1"/>
    <x v="2"/>
  </r>
  <r>
    <x v="1154"/>
    <n v="33.25"/>
    <n v="7.42"/>
    <x v="0"/>
    <s v="yes"/>
    <s v="No"/>
    <x v="0"/>
    <x v="1"/>
    <x v="1"/>
    <x v="2"/>
  </r>
  <r>
    <x v="1155"/>
    <n v="26.6"/>
    <n v="8.4499999999999993"/>
    <x v="0"/>
    <s v="yes"/>
    <s v="No"/>
    <x v="0"/>
    <x v="3"/>
    <x v="1"/>
    <x v="2"/>
  </r>
  <r>
    <x v="1156"/>
    <n v="26.35"/>
    <n v="6.21"/>
    <x v="1"/>
    <s v="No"/>
    <s v="No"/>
    <x v="0"/>
    <x v="1"/>
    <x v="1"/>
    <x v="2"/>
  </r>
  <r>
    <x v="1157"/>
    <n v="39.994999999999997"/>
    <n v="4.6500000000000004"/>
    <x v="1"/>
    <s v="No"/>
    <s v="No"/>
    <x v="0"/>
    <x v="0"/>
    <x v="1"/>
    <x v="2"/>
  </r>
  <r>
    <x v="1158"/>
    <n v="22.92"/>
    <n v="5.87"/>
    <x v="1"/>
    <s v="yes"/>
    <s v="No"/>
    <x v="0"/>
    <x v="3"/>
    <x v="1"/>
    <x v="2"/>
  </r>
  <r>
    <x v="1159"/>
    <n v="24.78"/>
    <n v="4.24"/>
    <x v="1"/>
    <s v="yes"/>
    <s v="No"/>
    <x v="0"/>
    <x v="1"/>
    <x v="1"/>
    <x v="2"/>
  </r>
  <r>
    <x v="1160"/>
    <n v="34.07"/>
    <n v="7.81"/>
    <x v="1"/>
    <s v="yes"/>
    <s v="No"/>
    <x v="0"/>
    <x v="0"/>
    <x v="1"/>
    <x v="2"/>
  </r>
  <r>
    <x v="1161"/>
    <n v="30.14"/>
    <n v="9.85"/>
    <x v="0"/>
    <s v="No"/>
    <s v="No"/>
    <x v="0"/>
    <x v="0"/>
    <x v="1"/>
    <x v="2"/>
  </r>
  <r>
    <x v="1162"/>
    <n v="18.05"/>
    <n v="6.94"/>
    <x v="0"/>
    <s v="No"/>
    <s v="No"/>
    <x v="0"/>
    <x v="0"/>
    <x v="1"/>
    <x v="3"/>
  </r>
  <r>
    <x v="1163"/>
    <n v="37.4"/>
    <n v="11.3"/>
    <x v="0"/>
    <s v="yes"/>
    <s v="No"/>
    <x v="0"/>
    <x v="1"/>
    <x v="1"/>
    <x v="2"/>
  </r>
  <r>
    <x v="1164"/>
    <n v="25.75"/>
    <n v="9.23"/>
    <x v="0"/>
    <s v="No"/>
    <s v="No"/>
    <x v="0"/>
    <x v="0"/>
    <x v="1"/>
    <x v="2"/>
  </r>
  <r>
    <x v="1165"/>
    <n v="32.299999999999997"/>
    <n v="4.37"/>
    <x v="1"/>
    <s v="No"/>
    <s v="No"/>
    <x v="0"/>
    <x v="1"/>
    <x v="1"/>
    <x v="2"/>
  </r>
  <r>
    <x v="1166"/>
    <n v="28.61"/>
    <n v="5.76"/>
    <x v="1"/>
    <s v="No"/>
    <s v="No"/>
    <x v="1"/>
    <x v="3"/>
    <x v="1"/>
    <x v="2"/>
  </r>
  <r>
    <x v="1167"/>
    <n v="45.41"/>
    <n v="4.96"/>
    <x v="1"/>
    <s v="No"/>
    <s v="No"/>
    <x v="0"/>
    <x v="3"/>
    <x v="1"/>
    <x v="2"/>
  </r>
  <r>
    <x v="1168"/>
    <n v="31.2"/>
    <n v="11.04"/>
    <x v="0"/>
    <s v="yes"/>
    <s v="No"/>
    <x v="0"/>
    <x v="1"/>
    <x v="1"/>
    <x v="2"/>
  </r>
  <r>
    <x v="1169"/>
    <n v="29.83"/>
    <n v="7.81"/>
    <x v="0"/>
    <s v="yes"/>
    <s v="No"/>
    <x v="0"/>
    <x v="3"/>
    <x v="1"/>
    <x v="2"/>
  </r>
  <r>
    <x v="1170"/>
    <n v="29.06"/>
    <n v="4.55"/>
    <x v="1"/>
    <s v="No"/>
    <s v="No"/>
    <x v="0"/>
    <x v="0"/>
    <x v="1"/>
    <x v="2"/>
  </r>
  <r>
    <x v="1171"/>
    <n v="27.454999999999998"/>
    <n v="6.13"/>
    <x v="1"/>
    <s v="No"/>
    <s v="No"/>
    <x v="0"/>
    <x v="1"/>
    <x v="1"/>
    <x v="2"/>
  </r>
  <r>
    <x v="1172"/>
    <n v="23.01"/>
    <n v="6.04"/>
    <x v="1"/>
    <s v="yes"/>
    <s v="No"/>
    <x v="0"/>
    <x v="3"/>
    <x v="1"/>
    <x v="2"/>
  </r>
  <r>
    <x v="1173"/>
    <n v="31.39"/>
    <n v="8.85"/>
    <x v="0"/>
    <s v="yes"/>
    <s v="No"/>
    <x v="0"/>
    <x v="0"/>
    <x v="1"/>
    <x v="2"/>
  </r>
  <r>
    <x v="1174"/>
    <n v="34.770000000000003"/>
    <n v="10.54"/>
    <x v="0"/>
    <s v="No"/>
    <s v="No"/>
    <x v="0"/>
    <x v="1"/>
    <x v="1"/>
    <x v="2"/>
  </r>
  <r>
    <x v="1175"/>
    <n v="24.48"/>
    <n v="4.37"/>
    <x v="1"/>
    <s v="yes"/>
    <s v="No"/>
    <x v="0"/>
    <x v="1"/>
    <x v="1"/>
    <x v="2"/>
  </r>
  <r>
    <x v="1176"/>
    <n v="22.61"/>
    <n v="9.6300000000000008"/>
    <x v="0"/>
    <s v="No"/>
    <s v="No"/>
    <x v="0"/>
    <x v="1"/>
    <x v="1"/>
    <x v="2"/>
  </r>
  <r>
    <x v="1177"/>
    <n v="34.299999999999997"/>
    <n v="10.37"/>
    <x v="0"/>
    <s v="No"/>
    <s v="No"/>
    <x v="0"/>
    <x v="0"/>
    <x v="1"/>
    <x v="2"/>
  </r>
  <r>
    <x v="1178"/>
    <n v="46.09"/>
    <n v="5.44"/>
    <x v="1"/>
    <s v="No"/>
    <s v="No"/>
    <x v="0"/>
    <x v="1"/>
    <x v="1"/>
    <x v="2"/>
  </r>
  <r>
    <x v="1179"/>
    <n v="44.744999999999997"/>
    <n v="5.19"/>
    <x v="1"/>
    <s v="No"/>
    <s v="No"/>
    <x v="0"/>
    <x v="1"/>
    <x v="1"/>
    <x v="2"/>
  </r>
  <r>
    <x v="1180"/>
    <n v="26.33"/>
    <n v="11.8"/>
    <x v="0"/>
    <s v="yes"/>
    <s v="No"/>
    <x v="0"/>
    <x v="3"/>
    <x v="1"/>
    <x v="2"/>
  </r>
  <r>
    <x v="1181"/>
    <n v="26.6"/>
    <n v="8.3800000000000008"/>
    <x v="0"/>
    <s v="No"/>
    <s v="No"/>
    <x v="0"/>
    <x v="1"/>
    <x v="1"/>
    <x v="2"/>
  </r>
  <r>
    <x v="1182"/>
    <n v="27.5"/>
    <n v="7.58"/>
    <x v="0"/>
    <s v="No"/>
    <s v="No"/>
    <x v="0"/>
    <x v="0"/>
    <x v="1"/>
    <x v="2"/>
  </r>
  <r>
    <x v="1183"/>
    <n v="41.55"/>
    <n v="4.6100000000000003"/>
    <x v="1"/>
    <s v="No"/>
    <s v="No"/>
    <x v="0"/>
    <x v="3"/>
    <x v="1"/>
    <x v="2"/>
  </r>
  <r>
    <x v="1184"/>
    <n v="41.47"/>
    <n v="4.7"/>
    <x v="1"/>
    <s v="yes"/>
    <s v="No"/>
    <x v="1"/>
    <x v="3"/>
    <x v="1"/>
    <x v="2"/>
  </r>
  <r>
    <x v="1185"/>
    <n v="24.795000000000002"/>
    <n v="6.05"/>
    <x v="1"/>
    <s v="yes"/>
    <s v="No"/>
    <x v="0"/>
    <x v="0"/>
    <x v="1"/>
    <x v="2"/>
  </r>
  <r>
    <x v="1186"/>
    <n v="29.48"/>
    <n v="5.63"/>
    <x v="1"/>
    <s v="yes"/>
    <s v="No"/>
    <x v="1"/>
    <x v="3"/>
    <x v="1"/>
    <x v="2"/>
  </r>
  <r>
    <x v="1187"/>
    <n v="28.09"/>
    <n v="6.06"/>
    <x v="1"/>
    <s v="No"/>
    <s v="No"/>
    <x v="1"/>
    <x v="3"/>
    <x v="1"/>
    <x v="2"/>
  </r>
  <r>
    <x v="1188"/>
    <n v="32.729999999999997"/>
    <n v="5.19"/>
    <x v="1"/>
    <s v="No"/>
    <s v="No"/>
    <x v="0"/>
    <x v="3"/>
    <x v="1"/>
    <x v="2"/>
  </r>
  <r>
    <x v="1189"/>
    <n v="27.36"/>
    <n v="8.9600000000000009"/>
    <x v="0"/>
    <s v="No"/>
    <s v="No"/>
    <x v="0"/>
    <x v="0"/>
    <x v="1"/>
    <x v="2"/>
  </r>
  <r>
    <x v="1190"/>
    <n v="27.265000000000001"/>
    <n v="11.39"/>
    <x v="0"/>
    <s v="No"/>
    <s v="No"/>
    <x v="0"/>
    <x v="0"/>
    <x v="1"/>
    <x v="2"/>
  </r>
  <r>
    <x v="1191"/>
    <n v="48.07"/>
    <n v="4.0599999999999996"/>
    <x v="1"/>
    <s v="yes"/>
    <s v="No"/>
    <x v="0"/>
    <x v="0"/>
    <x v="1"/>
    <x v="2"/>
  </r>
  <r>
    <x v="1192"/>
    <n v="30.8"/>
    <n v="5.23"/>
    <x v="1"/>
    <s v="yes"/>
    <s v="No"/>
    <x v="0"/>
    <x v="0"/>
    <x v="1"/>
    <x v="2"/>
  </r>
  <r>
    <x v="1193"/>
    <n v="32.299999999999997"/>
    <n v="5.05"/>
    <x v="1"/>
    <s v="yes"/>
    <s v="No"/>
    <x v="0"/>
    <x v="0"/>
    <x v="1"/>
    <x v="2"/>
  </r>
  <r>
    <x v="1194"/>
    <n v="39.700000000000003"/>
    <n v="7.34"/>
    <x v="0"/>
    <s v="No"/>
    <s v="No"/>
    <x v="0"/>
    <x v="0"/>
    <x v="1"/>
    <x v="2"/>
  </r>
  <r>
    <x v="1195"/>
    <n v="35.97"/>
    <n v="8.1300000000000008"/>
    <x v="0"/>
    <s v="No"/>
    <s v="No"/>
    <x v="0"/>
    <x v="0"/>
    <x v="1"/>
    <x v="2"/>
  </r>
  <r>
    <x v="1196"/>
    <n v="25.86"/>
    <n v="6.68"/>
    <x v="0"/>
    <s v="yes"/>
    <s v="No"/>
    <x v="0"/>
    <x v="3"/>
    <x v="1"/>
    <x v="2"/>
  </r>
  <r>
    <x v="1197"/>
    <n v="30.03"/>
    <n v="11.51"/>
    <x v="0"/>
    <s v="No"/>
    <s v="No"/>
    <x v="0"/>
    <x v="0"/>
    <x v="1"/>
    <x v="2"/>
  </r>
  <r>
    <x v="1198"/>
    <n v="25.76"/>
    <n v="6.02"/>
    <x v="1"/>
    <s v="yes"/>
    <s v="No"/>
    <x v="1"/>
    <x v="3"/>
    <x v="1"/>
    <x v="2"/>
  </r>
  <r>
    <x v="1199"/>
    <n v="22.42"/>
    <n v="7.96"/>
    <x v="0"/>
    <s v="No"/>
    <s v="No"/>
    <x v="0"/>
    <x v="0"/>
    <x v="1"/>
    <x v="2"/>
  </r>
  <r>
    <x v="1200"/>
    <n v="33.18"/>
    <n v="6.01"/>
    <x v="1"/>
    <s v="yes"/>
    <s v="No"/>
    <x v="0"/>
    <x v="3"/>
    <x v="1"/>
    <x v="2"/>
  </r>
  <r>
    <x v="1201"/>
    <n v="43.04"/>
    <n v="5.9"/>
    <x v="1"/>
    <s v="yes"/>
    <s v="No"/>
    <x v="0"/>
    <x v="0"/>
    <x v="1"/>
    <x v="2"/>
  </r>
  <r>
    <x v="1202"/>
    <n v="34.15"/>
    <n v="4.49"/>
    <x v="1"/>
    <s v="yes"/>
    <s v="No"/>
    <x v="0"/>
    <x v="3"/>
    <x v="1"/>
    <x v="2"/>
  </r>
  <r>
    <x v="1203"/>
    <n v="25.78"/>
    <n v="6.25"/>
    <x v="1"/>
    <s v="No"/>
    <s v="No"/>
    <x v="0"/>
    <x v="0"/>
    <x v="1"/>
    <x v="2"/>
  </r>
  <r>
    <x v="1204"/>
    <n v="21.02"/>
    <n v="9.6199999999999992"/>
    <x v="0"/>
    <s v="yes"/>
    <s v="No"/>
    <x v="1"/>
    <x v="3"/>
    <x v="1"/>
    <x v="2"/>
  </r>
  <r>
    <x v="1205"/>
    <n v="37.51"/>
    <n v="11.06"/>
    <x v="0"/>
    <s v="No"/>
    <s v="No"/>
    <x v="0"/>
    <x v="1"/>
    <x v="1"/>
    <x v="2"/>
  </r>
  <r>
    <x v="1206"/>
    <n v="25.745000000000001"/>
    <n v="6.11"/>
    <x v="1"/>
    <s v="yes"/>
    <s v="No"/>
    <x v="0"/>
    <x v="0"/>
    <x v="1"/>
    <x v="2"/>
  </r>
  <r>
    <x v="1207"/>
    <n v="31.35"/>
    <n v="11.49"/>
    <x v="0"/>
    <s v="No"/>
    <s v="No"/>
    <x v="0"/>
    <x v="1"/>
    <x v="1"/>
    <x v="2"/>
  </r>
  <r>
    <x v="1208"/>
    <n v="29.83"/>
    <n v="8.68"/>
    <x v="0"/>
    <s v="No"/>
    <s v="No"/>
    <x v="0"/>
    <x v="1"/>
    <x v="1"/>
    <x v="2"/>
  </r>
  <r>
    <x v="1209"/>
    <n v="25.49"/>
    <n v="5.68"/>
    <x v="1"/>
    <s v="yes"/>
    <s v="No"/>
    <x v="1"/>
    <x v="3"/>
    <x v="1"/>
    <x v="2"/>
  </r>
  <r>
    <x v="1210"/>
    <n v="34.1"/>
    <n v="8.4499999999999993"/>
    <x v="0"/>
    <s v="No"/>
    <s v="No"/>
    <x v="0"/>
    <x v="0"/>
    <x v="1"/>
    <x v="2"/>
  </r>
  <r>
    <x v="1211"/>
    <n v="25.84"/>
    <n v="8.51"/>
    <x v="0"/>
    <s v="No"/>
    <s v="No"/>
    <x v="0"/>
    <x v="1"/>
    <x v="1"/>
    <x v="2"/>
  </r>
  <r>
    <x v="1212"/>
    <n v="20.6"/>
    <n v="7.62"/>
    <x v="0"/>
    <s v="No"/>
    <s v="No"/>
    <x v="0"/>
    <x v="0"/>
    <x v="1"/>
    <x v="2"/>
  </r>
  <r>
    <x v="1213"/>
    <n v="28.88"/>
    <n v="10.18"/>
    <x v="0"/>
    <s v="No"/>
    <s v="No"/>
    <x v="0"/>
    <x v="0"/>
    <x v="1"/>
    <x v="2"/>
  </r>
  <r>
    <x v="1214"/>
    <n v="28.24"/>
    <n v="5.36"/>
    <x v="1"/>
    <s v="No"/>
    <s v="No"/>
    <x v="0"/>
    <x v="0"/>
    <x v="1"/>
    <x v="2"/>
  </r>
  <r>
    <x v="1215"/>
    <n v="25.46"/>
    <n v="11.78"/>
    <x v="0"/>
    <s v="yes"/>
    <s v="No"/>
    <x v="0"/>
    <x v="3"/>
    <x v="1"/>
    <x v="2"/>
  </r>
  <r>
    <x v="1216"/>
    <n v="29.64"/>
    <n v="10.82"/>
    <x v="0"/>
    <s v="yes"/>
    <s v="No"/>
    <x v="0"/>
    <x v="0"/>
    <x v="1"/>
    <x v="2"/>
  </r>
  <r>
    <x v="1217"/>
    <n v="31.27"/>
    <n v="7.73"/>
    <x v="0"/>
    <s v="yes"/>
    <s v="No"/>
    <x v="0"/>
    <x v="3"/>
    <x v="1"/>
    <x v="2"/>
  </r>
  <r>
    <x v="1218"/>
    <n v="19.95"/>
    <n v="6.24"/>
    <x v="0"/>
    <s v="yes"/>
    <s v="No"/>
    <x v="0"/>
    <x v="0"/>
    <x v="1"/>
    <x v="2"/>
  </r>
  <r>
    <x v="1219"/>
    <n v="21.3"/>
    <n v="10.42"/>
    <x v="0"/>
    <s v="No"/>
    <s v="No"/>
    <x v="0"/>
    <x v="1"/>
    <x v="1"/>
    <x v="2"/>
  </r>
  <r>
    <x v="1220"/>
    <n v="31.635000000000002"/>
    <n v="11.11"/>
    <x v="0"/>
    <s v="No"/>
    <s v="No"/>
    <x v="0"/>
    <x v="0"/>
    <x v="1"/>
    <x v="2"/>
  </r>
  <r>
    <x v="1221"/>
    <n v="23.9"/>
    <n v="7.67"/>
    <x v="0"/>
    <s v="yes"/>
    <s v="No"/>
    <x v="0"/>
    <x v="1"/>
    <x v="1"/>
    <x v="2"/>
  </r>
  <r>
    <x v="1222"/>
    <n v="34.15"/>
    <n v="6.15"/>
    <x v="1"/>
    <s v="No"/>
    <s v="No"/>
    <x v="0"/>
    <x v="0"/>
    <x v="1"/>
    <x v="2"/>
  </r>
  <r>
    <x v="1223"/>
    <n v="28.71"/>
    <n v="5.71"/>
    <x v="1"/>
    <s v="No"/>
    <s v="No"/>
    <x v="0"/>
    <x v="0"/>
    <x v="1"/>
    <x v="2"/>
  </r>
  <r>
    <x v="1224"/>
    <n v="36.700000000000003"/>
    <n v="8.6999999999999993"/>
    <x v="0"/>
    <s v="yes"/>
    <s v="No"/>
    <x v="0"/>
    <x v="1"/>
    <x v="1"/>
    <x v="2"/>
  </r>
  <r>
    <x v="1225"/>
    <n v="34.1"/>
    <n v="9.0399999999999991"/>
    <x v="0"/>
    <s v="yes"/>
    <s v="No"/>
    <x v="0"/>
    <x v="1"/>
    <x v="1"/>
    <x v="2"/>
  </r>
  <r>
    <x v="1226"/>
    <n v="25.7"/>
    <n v="5.61"/>
    <x v="1"/>
    <s v="No"/>
    <s v="No"/>
    <x v="0"/>
    <x v="0"/>
    <x v="1"/>
    <x v="2"/>
  </r>
  <r>
    <x v="1227"/>
    <n v="21.68"/>
    <n v="8.1199999999999992"/>
    <x v="0"/>
    <s v="No"/>
    <s v="No"/>
    <x v="0"/>
    <x v="0"/>
    <x v="1"/>
    <x v="2"/>
  </r>
  <r>
    <x v="1228"/>
    <n v="25.175000000000001"/>
    <n v="4.74"/>
    <x v="1"/>
    <s v="No"/>
    <s v="No"/>
    <x v="0"/>
    <x v="0"/>
    <x v="1"/>
    <x v="2"/>
  </r>
  <r>
    <x v="1229"/>
    <n v="44.77"/>
    <n v="4.0599999999999996"/>
    <x v="1"/>
    <s v="No"/>
    <s v="No"/>
    <x v="0"/>
    <x v="1"/>
    <x v="1"/>
    <x v="2"/>
  </r>
  <r>
    <x v="1230"/>
    <n v="37.07"/>
    <n v="5.69"/>
    <x v="1"/>
    <s v="No"/>
    <s v="No"/>
    <x v="0"/>
    <x v="1"/>
    <x v="1"/>
    <x v="2"/>
  </r>
  <r>
    <x v="1231"/>
    <n v="39.799999999999997"/>
    <n v="5.66"/>
    <x v="1"/>
    <s v="No"/>
    <s v="No"/>
    <x v="1"/>
    <x v="3"/>
    <x v="1"/>
    <x v="2"/>
  </r>
  <r>
    <x v="1232"/>
    <n v="26.36"/>
    <n v="4.32"/>
    <x v="1"/>
    <s v="No"/>
    <s v="No"/>
    <x v="1"/>
    <x v="3"/>
    <x v="1"/>
    <x v="2"/>
  </r>
  <r>
    <x v="1233"/>
    <n v="29.925000000000001"/>
    <n v="8.2899999999999991"/>
    <x v="0"/>
    <s v="No"/>
    <s v="No"/>
    <x v="0"/>
    <x v="1"/>
    <x v="1"/>
    <x v="2"/>
  </r>
  <r>
    <x v="1234"/>
    <n v="37.29"/>
    <n v="10.46"/>
    <x v="0"/>
    <s v="No"/>
    <s v="No"/>
    <x v="0"/>
    <x v="0"/>
    <x v="1"/>
    <x v="2"/>
  </r>
  <r>
    <x v="1235"/>
    <n v="30.2"/>
    <n v="11.96"/>
    <x v="0"/>
    <s v="No"/>
    <s v="No"/>
    <x v="0"/>
    <x v="0"/>
    <x v="1"/>
    <x v="2"/>
  </r>
  <r>
    <x v="1236"/>
    <n v="24.225000000000001"/>
    <n v="4.25"/>
    <x v="1"/>
    <s v="yes"/>
    <s v="No"/>
    <x v="1"/>
    <x v="3"/>
    <x v="1"/>
    <x v="2"/>
  </r>
  <r>
    <x v="1237"/>
    <n v="31.445"/>
    <n v="8.33"/>
    <x v="0"/>
    <s v="No"/>
    <s v="No"/>
    <x v="0"/>
    <x v="0"/>
    <x v="1"/>
    <x v="2"/>
  </r>
  <r>
    <x v="1238"/>
    <n v="38.880000000000003"/>
    <n v="4.29"/>
    <x v="1"/>
    <s v="No"/>
    <s v="No"/>
    <x v="0"/>
    <x v="3"/>
    <x v="1"/>
    <x v="2"/>
  </r>
  <r>
    <x v="1239"/>
    <n v="43.89"/>
    <n v="6.32"/>
    <x v="1"/>
    <s v="yes"/>
    <s v="No"/>
    <x v="0"/>
    <x v="0"/>
    <x v="1"/>
    <x v="2"/>
  </r>
  <r>
    <x v="1240"/>
    <n v="25.6"/>
    <n v="5.65"/>
    <x v="1"/>
    <s v="No"/>
    <s v="No"/>
    <x v="0"/>
    <x v="1"/>
    <x v="1"/>
    <x v="2"/>
  </r>
  <r>
    <x v="1241"/>
    <n v="29.545000000000002"/>
    <n v="8.41"/>
    <x v="0"/>
    <s v="yes"/>
    <s v="No"/>
    <x v="0"/>
    <x v="3"/>
    <x v="1"/>
    <x v="2"/>
  </r>
  <r>
    <x v="1242"/>
    <n v="23.25"/>
    <n v="11.96"/>
    <x v="0"/>
    <s v="yes"/>
    <s v="No"/>
    <x v="0"/>
    <x v="0"/>
    <x v="1"/>
    <x v="2"/>
  </r>
  <r>
    <x v="1243"/>
    <n v="43.95"/>
    <n v="5.17"/>
    <x v="1"/>
    <s v="yes"/>
    <s v="No"/>
    <x v="1"/>
    <x v="3"/>
    <x v="1"/>
    <x v="2"/>
  </r>
  <r>
    <x v="1244"/>
    <n v="21.85"/>
    <n v="8.76"/>
    <x v="0"/>
    <s v="No"/>
    <s v="No"/>
    <x v="0"/>
    <x v="0"/>
    <x v="1"/>
    <x v="2"/>
  </r>
  <r>
    <x v="1245"/>
    <n v="25.73"/>
    <n v="7.99"/>
    <x v="0"/>
    <s v="No"/>
    <s v="No"/>
    <x v="0"/>
    <x v="1"/>
    <x v="1"/>
    <x v="2"/>
  </r>
  <r>
    <x v="1246"/>
    <n v="32.229999999999997"/>
    <n v="8.59"/>
    <x v="0"/>
    <s v="No"/>
    <s v="No"/>
    <x v="0"/>
    <x v="0"/>
    <x v="1"/>
    <x v="2"/>
  </r>
  <r>
    <x v="1247"/>
    <n v="32.204999999999998"/>
    <n v="6.14"/>
    <x v="1"/>
    <s v="No"/>
    <s v="No"/>
    <x v="0"/>
    <x v="1"/>
    <x v="1"/>
    <x v="2"/>
  </r>
  <r>
    <x v="1248"/>
    <n v="26.41"/>
    <n v="4.08"/>
    <x v="1"/>
    <s v="No"/>
    <s v="No"/>
    <x v="0"/>
    <x v="1"/>
    <x v="1"/>
    <x v="2"/>
  </r>
  <r>
    <x v="1249"/>
    <n v="30.2"/>
    <n v="6.25"/>
    <x v="1"/>
    <s v="yes"/>
    <s v="No"/>
    <x v="0"/>
    <x v="0"/>
    <x v="1"/>
    <x v="2"/>
  </r>
  <r>
    <x v="1250"/>
    <n v="31.26"/>
    <n v="5.94"/>
    <x v="1"/>
    <s v="yes"/>
    <s v="No"/>
    <x v="0"/>
    <x v="3"/>
    <x v="1"/>
    <x v="2"/>
  </r>
  <r>
    <x v="1251"/>
    <n v="33.725000000000001"/>
    <n v="6.45"/>
    <x v="1"/>
    <s v="yes"/>
    <s v="No"/>
    <x v="0"/>
    <x v="0"/>
    <x v="1"/>
    <x v="2"/>
  </r>
  <r>
    <x v="1252"/>
    <n v="28.9"/>
    <n v="5.74"/>
    <x v="1"/>
    <s v="yes"/>
    <s v="No"/>
    <x v="0"/>
    <x v="0"/>
    <x v="1"/>
    <x v="2"/>
  </r>
  <r>
    <x v="1253"/>
    <n v="45.69"/>
    <n v="4.43"/>
    <x v="1"/>
    <s v="yes"/>
    <s v="No"/>
    <x v="0"/>
    <x v="0"/>
    <x v="1"/>
    <x v="2"/>
  </r>
  <r>
    <x v="1254"/>
    <n v="21.03"/>
    <n v="6.5"/>
    <x v="1"/>
    <s v="No"/>
    <s v="No"/>
    <x v="0"/>
    <x v="0"/>
    <x v="1"/>
    <x v="2"/>
  </r>
  <r>
    <x v="1255"/>
    <n v="37"/>
    <n v="8.75"/>
    <x v="0"/>
    <s v="No"/>
    <s v="No"/>
    <x v="0"/>
    <x v="0"/>
    <x v="1"/>
    <x v="2"/>
  </r>
  <r>
    <x v="1256"/>
    <n v="25.4"/>
    <n v="11.96"/>
    <x v="0"/>
    <s v="No"/>
    <s v="No"/>
    <x v="0"/>
    <x v="0"/>
    <x v="1"/>
    <x v="2"/>
  </r>
  <r>
    <x v="1257"/>
    <n v="32.299999999999997"/>
    <n v="10.54"/>
    <x v="0"/>
    <s v="No"/>
    <s v="No"/>
    <x v="0"/>
    <x v="0"/>
    <x v="1"/>
    <x v="2"/>
  </r>
  <r>
    <x v="1258"/>
    <n v="23.94"/>
    <n v="4.54"/>
    <x v="1"/>
    <s v="yes"/>
    <s v="No"/>
    <x v="1"/>
    <x v="3"/>
    <x v="1"/>
    <x v="2"/>
  </r>
  <r>
    <x v="1259"/>
    <n v="46.4"/>
    <n v="5.71"/>
    <x v="1"/>
    <s v="No"/>
    <s v="No"/>
    <x v="0"/>
    <x v="0"/>
    <x v="1"/>
    <x v="2"/>
  </r>
  <r>
    <x v="1260"/>
    <n v="40.375"/>
    <n v="6.25"/>
    <x v="1"/>
    <s v="yes"/>
    <s v="No"/>
    <x v="0"/>
    <x v="0"/>
    <x v="1"/>
    <x v="2"/>
  </r>
  <r>
    <x v="1261"/>
    <n v="28.7"/>
    <n v="9.4700000000000006"/>
    <x v="0"/>
    <s v="No"/>
    <s v="No"/>
    <x v="0"/>
    <x v="1"/>
    <x v="1"/>
    <x v="2"/>
  </r>
  <r>
    <x v="1262"/>
    <n v="26.63"/>
    <n v="5.7"/>
    <x v="1"/>
    <s v="No"/>
    <s v="No"/>
    <x v="0"/>
    <x v="0"/>
    <x v="1"/>
    <x v="2"/>
  </r>
  <r>
    <x v="1263"/>
    <n v="22.515000000000001"/>
    <n v="11.18"/>
    <x v="0"/>
    <s v="No"/>
    <s v="No"/>
    <x v="0"/>
    <x v="1"/>
    <x v="1"/>
    <x v="2"/>
  </r>
  <r>
    <x v="1264"/>
    <n v="36.575000000000003"/>
    <n v="10.98"/>
    <x v="0"/>
    <s v="No"/>
    <s v="No"/>
    <x v="0"/>
    <x v="0"/>
    <x v="1"/>
    <x v="2"/>
  </r>
  <r>
    <x v="1265"/>
    <n v="23.66"/>
    <n v="5.1100000000000003"/>
    <x v="1"/>
    <s v="yes"/>
    <s v="No"/>
    <x v="1"/>
    <x v="3"/>
    <x v="1"/>
    <x v="2"/>
  </r>
  <r>
    <x v="1266"/>
    <n v="18.62"/>
    <n v="10.24"/>
    <x v="0"/>
    <s v="No"/>
    <s v="No"/>
    <x v="0"/>
    <x v="0"/>
    <x v="1"/>
    <x v="2"/>
  </r>
  <r>
    <x v="1267"/>
    <n v="19.190000000000001"/>
    <n v="7.71"/>
    <x v="0"/>
    <s v="yes"/>
    <s v="No"/>
    <x v="0"/>
    <x v="3"/>
    <x v="1"/>
    <x v="2"/>
  </r>
  <r>
    <x v="1268"/>
    <n v="27.5"/>
    <n v="6.03"/>
    <x v="1"/>
    <s v="No"/>
    <s v="No"/>
    <x v="0"/>
    <x v="0"/>
    <x v="1"/>
    <x v="2"/>
  </r>
  <r>
    <x v="1269"/>
    <n v="27.36"/>
    <n v="5.96"/>
    <x v="1"/>
    <s v="No"/>
    <s v="No"/>
    <x v="1"/>
    <x v="3"/>
    <x v="1"/>
    <x v="2"/>
  </r>
  <r>
    <x v="1270"/>
    <n v="20.350000000000001"/>
    <n v="4.16"/>
    <x v="1"/>
    <s v="No"/>
    <s v="No"/>
    <x v="0"/>
    <x v="0"/>
    <x v="1"/>
    <x v="2"/>
  </r>
  <r>
    <x v="1271"/>
    <n v="24.035"/>
    <n v="6.11"/>
    <x v="1"/>
    <s v="No"/>
    <s v="No"/>
    <x v="0"/>
    <x v="0"/>
    <x v="1"/>
    <x v="2"/>
  </r>
  <r>
    <x v="1272"/>
    <n v="23.56"/>
    <n v="5.97"/>
    <x v="1"/>
    <s v="No"/>
    <s v="No"/>
    <x v="0"/>
    <x v="0"/>
    <x v="1"/>
    <x v="2"/>
  </r>
  <r>
    <x v="1273"/>
    <n v="27.17"/>
    <n v="10.81"/>
    <x v="0"/>
    <s v="No"/>
    <s v="No"/>
    <x v="0"/>
    <x v="1"/>
    <x v="1"/>
    <x v="2"/>
  </r>
  <r>
    <x v="1274"/>
    <n v="34.32"/>
    <n v="5.7"/>
    <x v="1"/>
    <s v="yes"/>
    <s v="No"/>
    <x v="1"/>
    <x v="3"/>
    <x v="1"/>
    <x v="2"/>
  </r>
  <r>
    <x v="1275"/>
    <n v="23.87"/>
    <n v="4.7699999999999996"/>
    <x v="1"/>
    <s v="yes"/>
    <s v="No"/>
    <x v="1"/>
    <x v="3"/>
    <x v="1"/>
    <x v="2"/>
  </r>
  <r>
    <x v="1276"/>
    <n v="30.15"/>
    <n v="4.25"/>
    <x v="1"/>
    <s v="No"/>
    <s v="No"/>
    <x v="0"/>
    <x v="3"/>
    <x v="1"/>
    <x v="2"/>
  </r>
  <r>
    <x v="1277"/>
    <n v="26.36"/>
    <n v="5.52"/>
    <x v="1"/>
    <s v="No"/>
    <s v="No"/>
    <x v="0"/>
    <x v="0"/>
    <x v="1"/>
    <x v="2"/>
  </r>
  <r>
    <x v="1278"/>
    <n v="45.32"/>
    <n v="6.53"/>
    <x v="1"/>
    <s v="yes"/>
    <s v="No"/>
    <x v="0"/>
    <x v="3"/>
    <x v="1"/>
    <x v="2"/>
  </r>
  <r>
    <x v="1279"/>
    <n v="31.93"/>
    <n v="4.82"/>
    <x v="1"/>
    <s v="yes"/>
    <s v="No"/>
    <x v="0"/>
    <x v="3"/>
    <x v="1"/>
    <x v="2"/>
  </r>
  <r>
    <x v="1280"/>
    <n v="36"/>
    <n v="11.94"/>
    <x v="0"/>
    <s v="yes"/>
    <s v="No"/>
    <x v="0"/>
    <x v="3"/>
    <x v="1"/>
    <x v="2"/>
  </r>
  <r>
    <x v="1281"/>
    <n v="32"/>
    <n v="7.85"/>
    <x v="0"/>
    <s v="yes"/>
    <s v="No"/>
    <x v="0"/>
    <x v="3"/>
    <x v="1"/>
    <x v="2"/>
  </r>
  <r>
    <x v="1282"/>
    <n v="29.37"/>
    <n v="8.01"/>
    <x v="0"/>
    <s v="yes"/>
    <s v="No"/>
    <x v="0"/>
    <x v="3"/>
    <x v="1"/>
    <x v="2"/>
  </r>
  <r>
    <x v="1283"/>
    <n v="23.6"/>
    <n v="7.4"/>
    <x v="0"/>
    <s v="yes"/>
    <s v="No"/>
    <x v="0"/>
    <x v="3"/>
    <x v="1"/>
    <x v="2"/>
  </r>
  <r>
    <x v="1284"/>
    <n v="33.155000000000001"/>
    <n v="8.3800000000000008"/>
    <x v="0"/>
    <s v="yes"/>
    <s v="No"/>
    <x v="0"/>
    <x v="0"/>
    <x v="1"/>
    <x v="2"/>
  </r>
  <r>
    <x v="1285"/>
    <n v="24.32"/>
    <n v="11.56"/>
    <x v="0"/>
    <s v="yes"/>
    <s v="No"/>
    <x v="0"/>
    <x v="3"/>
    <x v="1"/>
    <x v="2"/>
  </r>
  <r>
    <x v="1286"/>
    <n v="36.299999999999997"/>
    <n v="4.6100000000000003"/>
    <x v="1"/>
    <s v="No"/>
    <s v="No"/>
    <x v="0"/>
    <x v="0"/>
    <x v="1"/>
    <x v="2"/>
  </r>
  <r>
    <x v="1287"/>
    <n v="34.4"/>
    <n v="4.95"/>
    <x v="1"/>
    <s v="No"/>
    <s v="No"/>
    <x v="1"/>
    <x v="3"/>
    <x v="1"/>
    <x v="2"/>
  </r>
  <r>
    <x v="1288"/>
    <n v="30.9"/>
    <n v="5.04"/>
    <x v="1"/>
    <s v="No"/>
    <s v="No"/>
    <x v="0"/>
    <x v="0"/>
    <x v="1"/>
    <x v="2"/>
  </r>
  <r>
    <x v="1289"/>
    <n v="28.6"/>
    <n v="5.42"/>
    <x v="1"/>
    <s v="No"/>
    <s v="No"/>
    <x v="0"/>
    <x v="0"/>
    <x v="1"/>
    <x v="2"/>
  </r>
  <r>
    <x v="1290"/>
    <n v="27.83"/>
    <n v="5.39"/>
    <x v="1"/>
    <s v="No"/>
    <s v="No"/>
    <x v="0"/>
    <x v="0"/>
    <x v="1"/>
    <x v="2"/>
  </r>
  <r>
    <x v="1291"/>
    <n v="39.64"/>
    <n v="6"/>
    <x v="1"/>
    <s v="No"/>
    <s v="No"/>
    <x v="1"/>
    <x v="3"/>
    <x v="1"/>
    <x v="2"/>
  </r>
  <r>
    <x v="1292"/>
    <n v="38.479999999999997"/>
    <n v="6.02"/>
    <x v="1"/>
    <s v="No"/>
    <s v="No"/>
    <x v="0"/>
    <x v="3"/>
    <x v="1"/>
    <x v="2"/>
  </r>
  <r>
    <x v="1293"/>
    <n v="36.200000000000003"/>
    <n v="4.62"/>
    <x v="1"/>
    <s v="No"/>
    <s v="No"/>
    <x v="0"/>
    <x v="1"/>
    <x v="1"/>
    <x v="2"/>
  </r>
  <r>
    <x v="1294"/>
    <n v="27.13"/>
    <n v="5.59"/>
    <x v="1"/>
    <s v="No"/>
    <s v="No"/>
    <x v="0"/>
    <x v="3"/>
    <x v="1"/>
    <x v="2"/>
  </r>
  <r>
    <x v="1295"/>
    <n v="20.75"/>
    <n v="5.18"/>
    <x v="1"/>
    <s v="yes"/>
    <s v="No"/>
    <x v="0"/>
    <x v="1"/>
    <x v="1"/>
    <x v="2"/>
  </r>
  <r>
    <x v="1296"/>
    <n v="26.6"/>
    <n v="6.29"/>
    <x v="1"/>
    <s v="No"/>
    <s v="No"/>
    <x v="0"/>
    <x v="1"/>
    <x v="1"/>
    <x v="2"/>
  </r>
  <r>
    <x v="1297"/>
    <n v="25.3"/>
    <n v="4.49"/>
    <x v="1"/>
    <s v="No"/>
    <s v="No"/>
    <x v="0"/>
    <x v="1"/>
    <x v="1"/>
    <x v="2"/>
  </r>
  <r>
    <x v="1298"/>
    <n v="18.84"/>
    <n v="11.82"/>
    <x v="0"/>
    <s v="yes"/>
    <s v="No"/>
    <x v="1"/>
    <x v="3"/>
    <x v="1"/>
    <x v="2"/>
  </r>
  <r>
    <x v="1299"/>
    <n v="19.57"/>
    <n v="7.41"/>
    <x v="0"/>
    <s v="yes"/>
    <s v="No"/>
    <x v="0"/>
    <x v="3"/>
    <x v="1"/>
    <x v="2"/>
  </r>
  <r>
    <x v="1300"/>
    <n v="30.495000000000001"/>
    <n v="5.97"/>
    <x v="1"/>
    <s v="No"/>
    <s v="No"/>
    <x v="0"/>
    <x v="0"/>
    <x v="1"/>
    <x v="2"/>
  </r>
  <r>
    <x v="1301"/>
    <n v="30.114999999999998"/>
    <n v="5.74"/>
    <x v="1"/>
    <s v="No"/>
    <s v="No"/>
    <x v="1"/>
    <x v="3"/>
    <x v="1"/>
    <x v="2"/>
  </r>
  <r>
    <x v="1302"/>
    <n v="24.78"/>
    <n v="9.85"/>
    <x v="0"/>
    <s v="No"/>
    <s v="No"/>
    <x v="0"/>
    <x v="0"/>
    <x v="1"/>
    <x v="2"/>
  </r>
  <r>
    <x v="1303"/>
    <n v="24.77"/>
    <n v="7.59"/>
    <x v="0"/>
    <s v="No"/>
    <s v="No"/>
    <x v="0"/>
    <x v="0"/>
    <x v="1"/>
    <x v="2"/>
  </r>
  <r>
    <x v="1304"/>
    <n v="16.579999999999998"/>
    <n v="6.98"/>
    <x v="0"/>
    <s v="yes"/>
    <s v="No"/>
    <x v="1"/>
    <x v="3"/>
    <x v="1"/>
    <x v="3"/>
  </r>
  <r>
    <x v="1305"/>
    <n v="38.17"/>
    <n v="4.7300000000000004"/>
    <x v="1"/>
    <s v="yes"/>
    <s v="No"/>
    <x v="0"/>
    <x v="0"/>
    <x v="1"/>
    <x v="2"/>
  </r>
  <r>
    <x v="1306"/>
    <n v="39.424999999999997"/>
    <n v="4.76"/>
    <x v="1"/>
    <s v="yes"/>
    <s v="No"/>
    <x v="0"/>
    <x v="0"/>
    <x v="1"/>
    <x v="2"/>
  </r>
  <r>
    <x v="1307"/>
    <n v="33.44"/>
    <n v="6.24"/>
    <x v="1"/>
    <s v="yes"/>
    <s v="No"/>
    <x v="0"/>
    <x v="0"/>
    <x v="1"/>
    <x v="2"/>
  </r>
  <r>
    <x v="1308"/>
    <n v="33.344999999999999"/>
    <n v="5.44"/>
    <x v="1"/>
    <s v="yes"/>
    <s v="No"/>
    <x v="0"/>
    <x v="0"/>
    <x v="1"/>
    <x v="2"/>
  </r>
  <r>
    <x v="1309"/>
    <n v="38.79"/>
    <n v="5.08"/>
    <x v="1"/>
    <s v="No"/>
    <s v="No"/>
    <x v="1"/>
    <x v="3"/>
    <x v="1"/>
    <x v="2"/>
  </r>
  <r>
    <x v="1310"/>
    <n v="30.684999999999999"/>
    <n v="4.87"/>
    <x v="1"/>
    <s v="No"/>
    <s v="No"/>
    <x v="1"/>
    <x v="3"/>
    <x v="1"/>
    <x v="2"/>
  </r>
  <r>
    <x v="1311"/>
    <n v="22.135000000000002"/>
    <n v="8.17"/>
    <x v="0"/>
    <s v="No"/>
    <s v="No"/>
    <x v="0"/>
    <x v="0"/>
    <x v="1"/>
    <x v="2"/>
  </r>
  <r>
    <x v="1312"/>
    <n v="33.33"/>
    <n v="7.61"/>
    <x v="0"/>
    <s v="No"/>
    <s v="No"/>
    <x v="0"/>
    <x v="0"/>
    <x v="1"/>
    <x v="2"/>
  </r>
  <r>
    <x v="1313"/>
    <n v="31.13"/>
    <n v="10.1"/>
    <x v="0"/>
    <s v="No"/>
    <s v="No"/>
    <x v="0"/>
    <x v="0"/>
    <x v="1"/>
    <x v="2"/>
  </r>
  <r>
    <x v="1314"/>
    <n v="28.9"/>
    <n v="11.24"/>
    <x v="0"/>
    <s v="No"/>
    <s v="No"/>
    <x v="0"/>
    <x v="0"/>
    <x v="1"/>
    <x v="2"/>
  </r>
  <r>
    <x v="1315"/>
    <n v="43.31"/>
    <n v="6.1"/>
    <x v="1"/>
    <s v="yes"/>
    <s v="yes"/>
    <x v="0"/>
    <x v="3"/>
    <x v="1"/>
    <x v="2"/>
  </r>
  <r>
    <x v="1316"/>
    <n v="22.8"/>
    <n v="6.98"/>
    <x v="0"/>
    <s v="No"/>
    <s v="No"/>
    <x v="0"/>
    <x v="0"/>
    <x v="1"/>
    <x v="2"/>
  </r>
  <r>
    <x v="1317"/>
    <n v="19.09"/>
    <n v="4"/>
    <x v="1"/>
    <s v="yes"/>
    <s v="No"/>
    <x v="0"/>
    <x v="3"/>
    <x v="1"/>
    <x v="2"/>
  </r>
  <r>
    <x v="1318"/>
    <n v="23.37"/>
    <n v="4.2300000000000004"/>
    <x v="1"/>
    <s v="No"/>
    <s v="No"/>
    <x v="0"/>
    <x v="0"/>
    <x v="1"/>
    <x v="2"/>
  </r>
  <r>
    <x v="1319"/>
    <n v="33.44"/>
    <n v="4.72"/>
    <x v="1"/>
    <s v="yes"/>
    <s v="No"/>
    <x v="0"/>
    <x v="0"/>
    <x v="1"/>
    <x v="2"/>
  </r>
  <r>
    <x v="1320"/>
    <n v="28.05"/>
    <n v="5.63"/>
    <x v="1"/>
    <s v="yes"/>
    <s v="No"/>
    <x v="0"/>
    <x v="0"/>
    <x v="1"/>
    <x v="2"/>
  </r>
  <r>
    <x v="1321"/>
    <n v="27.72"/>
    <n v="5.83"/>
    <x v="1"/>
    <s v="yes"/>
    <s v="No"/>
    <x v="0"/>
    <x v="0"/>
    <x v="1"/>
    <x v="2"/>
  </r>
  <r>
    <x v="1322"/>
    <n v="29.81"/>
    <n v="9.23"/>
    <x v="0"/>
    <s v="No"/>
    <s v="No"/>
    <x v="0"/>
    <x v="0"/>
    <x v="1"/>
    <x v="2"/>
  </r>
  <r>
    <x v="1323"/>
    <n v="23.98"/>
    <n v="9.89"/>
    <x v="0"/>
    <s v="No"/>
    <s v="No"/>
    <x v="0"/>
    <x v="0"/>
    <x v="1"/>
    <x v="2"/>
  </r>
  <r>
    <x v="1324"/>
    <n v="17.34"/>
    <n v="12"/>
    <x v="0"/>
    <s v="No"/>
    <s v="No"/>
    <x v="0"/>
    <x v="0"/>
    <x v="1"/>
    <x v="3"/>
  </r>
  <r>
    <x v="1325"/>
    <n v="40.39"/>
    <n v="4.24"/>
    <x v="1"/>
    <s v="yes"/>
    <s v="No"/>
    <x v="1"/>
    <x v="3"/>
    <x v="1"/>
    <x v="2"/>
  </r>
  <r>
    <x v="1326"/>
    <n v="25.96"/>
    <n v="4.68"/>
    <x v="1"/>
    <s v="yes"/>
    <s v="No"/>
    <x v="1"/>
    <x v="3"/>
    <x v="1"/>
    <x v="2"/>
  </r>
  <r>
    <x v="1327"/>
    <n v="17.68"/>
    <n v="8.57"/>
    <x v="0"/>
    <s v="yes"/>
    <s v="No"/>
    <x v="1"/>
    <x v="3"/>
    <x v="1"/>
    <x v="3"/>
  </r>
  <r>
    <x v="1328"/>
    <n v="30.875"/>
    <n v="4.0999999999999996"/>
    <x v="1"/>
    <s v="No"/>
    <s v="No"/>
    <x v="0"/>
    <x v="0"/>
    <x v="1"/>
    <x v="2"/>
  </r>
  <r>
    <x v="1329"/>
    <n v="30.81"/>
    <n v="4.49"/>
    <x v="1"/>
    <s v="No"/>
    <s v="No"/>
    <x v="0"/>
    <x v="0"/>
    <x v="1"/>
    <x v="2"/>
  </r>
  <r>
    <x v="1330"/>
    <n v="36.85"/>
    <n v="8.8000000000000007"/>
    <x v="0"/>
    <s v="No"/>
    <s v="No"/>
    <x v="0"/>
    <x v="1"/>
    <x v="1"/>
    <x v="2"/>
  </r>
  <r>
    <x v="1331"/>
    <n v="35.86"/>
    <n v="7.93"/>
    <x v="0"/>
    <s v="No"/>
    <s v="No"/>
    <x v="0"/>
    <x v="1"/>
    <x v="1"/>
    <x v="2"/>
  </r>
  <r>
    <x v="1332"/>
    <n v="30.3"/>
    <n v="9.4499999999999993"/>
    <x v="0"/>
    <s v="No"/>
    <s v="No"/>
    <x v="0"/>
    <x v="1"/>
    <x v="1"/>
    <x v="2"/>
  </r>
  <r>
    <x v="1333"/>
    <n v="32.015000000000001"/>
    <n v="7.67"/>
    <x v="0"/>
    <s v="No"/>
    <s v="No"/>
    <x v="0"/>
    <x v="0"/>
    <x v="1"/>
    <x v="2"/>
  </r>
  <r>
    <x v="1334"/>
    <n v="25.06"/>
    <n v="10.53"/>
    <x v="0"/>
    <s v="No"/>
    <s v="No"/>
    <x v="0"/>
    <x v="1"/>
    <x v="1"/>
    <x v="2"/>
  </r>
  <r>
    <x v="1335"/>
    <n v="18.829999999999998"/>
    <n v="10.08"/>
    <x v="0"/>
    <s v="yes"/>
    <s v="No"/>
    <x v="0"/>
    <x v="0"/>
    <x v="1"/>
    <x v="2"/>
  </r>
  <r>
    <x v="1336"/>
    <n v="47.52"/>
    <n v="11.39"/>
    <x v="0"/>
    <s v="yes"/>
    <s v="No"/>
    <x v="0"/>
    <x v="3"/>
    <x v="1"/>
    <x v="2"/>
  </r>
  <r>
    <x v="1337"/>
    <n v="37.82"/>
    <n v="6.36"/>
    <x v="1"/>
    <s v="No"/>
    <s v="No"/>
    <x v="0"/>
    <x v="0"/>
    <x v="1"/>
    <x v="2"/>
  </r>
  <r>
    <x v="1338"/>
    <n v="44.16"/>
    <n v="5.31"/>
    <x v="1"/>
    <s v="yes"/>
    <s v="No"/>
    <x v="0"/>
    <x v="0"/>
    <x v="1"/>
    <x v="2"/>
  </r>
  <r>
    <x v="1339"/>
    <n v="37.049999999999997"/>
    <n v="4.74"/>
    <x v="1"/>
    <s v="No"/>
    <s v="No"/>
    <x v="1"/>
    <x v="3"/>
    <x v="1"/>
    <x v="2"/>
  </r>
  <r>
    <x v="1340"/>
    <n v="18.66"/>
    <n v="11.35"/>
    <x v="0"/>
    <s v="No"/>
    <s v="No"/>
    <x v="0"/>
    <x v="0"/>
    <x v="1"/>
    <x v="2"/>
  </r>
  <r>
    <x v="1341"/>
    <n v="36.200000000000003"/>
    <n v="6.81"/>
    <x v="0"/>
    <s v="yes"/>
    <s v="No"/>
    <x v="0"/>
    <x v="3"/>
    <x v="1"/>
    <x v="2"/>
  </r>
  <r>
    <x v="1342"/>
    <n v="18.87"/>
    <n v="8.06"/>
    <x v="0"/>
    <s v="No"/>
    <s v="No"/>
    <x v="0"/>
    <x v="0"/>
    <x v="1"/>
    <x v="2"/>
  </r>
  <r>
    <x v="1343"/>
    <n v="32.299999999999997"/>
    <n v="6.74"/>
    <x v="0"/>
    <s v="yes"/>
    <s v="No"/>
    <x v="0"/>
    <x v="3"/>
    <x v="1"/>
    <x v="2"/>
  </r>
  <r>
    <x v="1344"/>
    <n v="22.64"/>
    <n v="6.54"/>
    <x v="1"/>
    <s v="yes"/>
    <s v="No"/>
    <x v="0"/>
    <x v="1"/>
    <x v="1"/>
    <x v="2"/>
  </r>
  <r>
    <x v="1345"/>
    <n v="28.69"/>
    <n v="5.4"/>
    <x v="1"/>
    <s v="No"/>
    <s v="No"/>
    <x v="0"/>
    <x v="0"/>
    <x v="1"/>
    <x v="2"/>
  </r>
  <r>
    <x v="1346"/>
    <n v="28.16"/>
    <n v="5.58"/>
    <x v="1"/>
    <s v="yes"/>
    <s v="No"/>
    <x v="0"/>
    <x v="0"/>
    <x v="1"/>
    <x v="2"/>
  </r>
  <r>
    <x v="1347"/>
    <n v="45.54"/>
    <n v="5.84"/>
    <x v="1"/>
    <s v="No"/>
    <s v="No"/>
    <x v="1"/>
    <x v="3"/>
    <x v="1"/>
    <x v="2"/>
  </r>
  <r>
    <x v="1348"/>
    <n v="28.7"/>
    <n v="4.2"/>
    <x v="1"/>
    <s v="No"/>
    <s v="No"/>
    <x v="0"/>
    <x v="0"/>
    <x v="1"/>
    <x v="2"/>
  </r>
  <r>
    <x v="1349"/>
    <n v="27.74"/>
    <n v="6.06"/>
    <x v="1"/>
    <s v="yes"/>
    <s v="No"/>
    <x v="0"/>
    <x v="0"/>
    <x v="1"/>
    <x v="2"/>
  </r>
  <r>
    <x v="1350"/>
    <n v="36.954999999999998"/>
    <n v="7.57"/>
    <x v="0"/>
    <s v="No"/>
    <s v="No"/>
    <x v="0"/>
    <x v="0"/>
    <x v="1"/>
    <x v="2"/>
  </r>
  <r>
    <x v="1351"/>
    <n v="30.69"/>
    <n v="6.15"/>
    <x v="1"/>
    <s v="No"/>
    <s v="No"/>
    <x v="0"/>
    <x v="0"/>
    <x v="1"/>
    <x v="2"/>
  </r>
  <r>
    <x v="1352"/>
    <n v="24.984999999999999"/>
    <n v="4.5599999999999996"/>
    <x v="1"/>
    <s v="No"/>
    <s v="No"/>
    <x v="0"/>
    <x v="0"/>
    <x v="1"/>
    <x v="2"/>
  </r>
  <r>
    <x v="1353"/>
    <n v="39.42"/>
    <n v="4.72"/>
    <x v="1"/>
    <s v="yes"/>
    <s v="No"/>
    <x v="0"/>
    <x v="3"/>
    <x v="1"/>
    <x v="2"/>
  </r>
  <r>
    <x v="1354"/>
    <n v="16.8"/>
    <n v="7.98"/>
    <x v="0"/>
    <s v="No"/>
    <s v="No"/>
    <x v="0"/>
    <x v="0"/>
    <x v="1"/>
    <x v="3"/>
  </r>
  <r>
    <x v="1355"/>
    <n v="23.274999999999999"/>
    <n v="6.26"/>
    <x v="1"/>
    <s v="yes"/>
    <s v="No"/>
    <x v="1"/>
    <x v="3"/>
    <x v="1"/>
    <x v="2"/>
  </r>
  <r>
    <x v="1356"/>
    <n v="22.8"/>
    <n v="4.29"/>
    <x v="1"/>
    <s v="yes"/>
    <s v="No"/>
    <x v="1"/>
    <x v="3"/>
    <x v="1"/>
    <x v="2"/>
  </r>
  <r>
    <x v="1357"/>
    <n v="24.3"/>
    <n v="5.43"/>
    <x v="1"/>
    <s v="No"/>
    <s v="No"/>
    <x v="0"/>
    <x v="1"/>
    <x v="1"/>
    <x v="2"/>
  </r>
  <r>
    <x v="1358"/>
    <n v="25.13"/>
    <n v="8"/>
    <x v="0"/>
    <s v="yes"/>
    <s v="No"/>
    <x v="0"/>
    <x v="3"/>
    <x v="1"/>
    <x v="2"/>
  </r>
  <r>
    <x v="1359"/>
    <n v="22.72"/>
    <n v="9.9600000000000009"/>
    <x v="0"/>
    <s v="yes"/>
    <s v="No"/>
    <x v="0"/>
    <x v="1"/>
    <x v="1"/>
    <x v="2"/>
  </r>
  <r>
    <x v="1360"/>
    <n v="32.6"/>
    <n v="6.8"/>
    <x v="1"/>
    <s v="yes"/>
    <s v="No"/>
    <x v="0"/>
    <x v="0"/>
    <x v="1"/>
    <x v="2"/>
  </r>
  <r>
    <x v="1361"/>
    <n v="17.28"/>
    <n v="6.22"/>
    <x v="1"/>
    <s v="yes"/>
    <s v="No"/>
    <x v="0"/>
    <x v="1"/>
    <x v="1"/>
    <x v="3"/>
  </r>
  <r>
    <x v="1362"/>
    <n v="27.92"/>
    <n v="5.79"/>
    <x v="1"/>
    <s v="No"/>
    <s v="No"/>
    <x v="0"/>
    <x v="3"/>
    <x v="1"/>
    <x v="2"/>
  </r>
  <r>
    <x v="1363"/>
    <n v="38.284999999999997"/>
    <n v="5.41"/>
    <x v="1"/>
    <s v="No"/>
    <s v="No"/>
    <x v="0"/>
    <x v="0"/>
    <x v="1"/>
    <x v="2"/>
  </r>
  <r>
    <x v="1364"/>
    <n v="16.48"/>
    <n v="11.05"/>
    <x v="0"/>
    <s v="No"/>
    <s v="No"/>
    <x v="0"/>
    <x v="0"/>
    <x v="1"/>
    <x v="3"/>
  </r>
  <r>
    <x v="1365"/>
    <n v="38.57"/>
    <n v="6.27"/>
    <x v="1"/>
    <s v="No"/>
    <s v="No"/>
    <x v="0"/>
    <x v="0"/>
    <x v="1"/>
    <x v="2"/>
  </r>
  <r>
    <x v="1366"/>
    <n v="43.85"/>
    <n v="4.7699999999999996"/>
    <x v="1"/>
    <s v="yes"/>
    <s v="No"/>
    <x v="0"/>
    <x v="0"/>
    <x v="1"/>
    <x v="2"/>
  </r>
  <r>
    <x v="1367"/>
    <n v="30.11"/>
    <n v="4.08"/>
    <x v="1"/>
    <s v="No"/>
    <s v="No"/>
    <x v="0"/>
    <x v="0"/>
    <x v="1"/>
    <x v="2"/>
  </r>
  <r>
    <x v="1368"/>
    <n v="31.59"/>
    <n v="6.01"/>
    <x v="1"/>
    <s v="No"/>
    <s v="No"/>
    <x v="0"/>
    <x v="0"/>
    <x v="1"/>
    <x v="2"/>
  </r>
  <r>
    <x v="1369"/>
    <n v="40.15"/>
    <n v="11.84"/>
    <x v="0"/>
    <s v="No"/>
    <s v="No"/>
    <x v="0"/>
    <x v="0"/>
    <x v="1"/>
    <x v="2"/>
  </r>
  <r>
    <x v="1370"/>
    <n v="40.700000000000003"/>
    <n v="6.27"/>
    <x v="1"/>
    <s v="yes"/>
    <s v="No"/>
    <x v="1"/>
    <x v="3"/>
    <x v="1"/>
    <x v="2"/>
  </r>
  <r>
    <x v="1371"/>
    <n v="40.76"/>
    <n v="5.28"/>
    <x v="1"/>
    <s v="No"/>
    <s v="No"/>
    <x v="0"/>
    <x v="0"/>
    <x v="1"/>
    <x v="2"/>
  </r>
  <r>
    <x v="1372"/>
    <n v="29.7"/>
    <n v="7.03"/>
    <x v="0"/>
    <s v="No"/>
    <s v="No"/>
    <x v="0"/>
    <x v="0"/>
    <x v="1"/>
    <x v="2"/>
  </r>
  <r>
    <x v="1373"/>
    <n v="40.58"/>
    <n v="5.32"/>
    <x v="1"/>
    <s v="yes"/>
    <s v="No"/>
    <x v="1"/>
    <x v="3"/>
    <x v="1"/>
    <x v="2"/>
  </r>
  <r>
    <x v="1374"/>
    <n v="33.06"/>
    <n v="9.59"/>
    <x v="0"/>
    <s v="yes"/>
    <s v="No"/>
    <x v="0"/>
    <x v="0"/>
    <x v="1"/>
    <x v="2"/>
  </r>
  <r>
    <x v="1375"/>
    <n v="26.62"/>
    <n v="6.15"/>
    <x v="1"/>
    <s v="yes"/>
    <s v="No"/>
    <x v="0"/>
    <x v="0"/>
    <x v="1"/>
    <x v="2"/>
  </r>
  <r>
    <x v="1376"/>
    <n v="37.1"/>
    <n v="11.08"/>
    <x v="0"/>
    <s v="No"/>
    <s v="No"/>
    <x v="0"/>
    <x v="0"/>
    <x v="1"/>
    <x v="2"/>
  </r>
  <r>
    <x v="1377"/>
    <n v="18.28"/>
    <n v="7.95"/>
    <x v="0"/>
    <s v="No"/>
    <s v="No"/>
    <x v="0"/>
    <x v="0"/>
    <x v="1"/>
    <x v="3"/>
  </r>
  <r>
    <x v="1378"/>
    <n v="35.814999999999998"/>
    <n v="6.23"/>
    <x v="1"/>
    <s v="No"/>
    <s v="No"/>
    <x v="0"/>
    <x v="0"/>
    <x v="1"/>
    <x v="2"/>
  </r>
  <r>
    <x v="1379"/>
    <n v="30.69"/>
    <n v="6.5"/>
    <x v="1"/>
    <s v="No"/>
    <s v="No"/>
    <x v="0"/>
    <x v="0"/>
    <x v="1"/>
    <x v="2"/>
  </r>
  <r>
    <x v="1380"/>
    <n v="26.125"/>
    <n v="5.22"/>
    <x v="1"/>
    <s v="No"/>
    <s v="No"/>
    <x v="0"/>
    <x v="0"/>
    <x v="1"/>
    <x v="2"/>
  </r>
  <r>
    <x v="1381"/>
    <n v="34.58"/>
    <n v="6.3"/>
    <x v="1"/>
    <s v="No"/>
    <s v="No"/>
    <x v="1"/>
    <x v="3"/>
    <x v="1"/>
    <x v="2"/>
  </r>
  <r>
    <x v="1382"/>
    <n v="27.4"/>
    <n v="8.84"/>
    <x v="0"/>
    <s v="No"/>
    <s v="No"/>
    <x v="0"/>
    <x v="0"/>
    <x v="1"/>
    <x v="2"/>
  </r>
  <r>
    <x v="1383"/>
    <n v="27.53"/>
    <n v="4.1100000000000003"/>
    <x v="1"/>
    <s v="No"/>
    <s v="No"/>
    <x v="0"/>
    <x v="3"/>
    <x v="1"/>
    <x v="2"/>
  </r>
  <r>
    <x v="1384"/>
    <n v="33"/>
    <n v="4.57"/>
    <x v="1"/>
    <s v="No"/>
    <s v="No"/>
    <x v="0"/>
    <x v="0"/>
    <x v="1"/>
    <x v="2"/>
  </r>
  <r>
    <x v="1385"/>
    <n v="25.78"/>
    <n v="11.06"/>
    <x v="0"/>
    <s v="yes"/>
    <s v="No"/>
    <x v="0"/>
    <x v="0"/>
    <x v="1"/>
    <x v="2"/>
  </r>
  <r>
    <x v="1386"/>
    <n v="22.66"/>
    <n v="10.68"/>
    <x v="0"/>
    <s v="No"/>
    <s v="No"/>
    <x v="0"/>
    <x v="0"/>
    <x v="1"/>
    <x v="2"/>
  </r>
  <r>
    <x v="1387"/>
    <n v="38.81"/>
    <n v="6.14"/>
    <x v="1"/>
    <s v="yes"/>
    <s v="No"/>
    <x v="0"/>
    <x v="3"/>
    <x v="1"/>
    <x v="2"/>
  </r>
  <r>
    <x v="1388"/>
    <n v="38.51"/>
    <n v="5.45"/>
    <x v="1"/>
    <s v="yes"/>
    <s v="No"/>
    <x v="0"/>
    <x v="0"/>
    <x v="1"/>
    <x v="2"/>
  </r>
  <r>
    <x v="1389"/>
    <n v="22.98"/>
    <n v="6.14"/>
    <x v="1"/>
    <s v="yes"/>
    <s v="No"/>
    <x v="0"/>
    <x v="0"/>
    <x v="1"/>
    <x v="2"/>
  </r>
  <r>
    <x v="1390"/>
    <n v="15.65"/>
    <n v="7.85"/>
    <x v="0"/>
    <s v="No"/>
    <s v="No"/>
    <x v="0"/>
    <x v="0"/>
    <x v="1"/>
    <x v="3"/>
  </r>
  <r>
    <x v="1391"/>
    <n v="39.97"/>
    <n v="4.09"/>
    <x v="1"/>
    <s v="No"/>
    <s v="No"/>
    <x v="0"/>
    <x v="3"/>
    <x v="1"/>
    <x v="2"/>
  </r>
  <r>
    <x v="1392"/>
    <n v="37.22"/>
    <n v="4.62"/>
    <x v="1"/>
    <s v="No"/>
    <s v="No"/>
    <x v="1"/>
    <x v="3"/>
    <x v="1"/>
    <x v="2"/>
  </r>
  <r>
    <x v="1393"/>
    <n v="41.325000000000003"/>
    <n v="5.77"/>
    <x v="1"/>
    <s v="No"/>
    <s v="No"/>
    <x v="0"/>
    <x v="0"/>
    <x v="1"/>
    <x v="2"/>
  </r>
  <r>
    <x v="1394"/>
    <n v="40.31"/>
    <n v="5.84"/>
    <x v="1"/>
    <s v="No"/>
    <s v="No"/>
    <x v="0"/>
    <x v="0"/>
    <x v="1"/>
    <x v="2"/>
  </r>
  <r>
    <x v="1395"/>
    <n v="29.48"/>
    <n v="4.91"/>
    <x v="1"/>
    <s v="No"/>
    <s v="No"/>
    <x v="0"/>
    <x v="0"/>
    <x v="1"/>
    <x v="2"/>
  </r>
  <r>
    <x v="1396"/>
    <n v="33.155000000000001"/>
    <n v="5.07"/>
    <x v="1"/>
    <s v="No"/>
    <s v="No"/>
    <x v="0"/>
    <x v="0"/>
    <x v="1"/>
    <x v="2"/>
  </r>
  <r>
    <x v="1397"/>
    <n v="42.85"/>
    <n v="5.81"/>
    <x v="1"/>
    <s v="yes"/>
    <s v="No"/>
    <x v="0"/>
    <x v="0"/>
    <x v="1"/>
    <x v="2"/>
  </r>
  <r>
    <x v="1398"/>
    <n v="32.340000000000003"/>
    <n v="11.2"/>
    <x v="0"/>
    <s v="No"/>
    <s v="No"/>
    <x v="0"/>
    <x v="0"/>
    <x v="1"/>
    <x v="2"/>
  </r>
  <r>
    <x v="1399"/>
    <n v="27.5"/>
    <n v="10.75"/>
    <x v="0"/>
    <s v="No"/>
    <s v="No"/>
    <x v="0"/>
    <x v="0"/>
    <x v="1"/>
    <x v="2"/>
  </r>
  <r>
    <x v="1400"/>
    <n v="25.8"/>
    <n v="7.8"/>
    <x v="0"/>
    <s v="No"/>
    <s v="No"/>
    <x v="0"/>
    <x v="0"/>
    <x v="1"/>
    <x v="2"/>
  </r>
  <r>
    <x v="1401"/>
    <n v="25"/>
    <n v="7.04"/>
    <x v="0"/>
    <s v="No"/>
    <s v="No"/>
    <x v="0"/>
    <x v="0"/>
    <x v="1"/>
    <x v="2"/>
  </r>
  <r>
    <x v="1402"/>
    <n v="41.2"/>
    <n v="4.18"/>
    <x v="1"/>
    <s v="yes"/>
    <s v="No"/>
    <x v="0"/>
    <x v="0"/>
    <x v="1"/>
    <x v="2"/>
  </r>
  <r>
    <x v="1403"/>
    <n v="17.78"/>
    <n v="8.19"/>
    <x v="0"/>
    <s v="No"/>
    <s v="No"/>
    <x v="0"/>
    <x v="0"/>
    <x v="1"/>
    <x v="3"/>
  </r>
  <r>
    <x v="1404"/>
    <n v="40.119999999999997"/>
    <n v="6.22"/>
    <x v="1"/>
    <s v="yes"/>
    <s v="No"/>
    <x v="1"/>
    <x v="3"/>
    <x v="1"/>
    <x v="2"/>
  </r>
  <r>
    <x v="1405"/>
    <n v="19.350000000000001"/>
    <n v="8.2200000000000006"/>
    <x v="0"/>
    <s v="yes"/>
    <s v="No"/>
    <x v="0"/>
    <x v="0"/>
    <x v="1"/>
    <x v="2"/>
  </r>
  <r>
    <x v="1406"/>
    <n v="36.69"/>
    <n v="6.15"/>
    <x v="1"/>
    <s v="No"/>
    <s v="No"/>
    <x v="0"/>
    <x v="0"/>
    <x v="1"/>
    <x v="2"/>
  </r>
  <r>
    <x v="1407"/>
    <n v="28.51"/>
    <n v="5.65"/>
    <x v="1"/>
    <s v="yes"/>
    <s v="No"/>
    <x v="0"/>
    <x v="3"/>
    <x v="1"/>
    <x v="2"/>
  </r>
  <r>
    <x v="1408"/>
    <n v="30.21"/>
    <n v="5.5"/>
    <x v="1"/>
    <s v="No"/>
    <s v="No"/>
    <x v="0"/>
    <x v="3"/>
    <x v="1"/>
    <x v="2"/>
  </r>
  <r>
    <x v="1409"/>
    <n v="24.33"/>
    <n v="8"/>
    <x v="0"/>
    <s v="No"/>
    <s v="No"/>
    <x v="0"/>
    <x v="0"/>
    <x v="1"/>
    <x v="2"/>
  </r>
  <r>
    <x v="1410"/>
    <n v="19.855"/>
    <n v="5.71"/>
    <x v="1"/>
    <s v="yes"/>
    <s v="No"/>
    <x v="0"/>
    <x v="0"/>
    <x v="1"/>
    <x v="2"/>
  </r>
  <r>
    <x v="1411"/>
    <n v="25.364999999999998"/>
    <n v="11.71"/>
    <x v="0"/>
    <s v="No"/>
    <s v="No"/>
    <x v="0"/>
    <x v="0"/>
    <x v="1"/>
    <x v="2"/>
  </r>
  <r>
    <x v="1412"/>
    <n v="29.6"/>
    <n v="6.17"/>
    <x v="1"/>
    <s v="yes"/>
    <s v="No"/>
    <x v="1"/>
    <x v="3"/>
    <x v="1"/>
    <x v="2"/>
  </r>
  <r>
    <x v="1413"/>
    <n v="39.43"/>
    <n v="6.1"/>
    <x v="1"/>
    <s v="yes"/>
    <s v="No"/>
    <x v="1"/>
    <x v="3"/>
    <x v="1"/>
    <x v="2"/>
  </r>
  <r>
    <x v="1414"/>
    <n v="27.34"/>
    <n v="5.19"/>
    <x v="1"/>
    <s v="yes"/>
    <s v="No"/>
    <x v="0"/>
    <x v="3"/>
    <x v="1"/>
    <x v="2"/>
  </r>
  <r>
    <x v="1415"/>
    <n v="39.01"/>
    <n v="5.37"/>
    <x v="1"/>
    <s v="yes"/>
    <s v="No"/>
    <x v="0"/>
    <x v="0"/>
    <x v="1"/>
    <x v="2"/>
  </r>
  <r>
    <x v="1416"/>
    <n v="18.989999999999998"/>
    <n v="10.82"/>
    <x v="0"/>
    <s v="yes"/>
    <s v="No"/>
    <x v="0"/>
    <x v="0"/>
    <x v="1"/>
    <x v="2"/>
  </r>
  <r>
    <x v="1417"/>
    <n v="42.3"/>
    <n v="6.06"/>
    <x v="1"/>
    <s v="yes"/>
    <s v="No"/>
    <x v="0"/>
    <x v="0"/>
    <x v="1"/>
    <x v="2"/>
  </r>
  <r>
    <x v="1418"/>
    <n v="39.805"/>
    <n v="5.91"/>
    <x v="1"/>
    <s v="No"/>
    <s v="No"/>
    <x v="0"/>
    <x v="0"/>
    <x v="1"/>
    <x v="2"/>
  </r>
  <r>
    <x v="1419"/>
    <n v="33.700000000000003"/>
    <n v="5.87"/>
    <x v="1"/>
    <s v="No"/>
    <s v="No"/>
    <x v="0"/>
    <x v="0"/>
    <x v="1"/>
    <x v="2"/>
  </r>
  <r>
    <x v="1420"/>
    <n v="36.195"/>
    <n v="6.22"/>
    <x v="1"/>
    <s v="No"/>
    <s v="No"/>
    <x v="0"/>
    <x v="0"/>
    <x v="1"/>
    <x v="2"/>
  </r>
  <r>
    <x v="1421"/>
    <n v="32.6"/>
    <n v="5.73"/>
    <x v="1"/>
    <s v="No"/>
    <s v="No"/>
    <x v="1"/>
    <x v="3"/>
    <x v="1"/>
    <x v="2"/>
  </r>
  <r>
    <x v="1422"/>
    <n v="30.2"/>
    <n v="5.7"/>
    <x v="1"/>
    <s v="No"/>
    <s v="No"/>
    <x v="0"/>
    <x v="0"/>
    <x v="1"/>
    <x v="2"/>
  </r>
  <r>
    <x v="1423"/>
    <n v="27.645"/>
    <n v="9.91"/>
    <x v="0"/>
    <s v="No"/>
    <s v="No"/>
    <x v="0"/>
    <x v="0"/>
    <x v="1"/>
    <x v="2"/>
  </r>
  <r>
    <x v="1424"/>
    <n v="26.41"/>
    <n v="11.4"/>
    <x v="0"/>
    <s v="No"/>
    <s v="No"/>
    <x v="0"/>
    <x v="0"/>
    <x v="1"/>
    <x v="2"/>
  </r>
  <r>
    <x v="1425"/>
    <n v="34.1"/>
    <n v="6.29"/>
    <x v="1"/>
    <s v="yes"/>
    <s v="No"/>
    <x v="1"/>
    <x v="3"/>
    <x v="1"/>
    <x v="2"/>
  </r>
  <r>
    <x v="1426"/>
    <n v="17.3"/>
    <n v="9.2799999999999994"/>
    <x v="0"/>
    <s v="No"/>
    <s v="No"/>
    <x v="0"/>
    <x v="0"/>
    <x v="1"/>
    <x v="3"/>
  </r>
  <r>
    <x v="1427"/>
    <n v="35.020000000000003"/>
    <n v="4.78"/>
    <x v="1"/>
    <s v="No"/>
    <s v="No"/>
    <x v="1"/>
    <x v="3"/>
    <x v="1"/>
    <x v="2"/>
  </r>
  <r>
    <x v="1428"/>
    <n v="37.1"/>
    <n v="8.8699999999999992"/>
    <x v="0"/>
    <s v="yes"/>
    <s v="No"/>
    <x v="0"/>
    <x v="0"/>
    <x v="1"/>
    <x v="2"/>
  </r>
  <r>
    <x v="1429"/>
    <n v="16.79"/>
    <n v="11.4"/>
    <x v="0"/>
    <s v="No"/>
    <s v="No"/>
    <x v="0"/>
    <x v="0"/>
    <x v="1"/>
    <x v="3"/>
  </r>
  <r>
    <x v="1430"/>
    <n v="31.635000000000002"/>
    <n v="9.1300000000000008"/>
    <x v="0"/>
    <s v="yes"/>
    <s v="No"/>
    <x v="0"/>
    <x v="0"/>
    <x v="1"/>
    <x v="2"/>
  </r>
  <r>
    <x v="1431"/>
    <n v="24.19"/>
    <n v="6.22"/>
    <x v="1"/>
    <s v="yes"/>
    <s v="No"/>
    <x v="1"/>
    <x v="3"/>
    <x v="1"/>
    <x v="2"/>
  </r>
  <r>
    <x v="1432"/>
    <n v="35.29"/>
    <n v="5.9"/>
    <x v="1"/>
    <s v="No"/>
    <s v="No"/>
    <x v="1"/>
    <x v="3"/>
    <x v="1"/>
    <x v="2"/>
  </r>
  <r>
    <x v="1433"/>
    <n v="35.299999999999997"/>
    <n v="4.45"/>
    <x v="1"/>
    <s v="No"/>
    <s v="No"/>
    <x v="0"/>
    <x v="0"/>
    <x v="1"/>
    <x v="2"/>
  </r>
  <r>
    <x v="1434"/>
    <n v="35.64"/>
    <n v="6.17"/>
    <x v="1"/>
    <s v="No"/>
    <s v="No"/>
    <x v="1"/>
    <x v="3"/>
    <x v="1"/>
    <x v="2"/>
  </r>
  <r>
    <x v="1435"/>
    <n v="33.1"/>
    <n v="4.93"/>
    <x v="1"/>
    <s v="No"/>
    <s v="No"/>
    <x v="0"/>
    <x v="0"/>
    <x v="1"/>
    <x v="2"/>
  </r>
  <r>
    <x v="1436"/>
    <n v="26.41"/>
    <n v="7.32"/>
    <x v="0"/>
    <s v="yes"/>
    <s v="No"/>
    <x v="0"/>
    <x v="3"/>
    <x v="1"/>
    <x v="2"/>
  </r>
  <r>
    <x v="1437"/>
    <n v="29.9"/>
    <n v="5.27"/>
    <x v="1"/>
    <s v="No"/>
    <s v="No"/>
    <x v="1"/>
    <x v="3"/>
    <x v="1"/>
    <x v="2"/>
  </r>
  <r>
    <x v="1438"/>
    <n v="25.24"/>
    <n v="5.82"/>
    <x v="1"/>
    <s v="No"/>
    <s v="No"/>
    <x v="0"/>
    <x v="3"/>
    <x v="1"/>
    <x v="2"/>
  </r>
  <r>
    <x v="1439"/>
    <n v="25.08"/>
    <n v="5.8"/>
    <x v="1"/>
    <s v="No"/>
    <s v="No"/>
    <x v="1"/>
    <x v="3"/>
    <x v="1"/>
    <x v="2"/>
  </r>
  <r>
    <x v="1440"/>
    <n v="29.164999999999999"/>
    <n v="4.87"/>
    <x v="1"/>
    <s v="No"/>
    <s v="yes"/>
    <x v="0"/>
    <x v="3"/>
    <x v="1"/>
    <x v="2"/>
  </r>
  <r>
    <x v="1441"/>
    <n v="15.05"/>
    <n v="8.1199999999999992"/>
    <x v="0"/>
    <s v="No"/>
    <s v="No"/>
    <x v="0"/>
    <x v="0"/>
    <x v="1"/>
    <x v="3"/>
  </r>
  <r>
    <x v="1442"/>
    <n v="19.95"/>
    <n v="4.3600000000000003"/>
    <x v="1"/>
    <s v="No"/>
    <s v="No"/>
    <x v="0"/>
    <x v="1"/>
    <x v="1"/>
    <x v="2"/>
  </r>
  <r>
    <x v="1443"/>
    <n v="16.66"/>
    <n v="9.16"/>
    <x v="0"/>
    <s v="No"/>
    <s v="No"/>
    <x v="0"/>
    <x v="0"/>
    <x v="1"/>
    <x v="3"/>
  </r>
  <r>
    <x v="1444"/>
    <n v="16.62"/>
    <n v="9.14"/>
    <x v="0"/>
    <s v="No"/>
    <s v="No"/>
    <x v="0"/>
    <x v="0"/>
    <x v="1"/>
    <x v="3"/>
  </r>
  <r>
    <x v="1445"/>
    <n v="15.36"/>
    <n v="5.49"/>
    <x v="1"/>
    <s v="yes"/>
    <s v="No"/>
    <x v="0"/>
    <x v="1"/>
    <x v="1"/>
    <x v="3"/>
  </r>
  <r>
    <x v="1446"/>
    <n v="27.74"/>
    <n v="5.96"/>
    <x v="1"/>
    <s v="yes"/>
    <s v="No"/>
    <x v="0"/>
    <x v="0"/>
    <x v="1"/>
    <x v="2"/>
  </r>
  <r>
    <x v="1447"/>
    <n v="22.44"/>
    <n v="4.62"/>
    <x v="1"/>
    <s v="yes"/>
    <s v="No"/>
    <x v="0"/>
    <x v="0"/>
    <x v="1"/>
    <x v="2"/>
  </r>
  <r>
    <x v="1448"/>
    <n v="37.049999999999997"/>
    <n v="9.9600000000000009"/>
    <x v="0"/>
    <s v="yes"/>
    <s v="No"/>
    <x v="0"/>
    <x v="0"/>
    <x v="1"/>
    <x v="2"/>
  </r>
  <r>
    <x v="1449"/>
    <n v="22.95"/>
    <n v="10.53"/>
    <x v="0"/>
    <s v="No"/>
    <s v="No"/>
    <x v="0"/>
    <x v="1"/>
    <x v="1"/>
    <x v="2"/>
  </r>
  <r>
    <x v="1450"/>
    <n v="34.200000000000003"/>
    <n v="6.69"/>
    <x v="0"/>
    <s v="yes"/>
    <s v="No"/>
    <x v="0"/>
    <x v="0"/>
    <x v="1"/>
    <x v="2"/>
  </r>
  <r>
    <x v="1451"/>
    <n v="30.59"/>
    <n v="9.5500000000000007"/>
    <x v="0"/>
    <s v="yes"/>
    <s v="No"/>
    <x v="0"/>
    <x v="0"/>
    <x v="1"/>
    <x v="2"/>
  </r>
  <r>
    <x v="1452"/>
    <n v="25.51"/>
    <n v="6.05"/>
    <x v="1"/>
    <s v="No"/>
    <s v="No"/>
    <x v="0"/>
    <x v="0"/>
    <x v="1"/>
    <x v="2"/>
  </r>
  <r>
    <x v="1453"/>
    <n v="29.04"/>
    <n v="10.56"/>
    <x v="0"/>
    <s v="yes"/>
    <s v="No"/>
    <x v="0"/>
    <x v="3"/>
    <x v="1"/>
    <x v="2"/>
  </r>
  <r>
    <x v="1454"/>
    <n v="22.135000000000002"/>
    <n v="10.81"/>
    <x v="0"/>
    <s v="yes"/>
    <s v="No"/>
    <x v="0"/>
    <x v="3"/>
    <x v="1"/>
    <x v="2"/>
  </r>
  <r>
    <x v="1455"/>
    <n v="21.375"/>
    <n v="4.32"/>
    <x v="1"/>
    <s v="No"/>
    <s v="No"/>
    <x v="0"/>
    <x v="0"/>
    <x v="1"/>
    <x v="2"/>
  </r>
  <r>
    <x v="1456"/>
    <n v="29.19"/>
    <n v="4.37"/>
    <x v="1"/>
    <s v="No"/>
    <s v="No"/>
    <x v="0"/>
    <x v="0"/>
    <x v="1"/>
    <x v="2"/>
  </r>
  <r>
    <x v="1457"/>
    <n v="31.92"/>
    <n v="4.8099999999999996"/>
    <x v="1"/>
    <s v="yes"/>
    <s v="No"/>
    <x v="1"/>
    <x v="3"/>
    <x v="1"/>
    <x v="2"/>
  </r>
  <r>
    <x v="1458"/>
    <n v="26.315000000000001"/>
    <n v="4.5599999999999996"/>
    <x v="1"/>
    <s v="yes"/>
    <s v="No"/>
    <x v="1"/>
    <x v="3"/>
    <x v="1"/>
    <x v="2"/>
  </r>
  <r>
    <x v="1459"/>
    <n v="35.299999999999997"/>
    <n v="4.3899999999999997"/>
    <x v="1"/>
    <s v="No"/>
    <s v="No"/>
    <x v="0"/>
    <x v="0"/>
    <x v="1"/>
    <x v="2"/>
  </r>
  <r>
    <x v="1460"/>
    <n v="18.91"/>
    <n v="11.44"/>
    <x v="0"/>
    <s v="No"/>
    <s v="No"/>
    <x v="0"/>
    <x v="0"/>
    <x v="1"/>
    <x v="2"/>
  </r>
  <r>
    <x v="1461"/>
    <n v="22.41"/>
    <n v="11.37"/>
    <x v="0"/>
    <s v="yes"/>
    <s v="No"/>
    <x v="0"/>
    <x v="3"/>
    <x v="1"/>
    <x v="2"/>
  </r>
  <r>
    <x v="1462"/>
    <n v="22.704999999999998"/>
    <n v="6.14"/>
    <x v="1"/>
    <s v="No"/>
    <s v="No"/>
    <x v="0"/>
    <x v="0"/>
    <x v="1"/>
    <x v="2"/>
  </r>
  <r>
    <x v="1463"/>
    <n v="37.18"/>
    <n v="4.8899999999999997"/>
    <x v="1"/>
    <s v="No"/>
    <s v="No"/>
    <x v="0"/>
    <x v="0"/>
    <x v="1"/>
    <x v="2"/>
  </r>
  <r>
    <x v="1464"/>
    <n v="35.97"/>
    <n v="4.5999999999999996"/>
    <x v="1"/>
    <s v="No"/>
    <s v="No"/>
    <x v="0"/>
    <x v="0"/>
    <x v="1"/>
    <x v="2"/>
  </r>
  <r>
    <x v="1465"/>
    <n v="35.799999999999997"/>
    <n v="4.42"/>
    <x v="1"/>
    <s v="No"/>
    <s v="No"/>
    <x v="0"/>
    <x v="0"/>
    <x v="1"/>
    <x v="2"/>
  </r>
  <r>
    <x v="1466"/>
    <n v="28.31"/>
    <n v="7.48"/>
    <x v="0"/>
    <s v="yes"/>
    <s v="No"/>
    <x v="0"/>
    <x v="0"/>
    <x v="1"/>
    <x v="2"/>
  </r>
  <r>
    <x v="1467"/>
    <n v="38.06"/>
    <n v="10.74"/>
    <x v="0"/>
    <s v="No"/>
    <s v="No"/>
    <x v="0"/>
    <x v="0"/>
    <x v="1"/>
    <x v="2"/>
  </r>
  <r>
    <x v="1468"/>
    <n v="28"/>
    <n v="5.19"/>
    <x v="1"/>
    <s v="No"/>
    <s v="No"/>
    <x v="0"/>
    <x v="3"/>
    <x v="1"/>
    <x v="2"/>
  </r>
  <r>
    <x v="1469"/>
    <n v="34.32"/>
    <n v="9.17"/>
    <x v="0"/>
    <s v="No"/>
    <s v="No"/>
    <x v="0"/>
    <x v="0"/>
    <x v="1"/>
    <x v="2"/>
  </r>
  <r>
    <x v="1470"/>
    <n v="22.3"/>
    <n v="4.95"/>
    <x v="1"/>
    <s v="yes"/>
    <s v="No"/>
    <x v="0"/>
    <x v="0"/>
    <x v="1"/>
    <x v="2"/>
  </r>
  <r>
    <x v="1471"/>
    <n v="27.835000000000001"/>
    <n v="6.03"/>
    <x v="1"/>
    <s v="No"/>
    <s v="No"/>
    <x v="0"/>
    <x v="3"/>
    <x v="1"/>
    <x v="2"/>
  </r>
  <r>
    <x v="1472"/>
    <n v="39.229999999999997"/>
    <n v="5.36"/>
    <x v="1"/>
    <s v="No"/>
    <s v="No"/>
    <x v="0"/>
    <x v="0"/>
    <x v="1"/>
    <x v="2"/>
  </r>
  <r>
    <x v="1473"/>
    <n v="19.95"/>
    <n v="6.11"/>
    <x v="1"/>
    <s v="No"/>
    <s v="No"/>
    <x v="0"/>
    <x v="3"/>
    <x v="1"/>
    <x v="2"/>
  </r>
  <r>
    <x v="1474"/>
    <n v="34.64"/>
    <n v="4.88"/>
    <x v="1"/>
    <s v="No"/>
    <s v="No"/>
    <x v="1"/>
    <x v="3"/>
    <x v="1"/>
    <x v="2"/>
  </r>
  <r>
    <x v="1475"/>
    <n v="18.75"/>
    <n v="6.72"/>
    <x v="0"/>
    <s v="No"/>
    <s v="No"/>
    <x v="0"/>
    <x v="0"/>
    <x v="1"/>
    <x v="2"/>
  </r>
  <r>
    <x v="1476"/>
    <n v="26.48"/>
    <n v="4.2"/>
    <x v="1"/>
    <s v="No"/>
    <s v="No"/>
    <x v="0"/>
    <x v="3"/>
    <x v="1"/>
    <x v="2"/>
  </r>
  <r>
    <x v="1477"/>
    <n v="34.83"/>
    <n v="5.79"/>
    <x v="1"/>
    <s v="No"/>
    <s v="No"/>
    <x v="0"/>
    <x v="3"/>
    <x v="1"/>
    <x v="2"/>
  </r>
  <r>
    <x v="1478"/>
    <n v="25.46"/>
    <n v="4.29"/>
    <x v="1"/>
    <s v="No"/>
    <s v="No"/>
    <x v="0"/>
    <x v="0"/>
    <x v="1"/>
    <x v="2"/>
  </r>
  <r>
    <x v="1479"/>
    <n v="23.31"/>
    <n v="8.27"/>
    <x v="0"/>
    <s v="No"/>
    <s v="No"/>
    <x v="0"/>
    <x v="0"/>
    <x v="1"/>
    <x v="2"/>
  </r>
  <r>
    <x v="1480"/>
    <n v="29"/>
    <n v="4.5599999999999996"/>
    <x v="1"/>
    <s v="No"/>
    <s v="No"/>
    <x v="0"/>
    <x v="0"/>
    <x v="1"/>
    <x v="2"/>
  </r>
  <r>
    <x v="1481"/>
    <n v="32.869999999999997"/>
    <n v="5.33"/>
    <x v="1"/>
    <s v="No"/>
    <s v="No"/>
    <x v="0"/>
    <x v="0"/>
    <x v="1"/>
    <x v="2"/>
  </r>
  <r>
    <x v="1482"/>
    <n v="26.18"/>
    <n v="5.63"/>
    <x v="1"/>
    <s v="No"/>
    <s v="No"/>
    <x v="0"/>
    <x v="0"/>
    <x v="1"/>
    <x v="2"/>
  </r>
  <r>
    <x v="1483"/>
    <n v="25.3"/>
    <n v="5.12"/>
    <x v="1"/>
    <s v="No"/>
    <s v="No"/>
    <x v="0"/>
    <x v="0"/>
    <x v="1"/>
    <x v="2"/>
  </r>
  <r>
    <x v="1484"/>
    <n v="36.94"/>
    <n v="5.15"/>
    <x v="1"/>
    <s v="yes"/>
    <s v="No"/>
    <x v="0"/>
    <x v="3"/>
    <x v="1"/>
    <x v="2"/>
  </r>
  <r>
    <x v="1485"/>
    <n v="22.86"/>
    <n v="7.5"/>
    <x v="0"/>
    <s v="No"/>
    <s v="No"/>
    <x v="0"/>
    <x v="0"/>
    <x v="1"/>
    <x v="2"/>
  </r>
  <r>
    <x v="1486"/>
    <n v="18.760000000000002"/>
    <n v="4.88"/>
    <x v="1"/>
    <s v="yes"/>
    <s v="No"/>
    <x v="1"/>
    <x v="3"/>
    <x v="1"/>
    <x v="2"/>
  </r>
  <r>
    <x v="1487"/>
    <n v="24.36"/>
    <n v="5.57"/>
    <x v="1"/>
    <s v="No"/>
    <s v="No"/>
    <x v="0"/>
    <x v="0"/>
    <x v="1"/>
    <x v="2"/>
  </r>
  <r>
    <x v="1488"/>
    <n v="32.299999999999997"/>
    <n v="5.31"/>
    <x v="1"/>
    <s v="No"/>
    <s v="No"/>
    <x v="0"/>
    <x v="0"/>
    <x v="1"/>
    <x v="2"/>
  </r>
  <r>
    <x v="1489"/>
    <n v="22.704999999999998"/>
    <n v="4.57"/>
    <x v="1"/>
    <s v="yes"/>
    <s v="No"/>
    <x v="0"/>
    <x v="0"/>
    <x v="1"/>
    <x v="2"/>
  </r>
  <r>
    <x v="1490"/>
    <n v="21.79"/>
    <n v="8.6999999999999993"/>
    <x v="0"/>
    <s v="yes"/>
    <s v="No"/>
    <x v="0"/>
    <x v="3"/>
    <x v="1"/>
    <x v="2"/>
  </r>
  <r>
    <x v="1491"/>
    <n v="24.52"/>
    <n v="4.76"/>
    <x v="1"/>
    <s v="No"/>
    <s v="No"/>
    <x v="0"/>
    <x v="0"/>
    <x v="1"/>
    <x v="2"/>
  </r>
  <r>
    <x v="1492"/>
    <n v="39.520000000000003"/>
    <n v="11.81"/>
    <x v="0"/>
    <s v="No"/>
    <s v="No"/>
    <x v="0"/>
    <x v="0"/>
    <x v="1"/>
    <x v="2"/>
  </r>
  <r>
    <x v="1493"/>
    <n v="24.49"/>
    <n v="4.67"/>
    <x v="1"/>
    <s v="No"/>
    <s v="No"/>
    <x v="0"/>
    <x v="0"/>
    <x v="1"/>
    <x v="2"/>
  </r>
  <r>
    <x v="1494"/>
    <n v="26.315000000000001"/>
    <n v="6.02"/>
    <x v="1"/>
    <s v="No"/>
    <s v="No"/>
    <x v="0"/>
    <x v="0"/>
    <x v="1"/>
    <x v="2"/>
  </r>
  <r>
    <x v="1495"/>
    <n v="22.58"/>
    <n v="7.46"/>
    <x v="0"/>
    <s v="No"/>
    <s v="No"/>
    <x v="0"/>
    <x v="0"/>
    <x v="1"/>
    <x v="2"/>
  </r>
  <r>
    <x v="1496"/>
    <n v="19.475000000000001"/>
    <n v="4.74"/>
    <x v="1"/>
    <s v="No"/>
    <s v="No"/>
    <x v="0"/>
    <x v="3"/>
    <x v="1"/>
    <x v="2"/>
  </r>
  <r>
    <x v="1497"/>
    <n v="26.33"/>
    <n v="4.79"/>
    <x v="1"/>
    <s v="No"/>
    <s v="No"/>
    <x v="0"/>
    <x v="0"/>
    <x v="1"/>
    <x v="2"/>
  </r>
  <r>
    <x v="1498"/>
    <n v="17.29"/>
    <n v="5.35"/>
    <x v="1"/>
    <s v="yes"/>
    <s v="No"/>
    <x v="0"/>
    <x v="0"/>
    <x v="1"/>
    <x v="3"/>
  </r>
  <r>
    <x v="1499"/>
    <n v="42.88"/>
    <n v="4.87"/>
    <x v="1"/>
    <s v="No"/>
    <s v="yes"/>
    <x v="0"/>
    <x v="3"/>
    <x v="1"/>
    <x v="2"/>
  </r>
  <r>
    <x v="1500"/>
    <n v="32.200000000000003"/>
    <n v="10.09"/>
    <x v="0"/>
    <s v="yes"/>
    <s v="No"/>
    <x v="0"/>
    <x v="0"/>
    <x v="1"/>
    <x v="2"/>
  </r>
  <r>
    <x v="1501"/>
    <n v="18.75"/>
    <n v="5.47"/>
    <x v="1"/>
    <s v="yes"/>
    <s v="No"/>
    <x v="1"/>
    <x v="3"/>
    <x v="1"/>
    <x v="2"/>
  </r>
  <r>
    <x v="1502"/>
    <n v="22.36"/>
    <n v="8.6"/>
    <x v="0"/>
    <s v="No"/>
    <s v="No"/>
    <x v="0"/>
    <x v="0"/>
    <x v="1"/>
    <x v="2"/>
  </r>
  <r>
    <x v="1503"/>
    <n v="23.94"/>
    <n v="10.74"/>
    <x v="0"/>
    <s v="yes"/>
    <s v="No"/>
    <x v="0"/>
    <x v="0"/>
    <x v="1"/>
    <x v="2"/>
  </r>
  <r>
    <x v="1504"/>
    <n v="30.1"/>
    <n v="4.3899999999999997"/>
    <x v="1"/>
    <s v="No"/>
    <s v="No"/>
    <x v="1"/>
    <x v="3"/>
    <x v="1"/>
    <x v="2"/>
  </r>
  <r>
    <x v="1505"/>
    <n v="21.93"/>
    <n v="6.3"/>
    <x v="1"/>
    <s v="No"/>
    <s v="No"/>
    <x v="0"/>
    <x v="0"/>
    <x v="1"/>
    <x v="2"/>
  </r>
  <r>
    <x v="1506"/>
    <n v="39.75"/>
    <n v="5.41"/>
    <x v="1"/>
    <s v="No"/>
    <s v="yes"/>
    <x v="0"/>
    <x v="3"/>
    <x v="1"/>
    <x v="2"/>
  </r>
  <r>
    <x v="1507"/>
    <n v="26.03"/>
    <n v="4.47"/>
    <x v="1"/>
    <s v="No"/>
    <s v="No"/>
    <x v="1"/>
    <x v="3"/>
    <x v="1"/>
    <x v="2"/>
  </r>
  <r>
    <x v="1508"/>
    <n v="34.51"/>
    <n v="6.26"/>
    <x v="1"/>
    <s v="No"/>
    <s v="No"/>
    <x v="0"/>
    <x v="0"/>
    <x v="1"/>
    <x v="2"/>
  </r>
  <r>
    <x v="1509"/>
    <n v="19.32"/>
    <n v="11.58"/>
    <x v="0"/>
    <s v="yes"/>
    <s v="No"/>
    <x v="0"/>
    <x v="3"/>
    <x v="1"/>
    <x v="2"/>
  </r>
  <r>
    <x v="1510"/>
    <n v="28.5"/>
    <n v="4.3600000000000003"/>
    <x v="1"/>
    <s v="No"/>
    <s v="No"/>
    <x v="0"/>
    <x v="0"/>
    <x v="1"/>
    <x v="2"/>
  </r>
  <r>
    <x v="1511"/>
    <n v="30.875"/>
    <n v="4.1399999999999997"/>
    <x v="1"/>
    <s v="yes"/>
    <s v="No"/>
    <x v="0"/>
    <x v="0"/>
    <x v="1"/>
    <x v="2"/>
  </r>
  <r>
    <x v="1512"/>
    <n v="24.02"/>
    <n v="4.38"/>
    <x v="1"/>
    <s v="No"/>
    <s v="No"/>
    <x v="0"/>
    <x v="0"/>
    <x v="1"/>
    <x v="2"/>
  </r>
  <r>
    <x v="1513"/>
    <n v="36.08"/>
    <n v="11.61"/>
    <x v="0"/>
    <s v="yes"/>
    <s v="No"/>
    <x v="0"/>
    <x v="0"/>
    <x v="1"/>
    <x v="2"/>
  </r>
  <r>
    <x v="1514"/>
    <n v="32.200000000000003"/>
    <n v="10.59"/>
    <x v="0"/>
    <s v="yes"/>
    <s v="No"/>
    <x v="0"/>
    <x v="0"/>
    <x v="1"/>
    <x v="2"/>
  </r>
  <r>
    <x v="1515"/>
    <n v="28.05"/>
    <n v="11.85"/>
    <x v="0"/>
    <s v="yes"/>
    <s v="No"/>
    <x v="0"/>
    <x v="0"/>
    <x v="1"/>
    <x v="2"/>
  </r>
  <r>
    <x v="1516"/>
    <n v="19"/>
    <n v="5.46"/>
    <x v="1"/>
    <s v="yes"/>
    <s v="No"/>
    <x v="0"/>
    <x v="3"/>
    <x v="1"/>
    <x v="2"/>
  </r>
  <r>
    <x v="1517"/>
    <n v="16.13"/>
    <n v="4.54"/>
    <x v="1"/>
    <s v="yes"/>
    <s v="No"/>
    <x v="0"/>
    <x v="1"/>
    <x v="1"/>
    <x v="3"/>
  </r>
  <r>
    <x v="1518"/>
    <n v="18.77"/>
    <n v="11.98"/>
    <x v="0"/>
    <s v="yes"/>
    <s v="No"/>
    <x v="0"/>
    <x v="1"/>
    <x v="1"/>
    <x v="2"/>
  </r>
  <r>
    <x v="1519"/>
    <n v="28.88"/>
    <n v="6.59"/>
    <x v="0"/>
    <s v="yes"/>
    <s v="No"/>
    <x v="0"/>
    <x v="3"/>
    <x v="1"/>
    <x v="2"/>
  </r>
  <r>
    <x v="1520"/>
    <n v="27.55"/>
    <n v="10.83"/>
    <x v="0"/>
    <s v="yes"/>
    <s v="No"/>
    <x v="0"/>
    <x v="3"/>
    <x v="1"/>
    <x v="2"/>
  </r>
  <r>
    <x v="1521"/>
    <n v="15.6"/>
    <n v="8.6"/>
    <x v="0"/>
    <s v="No"/>
    <s v="No"/>
    <x v="0"/>
    <x v="0"/>
    <x v="1"/>
    <x v="3"/>
  </r>
  <r>
    <x v="1522"/>
    <n v="21.99"/>
    <n v="11.17"/>
    <x v="0"/>
    <s v="No"/>
    <s v="No"/>
    <x v="0"/>
    <x v="0"/>
    <x v="1"/>
    <x v="2"/>
  </r>
  <r>
    <x v="1523"/>
    <n v="34.85"/>
    <n v="5.75"/>
    <x v="1"/>
    <s v="No"/>
    <s v="No"/>
    <x v="0"/>
    <x v="0"/>
    <x v="1"/>
    <x v="2"/>
  </r>
  <r>
    <x v="1524"/>
    <n v="24.51"/>
    <n v="4.83"/>
    <x v="1"/>
    <s v="yes"/>
    <s v="No"/>
    <x v="1"/>
    <x v="3"/>
    <x v="1"/>
    <x v="2"/>
  </r>
  <r>
    <x v="1525"/>
    <n v="19.399999999999999"/>
    <n v="11.93"/>
    <x v="0"/>
    <s v="No"/>
    <s v="No"/>
    <x v="0"/>
    <x v="0"/>
    <x v="1"/>
    <x v="2"/>
  </r>
  <r>
    <x v="1526"/>
    <n v="15.1"/>
    <n v="8.41"/>
    <x v="0"/>
    <s v="No"/>
    <s v="No"/>
    <x v="0"/>
    <x v="0"/>
    <x v="1"/>
    <x v="3"/>
  </r>
  <r>
    <x v="1527"/>
    <n v="23.37"/>
    <n v="5.59"/>
    <x v="1"/>
    <s v="yes"/>
    <s v="No"/>
    <x v="0"/>
    <x v="0"/>
    <x v="1"/>
    <x v="2"/>
  </r>
  <r>
    <x v="1528"/>
    <n v="42.4"/>
    <n v="4.0599999999999996"/>
    <x v="1"/>
    <s v="No"/>
    <s v="No"/>
    <x v="0"/>
    <x v="0"/>
    <x v="1"/>
    <x v="2"/>
  </r>
  <r>
    <x v="1529"/>
    <n v="28.405000000000001"/>
    <n v="7.02"/>
    <x v="0"/>
    <s v="yes"/>
    <s v="No"/>
    <x v="0"/>
    <x v="0"/>
    <x v="1"/>
    <x v="2"/>
  </r>
  <r>
    <x v="1530"/>
    <n v="23.4"/>
    <n v="4.47"/>
    <x v="1"/>
    <s v="No"/>
    <s v="No"/>
    <x v="0"/>
    <x v="0"/>
    <x v="1"/>
    <x v="2"/>
  </r>
  <r>
    <x v="1531"/>
    <n v="33.44"/>
    <n v="4.54"/>
    <x v="1"/>
    <s v="No"/>
    <s v="No"/>
    <x v="0"/>
    <x v="0"/>
    <x v="1"/>
    <x v="2"/>
  </r>
  <r>
    <x v="1532"/>
    <n v="21.12"/>
    <n v="4.99"/>
    <x v="1"/>
    <s v="No"/>
    <s v="No"/>
    <x v="0"/>
    <x v="3"/>
    <x v="1"/>
    <x v="2"/>
  </r>
  <r>
    <x v="1533"/>
    <n v="18.48"/>
    <n v="10.84"/>
    <x v="0"/>
    <s v="yes"/>
    <s v="No"/>
    <x v="0"/>
    <x v="1"/>
    <x v="1"/>
    <x v="3"/>
  </r>
  <r>
    <x v="1534"/>
    <n v="16.815000000000001"/>
    <n v="5.63"/>
    <x v="1"/>
    <s v="No"/>
    <s v="No"/>
    <x v="0"/>
    <x v="3"/>
    <x v="1"/>
    <x v="3"/>
  </r>
  <r>
    <x v="1535"/>
    <n v="26.72"/>
    <n v="4.1399999999999997"/>
    <x v="1"/>
    <s v="No"/>
    <s v="No"/>
    <x v="0"/>
    <x v="0"/>
    <x v="1"/>
    <x v="2"/>
  </r>
  <r>
    <x v="1536"/>
    <n v="41.42"/>
    <n v="5.17"/>
    <x v="1"/>
    <s v="No"/>
    <s v="No"/>
    <x v="1"/>
    <x v="3"/>
    <x v="1"/>
    <x v="2"/>
  </r>
  <r>
    <x v="1537"/>
    <n v="20.69"/>
    <n v="6.93"/>
    <x v="0"/>
    <s v="No"/>
    <s v="No"/>
    <x v="0"/>
    <x v="1"/>
    <x v="1"/>
    <x v="2"/>
  </r>
  <r>
    <x v="1538"/>
    <n v="41.23"/>
    <n v="4.24"/>
    <x v="1"/>
    <s v="No"/>
    <s v="No"/>
    <x v="0"/>
    <x v="0"/>
    <x v="1"/>
    <x v="2"/>
  </r>
  <r>
    <x v="1539"/>
    <n v="29.9"/>
    <n v="5.91"/>
    <x v="1"/>
    <s v="No"/>
    <s v="No"/>
    <x v="0"/>
    <x v="0"/>
    <x v="1"/>
    <x v="2"/>
  </r>
  <r>
    <x v="1540"/>
    <n v="34.104999999999997"/>
    <n v="5.93"/>
    <x v="1"/>
    <s v="No"/>
    <s v="No"/>
    <x v="0"/>
    <x v="0"/>
    <x v="1"/>
    <x v="2"/>
  </r>
  <r>
    <x v="1541"/>
    <n v="24.97"/>
    <n v="5.66"/>
    <x v="1"/>
    <s v="No"/>
    <s v="No"/>
    <x v="0"/>
    <x v="0"/>
    <x v="1"/>
    <x v="2"/>
  </r>
  <r>
    <x v="1542"/>
    <n v="34.799999999999997"/>
    <n v="4.1900000000000004"/>
    <x v="1"/>
    <s v="No"/>
    <s v="No"/>
    <x v="0"/>
    <x v="3"/>
    <x v="1"/>
    <x v="2"/>
  </r>
  <r>
    <x v="1543"/>
    <n v="32.965000000000003"/>
    <n v="9.2100000000000009"/>
    <x v="0"/>
    <s v="yes"/>
    <s v="No"/>
    <x v="0"/>
    <x v="0"/>
    <x v="1"/>
    <x v="2"/>
  </r>
  <r>
    <x v="1544"/>
    <n v="27.265000000000001"/>
    <n v="5.51"/>
    <x v="1"/>
    <s v="No"/>
    <s v="No"/>
    <x v="0"/>
    <x v="3"/>
    <x v="1"/>
    <x v="2"/>
  </r>
  <r>
    <x v="1545"/>
    <n v="17.059999999999999"/>
    <n v="8.5"/>
    <x v="0"/>
    <s v="No"/>
    <s v="No"/>
    <x v="0"/>
    <x v="0"/>
    <x v="1"/>
    <x v="3"/>
  </r>
  <r>
    <x v="1546"/>
    <n v="36.29"/>
    <n v="6.23"/>
    <x v="1"/>
    <s v="No"/>
    <s v="No"/>
    <x v="0"/>
    <x v="0"/>
    <x v="1"/>
    <x v="2"/>
  </r>
  <r>
    <x v="1547"/>
    <n v="28.594999999999999"/>
    <n v="8.5299999999999994"/>
    <x v="0"/>
    <s v="yes"/>
    <s v="No"/>
    <x v="0"/>
    <x v="3"/>
    <x v="1"/>
    <x v="2"/>
  </r>
  <r>
    <x v="1548"/>
    <n v="17.8"/>
    <n v="5.75"/>
    <x v="1"/>
    <s v="yes"/>
    <s v="No"/>
    <x v="1"/>
    <x v="3"/>
    <x v="1"/>
    <x v="3"/>
  </r>
  <r>
    <x v="1549"/>
    <n v="21.4"/>
    <n v="5.6"/>
    <x v="1"/>
    <s v="No"/>
    <s v="No"/>
    <x v="0"/>
    <x v="0"/>
    <x v="1"/>
    <x v="2"/>
  </r>
  <r>
    <x v="1550"/>
    <n v="23.01"/>
    <n v="4.68"/>
    <x v="1"/>
    <s v="No"/>
    <s v="No"/>
    <x v="0"/>
    <x v="0"/>
    <x v="1"/>
    <x v="2"/>
  </r>
  <r>
    <x v="1551"/>
    <n v="19.86"/>
    <n v="5.62"/>
    <x v="1"/>
    <s v="yes"/>
    <s v="No"/>
    <x v="0"/>
    <x v="0"/>
    <x v="1"/>
    <x v="2"/>
  </r>
  <r>
    <x v="1552"/>
    <n v="33.58"/>
    <n v="5.08"/>
    <x v="1"/>
    <s v="No"/>
    <s v="No"/>
    <x v="0"/>
    <x v="0"/>
    <x v="1"/>
    <x v="2"/>
  </r>
  <r>
    <x v="1553"/>
    <n v="29.81"/>
    <n v="5.28"/>
    <x v="1"/>
    <s v="No"/>
    <s v="No"/>
    <x v="0"/>
    <x v="0"/>
    <x v="1"/>
    <x v="2"/>
  </r>
  <r>
    <x v="1554"/>
    <n v="27.4"/>
    <n v="4.6100000000000003"/>
    <x v="1"/>
    <s v="No"/>
    <s v="No"/>
    <x v="0"/>
    <x v="0"/>
    <x v="1"/>
    <x v="2"/>
  </r>
  <r>
    <x v="1555"/>
    <n v="17.98"/>
    <n v="6.57"/>
    <x v="0"/>
    <s v="yes"/>
    <s v="No"/>
    <x v="0"/>
    <x v="1"/>
    <x v="1"/>
    <x v="3"/>
  </r>
  <r>
    <x v="1556"/>
    <n v="37.9"/>
    <n v="5.83"/>
    <x v="1"/>
    <s v="No"/>
    <s v="No"/>
    <x v="0"/>
    <x v="0"/>
    <x v="1"/>
    <x v="2"/>
  </r>
  <r>
    <x v="1557"/>
    <n v="25.27"/>
    <n v="6.98"/>
    <x v="0"/>
    <s v="yes"/>
    <s v="No"/>
    <x v="0"/>
    <x v="0"/>
    <x v="1"/>
    <x v="2"/>
  </r>
  <r>
    <x v="1558"/>
    <n v="29.26"/>
    <n v="4.03"/>
    <x v="1"/>
    <s v="No"/>
    <s v="No"/>
    <x v="0"/>
    <x v="3"/>
    <x v="1"/>
    <x v="2"/>
  </r>
  <r>
    <x v="1559"/>
    <n v="27.835000000000001"/>
    <n v="4.5599999999999996"/>
    <x v="1"/>
    <s v="No"/>
    <s v="No"/>
    <x v="0"/>
    <x v="3"/>
    <x v="1"/>
    <x v="2"/>
  </r>
  <r>
    <x v="1560"/>
    <n v="46.53"/>
    <n v="5.38"/>
    <x v="1"/>
    <s v="yes"/>
    <s v="No"/>
    <x v="0"/>
    <x v="0"/>
    <x v="1"/>
    <x v="2"/>
  </r>
  <r>
    <x v="1561"/>
    <n v="20.58"/>
    <n v="11.04"/>
    <x v="0"/>
    <s v="yes"/>
    <s v="No"/>
    <x v="0"/>
    <x v="3"/>
    <x v="1"/>
    <x v="2"/>
  </r>
  <r>
    <x v="1562"/>
    <n v="19.53"/>
    <n v="6.09"/>
    <x v="1"/>
    <s v="yes"/>
    <s v="No"/>
    <x v="0"/>
    <x v="0"/>
    <x v="1"/>
    <x v="2"/>
  </r>
  <r>
    <x v="1563"/>
    <n v="27.7"/>
    <n v="4.71"/>
    <x v="1"/>
    <s v="No"/>
    <s v="No"/>
    <x v="0"/>
    <x v="3"/>
    <x v="1"/>
    <x v="2"/>
  </r>
  <r>
    <x v="1564"/>
    <n v="18.920000000000002"/>
    <n v="8.18"/>
    <x v="0"/>
    <s v="No"/>
    <s v="No"/>
    <x v="0"/>
    <x v="0"/>
    <x v="1"/>
    <x v="2"/>
  </r>
  <r>
    <x v="1565"/>
    <n v="17.760000000000002"/>
    <n v="11.18"/>
    <x v="0"/>
    <s v="yes"/>
    <s v="No"/>
    <x v="0"/>
    <x v="1"/>
    <x v="1"/>
    <x v="3"/>
  </r>
  <r>
    <x v="1566"/>
    <n v="29.83"/>
    <n v="5.03"/>
    <x v="1"/>
    <s v="yes"/>
    <s v="No"/>
    <x v="0"/>
    <x v="0"/>
    <x v="1"/>
    <x v="2"/>
  </r>
  <r>
    <x v="1567"/>
    <n v="23.465"/>
    <n v="5.56"/>
    <x v="1"/>
    <s v="No"/>
    <s v="No"/>
    <x v="0"/>
    <x v="3"/>
    <x v="1"/>
    <x v="2"/>
  </r>
  <r>
    <x v="1568"/>
    <n v="29.355"/>
    <n v="4.33"/>
    <x v="1"/>
    <s v="No"/>
    <s v="No"/>
    <x v="0"/>
    <x v="0"/>
    <x v="1"/>
    <x v="2"/>
  </r>
  <r>
    <x v="1569"/>
    <n v="35.49"/>
    <n v="5.21"/>
    <x v="1"/>
    <s v="yes"/>
    <s v="No"/>
    <x v="1"/>
    <x v="3"/>
    <x v="1"/>
    <x v="2"/>
  </r>
  <r>
    <x v="1570"/>
    <n v="26.315000000000001"/>
    <n v="5.89"/>
    <x v="1"/>
    <s v="No"/>
    <s v="No"/>
    <x v="0"/>
    <x v="0"/>
    <x v="1"/>
    <x v="2"/>
  </r>
  <r>
    <x v="1571"/>
    <n v="19.79"/>
    <n v="4.8099999999999996"/>
    <x v="1"/>
    <s v="yes"/>
    <s v="No"/>
    <x v="0"/>
    <x v="0"/>
    <x v="1"/>
    <x v="2"/>
  </r>
  <r>
    <x v="1572"/>
    <n v="40.564999999999998"/>
    <n v="5.66"/>
    <x v="1"/>
    <s v="No"/>
    <s v="No"/>
    <x v="0"/>
    <x v="3"/>
    <x v="1"/>
    <x v="2"/>
  </r>
  <r>
    <x v="1573"/>
    <n v="18.03"/>
    <n v="10.66"/>
    <x v="0"/>
    <s v="yes"/>
    <s v="No"/>
    <x v="0"/>
    <x v="1"/>
    <x v="1"/>
    <x v="3"/>
  </r>
  <r>
    <x v="1574"/>
    <n v="34.65"/>
    <n v="5.98"/>
    <x v="1"/>
    <s v="yes"/>
    <s v="No"/>
    <x v="0"/>
    <x v="0"/>
    <x v="1"/>
    <x v="2"/>
  </r>
  <r>
    <x v="1575"/>
    <n v="42.94"/>
    <n v="4.34"/>
    <x v="1"/>
    <s v="No"/>
    <s v="No"/>
    <x v="0"/>
    <x v="0"/>
    <x v="1"/>
    <x v="2"/>
  </r>
  <r>
    <x v="1576"/>
    <n v="31.254999999999999"/>
    <n v="5.17"/>
    <x v="1"/>
    <s v="No"/>
    <s v="No"/>
    <x v="0"/>
    <x v="0"/>
    <x v="1"/>
    <x v="2"/>
  </r>
  <r>
    <x v="1577"/>
    <n v="45.43"/>
    <n v="4.2300000000000004"/>
    <x v="1"/>
    <s v="yes"/>
    <s v="No"/>
    <x v="1"/>
    <x v="3"/>
    <x v="1"/>
    <x v="2"/>
  </r>
  <r>
    <x v="1578"/>
    <n v="32.340000000000003"/>
    <n v="4.88"/>
    <x v="1"/>
    <s v="yes"/>
    <s v="No"/>
    <x v="1"/>
    <x v="3"/>
    <x v="1"/>
    <x v="2"/>
  </r>
  <r>
    <x v="1579"/>
    <n v="25.46"/>
    <n v="9.7100000000000009"/>
    <x v="0"/>
    <s v="yes"/>
    <s v="No"/>
    <x v="0"/>
    <x v="3"/>
    <x v="1"/>
    <x v="2"/>
  </r>
  <r>
    <x v="1580"/>
    <n v="37.145000000000003"/>
    <n v="5.32"/>
    <x v="1"/>
    <s v="No"/>
    <s v="No"/>
    <x v="0"/>
    <x v="0"/>
    <x v="1"/>
    <x v="2"/>
  </r>
  <r>
    <x v="1581"/>
    <n v="30.8"/>
    <n v="5.83"/>
    <x v="1"/>
    <s v="yes"/>
    <s v="No"/>
    <x v="0"/>
    <x v="0"/>
    <x v="1"/>
    <x v="2"/>
  </r>
  <r>
    <x v="1582"/>
    <n v="29.5"/>
    <n v="5.54"/>
    <x v="1"/>
    <s v="yes"/>
    <s v="No"/>
    <x v="0"/>
    <x v="0"/>
    <x v="1"/>
    <x v="2"/>
  </r>
  <r>
    <x v="1583"/>
    <n v="43.39"/>
    <n v="5.85"/>
    <x v="1"/>
    <s v="No"/>
    <s v="yes"/>
    <x v="0"/>
    <x v="3"/>
    <x v="1"/>
    <x v="2"/>
  </r>
  <r>
    <x v="1584"/>
    <n v="15.08"/>
    <n v="4.8499999999999996"/>
    <x v="1"/>
    <s v="yes"/>
    <s v="No"/>
    <x v="1"/>
    <x v="3"/>
    <x v="1"/>
    <x v="3"/>
  </r>
  <r>
    <x v="1585"/>
    <n v="20.48"/>
    <n v="11.09"/>
    <x v="0"/>
    <s v="No"/>
    <s v="No"/>
    <x v="0"/>
    <x v="0"/>
    <x v="1"/>
    <x v="2"/>
  </r>
  <r>
    <x v="1586"/>
    <n v="34.450000000000003"/>
    <n v="5.58"/>
    <x v="1"/>
    <s v="yes"/>
    <s v="No"/>
    <x v="0"/>
    <x v="0"/>
    <x v="1"/>
    <x v="2"/>
  </r>
  <r>
    <x v="1587"/>
    <n v="34.21"/>
    <n v="9.7200000000000006"/>
    <x v="0"/>
    <s v="yes"/>
    <s v="No"/>
    <x v="0"/>
    <x v="0"/>
    <x v="1"/>
    <x v="2"/>
  </r>
  <r>
    <x v="1588"/>
    <n v="28.8"/>
    <n v="11.41"/>
    <x v="0"/>
    <s v="yes"/>
    <s v="No"/>
    <x v="0"/>
    <x v="0"/>
    <x v="1"/>
    <x v="2"/>
  </r>
  <r>
    <x v="1589"/>
    <n v="31.74"/>
    <n v="4.46"/>
    <x v="1"/>
    <s v="No"/>
    <s v="No"/>
    <x v="1"/>
    <x v="3"/>
    <x v="1"/>
    <x v="2"/>
  </r>
  <r>
    <x v="1590"/>
    <n v="21.78"/>
    <n v="9.31"/>
    <x v="0"/>
    <s v="yes"/>
    <s v="No"/>
    <x v="0"/>
    <x v="0"/>
    <x v="1"/>
    <x v="2"/>
  </r>
  <r>
    <x v="1591"/>
    <n v="23.75"/>
    <n v="5.03"/>
    <x v="1"/>
    <s v="No"/>
    <s v="No"/>
    <x v="0"/>
    <x v="3"/>
    <x v="1"/>
    <x v="2"/>
  </r>
  <r>
    <x v="1592"/>
    <n v="33.21"/>
    <n v="5.07"/>
    <x v="1"/>
    <s v="yes"/>
    <s v="No"/>
    <x v="0"/>
    <x v="3"/>
    <x v="1"/>
    <x v="2"/>
  </r>
  <r>
    <x v="1593"/>
    <n v="17.7"/>
    <n v="10.42"/>
    <x v="0"/>
    <s v="yes"/>
    <s v="No"/>
    <x v="0"/>
    <x v="1"/>
    <x v="1"/>
    <x v="3"/>
  </r>
  <r>
    <x v="1594"/>
    <n v="17.2"/>
    <n v="6.45"/>
    <x v="1"/>
    <s v="No"/>
    <s v="No"/>
    <x v="0"/>
    <x v="1"/>
    <x v="1"/>
    <x v="3"/>
  </r>
  <r>
    <x v="1595"/>
    <n v="19.21"/>
    <n v="5.52"/>
    <x v="1"/>
    <s v="No"/>
    <s v="No"/>
    <x v="0"/>
    <x v="1"/>
    <x v="1"/>
    <x v="2"/>
  </r>
  <r>
    <x v="1596"/>
    <n v="23.2"/>
    <n v="4.41"/>
    <x v="1"/>
    <s v="No"/>
    <s v="No"/>
    <x v="1"/>
    <x v="3"/>
    <x v="1"/>
    <x v="2"/>
  </r>
  <r>
    <x v="1597"/>
    <n v="32.5"/>
    <n v="4.6900000000000004"/>
    <x v="1"/>
    <s v="yes"/>
    <s v="No"/>
    <x v="1"/>
    <x v="3"/>
    <x v="1"/>
    <x v="2"/>
  </r>
  <r>
    <x v="1598"/>
    <n v="20.9"/>
    <n v="6.94"/>
    <x v="0"/>
    <s v="No"/>
    <s v="No"/>
    <x v="0"/>
    <x v="0"/>
    <x v="1"/>
    <x v="2"/>
  </r>
  <r>
    <x v="1599"/>
    <n v="19.11"/>
    <n v="4.3499999999999996"/>
    <x v="1"/>
    <s v="No"/>
    <s v="No"/>
    <x v="0"/>
    <x v="1"/>
    <x v="1"/>
    <x v="2"/>
  </r>
  <r>
    <x v="1600"/>
    <n v="31.17"/>
    <n v="5.28"/>
    <x v="1"/>
    <s v="No"/>
    <s v="No"/>
    <x v="0"/>
    <x v="3"/>
    <x v="1"/>
    <x v="2"/>
  </r>
  <r>
    <x v="1601"/>
    <n v="36.08"/>
    <n v="4.29"/>
    <x v="1"/>
    <s v="No"/>
    <s v="No"/>
    <x v="0"/>
    <x v="0"/>
    <x v="1"/>
    <x v="2"/>
  </r>
  <r>
    <x v="1602"/>
    <n v="28.024999999999999"/>
    <n v="5.69"/>
    <x v="1"/>
    <s v="yes"/>
    <s v="No"/>
    <x v="0"/>
    <x v="0"/>
    <x v="1"/>
    <x v="2"/>
  </r>
  <r>
    <x v="1603"/>
    <n v="24.32"/>
    <n v="5.56"/>
    <x v="1"/>
    <s v="yes"/>
    <s v="No"/>
    <x v="0"/>
    <x v="0"/>
    <x v="1"/>
    <x v="2"/>
  </r>
  <r>
    <x v="1604"/>
    <n v="38"/>
    <n v="5.41"/>
    <x v="1"/>
    <s v="yes"/>
    <s v="No"/>
    <x v="0"/>
    <x v="3"/>
    <x v="1"/>
    <x v="2"/>
  </r>
  <r>
    <x v="1605"/>
    <n v="31.6"/>
    <n v="10.85"/>
    <x v="0"/>
    <s v="yes"/>
    <s v="No"/>
    <x v="0"/>
    <x v="0"/>
    <x v="1"/>
    <x v="2"/>
  </r>
  <r>
    <x v="1606"/>
    <n v="31.02"/>
    <n v="11.63"/>
    <x v="0"/>
    <s v="yes"/>
    <s v="No"/>
    <x v="0"/>
    <x v="0"/>
    <x v="1"/>
    <x v="2"/>
  </r>
  <r>
    <x v="1607"/>
    <n v="29.26"/>
    <n v="5.68"/>
    <x v="1"/>
    <s v="yes"/>
    <s v="No"/>
    <x v="0"/>
    <x v="3"/>
    <x v="1"/>
    <x v="2"/>
  </r>
  <r>
    <x v="1608"/>
    <n v="15.09"/>
    <n v="7.59"/>
    <x v="1"/>
    <s v="yes"/>
    <s v="No"/>
    <x v="0"/>
    <x v="1"/>
    <x v="1"/>
    <x v="3"/>
  </r>
  <r>
    <x v="1609"/>
    <n v="22.63"/>
    <n v="5.09"/>
    <x v="1"/>
    <s v="yes"/>
    <s v="No"/>
    <x v="0"/>
    <x v="0"/>
    <x v="1"/>
    <x v="2"/>
  </r>
  <r>
    <x v="1610"/>
    <n v="23.46"/>
    <n v="4.21"/>
    <x v="1"/>
    <s v="No"/>
    <s v="No"/>
    <x v="0"/>
    <x v="3"/>
    <x v="1"/>
    <x v="2"/>
  </r>
  <r>
    <x v="1611"/>
    <n v="22.56"/>
    <n v="4.34"/>
    <x v="1"/>
    <s v="yes"/>
    <s v="No"/>
    <x v="0"/>
    <x v="0"/>
    <x v="1"/>
    <x v="2"/>
  </r>
  <r>
    <x v="1612"/>
    <n v="19.28"/>
    <n v="11.85"/>
    <x v="0"/>
    <s v="No"/>
    <s v="No"/>
    <x v="0"/>
    <x v="1"/>
    <x v="1"/>
    <x v="2"/>
  </r>
  <r>
    <x v="1613"/>
    <n v="15.37"/>
    <n v="9.61"/>
    <x v="0"/>
    <s v="yes"/>
    <s v="No"/>
    <x v="0"/>
    <x v="1"/>
    <x v="1"/>
    <x v="3"/>
  </r>
  <r>
    <x v="1614"/>
    <n v="18.71"/>
    <n v="5.29"/>
    <x v="1"/>
    <s v="yes"/>
    <s v="No"/>
    <x v="0"/>
    <x v="0"/>
    <x v="1"/>
    <x v="2"/>
  </r>
  <r>
    <x v="1615"/>
    <n v="20.61"/>
    <n v="6.89"/>
    <x v="0"/>
    <s v="No"/>
    <s v="No"/>
    <x v="0"/>
    <x v="0"/>
    <x v="1"/>
    <x v="2"/>
  </r>
  <r>
    <x v="1616"/>
    <n v="15.99"/>
    <n v="4.57"/>
    <x v="1"/>
    <s v="yes"/>
    <s v="No"/>
    <x v="1"/>
    <x v="3"/>
    <x v="1"/>
    <x v="3"/>
  </r>
  <r>
    <x v="1617"/>
    <n v="33.155000000000001"/>
    <n v="4.32"/>
    <x v="1"/>
    <s v="No"/>
    <s v="No"/>
    <x v="0"/>
    <x v="0"/>
    <x v="1"/>
    <x v="2"/>
  </r>
  <r>
    <x v="1618"/>
    <n v="26.22"/>
    <n v="5.57"/>
    <x v="1"/>
    <s v="yes"/>
    <s v="No"/>
    <x v="1"/>
    <x v="3"/>
    <x v="1"/>
    <x v="2"/>
  </r>
  <r>
    <x v="1619"/>
    <n v="21.85"/>
    <n v="5.26"/>
    <x v="1"/>
    <s v="yes"/>
    <s v="No"/>
    <x v="1"/>
    <x v="3"/>
    <x v="1"/>
    <x v="2"/>
  </r>
  <r>
    <x v="1620"/>
    <n v="30.495000000000001"/>
    <n v="6.25"/>
    <x v="1"/>
    <s v="No"/>
    <s v="No"/>
    <x v="0"/>
    <x v="0"/>
    <x v="1"/>
    <x v="2"/>
  </r>
  <r>
    <x v="1621"/>
    <n v="34.104999999999997"/>
    <n v="5.67"/>
    <x v="1"/>
    <s v="yes"/>
    <s v="No"/>
    <x v="0"/>
    <x v="0"/>
    <x v="1"/>
    <x v="2"/>
  </r>
  <r>
    <x v="1622"/>
    <n v="32.770000000000003"/>
    <n v="4.42"/>
    <x v="1"/>
    <s v="yes"/>
    <s v="No"/>
    <x v="0"/>
    <x v="3"/>
    <x v="1"/>
    <x v="2"/>
  </r>
  <r>
    <x v="1623"/>
    <n v="16.850000000000001"/>
    <n v="11.75"/>
    <x v="0"/>
    <s v="yes"/>
    <s v="No"/>
    <x v="0"/>
    <x v="1"/>
    <x v="1"/>
    <x v="3"/>
  </r>
  <r>
    <x v="1624"/>
    <n v="34.700000000000003"/>
    <n v="6.06"/>
    <x v="1"/>
    <s v="No"/>
    <s v="No"/>
    <x v="0"/>
    <x v="3"/>
    <x v="1"/>
    <x v="2"/>
  </r>
  <r>
    <x v="1625"/>
    <n v="37.049999999999997"/>
    <n v="5.48"/>
    <x v="1"/>
    <s v="No"/>
    <s v="No"/>
    <x v="0"/>
    <x v="3"/>
    <x v="1"/>
    <x v="2"/>
  </r>
  <r>
    <x v="1626"/>
    <n v="18.78"/>
    <n v="4.45"/>
    <x v="1"/>
    <s v="No"/>
    <s v="No"/>
    <x v="1"/>
    <x v="3"/>
    <x v="1"/>
    <x v="2"/>
  </r>
  <r>
    <x v="1627"/>
    <n v="28.024999999999999"/>
    <n v="5"/>
    <x v="1"/>
    <s v="No"/>
    <s v="No"/>
    <x v="0"/>
    <x v="3"/>
    <x v="1"/>
    <x v="2"/>
  </r>
  <r>
    <x v="1628"/>
    <n v="35.090000000000003"/>
    <n v="5.84"/>
    <x v="1"/>
    <s v="No"/>
    <s v="No"/>
    <x v="0"/>
    <x v="0"/>
    <x v="1"/>
    <x v="2"/>
  </r>
  <r>
    <x v="1629"/>
    <n v="34.42"/>
    <n v="5.21"/>
    <x v="1"/>
    <s v="yes"/>
    <s v="No"/>
    <x v="0"/>
    <x v="0"/>
    <x v="1"/>
    <x v="2"/>
  </r>
  <r>
    <x v="1630"/>
    <n v="29.4"/>
    <n v="4.26"/>
    <x v="1"/>
    <s v="No"/>
    <s v="No"/>
    <x v="0"/>
    <x v="0"/>
    <x v="1"/>
    <x v="2"/>
  </r>
  <r>
    <x v="1631"/>
    <n v="21.31"/>
    <n v="4.17"/>
    <x v="1"/>
    <s v="No"/>
    <s v="No"/>
    <x v="0"/>
    <x v="0"/>
    <x v="1"/>
    <x v="2"/>
  </r>
  <r>
    <x v="1632"/>
    <n v="19.559999999999999"/>
    <n v="11.96"/>
    <x v="0"/>
    <s v="No"/>
    <s v="No"/>
    <x v="0"/>
    <x v="0"/>
    <x v="1"/>
    <x v="2"/>
  </r>
  <r>
    <x v="1633"/>
    <n v="37.335000000000001"/>
    <n v="6.26"/>
    <x v="1"/>
    <s v="yes"/>
    <s v="No"/>
    <x v="0"/>
    <x v="3"/>
    <x v="1"/>
    <x v="2"/>
  </r>
  <r>
    <x v="1634"/>
    <n v="19.53"/>
    <n v="11.68"/>
    <x v="0"/>
    <s v="No"/>
    <s v="No"/>
    <x v="0"/>
    <x v="0"/>
    <x v="1"/>
    <x v="2"/>
  </r>
  <r>
    <x v="1635"/>
    <n v="34.1"/>
    <n v="5.16"/>
    <x v="1"/>
    <s v="No"/>
    <s v="No"/>
    <x v="0"/>
    <x v="0"/>
    <x v="1"/>
    <x v="2"/>
  </r>
  <r>
    <x v="1636"/>
    <n v="16.5"/>
    <n v="6.9"/>
    <x v="1"/>
    <s v="yes"/>
    <s v="No"/>
    <x v="0"/>
    <x v="1"/>
    <x v="1"/>
    <x v="3"/>
  </r>
  <r>
    <x v="1637"/>
    <n v="30.69"/>
    <n v="4.83"/>
    <x v="1"/>
    <s v="No"/>
    <s v="No"/>
    <x v="0"/>
    <x v="3"/>
    <x v="1"/>
    <x v="2"/>
  </r>
  <r>
    <x v="1638"/>
    <n v="28.93"/>
    <n v="4.87"/>
    <x v="1"/>
    <s v="No"/>
    <s v="No"/>
    <x v="0"/>
    <x v="3"/>
    <x v="1"/>
    <x v="2"/>
  </r>
  <r>
    <x v="1639"/>
    <n v="38.9"/>
    <n v="4.28"/>
    <x v="1"/>
    <s v="No"/>
    <s v="No"/>
    <x v="0"/>
    <x v="0"/>
    <x v="1"/>
    <x v="2"/>
  </r>
  <r>
    <x v="1640"/>
    <n v="26.9"/>
    <n v="4.07"/>
    <x v="1"/>
    <s v="No"/>
    <s v="No"/>
    <x v="0"/>
    <x v="0"/>
    <x v="1"/>
    <x v="2"/>
  </r>
  <r>
    <x v="1641"/>
    <n v="24.86"/>
    <n v="6.23"/>
    <x v="1"/>
    <s v="No"/>
    <s v="No"/>
    <x v="0"/>
    <x v="0"/>
    <x v="1"/>
    <x v="2"/>
  </r>
  <r>
    <x v="1642"/>
    <n v="39.14"/>
    <n v="6.24"/>
    <x v="1"/>
    <s v="No"/>
    <s v="yes"/>
    <x v="0"/>
    <x v="3"/>
    <x v="1"/>
    <x v="2"/>
  </r>
  <r>
    <x v="1643"/>
    <n v="39.799999999999997"/>
    <n v="6.17"/>
    <x v="1"/>
    <s v="No"/>
    <s v="No"/>
    <x v="1"/>
    <x v="3"/>
    <x v="1"/>
    <x v="2"/>
  </r>
  <r>
    <x v="1644"/>
    <n v="34.32"/>
    <n v="5.16"/>
    <x v="1"/>
    <s v="No"/>
    <s v="No"/>
    <x v="0"/>
    <x v="3"/>
    <x v="1"/>
    <x v="2"/>
  </r>
  <r>
    <x v="1645"/>
    <n v="32.51"/>
    <n v="4.3"/>
    <x v="1"/>
    <s v="No"/>
    <s v="No"/>
    <x v="0"/>
    <x v="0"/>
    <x v="1"/>
    <x v="2"/>
  </r>
  <r>
    <x v="1646"/>
    <n v="30.71"/>
    <n v="6.14"/>
    <x v="1"/>
    <s v="No"/>
    <s v="No"/>
    <x v="1"/>
    <x v="3"/>
    <x v="1"/>
    <x v="2"/>
  </r>
  <r>
    <x v="1647"/>
    <n v="28.9"/>
    <n v="5.36"/>
    <x v="1"/>
    <s v="No"/>
    <s v="No"/>
    <x v="0"/>
    <x v="3"/>
    <x v="1"/>
    <x v="2"/>
  </r>
  <r>
    <x v="1648"/>
    <n v="36.19"/>
    <n v="4.3"/>
    <x v="1"/>
    <s v="No"/>
    <s v="No"/>
    <x v="0"/>
    <x v="0"/>
    <x v="1"/>
    <x v="2"/>
  </r>
  <r>
    <x v="1649"/>
    <n v="29.6"/>
    <n v="4.09"/>
    <x v="1"/>
    <s v="No"/>
    <s v="No"/>
    <x v="0"/>
    <x v="0"/>
    <x v="1"/>
    <x v="2"/>
  </r>
  <r>
    <x v="1650"/>
    <n v="30.95"/>
    <n v="6.27"/>
    <x v="1"/>
    <s v="No"/>
    <s v="No"/>
    <x v="1"/>
    <x v="3"/>
    <x v="1"/>
    <x v="2"/>
  </r>
  <r>
    <x v="1651"/>
    <n v="19.95"/>
    <n v="5.39"/>
    <x v="1"/>
    <s v="No"/>
    <s v="No"/>
    <x v="0"/>
    <x v="3"/>
    <x v="1"/>
    <x v="2"/>
  </r>
  <r>
    <x v="1652"/>
    <n v="23.65"/>
    <n v="5.75"/>
    <x v="1"/>
    <s v="yes"/>
    <s v="No"/>
    <x v="0"/>
    <x v="0"/>
    <x v="1"/>
    <x v="2"/>
  </r>
  <r>
    <x v="1653"/>
    <n v="43.34"/>
    <n v="4.91"/>
    <x v="1"/>
    <s v="No"/>
    <s v="No"/>
    <x v="0"/>
    <x v="3"/>
    <x v="1"/>
    <x v="2"/>
  </r>
  <r>
    <x v="1654"/>
    <n v="31.98"/>
    <n v="4.46"/>
    <x v="1"/>
    <s v="yes"/>
    <s v="No"/>
    <x v="0"/>
    <x v="3"/>
    <x v="1"/>
    <x v="2"/>
  </r>
  <r>
    <x v="1655"/>
    <n v="35.86"/>
    <n v="6.22"/>
    <x v="1"/>
    <s v="No"/>
    <s v="No"/>
    <x v="0"/>
    <x v="3"/>
    <x v="1"/>
    <x v="2"/>
  </r>
  <r>
    <x v="1656"/>
    <n v="15.2"/>
    <n v="8.82"/>
    <x v="0"/>
    <s v="No"/>
    <s v="No"/>
    <x v="0"/>
    <x v="0"/>
    <x v="1"/>
    <x v="3"/>
  </r>
  <r>
    <x v="1657"/>
    <n v="37.200000000000003"/>
    <n v="10.14"/>
    <x v="0"/>
    <s v="No"/>
    <s v="No"/>
    <x v="0"/>
    <x v="0"/>
    <x v="1"/>
    <x v="2"/>
  </r>
  <r>
    <x v="1658"/>
    <n v="17.91"/>
    <n v="4.66"/>
    <x v="1"/>
    <s v="No"/>
    <s v="No"/>
    <x v="0"/>
    <x v="1"/>
    <x v="1"/>
    <x v="3"/>
  </r>
  <r>
    <x v="1659"/>
    <n v="20.76"/>
    <n v="6.26"/>
    <x v="1"/>
    <s v="No"/>
    <s v="No"/>
    <x v="0"/>
    <x v="0"/>
    <x v="1"/>
    <x v="2"/>
  </r>
  <r>
    <x v="1660"/>
    <n v="38.99"/>
    <n v="5.21"/>
    <x v="1"/>
    <s v="No"/>
    <s v="yes"/>
    <x v="0"/>
    <x v="3"/>
    <x v="1"/>
    <x v="2"/>
  </r>
  <r>
    <x v="1661"/>
    <n v="42.655000000000001"/>
    <n v="5.94"/>
    <x v="1"/>
    <s v="yes"/>
    <s v="No"/>
    <x v="1"/>
    <x v="3"/>
    <x v="1"/>
    <x v="2"/>
  </r>
  <r>
    <x v="1662"/>
    <n v="30.57"/>
    <n v="5.34"/>
    <x v="1"/>
    <s v="No"/>
    <s v="No"/>
    <x v="1"/>
    <x v="3"/>
    <x v="1"/>
    <x v="2"/>
  </r>
  <r>
    <x v="1663"/>
    <n v="17.7"/>
    <n v="6.38"/>
    <x v="1"/>
    <s v="No"/>
    <s v="No"/>
    <x v="0"/>
    <x v="1"/>
    <x v="1"/>
    <x v="3"/>
  </r>
  <r>
    <x v="1664"/>
    <n v="34.770000000000003"/>
    <n v="4.47"/>
    <x v="1"/>
    <s v="No"/>
    <s v="No"/>
    <x v="0"/>
    <x v="3"/>
    <x v="1"/>
    <x v="2"/>
  </r>
  <r>
    <x v="1665"/>
    <n v="16.88"/>
    <n v="9.9600000000000009"/>
    <x v="0"/>
    <s v="No"/>
    <s v="No"/>
    <x v="0"/>
    <x v="0"/>
    <x v="1"/>
    <x v="3"/>
  </r>
  <r>
    <x v="1666"/>
    <n v="40.26"/>
    <n v="9.92"/>
    <x v="0"/>
    <s v="yes"/>
    <s v="No"/>
    <x v="0"/>
    <x v="0"/>
    <x v="1"/>
    <x v="2"/>
  </r>
  <r>
    <x v="1667"/>
    <n v="25.6"/>
    <n v="6.03"/>
    <x v="1"/>
    <s v="No"/>
    <s v="No"/>
    <x v="1"/>
    <x v="3"/>
    <x v="1"/>
    <x v="2"/>
  </r>
  <r>
    <x v="1668"/>
    <n v="33.549999999999997"/>
    <n v="10.9"/>
    <x v="0"/>
    <s v="yes"/>
    <s v="No"/>
    <x v="0"/>
    <x v="0"/>
    <x v="1"/>
    <x v="2"/>
  </r>
  <r>
    <x v="1669"/>
    <n v="16.690000000000001"/>
    <n v="10.66"/>
    <x v="0"/>
    <s v="No"/>
    <s v="No"/>
    <x v="0"/>
    <x v="0"/>
    <x v="1"/>
    <x v="3"/>
  </r>
  <r>
    <x v="1670"/>
    <n v="19.95"/>
    <n v="4.05"/>
    <x v="1"/>
    <s v="No"/>
    <s v="No"/>
    <x v="0"/>
    <x v="3"/>
    <x v="1"/>
    <x v="2"/>
  </r>
  <r>
    <x v="1671"/>
    <n v="17.55"/>
    <n v="4.2300000000000004"/>
    <x v="1"/>
    <s v="No"/>
    <s v="No"/>
    <x v="0"/>
    <x v="1"/>
    <x v="1"/>
    <x v="3"/>
  </r>
  <r>
    <x v="1672"/>
    <n v="22.01"/>
    <n v="5.01"/>
    <x v="1"/>
    <s v="No"/>
    <s v="No"/>
    <x v="0"/>
    <x v="3"/>
    <x v="1"/>
    <x v="2"/>
  </r>
  <r>
    <x v="1673"/>
    <n v="41.8"/>
    <n v="5.82"/>
    <x v="1"/>
    <s v="yes"/>
    <s v="No"/>
    <x v="1"/>
    <x v="3"/>
    <x v="1"/>
    <x v="2"/>
  </r>
  <r>
    <x v="1674"/>
    <n v="19.170000000000002"/>
    <n v="7.94"/>
    <x v="0"/>
    <s v="No"/>
    <s v="No"/>
    <x v="0"/>
    <x v="0"/>
    <x v="1"/>
    <x v="2"/>
  </r>
  <r>
    <x v="1675"/>
    <n v="32.799999999999997"/>
    <n v="6.16"/>
    <x v="1"/>
    <s v="yes"/>
    <s v="No"/>
    <x v="1"/>
    <x v="3"/>
    <x v="1"/>
    <x v="2"/>
  </r>
  <r>
    <x v="1676"/>
    <n v="35.814999999999998"/>
    <n v="4.1500000000000004"/>
    <x v="1"/>
    <s v="No"/>
    <s v="No"/>
    <x v="0"/>
    <x v="3"/>
    <x v="1"/>
    <x v="2"/>
  </r>
  <r>
    <x v="1677"/>
    <n v="24.3"/>
    <n v="6.23"/>
    <x v="1"/>
    <s v="No"/>
    <s v="No"/>
    <x v="0"/>
    <x v="0"/>
    <x v="1"/>
    <x v="2"/>
  </r>
  <r>
    <x v="1678"/>
    <n v="19.059999999999999"/>
    <n v="7.41"/>
    <x v="0"/>
    <s v="No"/>
    <s v="No"/>
    <x v="0"/>
    <x v="0"/>
    <x v="1"/>
    <x v="2"/>
  </r>
  <r>
    <x v="1679"/>
    <n v="33.25"/>
    <n v="5.62"/>
    <x v="1"/>
    <s v="yes"/>
    <s v="No"/>
    <x v="0"/>
    <x v="3"/>
    <x v="1"/>
    <x v="2"/>
  </r>
  <r>
    <x v="1680"/>
    <n v="21.37"/>
    <n v="4.54"/>
    <x v="1"/>
    <s v="yes"/>
    <s v="No"/>
    <x v="1"/>
    <x v="3"/>
    <x v="1"/>
    <x v="2"/>
  </r>
  <r>
    <x v="1681"/>
    <n v="34.43"/>
    <n v="8.6199999999999992"/>
    <x v="0"/>
    <s v="yes"/>
    <s v="No"/>
    <x v="0"/>
    <x v="3"/>
    <x v="1"/>
    <x v="2"/>
  </r>
  <r>
    <x v="1682"/>
    <n v="20.86"/>
    <n v="4.3600000000000003"/>
    <x v="1"/>
    <s v="yes"/>
    <s v="No"/>
    <x v="0"/>
    <x v="0"/>
    <x v="1"/>
    <x v="2"/>
  </r>
  <r>
    <x v="1683"/>
    <n v="18.34"/>
    <n v="10.01"/>
    <x v="0"/>
    <s v="No"/>
    <s v="No"/>
    <x v="0"/>
    <x v="0"/>
    <x v="1"/>
    <x v="3"/>
  </r>
  <r>
    <x v="1684"/>
    <n v="34.15"/>
    <n v="5.42"/>
    <x v="1"/>
    <s v="No"/>
    <s v="No"/>
    <x v="0"/>
    <x v="0"/>
    <x v="1"/>
    <x v="2"/>
  </r>
  <r>
    <x v="1685"/>
    <n v="18.350000000000001"/>
    <n v="5.12"/>
    <x v="1"/>
    <s v="No"/>
    <s v="No"/>
    <x v="0"/>
    <x v="0"/>
    <x v="1"/>
    <x v="3"/>
  </r>
  <r>
    <x v="1686"/>
    <n v="22.13"/>
    <n v="9.1999999999999993"/>
    <x v="0"/>
    <s v="yes"/>
    <s v="No"/>
    <x v="0"/>
    <x v="0"/>
    <x v="1"/>
    <x v="2"/>
  </r>
  <r>
    <x v="1687"/>
    <n v="22.51"/>
    <n v="6.08"/>
    <x v="1"/>
    <s v="yes"/>
    <s v="No"/>
    <x v="0"/>
    <x v="3"/>
    <x v="1"/>
    <x v="2"/>
  </r>
  <r>
    <x v="1688"/>
    <n v="31"/>
    <n v="4.7699999999999996"/>
    <x v="1"/>
    <s v="No"/>
    <s v="No"/>
    <x v="0"/>
    <x v="3"/>
    <x v="1"/>
    <x v="2"/>
  </r>
  <r>
    <x v="1689"/>
    <n v="28.27"/>
    <n v="4.62"/>
    <x v="1"/>
    <s v="No"/>
    <s v="No"/>
    <x v="0"/>
    <x v="3"/>
    <x v="1"/>
    <x v="2"/>
  </r>
  <r>
    <x v="1690"/>
    <n v="29.92"/>
    <n v="9.07"/>
    <x v="0"/>
    <s v="yes"/>
    <s v="No"/>
    <x v="0"/>
    <x v="3"/>
    <x v="1"/>
    <x v="2"/>
  </r>
  <r>
    <x v="1691"/>
    <n v="25.9"/>
    <n v="9.1199999999999992"/>
    <x v="0"/>
    <s v="yes"/>
    <s v="No"/>
    <x v="0"/>
    <x v="3"/>
    <x v="1"/>
    <x v="2"/>
  </r>
  <r>
    <x v="1692"/>
    <n v="27.74"/>
    <n v="7.32"/>
    <x v="0"/>
    <s v="yes"/>
    <s v="No"/>
    <x v="0"/>
    <x v="3"/>
    <x v="1"/>
    <x v="2"/>
  </r>
  <r>
    <x v="1693"/>
    <n v="17.260000000000002"/>
    <n v="11.73"/>
    <x v="0"/>
    <s v="No"/>
    <s v="No"/>
    <x v="0"/>
    <x v="1"/>
    <x v="1"/>
    <x v="3"/>
  </r>
  <r>
    <x v="1694"/>
    <n v="19.855"/>
    <n v="6.64"/>
    <x v="0"/>
    <s v="yes"/>
    <s v="No"/>
    <x v="0"/>
    <x v="3"/>
    <x v="1"/>
    <x v="2"/>
  </r>
  <r>
    <x v="1695"/>
    <n v="41.69"/>
    <n v="5.78"/>
    <x v="1"/>
    <s v="No"/>
    <s v="No"/>
    <x v="0"/>
    <x v="0"/>
    <x v="1"/>
    <x v="2"/>
  </r>
  <r>
    <x v="1696"/>
    <n v="16.12"/>
    <n v="10.45"/>
    <x v="0"/>
    <s v="No"/>
    <s v="No"/>
    <x v="0"/>
    <x v="0"/>
    <x v="1"/>
    <x v="3"/>
  </r>
  <r>
    <x v="1697"/>
    <n v="37.43"/>
    <n v="4.5199999999999996"/>
    <x v="1"/>
    <s v="No"/>
    <s v="No"/>
    <x v="0"/>
    <x v="3"/>
    <x v="1"/>
    <x v="2"/>
  </r>
  <r>
    <x v="1698"/>
    <n v="31.065000000000001"/>
    <n v="5.71"/>
    <x v="1"/>
    <s v="No"/>
    <s v="No"/>
    <x v="0"/>
    <x v="0"/>
    <x v="1"/>
    <x v="2"/>
  </r>
  <r>
    <x v="1699"/>
    <n v="25.08"/>
    <n v="4.7699999999999996"/>
    <x v="1"/>
    <s v="No"/>
    <s v="No"/>
    <x v="0"/>
    <x v="0"/>
    <x v="1"/>
    <x v="2"/>
  </r>
  <r>
    <x v="1700"/>
    <n v="15.2"/>
    <n v="7.81"/>
    <x v="0"/>
    <s v="yes"/>
    <s v="No"/>
    <x v="0"/>
    <x v="3"/>
    <x v="1"/>
    <x v="3"/>
  </r>
  <r>
    <x v="1701"/>
    <n v="22.34"/>
    <n v="5.19"/>
    <x v="1"/>
    <s v="yes"/>
    <s v="No"/>
    <x v="0"/>
    <x v="0"/>
    <x v="1"/>
    <x v="2"/>
  </r>
  <r>
    <x v="1702"/>
    <n v="40.15"/>
    <n v="5.93"/>
    <x v="1"/>
    <s v="No"/>
    <s v="No"/>
    <x v="0"/>
    <x v="3"/>
    <x v="1"/>
    <x v="2"/>
  </r>
  <r>
    <x v="1703"/>
    <n v="37.729999999999997"/>
    <n v="6.29"/>
    <x v="1"/>
    <s v="No"/>
    <s v="No"/>
    <x v="0"/>
    <x v="3"/>
    <x v="1"/>
    <x v="2"/>
  </r>
  <r>
    <x v="1704"/>
    <n v="25.35"/>
    <n v="4.9000000000000004"/>
    <x v="1"/>
    <s v="No"/>
    <s v="No"/>
    <x v="0"/>
    <x v="0"/>
    <x v="1"/>
    <x v="2"/>
  </r>
  <r>
    <x v="1705"/>
    <n v="26.41"/>
    <n v="5.07"/>
    <x v="1"/>
    <s v="yes"/>
    <s v="No"/>
    <x v="0"/>
    <x v="3"/>
    <x v="1"/>
    <x v="2"/>
  </r>
  <r>
    <x v="1706"/>
    <n v="27.6"/>
    <n v="5.33"/>
    <x v="1"/>
    <s v="No"/>
    <s v="No"/>
    <x v="0"/>
    <x v="3"/>
    <x v="1"/>
    <x v="2"/>
  </r>
  <r>
    <x v="1707"/>
    <n v="33.82"/>
    <n v="8.93"/>
    <x v="0"/>
    <s v="yes"/>
    <s v="No"/>
    <x v="0"/>
    <x v="3"/>
    <x v="1"/>
    <x v="2"/>
  </r>
  <r>
    <x v="1708"/>
    <n v="32.9"/>
    <n v="4.3499999999999996"/>
    <x v="1"/>
    <s v="No"/>
    <s v="No"/>
    <x v="0"/>
    <x v="0"/>
    <x v="1"/>
    <x v="2"/>
  </r>
  <r>
    <x v="1709"/>
    <n v="30.875"/>
    <n v="9.5399999999999991"/>
    <x v="0"/>
    <s v="yes"/>
    <s v="No"/>
    <x v="0"/>
    <x v="3"/>
    <x v="1"/>
    <x v="2"/>
  </r>
  <r>
    <x v="1710"/>
    <n v="32.64"/>
    <n v="5.91"/>
    <x v="1"/>
    <s v="No"/>
    <s v="No"/>
    <x v="0"/>
    <x v="0"/>
    <x v="1"/>
    <x v="2"/>
  </r>
  <r>
    <x v="1711"/>
    <n v="22.135000000000002"/>
    <n v="5.0999999999999996"/>
    <x v="1"/>
    <s v="No"/>
    <s v="No"/>
    <x v="0"/>
    <x v="0"/>
    <x v="1"/>
    <x v="2"/>
  </r>
  <r>
    <x v="1712"/>
    <n v="16.53"/>
    <n v="5.08"/>
    <x v="1"/>
    <s v="No"/>
    <s v="No"/>
    <x v="0"/>
    <x v="1"/>
    <x v="1"/>
    <x v="3"/>
  </r>
  <r>
    <x v="1713"/>
    <n v="32.774999999999999"/>
    <n v="4.75"/>
    <x v="1"/>
    <s v="No"/>
    <s v="No"/>
    <x v="0"/>
    <x v="0"/>
    <x v="1"/>
    <x v="2"/>
  </r>
  <r>
    <x v="1714"/>
    <n v="30.9"/>
    <n v="6.05"/>
    <x v="1"/>
    <s v="No"/>
    <s v="No"/>
    <x v="0"/>
    <x v="3"/>
    <x v="1"/>
    <x v="2"/>
  </r>
  <r>
    <x v="1715"/>
    <n v="15.58"/>
    <n v="11.56"/>
    <x v="0"/>
    <s v="No"/>
    <s v="No"/>
    <x v="0"/>
    <x v="0"/>
    <x v="1"/>
    <x v="3"/>
  </r>
  <r>
    <x v="1716"/>
    <n v="26.315000000000001"/>
    <n v="5.76"/>
    <x v="1"/>
    <s v="No"/>
    <s v="No"/>
    <x v="0"/>
    <x v="0"/>
    <x v="1"/>
    <x v="2"/>
  </r>
  <r>
    <x v="1717"/>
    <n v="35.61"/>
    <n v="5.65"/>
    <x v="1"/>
    <s v="No"/>
    <s v="yes"/>
    <x v="0"/>
    <x v="3"/>
    <x v="1"/>
    <x v="2"/>
  </r>
  <r>
    <x v="1718"/>
    <n v="37.56"/>
    <n v="5.88"/>
    <x v="1"/>
    <s v="No"/>
    <s v="yes"/>
    <x v="0"/>
    <x v="3"/>
    <x v="1"/>
    <x v="2"/>
  </r>
  <r>
    <x v="1719"/>
    <n v="15.49"/>
    <n v="9.6"/>
    <x v="0"/>
    <s v="No"/>
    <s v="No"/>
    <x v="0"/>
    <x v="0"/>
    <x v="1"/>
    <x v="3"/>
  </r>
  <r>
    <x v="1720"/>
    <n v="23.48"/>
    <n v="6.24"/>
    <x v="1"/>
    <s v="No"/>
    <s v="No"/>
    <x v="0"/>
    <x v="3"/>
    <x v="1"/>
    <x v="2"/>
  </r>
  <r>
    <x v="1721"/>
    <n v="30.02"/>
    <n v="7.63"/>
    <x v="0"/>
    <s v="yes"/>
    <s v="No"/>
    <x v="0"/>
    <x v="3"/>
    <x v="1"/>
    <x v="2"/>
  </r>
  <r>
    <x v="1722"/>
    <n v="26.885000000000002"/>
    <n v="8.66"/>
    <x v="0"/>
    <s v="yes"/>
    <s v="No"/>
    <x v="0"/>
    <x v="3"/>
    <x v="1"/>
    <x v="2"/>
  </r>
  <r>
    <x v="1723"/>
    <n v="25.84"/>
    <n v="8.5500000000000007"/>
    <x v="0"/>
    <s v="yes"/>
    <s v="No"/>
    <x v="0"/>
    <x v="3"/>
    <x v="1"/>
    <x v="2"/>
  </r>
  <r>
    <x v="1724"/>
    <n v="27.454999999999998"/>
    <n v="4.54"/>
    <x v="1"/>
    <s v="No"/>
    <s v="No"/>
    <x v="0"/>
    <x v="0"/>
    <x v="1"/>
    <x v="2"/>
  </r>
  <r>
    <x v="1725"/>
    <n v="24.605"/>
    <n v="5.7"/>
    <x v="1"/>
    <s v="No"/>
    <s v="No"/>
    <x v="0"/>
    <x v="0"/>
    <x v="1"/>
    <x v="2"/>
  </r>
  <r>
    <x v="1726"/>
    <n v="30.8"/>
    <n v="5.07"/>
    <x v="1"/>
    <s v="No"/>
    <s v="No"/>
    <x v="0"/>
    <x v="0"/>
    <x v="1"/>
    <x v="2"/>
  </r>
  <r>
    <x v="1727"/>
    <n v="34.799999999999997"/>
    <n v="4.38"/>
    <x v="1"/>
    <s v="No"/>
    <s v="No"/>
    <x v="0"/>
    <x v="3"/>
    <x v="1"/>
    <x v="2"/>
  </r>
  <r>
    <x v="1728"/>
    <n v="34.21"/>
    <n v="4.54"/>
    <x v="1"/>
    <s v="No"/>
    <s v="No"/>
    <x v="0"/>
    <x v="3"/>
    <x v="1"/>
    <x v="2"/>
  </r>
  <r>
    <x v="1729"/>
    <n v="31"/>
    <n v="5.38"/>
    <x v="1"/>
    <s v="No"/>
    <s v="No"/>
    <x v="0"/>
    <x v="3"/>
    <x v="1"/>
    <x v="2"/>
  </r>
  <r>
    <x v="1730"/>
    <n v="26.125"/>
    <n v="5.55"/>
    <x v="1"/>
    <s v="No"/>
    <s v="No"/>
    <x v="0"/>
    <x v="3"/>
    <x v="1"/>
    <x v="2"/>
  </r>
  <r>
    <x v="1731"/>
    <n v="30.13"/>
    <n v="4.03"/>
    <x v="1"/>
    <s v="yes"/>
    <s v="No"/>
    <x v="0"/>
    <x v="3"/>
    <x v="1"/>
    <x v="2"/>
  </r>
  <r>
    <x v="1732"/>
    <n v="34.19"/>
    <n v="4.1900000000000004"/>
    <x v="1"/>
    <s v="No"/>
    <s v="No"/>
    <x v="0"/>
    <x v="0"/>
    <x v="1"/>
    <x v="2"/>
  </r>
  <r>
    <x v="1733"/>
    <n v="22.515000000000001"/>
    <n v="4.37"/>
    <x v="1"/>
    <s v="No"/>
    <s v="No"/>
    <x v="1"/>
    <x v="3"/>
    <x v="1"/>
    <x v="2"/>
  </r>
  <r>
    <x v="1734"/>
    <n v="18.239999999999998"/>
    <n v="5.31"/>
    <x v="1"/>
    <s v="yes"/>
    <s v="No"/>
    <x v="1"/>
    <x v="3"/>
    <x v="1"/>
    <x v="3"/>
  </r>
  <r>
    <x v="1735"/>
    <n v="37.28"/>
    <n v="4.66"/>
    <x v="1"/>
    <s v="No"/>
    <s v="yes"/>
    <x v="0"/>
    <x v="3"/>
    <x v="1"/>
    <x v="2"/>
  </r>
  <r>
    <x v="1736"/>
    <n v="18.2"/>
    <n v="6.19"/>
    <x v="1"/>
    <s v="No"/>
    <s v="No"/>
    <x v="1"/>
    <x v="3"/>
    <x v="1"/>
    <x v="3"/>
  </r>
  <r>
    <x v="1737"/>
    <n v="20.53"/>
    <n v="4.8600000000000003"/>
    <x v="1"/>
    <s v="No"/>
    <s v="No"/>
    <x v="0"/>
    <x v="3"/>
    <x v="1"/>
    <x v="2"/>
  </r>
  <r>
    <x v="1738"/>
    <n v="23.79"/>
    <n v="4.74"/>
    <x v="1"/>
    <s v="No"/>
    <s v="No"/>
    <x v="0"/>
    <x v="0"/>
    <x v="1"/>
    <x v="2"/>
  </r>
  <r>
    <x v="1739"/>
    <n v="29.8"/>
    <n v="6.03"/>
    <x v="1"/>
    <s v="No"/>
    <s v="No"/>
    <x v="0"/>
    <x v="0"/>
    <x v="1"/>
    <x v="2"/>
  </r>
  <r>
    <x v="1740"/>
    <n v="31.54"/>
    <n v="4.71"/>
    <x v="1"/>
    <s v="No"/>
    <s v="No"/>
    <x v="0"/>
    <x v="0"/>
    <x v="1"/>
    <x v="2"/>
  </r>
  <r>
    <x v="1741"/>
    <n v="20.82"/>
    <n v="5.55"/>
    <x v="1"/>
    <s v="No"/>
    <s v="No"/>
    <x v="0"/>
    <x v="3"/>
    <x v="1"/>
    <x v="2"/>
  </r>
  <r>
    <x v="1742"/>
    <n v="38.83"/>
    <n v="4.78"/>
    <x v="1"/>
    <s v="No"/>
    <s v="No"/>
    <x v="1"/>
    <x v="3"/>
    <x v="1"/>
    <x v="2"/>
  </r>
  <r>
    <x v="1743"/>
    <n v="23.44"/>
    <n v="4.6500000000000004"/>
    <x v="1"/>
    <s v="yes"/>
    <s v="No"/>
    <x v="0"/>
    <x v="3"/>
    <x v="1"/>
    <x v="2"/>
  </r>
  <r>
    <x v="1744"/>
    <n v="24.13"/>
    <n v="5.2"/>
    <x v="1"/>
    <s v="No"/>
    <s v="No"/>
    <x v="0"/>
    <x v="3"/>
    <x v="1"/>
    <x v="2"/>
  </r>
  <r>
    <x v="1745"/>
    <n v="42.13"/>
    <n v="4.54"/>
    <x v="1"/>
    <s v="yes"/>
    <s v="No"/>
    <x v="0"/>
    <x v="3"/>
    <x v="1"/>
    <x v="2"/>
  </r>
  <r>
    <x v="1746"/>
    <n v="17.86"/>
    <n v="4.1100000000000003"/>
    <x v="1"/>
    <s v="No"/>
    <s v="No"/>
    <x v="0"/>
    <x v="3"/>
    <x v="1"/>
    <x v="3"/>
  </r>
  <r>
    <x v="1747"/>
    <n v="32.78"/>
    <n v="4.63"/>
    <x v="1"/>
    <s v="No"/>
    <s v="No"/>
    <x v="0"/>
    <x v="0"/>
    <x v="1"/>
    <x v="2"/>
  </r>
  <r>
    <x v="1748"/>
    <n v="23.9"/>
    <n v="6.06"/>
    <x v="1"/>
    <s v="yes"/>
    <s v="No"/>
    <x v="1"/>
    <x v="3"/>
    <x v="1"/>
    <x v="2"/>
  </r>
  <r>
    <x v="1749"/>
    <n v="15.47"/>
    <n v="8.43"/>
    <x v="0"/>
    <s v="No"/>
    <s v="No"/>
    <x v="0"/>
    <x v="0"/>
    <x v="1"/>
    <x v="3"/>
  </r>
  <r>
    <x v="1750"/>
    <n v="28.54"/>
    <n v="5.51"/>
    <x v="1"/>
    <s v="No"/>
    <s v="No"/>
    <x v="1"/>
    <x v="3"/>
    <x v="1"/>
    <x v="2"/>
  </r>
  <r>
    <x v="1751"/>
    <n v="18.54"/>
    <n v="4.95"/>
    <x v="1"/>
    <s v="No"/>
    <s v="No"/>
    <x v="0"/>
    <x v="0"/>
    <x v="1"/>
    <x v="2"/>
  </r>
  <r>
    <x v="1752"/>
    <n v="32.18"/>
    <n v="6.44"/>
    <x v="1"/>
    <s v="yes"/>
    <s v="No"/>
    <x v="1"/>
    <x v="3"/>
    <x v="1"/>
    <x v="2"/>
  </r>
  <r>
    <x v="1753"/>
    <n v="37.380000000000003"/>
    <n v="6.05"/>
    <x v="1"/>
    <s v="yes"/>
    <s v="No"/>
    <x v="0"/>
    <x v="0"/>
    <x v="1"/>
    <x v="2"/>
  </r>
  <r>
    <x v="1754"/>
    <n v="31.12"/>
    <n v="4.76"/>
    <x v="1"/>
    <s v="yes"/>
    <s v="No"/>
    <x v="1"/>
    <x v="3"/>
    <x v="1"/>
    <x v="2"/>
  </r>
  <r>
    <x v="1755"/>
    <n v="22.01"/>
    <n v="6.72"/>
    <x v="0"/>
    <s v="yes"/>
    <s v="No"/>
    <x v="0"/>
    <x v="3"/>
    <x v="1"/>
    <x v="2"/>
  </r>
  <r>
    <x v="1756"/>
    <n v="27.645"/>
    <n v="5.7"/>
    <x v="1"/>
    <s v="No"/>
    <s v="No"/>
    <x v="0"/>
    <x v="0"/>
    <x v="1"/>
    <x v="2"/>
  </r>
  <r>
    <x v="1757"/>
    <n v="29.64"/>
    <n v="5.31"/>
    <x v="1"/>
    <s v="yes"/>
    <s v="No"/>
    <x v="0"/>
    <x v="0"/>
    <x v="1"/>
    <x v="2"/>
  </r>
  <r>
    <x v="1758"/>
    <n v="33.700000000000003"/>
    <n v="4.32"/>
    <x v="1"/>
    <s v="yes"/>
    <s v="No"/>
    <x v="0"/>
    <x v="3"/>
    <x v="1"/>
    <x v="2"/>
  </r>
  <r>
    <x v="1759"/>
    <n v="27.5"/>
    <n v="4.2300000000000004"/>
    <x v="1"/>
    <s v="yes"/>
    <s v="No"/>
    <x v="0"/>
    <x v="3"/>
    <x v="1"/>
    <x v="2"/>
  </r>
  <r>
    <x v="1760"/>
    <n v="16.12"/>
    <n v="6.09"/>
    <x v="1"/>
    <s v="No"/>
    <s v="No"/>
    <x v="0"/>
    <x v="0"/>
    <x v="1"/>
    <x v="3"/>
  </r>
  <r>
    <x v="1761"/>
    <n v="26.73"/>
    <n v="4.74"/>
    <x v="1"/>
    <s v="yes"/>
    <s v="No"/>
    <x v="0"/>
    <x v="3"/>
    <x v="1"/>
    <x v="2"/>
  </r>
  <r>
    <x v="1762"/>
    <n v="37.25"/>
    <n v="6.23"/>
    <x v="1"/>
    <s v="yes"/>
    <s v="No"/>
    <x v="0"/>
    <x v="0"/>
    <x v="1"/>
    <x v="2"/>
  </r>
  <r>
    <x v="1763"/>
    <n v="23.56"/>
    <n v="5.45"/>
    <x v="1"/>
    <s v="yes"/>
    <s v="No"/>
    <x v="0"/>
    <x v="3"/>
    <x v="1"/>
    <x v="2"/>
  </r>
  <r>
    <x v="1764"/>
    <n v="15.84"/>
    <n v="10.34"/>
    <x v="0"/>
    <s v="No"/>
    <s v="No"/>
    <x v="0"/>
    <x v="1"/>
    <x v="1"/>
    <x v="3"/>
  </r>
  <r>
    <x v="1765"/>
    <n v="36.630000000000003"/>
    <n v="5.15"/>
    <x v="1"/>
    <s v="No"/>
    <s v="No"/>
    <x v="0"/>
    <x v="0"/>
    <x v="1"/>
    <x v="2"/>
  </r>
  <r>
    <x v="1766"/>
    <n v="16.47"/>
    <n v="11.72"/>
    <x v="0"/>
    <s v="No"/>
    <s v="No"/>
    <x v="0"/>
    <x v="0"/>
    <x v="1"/>
    <x v="3"/>
  </r>
  <r>
    <x v="1767"/>
    <n v="25.8"/>
    <n v="5.29"/>
    <x v="1"/>
    <s v="No"/>
    <s v="No"/>
    <x v="0"/>
    <x v="0"/>
    <x v="1"/>
    <x v="2"/>
  </r>
  <r>
    <x v="1768"/>
    <n v="23.6"/>
    <n v="4.33"/>
    <x v="1"/>
    <s v="No"/>
    <s v="No"/>
    <x v="0"/>
    <x v="0"/>
    <x v="1"/>
    <x v="2"/>
  </r>
  <r>
    <x v="1769"/>
    <n v="32.11"/>
    <n v="6.24"/>
    <x v="1"/>
    <s v="No"/>
    <s v="No"/>
    <x v="1"/>
    <x v="3"/>
    <x v="1"/>
    <x v="2"/>
  </r>
  <r>
    <x v="1770"/>
    <n v="30.114999999999998"/>
    <n v="11.61"/>
    <x v="0"/>
    <s v="No"/>
    <s v="No"/>
    <x v="0"/>
    <x v="0"/>
    <x v="1"/>
    <x v="2"/>
  </r>
  <r>
    <x v="1771"/>
    <n v="20.28"/>
    <n v="11.07"/>
    <x v="0"/>
    <s v="yes"/>
    <s v="No"/>
    <x v="0"/>
    <x v="0"/>
    <x v="1"/>
    <x v="2"/>
  </r>
  <r>
    <x v="1772"/>
    <n v="20.234999999999999"/>
    <n v="5.19"/>
    <x v="1"/>
    <s v="No"/>
    <s v="No"/>
    <x v="1"/>
    <x v="3"/>
    <x v="1"/>
    <x v="2"/>
  </r>
  <r>
    <x v="1773"/>
    <n v="25.27"/>
    <n v="5.7"/>
    <x v="1"/>
    <s v="yes"/>
    <s v="No"/>
    <x v="0"/>
    <x v="3"/>
    <x v="1"/>
    <x v="2"/>
  </r>
  <r>
    <x v="1774"/>
    <n v="24.24"/>
    <n v="6.15"/>
    <x v="1"/>
    <s v="No"/>
    <s v="No"/>
    <x v="0"/>
    <x v="0"/>
    <x v="1"/>
    <x v="2"/>
  </r>
  <r>
    <x v="1775"/>
    <n v="35.75"/>
    <n v="5.07"/>
    <x v="1"/>
    <s v="No"/>
    <s v="No"/>
    <x v="0"/>
    <x v="0"/>
    <x v="1"/>
    <x v="2"/>
  </r>
  <r>
    <x v="1776"/>
    <n v="29.92"/>
    <n v="10.97"/>
    <x v="0"/>
    <s v="yes"/>
    <s v="No"/>
    <x v="0"/>
    <x v="3"/>
    <x v="1"/>
    <x v="2"/>
  </r>
  <r>
    <x v="1777"/>
    <n v="26.2"/>
    <n v="10.93"/>
    <x v="0"/>
    <s v="yes"/>
    <s v="No"/>
    <x v="0"/>
    <x v="3"/>
    <x v="1"/>
    <x v="2"/>
  </r>
  <r>
    <x v="1778"/>
    <n v="26.695"/>
    <n v="4.21"/>
    <x v="1"/>
    <s v="yes"/>
    <s v="No"/>
    <x v="1"/>
    <x v="3"/>
    <x v="1"/>
    <x v="2"/>
  </r>
  <r>
    <x v="1779"/>
    <n v="23.16"/>
    <n v="5.5"/>
    <x v="1"/>
    <s v="No"/>
    <s v="No"/>
    <x v="0"/>
    <x v="0"/>
    <x v="1"/>
    <x v="2"/>
  </r>
  <r>
    <x v="1780"/>
    <n v="32.585000000000001"/>
    <n v="4.93"/>
    <x v="1"/>
    <s v="yes"/>
    <s v="No"/>
    <x v="0"/>
    <x v="3"/>
    <x v="1"/>
    <x v="2"/>
  </r>
  <r>
    <x v="1781"/>
    <n v="33.97"/>
    <n v="5.6"/>
    <x v="1"/>
    <s v="yes"/>
    <s v="No"/>
    <x v="0"/>
    <x v="0"/>
    <x v="1"/>
    <x v="2"/>
  </r>
  <r>
    <x v="1782"/>
    <n v="16.57"/>
    <n v="9.99"/>
    <x v="0"/>
    <s v="No"/>
    <s v="No"/>
    <x v="0"/>
    <x v="0"/>
    <x v="1"/>
    <x v="3"/>
  </r>
  <r>
    <x v="1783"/>
    <n v="17.55"/>
    <n v="5.93"/>
    <x v="1"/>
    <s v="No"/>
    <s v="No"/>
    <x v="1"/>
    <x v="3"/>
    <x v="1"/>
    <x v="3"/>
  </r>
  <r>
    <x v="1784"/>
    <n v="29.41"/>
    <n v="6.29"/>
    <x v="1"/>
    <s v="yes"/>
    <s v="No"/>
    <x v="0"/>
    <x v="3"/>
    <x v="1"/>
    <x v="2"/>
  </r>
  <r>
    <x v="1785"/>
    <n v="17.91"/>
    <n v="5.65"/>
    <x v="1"/>
    <s v="No"/>
    <s v="No"/>
    <x v="0"/>
    <x v="3"/>
    <x v="1"/>
    <x v="3"/>
  </r>
  <r>
    <x v="1786"/>
    <n v="31.57"/>
    <n v="6.15"/>
    <x v="1"/>
    <s v="No"/>
    <s v="No"/>
    <x v="0"/>
    <x v="3"/>
    <x v="1"/>
    <x v="2"/>
  </r>
  <r>
    <x v="1787"/>
    <n v="33.18"/>
    <n v="5.22"/>
    <x v="1"/>
    <s v="No"/>
    <s v="yes"/>
    <x v="0"/>
    <x v="3"/>
    <x v="1"/>
    <x v="2"/>
  </r>
  <r>
    <x v="1788"/>
    <n v="37"/>
    <n v="11.66"/>
    <x v="0"/>
    <s v="No"/>
    <s v="No"/>
    <x v="0"/>
    <x v="0"/>
    <x v="1"/>
    <x v="2"/>
  </r>
  <r>
    <x v="1789"/>
    <n v="18.905000000000001"/>
    <n v="4.91"/>
    <x v="1"/>
    <s v="yes"/>
    <s v="No"/>
    <x v="0"/>
    <x v="3"/>
    <x v="1"/>
    <x v="2"/>
  </r>
  <r>
    <x v="1790"/>
    <n v="20.03"/>
    <n v="9.25"/>
    <x v="0"/>
    <s v="yes"/>
    <s v="No"/>
    <x v="0"/>
    <x v="0"/>
    <x v="1"/>
    <x v="2"/>
  </r>
  <r>
    <x v="1791"/>
    <n v="16.7"/>
    <n v="11.48"/>
    <x v="0"/>
    <s v="No"/>
    <s v="No"/>
    <x v="0"/>
    <x v="0"/>
    <x v="1"/>
    <x v="3"/>
  </r>
  <r>
    <x v="1792"/>
    <n v="39.82"/>
    <n v="6.06"/>
    <x v="1"/>
    <s v="No"/>
    <s v="No"/>
    <x v="0"/>
    <x v="0"/>
    <x v="1"/>
    <x v="2"/>
  </r>
  <r>
    <x v="1793"/>
    <n v="22.04"/>
    <n v="5.86"/>
    <x v="1"/>
    <s v="No"/>
    <s v="No"/>
    <x v="0"/>
    <x v="3"/>
    <x v="1"/>
    <x v="2"/>
  </r>
  <r>
    <x v="1794"/>
    <n v="28.27"/>
    <n v="5.33"/>
    <x v="2"/>
    <s v="No"/>
    <s v="No"/>
    <x v="0"/>
    <x v="0"/>
    <x v="1"/>
    <x v="2"/>
  </r>
  <r>
    <x v="1795"/>
    <n v="18.5"/>
    <n v="5.33"/>
    <x v="2"/>
    <s v="No"/>
    <s v="No"/>
    <x v="0"/>
    <x v="0"/>
    <x v="1"/>
    <x v="3"/>
  </r>
  <r>
    <x v="1796"/>
    <n v="38.6"/>
    <n v="6.02"/>
    <x v="1"/>
    <s v="No"/>
    <s v="No"/>
    <x v="0"/>
    <x v="3"/>
    <x v="1"/>
    <x v="2"/>
  </r>
  <r>
    <x v="1797"/>
    <n v="43.12"/>
    <n v="6.25"/>
    <x v="1"/>
    <s v="No"/>
    <s v="No"/>
    <x v="0"/>
    <x v="3"/>
    <x v="1"/>
    <x v="2"/>
  </r>
  <r>
    <x v="1798"/>
    <n v="30.5"/>
    <n v="4.8099999999999996"/>
    <x v="2"/>
    <s v="No"/>
    <s v="No"/>
    <x v="0"/>
    <x v="3"/>
    <x v="1"/>
    <x v="2"/>
  </r>
  <r>
    <x v="1799"/>
    <n v="27.61"/>
    <n v="4.5999999999999996"/>
    <x v="2"/>
    <s v="No"/>
    <s v="No"/>
    <x v="0"/>
    <x v="3"/>
    <x v="1"/>
    <x v="2"/>
  </r>
  <r>
    <x v="1800"/>
    <n v="27.1"/>
    <n v="5.08"/>
    <x v="2"/>
    <s v="No"/>
    <s v="No"/>
    <x v="0"/>
    <x v="3"/>
    <x v="1"/>
    <x v="2"/>
  </r>
  <r>
    <x v="1801"/>
    <n v="35.93"/>
    <n v="5.43"/>
    <x v="2"/>
    <s v="No"/>
    <s v="yes"/>
    <x v="0"/>
    <x v="3"/>
    <x v="1"/>
    <x v="2"/>
  </r>
  <r>
    <x v="1802"/>
    <n v="32.68"/>
    <n v="5.44"/>
    <x v="2"/>
    <s v="No"/>
    <s v="No"/>
    <x v="0"/>
    <x v="0"/>
    <x v="1"/>
    <x v="2"/>
  </r>
  <r>
    <x v="1803"/>
    <n v="20.74"/>
    <n v="11.69"/>
    <x v="0"/>
    <s v="yes"/>
    <s v="No"/>
    <x v="0"/>
    <x v="3"/>
    <x v="1"/>
    <x v="2"/>
  </r>
  <r>
    <x v="1804"/>
    <n v="15.57"/>
    <n v="6.07"/>
    <x v="1"/>
    <s v="No"/>
    <s v="No"/>
    <x v="0"/>
    <x v="0"/>
    <x v="1"/>
    <x v="3"/>
  </r>
  <r>
    <x v="1805"/>
    <n v="23.844999999999999"/>
    <n v="4.3600000000000003"/>
    <x v="2"/>
    <s v="No"/>
    <s v="No"/>
    <x v="0"/>
    <x v="0"/>
    <x v="1"/>
    <x v="2"/>
  </r>
  <r>
    <x v="1806"/>
    <n v="22.895"/>
    <n v="5.24"/>
    <x v="2"/>
    <s v="No"/>
    <s v="No"/>
    <x v="0"/>
    <x v="3"/>
    <x v="1"/>
    <x v="2"/>
  </r>
  <r>
    <x v="1807"/>
    <n v="21.945"/>
    <n v="5.37"/>
    <x v="2"/>
    <s v="No"/>
    <s v="No"/>
    <x v="0"/>
    <x v="3"/>
    <x v="1"/>
    <x v="2"/>
  </r>
  <r>
    <x v="1808"/>
    <n v="19.47"/>
    <n v="6.6"/>
    <x v="1"/>
    <s v="yes"/>
    <s v="No"/>
    <x v="0"/>
    <x v="0"/>
    <x v="1"/>
    <x v="2"/>
  </r>
  <r>
    <x v="1809"/>
    <n v="15.61"/>
    <n v="5.77"/>
    <x v="1"/>
    <s v="No"/>
    <s v="No"/>
    <x v="0"/>
    <x v="0"/>
    <x v="1"/>
    <x v="3"/>
  </r>
  <r>
    <x v="1810"/>
    <n v="28.6"/>
    <n v="6.08"/>
    <x v="1"/>
    <s v="No"/>
    <s v="No"/>
    <x v="1"/>
    <x v="3"/>
    <x v="1"/>
    <x v="2"/>
  </r>
  <r>
    <x v="1811"/>
    <n v="46.53"/>
    <n v="4.16"/>
    <x v="2"/>
    <s v="No"/>
    <s v="No"/>
    <x v="0"/>
    <x v="0"/>
    <x v="1"/>
    <x v="2"/>
  </r>
  <r>
    <x v="1812"/>
    <n v="34.99"/>
    <n v="5.0999999999999996"/>
    <x v="2"/>
    <s v="No"/>
    <s v="No"/>
    <x v="1"/>
    <x v="3"/>
    <x v="1"/>
    <x v="2"/>
  </r>
  <r>
    <x v="1813"/>
    <n v="17.05"/>
    <n v="5.3"/>
    <x v="2"/>
    <s v="No"/>
    <s v="No"/>
    <x v="1"/>
    <x v="3"/>
    <x v="1"/>
    <x v="3"/>
  </r>
  <r>
    <x v="1814"/>
    <n v="37.18"/>
    <n v="4.9000000000000004"/>
    <x v="2"/>
    <s v="No"/>
    <s v="No"/>
    <x v="0"/>
    <x v="0"/>
    <x v="1"/>
    <x v="2"/>
  </r>
  <r>
    <x v="1815"/>
    <n v="35.200000000000003"/>
    <n v="5.55"/>
    <x v="2"/>
    <s v="No"/>
    <s v="No"/>
    <x v="0"/>
    <x v="0"/>
    <x v="1"/>
    <x v="2"/>
  </r>
  <r>
    <x v="1816"/>
    <n v="37.335000000000001"/>
    <n v="4.95"/>
    <x v="2"/>
    <s v="No"/>
    <s v="No"/>
    <x v="0"/>
    <x v="0"/>
    <x v="1"/>
    <x v="2"/>
  </r>
  <r>
    <x v="1817"/>
    <n v="27.265000000000001"/>
    <n v="6.46"/>
    <x v="1"/>
    <s v="yes"/>
    <s v="No"/>
    <x v="0"/>
    <x v="0"/>
    <x v="1"/>
    <x v="2"/>
  </r>
  <r>
    <x v="1818"/>
    <n v="30.8"/>
    <n v="4.9000000000000004"/>
    <x v="2"/>
    <s v="yes"/>
    <s v="No"/>
    <x v="0"/>
    <x v="0"/>
    <x v="1"/>
    <x v="2"/>
  </r>
  <r>
    <x v="1819"/>
    <n v="30.21"/>
    <n v="5.21"/>
    <x v="2"/>
    <s v="No"/>
    <s v="No"/>
    <x v="0"/>
    <x v="3"/>
    <x v="1"/>
    <x v="2"/>
  </r>
  <r>
    <x v="1820"/>
    <n v="35.340000000000003"/>
    <n v="4.13"/>
    <x v="2"/>
    <s v="No"/>
    <s v="yes"/>
    <x v="0"/>
    <x v="3"/>
    <x v="1"/>
    <x v="2"/>
  </r>
  <r>
    <x v="1821"/>
    <n v="26.695"/>
    <n v="5.28"/>
    <x v="2"/>
    <s v="No"/>
    <s v="No"/>
    <x v="0"/>
    <x v="0"/>
    <x v="1"/>
    <x v="2"/>
  </r>
  <r>
    <x v="1822"/>
    <n v="29.355"/>
    <n v="4.68"/>
    <x v="2"/>
    <s v="yes"/>
    <s v="No"/>
    <x v="0"/>
    <x v="0"/>
    <x v="1"/>
    <x v="2"/>
  </r>
  <r>
    <x v="1823"/>
    <n v="29.59"/>
    <n v="4.0599999999999996"/>
    <x v="2"/>
    <s v="No"/>
    <s v="No"/>
    <x v="0"/>
    <x v="0"/>
    <x v="1"/>
    <x v="2"/>
  </r>
  <r>
    <x v="1824"/>
    <n v="31.35"/>
    <n v="4.2"/>
    <x v="2"/>
    <s v="No"/>
    <s v="yes"/>
    <x v="0"/>
    <x v="3"/>
    <x v="1"/>
    <x v="2"/>
  </r>
  <r>
    <x v="1825"/>
    <n v="20.52"/>
    <n v="4.83"/>
    <x v="2"/>
    <s v="No"/>
    <s v="No"/>
    <x v="0"/>
    <x v="0"/>
    <x v="1"/>
    <x v="2"/>
  </r>
  <r>
    <x v="1826"/>
    <n v="42.9"/>
    <n v="4.87"/>
    <x v="2"/>
    <s v="yes"/>
    <s v="No"/>
    <x v="0"/>
    <x v="3"/>
    <x v="1"/>
    <x v="2"/>
  </r>
  <r>
    <x v="1827"/>
    <n v="24.6"/>
    <n v="5.86"/>
    <x v="1"/>
    <s v="No"/>
    <s v="No"/>
    <x v="1"/>
    <x v="3"/>
    <x v="1"/>
    <x v="2"/>
  </r>
  <r>
    <x v="1828"/>
    <n v="28.405000000000001"/>
    <n v="4.12"/>
    <x v="2"/>
    <s v="No"/>
    <s v="No"/>
    <x v="0"/>
    <x v="3"/>
    <x v="1"/>
    <x v="2"/>
  </r>
  <r>
    <x v="1829"/>
    <n v="34.674999999999997"/>
    <n v="5.71"/>
    <x v="1"/>
    <s v="yes"/>
    <s v="No"/>
    <x v="0"/>
    <x v="3"/>
    <x v="1"/>
    <x v="2"/>
  </r>
  <r>
    <x v="1830"/>
    <n v="18.850000000000001"/>
    <n v="6.03"/>
    <x v="1"/>
    <s v="No"/>
    <s v="No"/>
    <x v="0"/>
    <x v="3"/>
    <x v="1"/>
    <x v="2"/>
  </r>
  <r>
    <x v="1831"/>
    <n v="34.130000000000003"/>
    <n v="5.65"/>
    <x v="1"/>
    <s v="No"/>
    <s v="No"/>
    <x v="1"/>
    <x v="3"/>
    <x v="1"/>
    <x v="2"/>
  </r>
  <r>
    <x v="1832"/>
    <n v="17.34"/>
    <n v="5.05"/>
    <x v="2"/>
    <s v="No"/>
    <s v="No"/>
    <x v="0"/>
    <x v="0"/>
    <x v="1"/>
    <x v="3"/>
  </r>
  <r>
    <x v="1833"/>
    <n v="17.440000000000001"/>
    <n v="6.26"/>
    <x v="1"/>
    <s v="No"/>
    <s v="No"/>
    <x v="0"/>
    <x v="0"/>
    <x v="1"/>
    <x v="3"/>
  </r>
  <r>
    <x v="1834"/>
    <n v="33.659999999999997"/>
    <n v="4.08"/>
    <x v="2"/>
    <s v="yes"/>
    <s v="No"/>
    <x v="1"/>
    <x v="3"/>
    <x v="1"/>
    <x v="2"/>
  </r>
  <r>
    <x v="1835"/>
    <n v="21.375"/>
    <n v="6.19"/>
    <x v="1"/>
    <s v="yes"/>
    <s v="No"/>
    <x v="0"/>
    <x v="3"/>
    <x v="1"/>
    <x v="2"/>
  </r>
  <r>
    <x v="1836"/>
    <n v="27.14"/>
    <n v="6.01"/>
    <x v="1"/>
    <s v="No"/>
    <s v="No"/>
    <x v="0"/>
    <x v="3"/>
    <x v="1"/>
    <x v="2"/>
  </r>
  <r>
    <x v="1837"/>
    <n v="35.78"/>
    <n v="6.07"/>
    <x v="1"/>
    <s v="No"/>
    <s v="yes"/>
    <x v="0"/>
    <x v="3"/>
    <x v="1"/>
    <x v="2"/>
  </r>
  <r>
    <x v="1838"/>
    <n v="34.96"/>
    <n v="5.63"/>
    <x v="1"/>
    <s v="No"/>
    <s v="No"/>
    <x v="0"/>
    <x v="0"/>
    <x v="1"/>
    <x v="2"/>
  </r>
  <r>
    <x v="1839"/>
    <n v="38.39"/>
    <n v="6.05"/>
    <x v="1"/>
    <s v="No"/>
    <s v="No"/>
    <x v="0"/>
    <x v="0"/>
    <x v="1"/>
    <x v="2"/>
  </r>
  <r>
    <x v="1840"/>
    <n v="33.82"/>
    <n v="4.6500000000000004"/>
    <x v="2"/>
    <s v="No"/>
    <s v="No"/>
    <x v="0"/>
    <x v="0"/>
    <x v="1"/>
    <x v="2"/>
  </r>
  <r>
    <x v="1841"/>
    <n v="27.835000000000001"/>
    <n v="5.37"/>
    <x v="2"/>
    <s v="No"/>
    <s v="No"/>
    <x v="0"/>
    <x v="0"/>
    <x v="1"/>
    <x v="2"/>
  </r>
  <r>
    <x v="1842"/>
    <n v="33"/>
    <n v="5.39"/>
    <x v="1"/>
    <s v="No"/>
    <s v="No"/>
    <x v="0"/>
    <x v="0"/>
    <x v="1"/>
    <x v="2"/>
  </r>
  <r>
    <x v="1843"/>
    <n v="26.885000000000002"/>
    <n v="5.86"/>
    <x v="1"/>
    <s v="No"/>
    <s v="No"/>
    <x v="0"/>
    <x v="0"/>
    <x v="1"/>
    <x v="2"/>
  </r>
  <r>
    <x v="1844"/>
    <n v="29.26"/>
    <n v="4.4400000000000004"/>
    <x v="2"/>
    <s v="No"/>
    <s v="No"/>
    <x v="0"/>
    <x v="0"/>
    <x v="1"/>
    <x v="2"/>
  </r>
  <r>
    <x v="1845"/>
    <n v="26.98"/>
    <n v="4.41"/>
    <x v="2"/>
    <s v="No"/>
    <s v="No"/>
    <x v="0"/>
    <x v="0"/>
    <x v="1"/>
    <x v="2"/>
  </r>
  <r>
    <x v="1846"/>
    <n v="32.11"/>
    <n v="5.19"/>
    <x v="2"/>
    <s v="No"/>
    <s v="No"/>
    <x v="1"/>
    <x v="3"/>
    <x v="1"/>
    <x v="2"/>
  </r>
  <r>
    <x v="1847"/>
    <n v="31.73"/>
    <n v="5.16"/>
    <x v="2"/>
    <s v="No"/>
    <s v="No"/>
    <x v="1"/>
    <x v="3"/>
    <x v="1"/>
    <x v="2"/>
  </r>
  <r>
    <x v="1848"/>
    <n v="22.515000000000001"/>
    <n v="4.24"/>
    <x v="2"/>
    <s v="No"/>
    <s v="No"/>
    <x v="0"/>
    <x v="0"/>
    <x v="1"/>
    <x v="2"/>
  </r>
  <r>
    <x v="1849"/>
    <n v="25.9"/>
    <n v="5.45"/>
    <x v="2"/>
    <s v="No"/>
    <s v="No"/>
    <x v="0"/>
    <x v="3"/>
    <x v="1"/>
    <x v="2"/>
  </r>
  <r>
    <x v="1850"/>
    <n v="27.72"/>
    <n v="5.03"/>
    <x v="2"/>
    <s v="yes"/>
    <s v="No"/>
    <x v="0"/>
    <x v="3"/>
    <x v="1"/>
    <x v="2"/>
  </r>
  <r>
    <x v="1851"/>
    <n v="31.5"/>
    <n v="9.6199999999999992"/>
    <x v="0"/>
    <s v="yes"/>
    <s v="No"/>
    <x v="0"/>
    <x v="3"/>
    <x v="1"/>
    <x v="2"/>
  </r>
  <r>
    <x v="1852"/>
    <n v="29.7"/>
    <n v="6.77"/>
    <x v="0"/>
    <s v="yes"/>
    <s v="No"/>
    <x v="0"/>
    <x v="3"/>
    <x v="1"/>
    <x v="2"/>
  </r>
  <r>
    <x v="1853"/>
    <n v="21.26"/>
    <n v="5.36"/>
    <x v="2"/>
    <s v="yes"/>
    <s v="No"/>
    <x v="0"/>
    <x v="3"/>
    <x v="1"/>
    <x v="2"/>
  </r>
  <r>
    <x v="1854"/>
    <n v="17.09"/>
    <n v="5.69"/>
    <x v="1"/>
    <s v="No"/>
    <s v="No"/>
    <x v="0"/>
    <x v="0"/>
    <x v="1"/>
    <x v="3"/>
  </r>
  <r>
    <x v="1855"/>
    <n v="24.3"/>
    <n v="4.9000000000000004"/>
    <x v="2"/>
    <s v="yes"/>
    <s v="No"/>
    <x v="1"/>
    <x v="3"/>
    <x v="1"/>
    <x v="2"/>
  </r>
  <r>
    <x v="1856"/>
    <n v="29.734999999999999"/>
    <n v="5.78"/>
    <x v="1"/>
    <s v="No"/>
    <s v="No"/>
    <x v="0"/>
    <x v="0"/>
    <x v="1"/>
    <x v="2"/>
  </r>
  <r>
    <x v="1857"/>
    <n v="29.26"/>
    <n v="4.7"/>
    <x v="2"/>
    <s v="No"/>
    <s v="No"/>
    <x v="0"/>
    <x v="0"/>
    <x v="1"/>
    <x v="2"/>
  </r>
  <r>
    <x v="1858"/>
    <n v="33"/>
    <n v="6.28"/>
    <x v="1"/>
    <s v="No"/>
    <s v="No"/>
    <x v="0"/>
    <x v="0"/>
    <x v="1"/>
    <x v="2"/>
  </r>
  <r>
    <x v="1859"/>
    <n v="31.065000000000001"/>
    <n v="4.2300000000000004"/>
    <x v="2"/>
    <s v="No"/>
    <s v="No"/>
    <x v="0"/>
    <x v="0"/>
    <x v="1"/>
    <x v="2"/>
  </r>
  <r>
    <x v="1860"/>
    <n v="26.51"/>
    <n v="6.17"/>
    <x v="1"/>
    <s v="No"/>
    <s v="No"/>
    <x v="0"/>
    <x v="0"/>
    <x v="1"/>
    <x v="2"/>
  </r>
  <r>
    <x v="1861"/>
    <n v="28.88"/>
    <n v="4.96"/>
    <x v="1"/>
    <s v="No"/>
    <s v="No"/>
    <x v="0"/>
    <x v="0"/>
    <x v="1"/>
    <x v="2"/>
  </r>
  <r>
    <x v="1862"/>
    <n v="35.814999999999998"/>
    <n v="5.1100000000000003"/>
    <x v="2"/>
    <s v="yes"/>
    <s v="No"/>
    <x v="0"/>
    <x v="3"/>
    <x v="1"/>
    <x v="2"/>
  </r>
  <r>
    <x v="1863"/>
    <n v="21.28"/>
    <n v="4.05"/>
    <x v="2"/>
    <s v="No"/>
    <s v="yes"/>
    <x v="0"/>
    <x v="3"/>
    <x v="1"/>
    <x v="2"/>
  </r>
  <r>
    <x v="1864"/>
    <n v="33.81"/>
    <n v="6.49"/>
    <x v="1"/>
    <s v="No"/>
    <s v="No"/>
    <x v="1"/>
    <x v="3"/>
    <x v="1"/>
    <x v="2"/>
  </r>
  <r>
    <x v="1865"/>
    <n v="44.22"/>
    <n v="4.1900000000000004"/>
    <x v="2"/>
    <s v="No"/>
    <s v="No"/>
    <x v="0"/>
    <x v="3"/>
    <x v="1"/>
    <x v="2"/>
  </r>
  <r>
    <x v="1866"/>
    <n v="15.46"/>
    <n v="4.99"/>
    <x v="2"/>
    <s v="yes"/>
    <s v="No"/>
    <x v="1"/>
    <x v="3"/>
    <x v="1"/>
    <x v="3"/>
  </r>
  <r>
    <x v="1867"/>
    <n v="30.3"/>
    <n v="4.7699999999999996"/>
    <x v="2"/>
    <s v="yes"/>
    <s v="No"/>
    <x v="0"/>
    <x v="3"/>
    <x v="1"/>
    <x v="2"/>
  </r>
  <r>
    <x v="1868"/>
    <n v="16.670000000000002"/>
    <n v="5.46"/>
    <x v="2"/>
    <s v="No"/>
    <s v="No"/>
    <x v="0"/>
    <x v="0"/>
    <x v="1"/>
    <x v="3"/>
  </r>
  <r>
    <x v="1869"/>
    <n v="28.594999999999999"/>
    <n v="5.43"/>
    <x v="2"/>
    <s v="No"/>
    <s v="No"/>
    <x v="0"/>
    <x v="0"/>
    <x v="1"/>
    <x v="2"/>
  </r>
  <r>
    <x v="1870"/>
    <n v="25.934999999999999"/>
    <n v="4.29"/>
    <x v="2"/>
    <s v="No"/>
    <s v="No"/>
    <x v="0"/>
    <x v="0"/>
    <x v="1"/>
    <x v="2"/>
  </r>
  <r>
    <x v="1871"/>
    <n v="27.645"/>
    <n v="5.25"/>
    <x v="2"/>
    <s v="No"/>
    <s v="No"/>
    <x v="0"/>
    <x v="3"/>
    <x v="1"/>
    <x v="2"/>
  </r>
  <r>
    <x v="1872"/>
    <n v="30.1"/>
    <n v="4.04"/>
    <x v="2"/>
    <s v="No"/>
    <s v="No"/>
    <x v="0"/>
    <x v="3"/>
    <x v="1"/>
    <x v="2"/>
  </r>
  <r>
    <x v="1873"/>
    <n v="26.79"/>
    <n v="5"/>
    <x v="2"/>
    <s v="yes"/>
    <s v="No"/>
    <x v="1"/>
    <x v="3"/>
    <x v="1"/>
    <x v="2"/>
  </r>
  <r>
    <x v="1874"/>
    <n v="27.1"/>
    <n v="4.01"/>
    <x v="2"/>
    <s v="yes"/>
    <s v="No"/>
    <x v="0"/>
    <x v="3"/>
    <x v="1"/>
    <x v="2"/>
  </r>
  <r>
    <x v="1875"/>
    <n v="24.31"/>
    <n v="5.4"/>
    <x v="2"/>
    <s v="No"/>
    <s v="No"/>
    <x v="0"/>
    <x v="0"/>
    <x v="1"/>
    <x v="2"/>
  </r>
  <r>
    <x v="1876"/>
    <n v="15.53"/>
    <n v="5.81"/>
    <x v="1"/>
    <s v="No"/>
    <s v="No"/>
    <x v="0"/>
    <x v="3"/>
    <x v="1"/>
    <x v="3"/>
  </r>
  <r>
    <x v="1877"/>
    <n v="30.7"/>
    <n v="5.82"/>
    <x v="1"/>
    <s v="No"/>
    <s v="No"/>
    <x v="0"/>
    <x v="3"/>
    <x v="1"/>
    <x v="2"/>
  </r>
  <r>
    <x v="1878"/>
    <n v="33.33"/>
    <n v="4.82"/>
    <x v="2"/>
    <s v="No"/>
    <s v="No"/>
    <x v="0"/>
    <x v="3"/>
    <x v="1"/>
    <x v="2"/>
  </r>
  <r>
    <x v="1879"/>
    <n v="32.4"/>
    <n v="5.08"/>
    <x v="2"/>
    <s v="No"/>
    <s v="No"/>
    <x v="0"/>
    <x v="3"/>
    <x v="1"/>
    <x v="2"/>
  </r>
  <r>
    <x v="1880"/>
    <n v="27.93"/>
    <n v="5.59"/>
    <x v="1"/>
    <s v="No"/>
    <s v="No"/>
    <x v="0"/>
    <x v="3"/>
    <x v="1"/>
    <x v="2"/>
  </r>
  <r>
    <x v="1881"/>
    <n v="21.754999999999999"/>
    <n v="5.12"/>
    <x v="2"/>
    <s v="No"/>
    <s v="No"/>
    <x v="0"/>
    <x v="0"/>
    <x v="1"/>
    <x v="2"/>
  </r>
  <r>
    <x v="1882"/>
    <n v="25.934999999999999"/>
    <n v="4.95"/>
    <x v="2"/>
    <s v="No"/>
    <s v="No"/>
    <x v="0"/>
    <x v="0"/>
    <x v="1"/>
    <x v="2"/>
  </r>
  <r>
    <x v="1883"/>
    <n v="31.5"/>
    <n v="6.16"/>
    <x v="1"/>
    <s v="No"/>
    <s v="No"/>
    <x v="0"/>
    <x v="0"/>
    <x v="1"/>
    <x v="2"/>
  </r>
  <r>
    <x v="1884"/>
    <n v="30.03"/>
    <n v="6.41"/>
    <x v="1"/>
    <s v="No"/>
    <s v="No"/>
    <x v="0"/>
    <x v="0"/>
    <x v="1"/>
    <x v="2"/>
  </r>
  <r>
    <x v="1885"/>
    <n v="33.479999999999997"/>
    <n v="8.94"/>
    <x v="0"/>
    <s v="No"/>
    <s v="No"/>
    <x v="0"/>
    <x v="0"/>
    <x v="1"/>
    <x v="2"/>
  </r>
  <r>
    <x v="1886"/>
    <n v="16.510000000000002"/>
    <n v="4.42"/>
    <x v="2"/>
    <s v="yes"/>
    <s v="No"/>
    <x v="1"/>
    <x v="3"/>
    <x v="1"/>
    <x v="3"/>
  </r>
  <r>
    <x v="1887"/>
    <n v="33.155000000000001"/>
    <n v="5.3"/>
    <x v="2"/>
    <s v="yes"/>
    <s v="No"/>
    <x v="0"/>
    <x v="3"/>
    <x v="1"/>
    <x v="2"/>
  </r>
  <r>
    <x v="1888"/>
    <n v="37.29"/>
    <n v="4.6399999999999997"/>
    <x v="2"/>
    <s v="No"/>
    <s v="No"/>
    <x v="1"/>
    <x v="3"/>
    <x v="1"/>
    <x v="2"/>
  </r>
  <r>
    <x v="1889"/>
    <n v="20.23"/>
    <n v="6.16"/>
    <x v="1"/>
    <s v="yes"/>
    <s v="No"/>
    <x v="0"/>
    <x v="3"/>
    <x v="1"/>
    <x v="2"/>
  </r>
  <r>
    <x v="1890"/>
    <n v="28.975000000000001"/>
    <n v="4.12"/>
    <x v="2"/>
    <s v="No"/>
    <s v="No"/>
    <x v="1"/>
    <x v="3"/>
    <x v="1"/>
    <x v="2"/>
  </r>
  <r>
    <x v="1891"/>
    <n v="16.420000000000002"/>
    <n v="5.77"/>
    <x v="1"/>
    <s v="yes"/>
    <s v="No"/>
    <x v="1"/>
    <x v="3"/>
    <x v="1"/>
    <x v="3"/>
  </r>
  <r>
    <x v="1892"/>
    <n v="17.559999999999999"/>
    <n v="6.2"/>
    <x v="1"/>
    <s v="No"/>
    <s v="No"/>
    <x v="0"/>
    <x v="3"/>
    <x v="1"/>
    <x v="3"/>
  </r>
  <r>
    <x v="1893"/>
    <n v="24.13"/>
    <n v="4.3899999999999997"/>
    <x v="2"/>
    <s v="No"/>
    <s v="No"/>
    <x v="0"/>
    <x v="3"/>
    <x v="1"/>
    <x v="2"/>
  </r>
  <r>
    <x v="1894"/>
    <n v="19.95"/>
    <n v="5.13"/>
    <x v="2"/>
    <s v="No"/>
    <s v="yes"/>
    <x v="0"/>
    <x v="1"/>
    <x v="1"/>
    <x v="2"/>
  </r>
  <r>
    <x v="1895"/>
    <n v="21.24"/>
    <n v="4.49"/>
    <x v="2"/>
    <s v="No"/>
    <s v="No"/>
    <x v="0"/>
    <x v="0"/>
    <x v="1"/>
    <x v="2"/>
  </r>
  <r>
    <x v="1896"/>
    <n v="44.22"/>
    <n v="6.35"/>
    <x v="1"/>
    <s v="No"/>
    <s v="No"/>
    <x v="0"/>
    <x v="0"/>
    <x v="1"/>
    <x v="2"/>
  </r>
  <r>
    <x v="1897"/>
    <n v="41.1"/>
    <n v="5.79"/>
    <x v="1"/>
    <s v="No"/>
    <s v="No"/>
    <x v="0"/>
    <x v="0"/>
    <x v="1"/>
    <x v="2"/>
  </r>
  <r>
    <x v="1898"/>
    <n v="34.200000000000003"/>
    <n v="4.78"/>
    <x v="2"/>
    <s v="yes"/>
    <s v="No"/>
    <x v="0"/>
    <x v="0"/>
    <x v="1"/>
    <x v="2"/>
  </r>
  <r>
    <x v="1899"/>
    <n v="29.92"/>
    <n v="6.02"/>
    <x v="1"/>
    <s v="yes"/>
    <s v="No"/>
    <x v="0"/>
    <x v="0"/>
    <x v="1"/>
    <x v="2"/>
  </r>
  <r>
    <x v="1900"/>
    <n v="28.93"/>
    <n v="4.4400000000000004"/>
    <x v="2"/>
    <s v="No"/>
    <s v="No"/>
    <x v="0"/>
    <x v="0"/>
    <x v="1"/>
    <x v="2"/>
  </r>
  <r>
    <x v="1901"/>
    <n v="31.254999999999999"/>
    <n v="5.84"/>
    <x v="1"/>
    <s v="yes"/>
    <s v="No"/>
    <x v="0"/>
    <x v="3"/>
    <x v="1"/>
    <x v="2"/>
  </r>
  <r>
    <x v="1902"/>
    <n v="29.83"/>
    <n v="5.39"/>
    <x v="2"/>
    <s v="No"/>
    <s v="No"/>
    <x v="0"/>
    <x v="0"/>
    <x v="1"/>
    <x v="2"/>
  </r>
  <r>
    <x v="1903"/>
    <n v="29.59"/>
    <n v="6.16"/>
    <x v="1"/>
    <s v="No"/>
    <s v="No"/>
    <x v="1"/>
    <x v="3"/>
    <x v="1"/>
    <x v="2"/>
  </r>
  <r>
    <x v="1904"/>
    <n v="31.16"/>
    <n v="4.49"/>
    <x v="2"/>
    <s v="No"/>
    <s v="No"/>
    <x v="1"/>
    <x v="3"/>
    <x v="1"/>
    <x v="2"/>
  </r>
  <r>
    <x v="1905"/>
    <n v="34.21"/>
    <n v="4.4800000000000004"/>
    <x v="2"/>
    <s v="yes"/>
    <s v="No"/>
    <x v="0"/>
    <x v="3"/>
    <x v="1"/>
    <x v="2"/>
  </r>
  <r>
    <x v="1906"/>
    <n v="34.86"/>
    <n v="10.97"/>
    <x v="0"/>
    <s v="No"/>
    <s v="No"/>
    <x v="0"/>
    <x v="0"/>
    <x v="1"/>
    <x v="2"/>
  </r>
  <r>
    <x v="1907"/>
    <n v="34.58"/>
    <n v="5.14"/>
    <x v="2"/>
    <s v="No"/>
    <s v="yes"/>
    <x v="0"/>
    <x v="1"/>
    <x v="1"/>
    <x v="2"/>
  </r>
  <r>
    <x v="1908"/>
    <n v="17.940000000000001"/>
    <n v="5.17"/>
    <x v="2"/>
    <s v="yes"/>
    <s v="No"/>
    <x v="0"/>
    <x v="0"/>
    <x v="1"/>
    <x v="3"/>
  </r>
  <r>
    <x v="1909"/>
    <n v="26.8"/>
    <n v="6.18"/>
    <x v="1"/>
    <s v="yes"/>
    <s v="No"/>
    <x v="1"/>
    <x v="3"/>
    <x v="1"/>
    <x v="2"/>
  </r>
  <r>
    <x v="1910"/>
    <n v="17.690000000000001"/>
    <n v="9.07"/>
    <x v="0"/>
    <s v="yes"/>
    <s v="No"/>
    <x v="0"/>
    <x v="0"/>
    <x v="1"/>
    <x v="3"/>
  </r>
  <r>
    <x v="1911"/>
    <n v="25.77"/>
    <n v="4.43"/>
    <x v="2"/>
    <s v="No"/>
    <s v="No"/>
    <x v="1"/>
    <x v="3"/>
    <x v="1"/>
    <x v="2"/>
  </r>
  <r>
    <x v="1912"/>
    <n v="34.46"/>
    <n v="4.17"/>
    <x v="2"/>
    <s v="No"/>
    <s v="yes"/>
    <x v="0"/>
    <x v="3"/>
    <x v="1"/>
    <x v="2"/>
  </r>
  <r>
    <x v="1913"/>
    <n v="30.875"/>
    <n v="4.95"/>
    <x v="2"/>
    <s v="yes"/>
    <s v="No"/>
    <x v="0"/>
    <x v="0"/>
    <x v="1"/>
    <x v="2"/>
  </r>
  <r>
    <x v="1914"/>
    <n v="39.49"/>
    <n v="5.13"/>
    <x v="2"/>
    <s v="No"/>
    <s v="No"/>
    <x v="0"/>
    <x v="0"/>
    <x v="1"/>
    <x v="2"/>
  </r>
  <r>
    <x v="1915"/>
    <n v="28.88"/>
    <n v="4.0999999999999996"/>
    <x v="2"/>
    <s v="No"/>
    <s v="No"/>
    <x v="0"/>
    <x v="0"/>
    <x v="1"/>
    <x v="2"/>
  </r>
  <r>
    <x v="1916"/>
    <n v="20.234999999999999"/>
    <n v="5.01"/>
    <x v="2"/>
    <s v="yes"/>
    <s v="No"/>
    <x v="0"/>
    <x v="0"/>
    <x v="1"/>
    <x v="2"/>
  </r>
  <r>
    <x v="1917"/>
    <n v="30.67"/>
    <n v="5.09"/>
    <x v="2"/>
    <s v="yes"/>
    <s v="No"/>
    <x v="0"/>
    <x v="0"/>
    <x v="1"/>
    <x v="2"/>
  </r>
  <r>
    <x v="1918"/>
    <n v="30.875"/>
    <n v="6.49"/>
    <x v="1"/>
    <s v="No"/>
    <s v="No"/>
    <x v="0"/>
    <x v="0"/>
    <x v="1"/>
    <x v="2"/>
  </r>
  <r>
    <x v="1919"/>
    <n v="23.8"/>
    <n v="4.08"/>
    <x v="2"/>
    <s v="No"/>
    <s v="No"/>
    <x v="0"/>
    <x v="0"/>
    <x v="1"/>
    <x v="2"/>
  </r>
  <r>
    <x v="1920"/>
    <n v="15.37"/>
    <n v="8.6300000000000008"/>
    <x v="0"/>
    <s v="yes"/>
    <s v="No"/>
    <x v="0"/>
    <x v="0"/>
    <x v="1"/>
    <x v="3"/>
  </r>
  <r>
    <x v="1921"/>
    <n v="30.4"/>
    <n v="5.28"/>
    <x v="2"/>
    <s v="No"/>
    <s v="No"/>
    <x v="0"/>
    <x v="0"/>
    <x v="1"/>
    <x v="2"/>
  </r>
  <r>
    <x v="1922"/>
    <n v="19.48"/>
    <n v="5.63"/>
    <x v="1"/>
    <s v="yes"/>
    <s v="No"/>
    <x v="0"/>
    <x v="3"/>
    <x v="1"/>
    <x v="2"/>
  </r>
  <r>
    <x v="1923"/>
    <n v="16.96"/>
    <n v="11.47"/>
    <x v="0"/>
    <s v="yes"/>
    <s v="No"/>
    <x v="0"/>
    <x v="0"/>
    <x v="1"/>
    <x v="3"/>
  </r>
  <r>
    <x v="1924"/>
    <n v="19.05"/>
    <n v="4.92"/>
    <x v="2"/>
    <s v="No"/>
    <s v="No"/>
    <x v="0"/>
    <x v="3"/>
    <x v="1"/>
    <x v="2"/>
  </r>
  <r>
    <x v="1925"/>
    <n v="37.619999999999997"/>
    <n v="4.18"/>
    <x v="2"/>
    <s v="No"/>
    <s v="No"/>
    <x v="0"/>
    <x v="0"/>
    <x v="1"/>
    <x v="2"/>
  </r>
  <r>
    <x v="1926"/>
    <n v="29.1"/>
    <n v="4.67"/>
    <x v="2"/>
    <s v="No"/>
    <s v="No"/>
    <x v="0"/>
    <x v="0"/>
    <x v="1"/>
    <x v="2"/>
  </r>
  <r>
    <x v="1927"/>
    <n v="26.62"/>
    <n v="6.24"/>
    <x v="1"/>
    <s v="No"/>
    <s v="No"/>
    <x v="0"/>
    <x v="0"/>
    <x v="1"/>
    <x v="2"/>
  </r>
  <r>
    <x v="1928"/>
    <n v="25.74"/>
    <n v="5.99"/>
    <x v="1"/>
    <s v="No"/>
    <s v="No"/>
    <x v="0"/>
    <x v="0"/>
    <x v="1"/>
    <x v="2"/>
  </r>
  <r>
    <x v="1929"/>
    <n v="18.22"/>
    <n v="10.27"/>
    <x v="0"/>
    <s v="yes"/>
    <s v="No"/>
    <x v="0"/>
    <x v="3"/>
    <x v="1"/>
    <x v="3"/>
  </r>
  <r>
    <x v="1930"/>
    <n v="26.03"/>
    <n v="5.97"/>
    <x v="1"/>
    <s v="No"/>
    <s v="No"/>
    <x v="1"/>
    <x v="3"/>
    <x v="1"/>
    <x v="2"/>
  </r>
  <r>
    <x v="1931"/>
    <n v="17.29"/>
    <n v="4.9800000000000004"/>
    <x v="2"/>
    <s v="No"/>
    <s v="No"/>
    <x v="0"/>
    <x v="0"/>
    <x v="1"/>
    <x v="3"/>
  </r>
  <r>
    <x v="1932"/>
    <n v="18.170000000000002"/>
    <n v="6.91"/>
    <x v="0"/>
    <s v="yes"/>
    <s v="No"/>
    <x v="0"/>
    <x v="3"/>
    <x v="1"/>
    <x v="3"/>
  </r>
  <r>
    <x v="1933"/>
    <n v="32.54"/>
    <n v="6.38"/>
    <x v="1"/>
    <s v="No"/>
    <s v="yes"/>
    <x v="0"/>
    <x v="3"/>
    <x v="1"/>
    <x v="2"/>
  </r>
  <r>
    <x v="1934"/>
    <n v="30.25"/>
    <n v="4.7699999999999996"/>
    <x v="2"/>
    <s v="No"/>
    <s v="No"/>
    <x v="0"/>
    <x v="0"/>
    <x v="1"/>
    <x v="2"/>
  </r>
  <r>
    <x v="1935"/>
    <n v="19.59"/>
    <n v="6.04"/>
    <x v="1"/>
    <s v="yes"/>
    <s v="No"/>
    <x v="0"/>
    <x v="3"/>
    <x v="1"/>
    <x v="2"/>
  </r>
  <r>
    <x v="1936"/>
    <n v="45.9"/>
    <n v="4.3"/>
    <x v="2"/>
    <s v="yes"/>
    <s v="No"/>
    <x v="0"/>
    <x v="3"/>
    <x v="1"/>
    <x v="2"/>
  </r>
  <r>
    <x v="1937"/>
    <n v="17.059999999999999"/>
    <n v="8.75"/>
    <x v="0"/>
    <s v="yes"/>
    <s v="No"/>
    <x v="0"/>
    <x v="0"/>
    <x v="1"/>
    <x v="3"/>
  </r>
  <r>
    <x v="1938"/>
    <n v="32.07"/>
    <n v="5.25"/>
    <x v="2"/>
    <s v="No"/>
    <s v="No"/>
    <x v="1"/>
    <x v="3"/>
    <x v="1"/>
    <x v="2"/>
  </r>
  <r>
    <x v="1939"/>
    <n v="16.5"/>
    <n v="5.03"/>
    <x v="2"/>
    <s v="No"/>
    <s v="No"/>
    <x v="0"/>
    <x v="3"/>
    <x v="1"/>
    <x v="3"/>
  </r>
  <r>
    <x v="1940"/>
    <n v="31.4"/>
    <n v="5.88"/>
    <x v="1"/>
    <s v="No"/>
    <s v="No"/>
    <x v="0"/>
    <x v="3"/>
    <x v="1"/>
    <x v="2"/>
  </r>
  <r>
    <x v="1941"/>
    <n v="20.36"/>
    <n v="4.49"/>
    <x v="2"/>
    <s v="No"/>
    <s v="No"/>
    <x v="0"/>
    <x v="0"/>
    <x v="1"/>
    <x v="2"/>
  </r>
  <r>
    <x v="1942"/>
    <n v="25.46"/>
    <n v="4.1399999999999997"/>
    <x v="2"/>
    <s v="No"/>
    <s v="No"/>
    <x v="0"/>
    <x v="3"/>
    <x v="1"/>
    <x v="2"/>
  </r>
  <r>
    <x v="1943"/>
    <n v="17.09"/>
    <n v="5.8"/>
    <x v="1"/>
    <s v="yes"/>
    <s v="No"/>
    <x v="0"/>
    <x v="0"/>
    <x v="1"/>
    <x v="3"/>
  </r>
  <r>
    <x v="1944"/>
    <n v="20.83"/>
    <n v="5.12"/>
    <x v="2"/>
    <s v="No"/>
    <s v="No"/>
    <x v="0"/>
    <x v="0"/>
    <x v="1"/>
    <x v="2"/>
  </r>
  <r>
    <x v="1945"/>
    <n v="18.920000000000002"/>
    <n v="5.98"/>
    <x v="1"/>
    <s v="yes"/>
    <s v="No"/>
    <x v="0"/>
    <x v="3"/>
    <x v="1"/>
    <x v="2"/>
  </r>
  <r>
    <x v="1946"/>
    <n v="37.1"/>
    <n v="5.46"/>
    <x v="2"/>
    <s v="No"/>
    <s v="No"/>
    <x v="0"/>
    <x v="0"/>
    <x v="1"/>
    <x v="2"/>
  </r>
  <r>
    <x v="1947"/>
    <n v="22.515000000000001"/>
    <n v="4.91"/>
    <x v="2"/>
    <s v="yes"/>
    <s v="No"/>
    <x v="1"/>
    <x v="3"/>
    <x v="1"/>
    <x v="2"/>
  </r>
  <r>
    <x v="1948"/>
    <n v="32.700000000000003"/>
    <n v="4.66"/>
    <x v="2"/>
    <s v="No"/>
    <s v="No"/>
    <x v="0"/>
    <x v="0"/>
    <x v="1"/>
    <x v="2"/>
  </r>
  <r>
    <x v="1949"/>
    <n v="17.75"/>
    <n v="6.8"/>
    <x v="0"/>
    <s v="yes"/>
    <s v="No"/>
    <x v="0"/>
    <x v="3"/>
    <x v="1"/>
    <x v="3"/>
  </r>
  <r>
    <x v="1950"/>
    <n v="33.630000000000003"/>
    <n v="4.47"/>
    <x v="2"/>
    <s v="yes"/>
    <s v="No"/>
    <x v="0"/>
    <x v="0"/>
    <x v="1"/>
    <x v="2"/>
  </r>
  <r>
    <x v="1951"/>
    <n v="34.799999999999997"/>
    <n v="4.08"/>
    <x v="2"/>
    <s v="yes"/>
    <s v="No"/>
    <x v="0"/>
    <x v="3"/>
    <x v="1"/>
    <x v="2"/>
  </r>
  <r>
    <x v="1952"/>
    <n v="16.809999999999999"/>
    <n v="5.51"/>
    <x v="2"/>
    <s v="yes"/>
    <s v="No"/>
    <x v="0"/>
    <x v="3"/>
    <x v="1"/>
    <x v="3"/>
  </r>
  <r>
    <x v="1953"/>
    <n v="16.690000000000001"/>
    <n v="8.4"/>
    <x v="0"/>
    <s v="yes"/>
    <s v="No"/>
    <x v="0"/>
    <x v="0"/>
    <x v="1"/>
    <x v="3"/>
  </r>
  <r>
    <x v="1954"/>
    <n v="23.21"/>
    <n v="5.14"/>
    <x v="2"/>
    <s v="yes"/>
    <s v="No"/>
    <x v="0"/>
    <x v="3"/>
    <x v="1"/>
    <x v="2"/>
  </r>
  <r>
    <x v="1955"/>
    <n v="25.175000000000001"/>
    <n v="5.21"/>
    <x v="2"/>
    <s v="yes"/>
    <s v="No"/>
    <x v="0"/>
    <x v="3"/>
    <x v="1"/>
    <x v="2"/>
  </r>
  <r>
    <x v="1956"/>
    <n v="34.770000000000003"/>
    <n v="6.23"/>
    <x v="1"/>
    <s v="No"/>
    <s v="No"/>
    <x v="0"/>
    <x v="0"/>
    <x v="1"/>
    <x v="2"/>
  </r>
  <r>
    <x v="1957"/>
    <n v="27.7"/>
    <n v="5.6"/>
    <x v="1"/>
    <s v="No"/>
    <s v="No"/>
    <x v="0"/>
    <x v="3"/>
    <x v="1"/>
    <x v="2"/>
  </r>
  <r>
    <x v="1958"/>
    <n v="19.12"/>
    <n v="4.72"/>
    <x v="2"/>
    <s v="yes"/>
    <s v="No"/>
    <x v="0"/>
    <x v="3"/>
    <x v="1"/>
    <x v="2"/>
  </r>
  <r>
    <x v="1959"/>
    <n v="32.67"/>
    <n v="4.67"/>
    <x v="2"/>
    <s v="No"/>
    <s v="No"/>
    <x v="1"/>
    <x v="3"/>
    <x v="1"/>
    <x v="2"/>
  </r>
  <r>
    <x v="1960"/>
    <n v="28.5"/>
    <n v="6.11"/>
    <x v="1"/>
    <s v="No"/>
    <s v="No"/>
    <x v="0"/>
    <x v="3"/>
    <x v="1"/>
    <x v="2"/>
  </r>
  <r>
    <x v="1961"/>
    <n v="39.270000000000003"/>
    <n v="6.25"/>
    <x v="1"/>
    <s v="No"/>
    <s v="No"/>
    <x v="0"/>
    <x v="0"/>
    <x v="1"/>
    <x v="2"/>
  </r>
  <r>
    <x v="1962"/>
    <n v="32.49"/>
    <n v="4"/>
    <x v="2"/>
    <s v="yes"/>
    <s v="No"/>
    <x v="0"/>
    <x v="0"/>
    <x v="1"/>
    <x v="2"/>
  </r>
  <r>
    <x v="1963"/>
    <n v="23.7"/>
    <n v="5.55"/>
    <x v="2"/>
    <s v="yes"/>
    <s v="No"/>
    <x v="0"/>
    <x v="0"/>
    <x v="1"/>
    <x v="2"/>
  </r>
  <r>
    <x v="1964"/>
    <n v="30.4"/>
    <n v="5.95"/>
    <x v="1"/>
    <s v="No"/>
    <s v="yes"/>
    <x v="0"/>
    <x v="3"/>
    <x v="1"/>
    <x v="2"/>
  </r>
  <r>
    <x v="1965"/>
    <n v="38.94"/>
    <n v="4.3600000000000003"/>
    <x v="2"/>
    <s v="No"/>
    <s v="No"/>
    <x v="1"/>
    <x v="3"/>
    <x v="1"/>
    <x v="2"/>
  </r>
  <r>
    <x v="1966"/>
    <n v="31.02"/>
    <n v="4.84"/>
    <x v="2"/>
    <s v="No"/>
    <s v="No"/>
    <x v="1"/>
    <x v="3"/>
    <x v="1"/>
    <x v="2"/>
  </r>
  <r>
    <x v="1967"/>
    <n v="17.5"/>
    <n v="4.5599999999999996"/>
    <x v="2"/>
    <s v="No"/>
    <s v="No"/>
    <x v="0"/>
    <x v="3"/>
    <x v="1"/>
    <x v="3"/>
  </r>
  <r>
    <x v="1968"/>
    <n v="34.799999999999997"/>
    <n v="4.42"/>
    <x v="2"/>
    <s v="yes"/>
    <s v="yes"/>
    <x v="0"/>
    <x v="1"/>
    <x v="1"/>
    <x v="2"/>
  </r>
  <r>
    <x v="1969"/>
    <n v="17.3"/>
    <n v="7.66"/>
    <x v="2"/>
    <s v="yes"/>
    <s v="No"/>
    <x v="0"/>
    <x v="3"/>
    <x v="1"/>
    <x v="3"/>
  </r>
  <r>
    <x v="1970"/>
    <n v="32.25"/>
    <n v="5.2"/>
    <x v="2"/>
    <s v="yes"/>
    <s v="No"/>
    <x v="0"/>
    <x v="0"/>
    <x v="1"/>
    <x v="2"/>
  </r>
  <r>
    <x v="1971"/>
    <n v="42.4"/>
    <n v="5.53"/>
    <x v="2"/>
    <s v="yes"/>
    <s v="No"/>
    <x v="0"/>
    <x v="0"/>
    <x v="1"/>
    <x v="2"/>
  </r>
  <r>
    <x v="1972"/>
    <n v="38.664999999999999"/>
    <n v="4.8600000000000003"/>
    <x v="2"/>
    <s v="No"/>
    <s v="yes"/>
    <x v="0"/>
    <x v="3"/>
    <x v="1"/>
    <x v="2"/>
  </r>
  <r>
    <x v="1973"/>
    <n v="29.92"/>
    <n v="5.49"/>
    <x v="2"/>
    <s v="yes"/>
    <s v="No"/>
    <x v="0"/>
    <x v="0"/>
    <x v="1"/>
    <x v="2"/>
  </r>
  <r>
    <x v="1974"/>
    <n v="29.48"/>
    <n v="4.09"/>
    <x v="2"/>
    <s v="yes"/>
    <s v="No"/>
    <x v="0"/>
    <x v="0"/>
    <x v="1"/>
    <x v="2"/>
  </r>
  <r>
    <x v="1975"/>
    <n v="28.785"/>
    <n v="4.3099999999999996"/>
    <x v="2"/>
    <s v="yes"/>
    <s v="No"/>
    <x v="0"/>
    <x v="0"/>
    <x v="1"/>
    <x v="2"/>
  </r>
  <r>
    <x v="1976"/>
    <n v="19.8"/>
    <n v="4"/>
    <x v="2"/>
    <s v="yes"/>
    <s v="No"/>
    <x v="0"/>
    <x v="0"/>
    <x v="1"/>
    <x v="2"/>
  </r>
  <r>
    <x v="1977"/>
    <n v="35.53"/>
    <n v="4.68"/>
    <x v="2"/>
    <s v="No"/>
    <s v="No"/>
    <x v="1"/>
    <x v="3"/>
    <x v="1"/>
    <x v="2"/>
  </r>
  <r>
    <x v="1978"/>
    <n v="21.47"/>
    <n v="4.0199999999999996"/>
    <x v="2"/>
    <s v="yes"/>
    <s v="No"/>
    <x v="0"/>
    <x v="3"/>
    <x v="1"/>
    <x v="2"/>
  </r>
  <r>
    <x v="1979"/>
    <n v="25.9"/>
    <n v="5.12"/>
    <x v="2"/>
    <s v="No"/>
    <s v="No"/>
    <x v="1"/>
    <x v="3"/>
    <x v="1"/>
    <x v="2"/>
  </r>
  <r>
    <x v="1980"/>
    <n v="20.81"/>
    <n v="5.52"/>
    <x v="2"/>
    <s v="No"/>
    <s v="No"/>
    <x v="0"/>
    <x v="0"/>
    <x v="1"/>
    <x v="2"/>
  </r>
  <r>
    <x v="1981"/>
    <n v="25.84"/>
    <n v="5.81"/>
    <x v="1"/>
    <s v="yes"/>
    <s v="No"/>
    <x v="1"/>
    <x v="3"/>
    <x v="1"/>
    <x v="2"/>
  </r>
  <r>
    <x v="1982"/>
    <n v="30.95"/>
    <n v="5.16"/>
    <x v="2"/>
    <s v="No"/>
    <s v="No"/>
    <x v="1"/>
    <x v="3"/>
    <x v="1"/>
    <x v="2"/>
  </r>
  <r>
    <x v="1983"/>
    <n v="30.54"/>
    <n v="5"/>
    <x v="2"/>
    <s v="No"/>
    <s v="No"/>
    <x v="1"/>
    <x v="3"/>
    <x v="1"/>
    <x v="2"/>
  </r>
  <r>
    <x v="1984"/>
    <n v="33.914999999999999"/>
    <n v="5.84"/>
    <x v="1"/>
    <s v="yes"/>
    <s v="No"/>
    <x v="0"/>
    <x v="0"/>
    <x v="1"/>
    <x v="2"/>
  </r>
  <r>
    <x v="1985"/>
    <n v="33.31"/>
    <n v="4.1900000000000004"/>
    <x v="2"/>
    <s v="No"/>
    <s v="No"/>
    <x v="1"/>
    <x v="3"/>
    <x v="1"/>
    <x v="2"/>
  </r>
  <r>
    <x v="1986"/>
    <n v="25.745000000000001"/>
    <n v="4.62"/>
    <x v="2"/>
    <s v="yes"/>
    <s v="No"/>
    <x v="0"/>
    <x v="0"/>
    <x v="1"/>
    <x v="2"/>
  </r>
  <r>
    <x v="1987"/>
    <n v="37.1"/>
    <n v="6.24"/>
    <x v="1"/>
    <s v="No"/>
    <s v="No"/>
    <x v="0"/>
    <x v="0"/>
    <x v="1"/>
    <x v="2"/>
  </r>
  <r>
    <x v="1988"/>
    <n v="35.435000000000002"/>
    <n v="5.81"/>
    <x v="1"/>
    <s v="No"/>
    <s v="No"/>
    <x v="0"/>
    <x v="0"/>
    <x v="1"/>
    <x v="2"/>
  </r>
  <r>
    <x v="1989"/>
    <n v="20.399999999999999"/>
    <n v="4.83"/>
    <x v="2"/>
    <s v="No"/>
    <s v="No"/>
    <x v="0"/>
    <x v="0"/>
    <x v="1"/>
    <x v="2"/>
  </r>
  <r>
    <x v="1990"/>
    <n v="42.13"/>
    <n v="5.72"/>
    <x v="1"/>
    <s v="yes"/>
    <s v="No"/>
    <x v="1"/>
    <x v="3"/>
    <x v="1"/>
    <x v="2"/>
  </r>
  <r>
    <x v="1991"/>
    <n v="33.99"/>
    <n v="4.83"/>
    <x v="2"/>
    <s v="yes"/>
    <s v="No"/>
    <x v="1"/>
    <x v="3"/>
    <x v="1"/>
    <x v="2"/>
  </r>
  <r>
    <x v="1992"/>
    <n v="28.594999999999999"/>
    <n v="4.1399999999999997"/>
    <x v="2"/>
    <s v="yes"/>
    <s v="No"/>
    <x v="1"/>
    <x v="3"/>
    <x v="1"/>
    <x v="2"/>
  </r>
  <r>
    <x v="1993"/>
    <n v="20.8"/>
    <n v="4.07"/>
    <x v="2"/>
    <s v="yes"/>
    <s v="No"/>
    <x v="1"/>
    <x v="3"/>
    <x v="1"/>
    <x v="2"/>
  </r>
  <r>
    <x v="1994"/>
    <n v="23.465"/>
    <n v="6.26"/>
    <x v="1"/>
    <s v="yes"/>
    <s v="No"/>
    <x v="1"/>
    <x v="3"/>
    <x v="1"/>
    <x v="2"/>
  </r>
  <r>
    <x v="1995"/>
    <n v="40.185000000000002"/>
    <n v="5.88"/>
    <x v="1"/>
    <s v="yes"/>
    <s v="No"/>
    <x v="0"/>
    <x v="0"/>
    <x v="1"/>
    <x v="2"/>
  </r>
  <r>
    <x v="1996"/>
    <n v="21.89"/>
    <n v="5.72"/>
    <x v="1"/>
    <s v="yes"/>
    <s v="No"/>
    <x v="0"/>
    <x v="0"/>
    <x v="1"/>
    <x v="2"/>
  </r>
  <r>
    <x v="1997"/>
    <n v="29.34"/>
    <n v="6.09"/>
    <x v="1"/>
    <s v="yes"/>
    <s v="yes"/>
    <x v="0"/>
    <x v="1"/>
    <x v="1"/>
    <x v="2"/>
  </r>
  <r>
    <x v="1998"/>
    <n v="22.61"/>
    <n v="4.25"/>
    <x v="2"/>
    <s v="yes"/>
    <s v="No"/>
    <x v="0"/>
    <x v="0"/>
    <x v="1"/>
    <x v="2"/>
  </r>
  <r>
    <x v="1999"/>
    <n v="22.23"/>
    <n v="6.09"/>
    <x v="1"/>
    <s v="yes"/>
    <s v="No"/>
    <x v="0"/>
    <x v="0"/>
    <x v="1"/>
    <x v="2"/>
  </r>
  <r>
    <x v="2000"/>
    <n v="33.4"/>
    <n v="5.51"/>
    <x v="2"/>
    <s v="No"/>
    <s v="No"/>
    <x v="0"/>
    <x v="0"/>
    <x v="1"/>
    <x v="2"/>
  </r>
  <r>
    <x v="2001"/>
    <n v="33.11"/>
    <n v="5.63"/>
    <x v="1"/>
    <s v="No"/>
    <s v="No"/>
    <x v="0"/>
    <x v="0"/>
    <x v="1"/>
    <x v="2"/>
  </r>
  <r>
    <x v="2002"/>
    <n v="16.815000000000001"/>
    <n v="5.29"/>
    <x v="2"/>
    <s v="yes"/>
    <s v="No"/>
    <x v="0"/>
    <x v="0"/>
    <x v="1"/>
    <x v="3"/>
  </r>
  <r>
    <x v="2003"/>
    <n v="25.61"/>
    <n v="4"/>
    <x v="2"/>
    <s v="No"/>
    <s v="No"/>
    <x v="1"/>
    <x v="3"/>
    <x v="1"/>
    <x v="2"/>
  </r>
  <r>
    <x v="2004"/>
    <n v="25.8"/>
    <n v="5.49"/>
    <x v="2"/>
    <s v="No"/>
    <s v="No"/>
    <x v="0"/>
    <x v="0"/>
    <x v="1"/>
    <x v="2"/>
  </r>
  <r>
    <x v="2005"/>
    <n v="27.39"/>
    <n v="5.34"/>
    <x v="2"/>
    <s v="No"/>
    <s v="No"/>
    <x v="0"/>
    <x v="0"/>
    <x v="1"/>
    <x v="2"/>
  </r>
  <r>
    <x v="2006"/>
    <n v="17.03"/>
    <n v="4.12"/>
    <x v="2"/>
    <s v="No"/>
    <s v="No"/>
    <x v="0"/>
    <x v="3"/>
    <x v="1"/>
    <x v="3"/>
  </r>
  <r>
    <x v="2007"/>
    <n v="23.75"/>
    <n v="5.49"/>
    <x v="2"/>
    <s v="yes"/>
    <s v="No"/>
    <x v="0"/>
    <x v="0"/>
    <x v="1"/>
    <x v="2"/>
  </r>
  <r>
    <x v="2008"/>
    <n v="26.03"/>
    <n v="5.1100000000000003"/>
    <x v="2"/>
    <s v="yes"/>
    <s v="No"/>
    <x v="0"/>
    <x v="3"/>
    <x v="1"/>
    <x v="2"/>
  </r>
  <r>
    <x v="2009"/>
    <n v="16.079999999999998"/>
    <n v="5.94"/>
    <x v="1"/>
    <s v="No"/>
    <s v="No"/>
    <x v="0"/>
    <x v="0"/>
    <x v="1"/>
    <x v="3"/>
  </r>
  <r>
    <x v="2010"/>
    <n v="30.875"/>
    <n v="5.54"/>
    <x v="2"/>
    <s v="No"/>
    <s v="No"/>
    <x v="0"/>
    <x v="0"/>
    <x v="1"/>
    <x v="2"/>
  </r>
  <r>
    <x v="2011"/>
    <n v="31.79"/>
    <n v="7.09"/>
    <x v="1"/>
    <s v="No"/>
    <s v="No"/>
    <x v="0"/>
    <x v="0"/>
    <x v="1"/>
    <x v="2"/>
  </r>
  <r>
    <x v="2012"/>
    <n v="28.48"/>
    <n v="6.22"/>
    <x v="1"/>
    <s v="yes"/>
    <s v="No"/>
    <x v="1"/>
    <x v="3"/>
    <x v="1"/>
    <x v="2"/>
  </r>
  <r>
    <x v="2013"/>
    <n v="26.6"/>
    <n v="4.33"/>
    <x v="2"/>
    <s v="No"/>
    <s v="No"/>
    <x v="0"/>
    <x v="3"/>
    <x v="1"/>
    <x v="2"/>
  </r>
  <r>
    <x v="2014"/>
    <n v="25.27"/>
    <n v="5.83"/>
    <x v="1"/>
    <s v="No"/>
    <s v="No"/>
    <x v="0"/>
    <x v="3"/>
    <x v="1"/>
    <x v="2"/>
  </r>
  <r>
    <x v="2015"/>
    <n v="34.484999999999999"/>
    <n v="4.7"/>
    <x v="2"/>
    <s v="yes"/>
    <s v="No"/>
    <x v="1"/>
    <x v="3"/>
    <x v="1"/>
    <x v="2"/>
  </r>
  <r>
    <x v="2016"/>
    <n v="15.57"/>
    <n v="4.07"/>
    <x v="2"/>
    <s v="yes"/>
    <s v="No"/>
    <x v="0"/>
    <x v="3"/>
    <x v="1"/>
    <x v="3"/>
  </r>
  <r>
    <x v="2017"/>
    <n v="30.36"/>
    <n v="9.39"/>
    <x v="0"/>
    <s v="No"/>
    <s v="No"/>
    <x v="0"/>
    <x v="0"/>
    <x v="1"/>
    <x v="2"/>
  </r>
  <r>
    <x v="2018"/>
    <n v="19.37"/>
    <n v="4.18"/>
    <x v="2"/>
    <s v="No"/>
    <s v="No"/>
    <x v="0"/>
    <x v="0"/>
    <x v="1"/>
    <x v="2"/>
  </r>
  <r>
    <x v="2019"/>
    <n v="16.71"/>
    <n v="4.18"/>
    <x v="2"/>
    <s v="No"/>
    <s v="No"/>
    <x v="0"/>
    <x v="3"/>
    <x v="1"/>
    <x v="3"/>
  </r>
  <r>
    <x v="2020"/>
    <n v="24.1"/>
    <n v="4.4000000000000004"/>
    <x v="2"/>
    <s v="yes"/>
    <s v="No"/>
    <x v="0"/>
    <x v="3"/>
    <x v="1"/>
    <x v="2"/>
  </r>
  <r>
    <x v="2021"/>
    <n v="29.77"/>
    <n v="9.9"/>
    <x v="0"/>
    <s v="No"/>
    <s v="No"/>
    <x v="0"/>
    <x v="0"/>
    <x v="1"/>
    <x v="2"/>
  </r>
  <r>
    <x v="2022"/>
    <n v="46.53"/>
    <n v="4.84"/>
    <x v="2"/>
    <s v="yes"/>
    <s v="No"/>
    <x v="0"/>
    <x v="0"/>
    <x v="1"/>
    <x v="2"/>
  </r>
  <r>
    <x v="2023"/>
    <n v="23.4"/>
    <n v="5.53"/>
    <x v="2"/>
    <s v="No"/>
    <s v="No"/>
    <x v="1"/>
    <x v="3"/>
    <x v="1"/>
    <x v="2"/>
  </r>
  <r>
    <x v="2024"/>
    <n v="30"/>
    <n v="4.33"/>
    <x v="2"/>
    <s v="yes"/>
    <s v="No"/>
    <x v="0"/>
    <x v="0"/>
    <x v="1"/>
    <x v="2"/>
  </r>
  <r>
    <x v="2025"/>
    <n v="29.15"/>
    <n v="4.91"/>
    <x v="2"/>
    <s v="yes"/>
    <s v="No"/>
    <x v="0"/>
    <x v="0"/>
    <x v="1"/>
    <x v="2"/>
  </r>
  <r>
    <x v="2026"/>
    <n v="34.865000000000002"/>
    <n v="4.8"/>
    <x v="2"/>
    <s v="No"/>
    <s v="No"/>
    <x v="0"/>
    <x v="0"/>
    <x v="1"/>
    <x v="2"/>
  </r>
  <r>
    <x v="2027"/>
    <n v="28.12"/>
    <n v="5.55"/>
    <x v="2"/>
    <s v="yes"/>
    <s v="yes"/>
    <x v="0"/>
    <x v="1"/>
    <x v="1"/>
    <x v="2"/>
  </r>
  <r>
    <x v="2028"/>
    <n v="29.45"/>
    <n v="5.24"/>
    <x v="2"/>
    <s v="yes"/>
    <s v="No"/>
    <x v="0"/>
    <x v="0"/>
    <x v="1"/>
    <x v="2"/>
  </r>
  <r>
    <x v="2029"/>
    <n v="27.94"/>
    <n v="6.08"/>
    <x v="1"/>
    <s v="No"/>
    <s v="No"/>
    <x v="1"/>
    <x v="3"/>
    <x v="1"/>
    <x v="2"/>
  </r>
  <r>
    <x v="2030"/>
    <n v="27.2"/>
    <n v="5.83"/>
    <x v="1"/>
    <s v="No"/>
    <s v="No"/>
    <x v="1"/>
    <x v="3"/>
    <x v="1"/>
    <x v="2"/>
  </r>
  <r>
    <x v="2031"/>
    <n v="33.344999999999999"/>
    <n v="4.29"/>
    <x v="2"/>
    <s v="No"/>
    <s v="No"/>
    <x v="0"/>
    <x v="3"/>
    <x v="1"/>
    <x v="2"/>
  </r>
  <r>
    <x v="2032"/>
    <n v="29.925000000000001"/>
    <n v="5.3"/>
    <x v="2"/>
    <s v="No"/>
    <s v="No"/>
    <x v="0"/>
    <x v="3"/>
    <x v="1"/>
    <x v="2"/>
  </r>
  <r>
    <x v="2033"/>
    <n v="24.225000000000001"/>
    <n v="4.42"/>
    <x v="2"/>
    <s v="No"/>
    <s v="No"/>
    <x v="0"/>
    <x v="3"/>
    <x v="1"/>
    <x v="2"/>
  </r>
  <r>
    <x v="2034"/>
    <n v="29.68"/>
    <n v="5.68"/>
    <x v="1"/>
    <s v="No"/>
    <s v="yes"/>
    <x v="0"/>
    <x v="3"/>
    <x v="1"/>
    <x v="2"/>
  </r>
  <r>
    <x v="2035"/>
    <n v="20.614999999999998"/>
    <n v="6.05"/>
    <x v="1"/>
    <s v="No"/>
    <s v="No"/>
    <x v="1"/>
    <x v="3"/>
    <x v="1"/>
    <x v="2"/>
  </r>
  <r>
    <x v="2036"/>
    <n v="32.119999999999997"/>
    <n v="5.33"/>
    <x v="2"/>
    <s v="No"/>
    <s v="yes"/>
    <x v="0"/>
    <x v="3"/>
    <x v="1"/>
    <x v="2"/>
  </r>
  <r>
    <x v="2037"/>
    <n v="27.36"/>
    <n v="6.22"/>
    <x v="1"/>
    <s v="No"/>
    <s v="No"/>
    <x v="0"/>
    <x v="0"/>
    <x v="1"/>
    <x v="2"/>
  </r>
  <r>
    <x v="2038"/>
    <n v="17.385000000000002"/>
    <n v="5.84"/>
    <x v="1"/>
    <s v="No"/>
    <s v="No"/>
    <x v="0"/>
    <x v="0"/>
    <x v="1"/>
    <x v="3"/>
  </r>
  <r>
    <x v="2039"/>
    <n v="30.13"/>
    <n v="5.71"/>
    <x v="1"/>
    <s v="No"/>
    <s v="yes"/>
    <x v="0"/>
    <x v="3"/>
    <x v="1"/>
    <x v="2"/>
  </r>
  <r>
    <x v="2040"/>
    <n v="25.44"/>
    <n v="6.04"/>
    <x v="1"/>
    <s v="yes"/>
    <s v="No"/>
    <x v="1"/>
    <x v="3"/>
    <x v="1"/>
    <x v="2"/>
  </r>
  <r>
    <x v="2041"/>
    <n v="39.805"/>
    <n v="4.38"/>
    <x v="2"/>
    <s v="No"/>
    <s v="yes"/>
    <x v="0"/>
    <x v="3"/>
    <x v="1"/>
    <x v="2"/>
  </r>
  <r>
    <x v="2042"/>
    <n v="30.4"/>
    <n v="5.56"/>
    <x v="2"/>
    <s v="yes"/>
    <s v="yes"/>
    <x v="0"/>
    <x v="3"/>
    <x v="1"/>
    <x v="2"/>
  </r>
  <r>
    <x v="2043"/>
    <n v="23.18"/>
    <n v="4.24"/>
    <x v="2"/>
    <s v="No"/>
    <s v="yes"/>
    <x v="0"/>
    <x v="3"/>
    <x v="1"/>
    <x v="2"/>
  </r>
  <r>
    <x v="2044"/>
    <n v="39.615000000000002"/>
    <n v="6.32"/>
    <x v="1"/>
    <s v="No"/>
    <s v="No"/>
    <x v="1"/>
    <x v="3"/>
    <x v="1"/>
    <x v="2"/>
  </r>
  <r>
    <x v="2045"/>
    <n v="30.59"/>
    <n v="6.3"/>
    <x v="1"/>
    <s v="yes"/>
    <s v="No"/>
    <x v="1"/>
    <x v="3"/>
    <x v="1"/>
    <x v="2"/>
  </r>
  <r>
    <x v="2046"/>
    <n v="16.72"/>
    <n v="4.38"/>
    <x v="2"/>
    <s v="yes"/>
    <s v="No"/>
    <x v="0"/>
    <x v="3"/>
    <x v="1"/>
    <x v="3"/>
  </r>
  <r>
    <x v="2047"/>
    <n v="26.22"/>
    <n v="4.6500000000000004"/>
    <x v="2"/>
    <s v="yes"/>
    <s v="No"/>
    <x v="1"/>
    <x v="3"/>
    <x v="1"/>
    <x v="2"/>
  </r>
  <r>
    <x v="2048"/>
    <n v="31.824999999999999"/>
    <n v="4.7"/>
    <x v="2"/>
    <s v="No"/>
    <s v="No"/>
    <x v="1"/>
    <x v="3"/>
    <x v="1"/>
    <x v="2"/>
  </r>
  <r>
    <x v="2049"/>
    <n v="25.745000000000001"/>
    <n v="4.34"/>
    <x v="2"/>
    <s v="No"/>
    <s v="No"/>
    <x v="1"/>
    <x v="3"/>
    <x v="1"/>
    <x v="2"/>
  </r>
  <r>
    <x v="2050"/>
    <n v="24.605"/>
    <n v="5.62"/>
    <x v="1"/>
    <s v="No"/>
    <s v="No"/>
    <x v="1"/>
    <x v="3"/>
    <x v="1"/>
    <x v="2"/>
  </r>
  <r>
    <x v="2051"/>
    <n v="24.51"/>
    <n v="4.24"/>
    <x v="2"/>
    <s v="No"/>
    <s v="No"/>
    <x v="1"/>
    <x v="3"/>
    <x v="1"/>
    <x v="2"/>
  </r>
  <r>
    <x v="2052"/>
    <n v="31.065000000000001"/>
    <n v="4.57"/>
    <x v="2"/>
    <s v="yes"/>
    <s v="No"/>
    <x v="0"/>
    <x v="0"/>
    <x v="1"/>
    <x v="2"/>
  </r>
  <r>
    <x v="2053"/>
    <n v="28.12"/>
    <n v="5.05"/>
    <x v="2"/>
    <s v="No"/>
    <s v="No"/>
    <x v="0"/>
    <x v="0"/>
    <x v="1"/>
    <x v="2"/>
  </r>
  <r>
    <x v="2054"/>
    <n v="38.06"/>
    <n v="6.16"/>
    <x v="1"/>
    <s v="No"/>
    <s v="No"/>
    <x v="0"/>
    <x v="0"/>
    <x v="1"/>
    <x v="2"/>
  </r>
  <r>
    <x v="2055"/>
    <n v="24.96"/>
    <n v="4.57"/>
    <x v="2"/>
    <s v="No"/>
    <s v="No"/>
    <x v="0"/>
    <x v="0"/>
    <x v="1"/>
    <x v="2"/>
  </r>
  <r>
    <x v="2056"/>
    <n v="17.670000000000002"/>
    <n v="5.53"/>
    <x v="2"/>
    <s v="yes"/>
    <s v="No"/>
    <x v="0"/>
    <x v="0"/>
    <x v="1"/>
    <x v="3"/>
  </r>
  <r>
    <x v="2057"/>
    <n v="31.35"/>
    <n v="5.84"/>
    <x v="1"/>
    <s v="No"/>
    <s v="yes"/>
    <x v="0"/>
    <x v="3"/>
    <x v="1"/>
    <x v="2"/>
  </r>
  <r>
    <x v="2058"/>
    <n v="28.31"/>
    <n v="6.41"/>
    <x v="1"/>
    <s v="No"/>
    <s v="yes"/>
    <x v="0"/>
    <x v="3"/>
    <x v="1"/>
    <x v="2"/>
  </r>
  <r>
    <x v="2059"/>
    <n v="30.3"/>
    <n v="4.7300000000000004"/>
    <x v="2"/>
    <s v="yes"/>
    <s v="No"/>
    <x v="1"/>
    <x v="3"/>
    <x v="1"/>
    <x v="2"/>
  </r>
  <r>
    <x v="2060"/>
    <n v="26.4"/>
    <n v="6.22"/>
    <x v="1"/>
    <s v="yes"/>
    <s v="No"/>
    <x v="0"/>
    <x v="0"/>
    <x v="1"/>
    <x v="2"/>
  </r>
  <r>
    <x v="2061"/>
    <n v="22.135000000000002"/>
    <n v="4.46"/>
    <x v="2"/>
    <s v="yes"/>
    <s v="No"/>
    <x v="0"/>
    <x v="0"/>
    <x v="1"/>
    <x v="2"/>
  </r>
  <r>
    <x v="2062"/>
    <n v="17.399999999999999"/>
    <n v="4.5"/>
    <x v="2"/>
    <s v="yes"/>
    <s v="No"/>
    <x v="0"/>
    <x v="0"/>
    <x v="1"/>
    <x v="3"/>
  </r>
  <r>
    <x v="2063"/>
    <n v="28.06"/>
    <n v="8.93"/>
    <x v="0"/>
    <s v="No"/>
    <s v="No"/>
    <x v="0"/>
    <x v="0"/>
    <x v="1"/>
    <x v="2"/>
  </r>
  <r>
    <x v="2064"/>
    <n v="31.13"/>
    <n v="11.02"/>
    <x v="0"/>
    <s v="No"/>
    <s v="No"/>
    <x v="0"/>
    <x v="0"/>
    <x v="1"/>
    <x v="2"/>
  </r>
  <r>
    <x v="2065"/>
    <n v="18.46"/>
    <n v="5.25"/>
    <x v="2"/>
    <s v="No"/>
    <s v="No"/>
    <x v="0"/>
    <x v="0"/>
    <x v="1"/>
    <x v="3"/>
  </r>
  <r>
    <x v="2066"/>
    <n v="17.3"/>
    <n v="4.75"/>
    <x v="2"/>
    <s v="No"/>
    <s v="No"/>
    <x v="0"/>
    <x v="0"/>
    <x v="1"/>
    <x v="3"/>
  </r>
  <r>
    <x v="2067"/>
    <n v="35.625"/>
    <n v="4.68"/>
    <x v="2"/>
    <s v="yes"/>
    <s v="No"/>
    <x v="1"/>
    <x v="3"/>
    <x v="1"/>
    <x v="2"/>
  </r>
  <r>
    <x v="2068"/>
    <n v="20.234999999999999"/>
    <n v="6.17"/>
    <x v="1"/>
    <s v="yes"/>
    <s v="yes"/>
    <x v="0"/>
    <x v="1"/>
    <x v="1"/>
    <x v="2"/>
  </r>
  <r>
    <x v="2069"/>
    <n v="27.55"/>
    <n v="4.5599999999999996"/>
    <x v="2"/>
    <s v="yes"/>
    <s v="No"/>
    <x v="1"/>
    <x v="3"/>
    <x v="1"/>
    <x v="2"/>
  </r>
  <r>
    <x v="2070"/>
    <n v="17.97"/>
    <n v="6.3"/>
    <x v="1"/>
    <s v="No"/>
    <s v="No"/>
    <x v="0"/>
    <x v="0"/>
    <x v="1"/>
    <x v="3"/>
  </r>
  <r>
    <x v="2071"/>
    <n v="29.98"/>
    <n v="6.03"/>
    <x v="1"/>
    <s v="No"/>
    <s v="yes"/>
    <x v="0"/>
    <x v="3"/>
    <x v="1"/>
    <x v="2"/>
  </r>
  <r>
    <x v="2072"/>
    <n v="33.659999999999997"/>
    <n v="4.2"/>
    <x v="2"/>
    <s v="yes"/>
    <s v="No"/>
    <x v="0"/>
    <x v="3"/>
    <x v="1"/>
    <x v="2"/>
  </r>
  <r>
    <x v="2073"/>
    <n v="32.67"/>
    <n v="5.61"/>
    <x v="1"/>
    <s v="yes"/>
    <s v="No"/>
    <x v="0"/>
    <x v="3"/>
    <x v="1"/>
    <x v="2"/>
  </r>
  <r>
    <x v="2074"/>
    <n v="30.5"/>
    <n v="5.88"/>
    <x v="1"/>
    <s v="yes"/>
    <s v="No"/>
    <x v="0"/>
    <x v="3"/>
    <x v="1"/>
    <x v="2"/>
  </r>
  <r>
    <x v="2075"/>
    <n v="23.1"/>
    <n v="5.92"/>
    <x v="1"/>
    <s v="yes"/>
    <s v="No"/>
    <x v="0"/>
    <x v="3"/>
    <x v="1"/>
    <x v="2"/>
  </r>
  <r>
    <x v="2076"/>
    <n v="39.49"/>
    <n v="4.8099999999999996"/>
    <x v="2"/>
    <s v="No"/>
    <s v="No"/>
    <x v="0"/>
    <x v="3"/>
    <x v="1"/>
    <x v="2"/>
  </r>
  <r>
    <x v="2077"/>
    <n v="33.99"/>
    <n v="4.55"/>
    <x v="2"/>
    <s v="No"/>
    <s v="No"/>
    <x v="0"/>
    <x v="3"/>
    <x v="1"/>
    <x v="2"/>
  </r>
  <r>
    <x v="2078"/>
    <n v="27.72"/>
    <n v="6.43"/>
    <x v="1"/>
    <s v="No"/>
    <s v="No"/>
    <x v="0"/>
    <x v="3"/>
    <x v="1"/>
    <x v="2"/>
  </r>
  <r>
    <x v="2079"/>
    <n v="30.59"/>
    <n v="11.62"/>
    <x v="0"/>
    <s v="No"/>
    <s v="No"/>
    <x v="0"/>
    <x v="0"/>
    <x v="1"/>
    <x v="2"/>
  </r>
  <r>
    <x v="2080"/>
    <n v="22.6"/>
    <n v="6.04"/>
    <x v="1"/>
    <s v="No"/>
    <s v="No"/>
    <x v="0"/>
    <x v="3"/>
    <x v="1"/>
    <x v="2"/>
  </r>
  <r>
    <x v="2081"/>
    <n v="28.785"/>
    <n v="8.82"/>
    <x v="0"/>
    <s v="No"/>
    <s v="No"/>
    <x v="0"/>
    <x v="0"/>
    <x v="1"/>
    <x v="2"/>
  </r>
  <r>
    <x v="2082"/>
    <n v="50.38"/>
    <n v="5.8"/>
    <x v="1"/>
    <s v="No"/>
    <s v="No"/>
    <x v="0"/>
    <x v="0"/>
    <x v="1"/>
    <x v="2"/>
  </r>
  <r>
    <x v="2083"/>
    <n v="35.200000000000003"/>
    <n v="4.28"/>
    <x v="2"/>
    <s v="No"/>
    <s v="No"/>
    <x v="0"/>
    <x v="0"/>
    <x v="1"/>
    <x v="2"/>
  </r>
  <r>
    <x v="2084"/>
    <n v="35.72"/>
    <n v="5.5"/>
    <x v="2"/>
    <s v="yes"/>
    <s v="No"/>
    <x v="0"/>
    <x v="0"/>
    <x v="1"/>
    <x v="2"/>
  </r>
  <r>
    <x v="2085"/>
    <n v="24.51"/>
    <n v="4.6900000000000004"/>
    <x v="2"/>
    <s v="No"/>
    <s v="No"/>
    <x v="0"/>
    <x v="0"/>
    <x v="1"/>
    <x v="2"/>
  </r>
  <r>
    <x v="2086"/>
    <n v="23.844999999999999"/>
    <n v="4.43"/>
    <x v="2"/>
    <s v="No"/>
    <s v="No"/>
    <x v="0"/>
    <x v="0"/>
    <x v="1"/>
    <x v="2"/>
  </r>
  <r>
    <x v="2087"/>
    <n v="15.68"/>
    <n v="6.16"/>
    <x v="1"/>
    <s v="yes"/>
    <s v="No"/>
    <x v="0"/>
    <x v="3"/>
    <x v="1"/>
    <x v="3"/>
  </r>
  <r>
    <x v="2088"/>
    <n v="32.395000000000003"/>
    <n v="6.66"/>
    <x v="0"/>
    <s v="No"/>
    <s v="No"/>
    <x v="0"/>
    <x v="0"/>
    <x v="1"/>
    <x v="2"/>
  </r>
  <r>
    <x v="2089"/>
    <n v="23.655000000000001"/>
    <n v="5.92"/>
    <x v="1"/>
    <s v="No"/>
    <s v="No"/>
    <x v="0"/>
    <x v="3"/>
    <x v="1"/>
    <x v="2"/>
  </r>
  <r>
    <x v="2090"/>
    <n v="28.4"/>
    <n v="5.97"/>
    <x v="1"/>
    <s v="No"/>
    <s v="No"/>
    <x v="1"/>
    <x v="3"/>
    <x v="1"/>
    <x v="2"/>
  </r>
  <r>
    <x v="2091"/>
    <n v="35.42"/>
    <n v="4.6399999999999997"/>
    <x v="2"/>
    <s v="yes"/>
    <s v="No"/>
    <x v="0"/>
    <x v="0"/>
    <x v="1"/>
    <x v="2"/>
  </r>
  <r>
    <x v="2092"/>
    <n v="26.18"/>
    <n v="6.12"/>
    <x v="1"/>
    <s v="No"/>
    <s v="yes"/>
    <x v="0"/>
    <x v="3"/>
    <x v="1"/>
    <x v="2"/>
  </r>
  <r>
    <x v="2093"/>
    <n v="20.8"/>
    <n v="4.87"/>
    <x v="2"/>
    <s v="yes"/>
    <s v="No"/>
    <x v="0"/>
    <x v="0"/>
    <x v="1"/>
    <x v="2"/>
  </r>
  <r>
    <x v="2094"/>
    <n v="15.82"/>
    <n v="4.5999999999999996"/>
    <x v="2"/>
    <s v="No"/>
    <s v="No"/>
    <x v="0"/>
    <x v="0"/>
    <x v="1"/>
    <x v="3"/>
  </r>
  <r>
    <x v="2095"/>
    <n v="17.670000000000002"/>
    <n v="4.78"/>
    <x v="2"/>
    <s v="No"/>
    <s v="No"/>
    <x v="0"/>
    <x v="0"/>
    <x v="1"/>
    <x v="3"/>
  </r>
  <r>
    <x v="2096"/>
    <n v="31.92"/>
    <n v="11.05"/>
    <x v="0"/>
    <s v="No"/>
    <s v="No"/>
    <x v="0"/>
    <x v="0"/>
    <x v="1"/>
    <x v="2"/>
  </r>
  <r>
    <x v="2097"/>
    <n v="28.975000000000001"/>
    <n v="7.62"/>
    <x v="0"/>
    <s v="No"/>
    <s v="No"/>
    <x v="0"/>
    <x v="0"/>
    <x v="1"/>
    <x v="2"/>
  </r>
  <r>
    <x v="2098"/>
    <n v="31.73"/>
    <n v="4.78"/>
    <x v="2"/>
    <s v="yes"/>
    <s v="yes"/>
    <x v="0"/>
    <x v="1"/>
    <x v="1"/>
    <x v="2"/>
  </r>
  <r>
    <x v="2099"/>
    <n v="28.88"/>
    <n v="6.09"/>
    <x v="1"/>
    <s v="yes"/>
    <s v="yes"/>
    <x v="0"/>
    <x v="1"/>
    <x v="1"/>
    <x v="2"/>
  </r>
  <r>
    <x v="2100"/>
    <n v="25.555"/>
    <n v="5.1100000000000003"/>
    <x v="2"/>
    <s v="No"/>
    <s v="No"/>
    <x v="1"/>
    <x v="3"/>
    <x v="1"/>
    <x v="2"/>
  </r>
  <r>
    <x v="2101"/>
    <n v="37.29"/>
    <n v="4.46"/>
    <x v="2"/>
    <s v="No"/>
    <s v="yes"/>
    <x v="0"/>
    <x v="3"/>
    <x v="1"/>
    <x v="2"/>
  </r>
  <r>
    <x v="2102"/>
    <n v="40.28"/>
    <n v="6.11"/>
    <x v="1"/>
    <s v="No"/>
    <s v="yes"/>
    <x v="0"/>
    <x v="3"/>
    <x v="1"/>
    <x v="2"/>
  </r>
  <r>
    <x v="2103"/>
    <n v="40.185000000000002"/>
    <n v="4.66"/>
    <x v="2"/>
    <s v="No"/>
    <s v="yes"/>
    <x v="0"/>
    <x v="3"/>
    <x v="1"/>
    <x v="2"/>
  </r>
  <r>
    <x v="2104"/>
    <n v="23.57"/>
    <n v="6.14"/>
    <x v="1"/>
    <s v="No"/>
    <s v="No"/>
    <x v="0"/>
    <x v="0"/>
    <x v="1"/>
    <x v="2"/>
  </r>
  <r>
    <x v="2105"/>
    <n v="35.625"/>
    <n v="6.21"/>
    <x v="1"/>
    <s v="No"/>
    <s v="yes"/>
    <x v="0"/>
    <x v="3"/>
    <x v="1"/>
    <x v="2"/>
  </r>
  <r>
    <x v="2106"/>
    <n v="33.155000000000001"/>
    <n v="4.5999999999999996"/>
    <x v="2"/>
    <s v="No"/>
    <s v="yes"/>
    <x v="0"/>
    <x v="3"/>
    <x v="1"/>
    <x v="2"/>
  </r>
  <r>
    <x v="2107"/>
    <n v="31.92"/>
    <n v="5.04"/>
    <x v="2"/>
    <s v="No"/>
    <s v="yes"/>
    <x v="0"/>
    <x v="3"/>
    <x v="1"/>
    <x v="2"/>
  </r>
  <r>
    <x v="2108"/>
    <n v="30.305"/>
    <n v="5.08"/>
    <x v="2"/>
    <s v="No"/>
    <s v="yes"/>
    <x v="0"/>
    <x v="3"/>
    <x v="1"/>
    <x v="2"/>
  </r>
  <r>
    <x v="2109"/>
    <n v="30.114999999999998"/>
    <n v="4.38"/>
    <x v="2"/>
    <s v="No"/>
    <s v="yes"/>
    <x v="0"/>
    <x v="3"/>
    <x v="1"/>
    <x v="2"/>
  </r>
  <r>
    <x v="2110"/>
    <n v="24.09"/>
    <n v="4.79"/>
    <x v="2"/>
    <s v="No"/>
    <s v="yes"/>
    <x v="0"/>
    <x v="3"/>
    <x v="1"/>
    <x v="2"/>
  </r>
  <r>
    <x v="2111"/>
    <n v="28.215"/>
    <n v="4.21"/>
    <x v="2"/>
    <s v="No"/>
    <s v="yes"/>
    <x v="0"/>
    <x v="3"/>
    <x v="1"/>
    <x v="2"/>
  </r>
  <r>
    <x v="2112"/>
    <n v="26.315000000000001"/>
    <n v="5.47"/>
    <x v="2"/>
    <s v="No"/>
    <s v="yes"/>
    <x v="0"/>
    <x v="3"/>
    <x v="1"/>
    <x v="2"/>
  </r>
  <r>
    <x v="2113"/>
    <n v="25.08"/>
    <n v="5.09"/>
    <x v="2"/>
    <s v="No"/>
    <s v="yes"/>
    <x v="0"/>
    <x v="3"/>
    <x v="1"/>
    <x v="2"/>
  </r>
  <r>
    <x v="2114"/>
    <n v="15.41"/>
    <n v="5.08"/>
    <x v="2"/>
    <s v="No"/>
    <s v="No"/>
    <x v="0"/>
    <x v="0"/>
    <x v="1"/>
    <x v="3"/>
  </r>
  <r>
    <x v="2115"/>
    <n v="23.83"/>
    <n v="5.68"/>
    <x v="2"/>
    <s v="No"/>
    <s v="No"/>
    <x v="0"/>
    <x v="0"/>
    <x v="1"/>
    <x v="2"/>
  </r>
  <r>
    <x v="2116"/>
    <n v="36"/>
    <n v="4.66"/>
    <x v="2"/>
    <s v="No"/>
    <s v="yes"/>
    <x v="0"/>
    <x v="3"/>
    <x v="1"/>
    <x v="2"/>
  </r>
  <r>
    <x v="2117"/>
    <n v="28.82"/>
    <n v="5.59"/>
    <x v="2"/>
    <s v="No"/>
    <s v="yes"/>
    <x v="0"/>
    <x v="3"/>
    <x v="1"/>
    <x v="2"/>
  </r>
  <r>
    <x v="2118"/>
    <n v="28.05"/>
    <n v="6.2"/>
    <x v="1"/>
    <s v="No"/>
    <s v="yes"/>
    <x v="0"/>
    <x v="3"/>
    <x v="1"/>
    <x v="2"/>
  </r>
  <r>
    <x v="2119"/>
    <n v="27.1"/>
    <n v="4.45"/>
    <x v="2"/>
    <s v="No"/>
    <s v="yes"/>
    <x v="0"/>
    <x v="3"/>
    <x v="1"/>
    <x v="2"/>
  </r>
  <r>
    <x v="2120"/>
    <n v="24.3"/>
    <n v="6.1"/>
    <x v="1"/>
    <s v="yes"/>
    <s v="yes"/>
    <x v="0"/>
    <x v="3"/>
    <x v="1"/>
    <x v="2"/>
  </r>
  <r>
    <x v="2121"/>
    <n v="30.72"/>
    <n v="6.06"/>
    <x v="1"/>
    <s v="No"/>
    <s v="yes"/>
    <x v="0"/>
    <x v="3"/>
    <x v="1"/>
    <x v="2"/>
  </r>
  <r>
    <x v="2122"/>
    <n v="37.43"/>
    <n v="4.5599999999999996"/>
    <x v="2"/>
    <s v="No"/>
    <s v="No"/>
    <x v="1"/>
    <x v="3"/>
    <x v="1"/>
    <x v="2"/>
  </r>
  <r>
    <x v="2123"/>
    <n v="25.74"/>
    <n v="6.41"/>
    <x v="1"/>
    <s v="yes"/>
    <s v="No"/>
    <x v="1"/>
    <x v="3"/>
    <x v="1"/>
    <x v="2"/>
  </r>
  <r>
    <x v="2124"/>
    <n v="36.575000000000003"/>
    <n v="5.57"/>
    <x v="2"/>
    <s v="No"/>
    <s v="No"/>
    <x v="1"/>
    <x v="3"/>
    <x v="1"/>
    <x v="2"/>
  </r>
  <r>
    <x v="2125"/>
    <n v="35.15"/>
    <n v="5.47"/>
    <x v="2"/>
    <s v="No"/>
    <s v="No"/>
    <x v="1"/>
    <x v="3"/>
    <x v="1"/>
    <x v="2"/>
  </r>
  <r>
    <x v="44"/>
    <n v="32.11"/>
    <n v="4.43"/>
    <x v="2"/>
    <s v="No"/>
    <s v="No"/>
    <x v="1"/>
    <x v="3"/>
    <x v="1"/>
    <x v="2"/>
  </r>
  <r>
    <x v="2126"/>
    <n v="30.495000000000001"/>
    <n v="4.95"/>
    <x v="2"/>
    <s v="No"/>
    <s v="No"/>
    <x v="1"/>
    <x v="3"/>
    <x v="1"/>
    <x v="2"/>
  </r>
  <r>
    <x v="2127"/>
    <n v="29.24"/>
    <n v="4.04"/>
    <x v="2"/>
    <s v="No"/>
    <s v="yes"/>
    <x v="0"/>
    <x v="3"/>
    <x v="1"/>
    <x v="2"/>
  </r>
  <r>
    <x v="2128"/>
    <n v="22.515000000000001"/>
    <n v="5.93"/>
    <x v="1"/>
    <s v="No"/>
    <s v="No"/>
    <x v="1"/>
    <x v="3"/>
    <x v="1"/>
    <x v="2"/>
  </r>
  <r>
    <x v="2129"/>
    <n v="15.65"/>
    <n v="4.2300000000000004"/>
    <x v="2"/>
    <s v="No"/>
    <s v="No"/>
    <x v="0"/>
    <x v="0"/>
    <x v="1"/>
    <x v="3"/>
  </r>
  <r>
    <x v="2130"/>
    <n v="27.36"/>
    <n v="5.59"/>
    <x v="1"/>
    <s v="yes"/>
    <s v="No"/>
    <x v="0"/>
    <x v="0"/>
    <x v="1"/>
    <x v="2"/>
  </r>
  <r>
    <x v="2131"/>
    <n v="22.3"/>
    <n v="4.8899999999999997"/>
    <x v="2"/>
    <s v="yes"/>
    <s v="No"/>
    <x v="0"/>
    <x v="0"/>
    <x v="1"/>
    <x v="2"/>
  </r>
  <r>
    <x v="2132"/>
    <n v="26.03"/>
    <n v="5.81"/>
    <x v="1"/>
    <s v="yes"/>
    <s v="No"/>
    <x v="0"/>
    <x v="0"/>
    <x v="1"/>
    <x v="2"/>
  </r>
  <r>
    <x v="2133"/>
    <n v="27.74"/>
    <n v="4.29"/>
    <x v="2"/>
    <s v="No"/>
    <s v="yes"/>
    <x v="0"/>
    <x v="3"/>
    <x v="1"/>
    <x v="2"/>
  </r>
  <r>
    <x v="2134"/>
    <n v="32.11"/>
    <n v="4.03"/>
    <x v="2"/>
    <s v="yes"/>
    <s v="yes"/>
    <x v="0"/>
    <x v="1"/>
    <x v="1"/>
    <x v="2"/>
  </r>
  <r>
    <x v="2135"/>
    <n v="25.175000000000001"/>
    <n v="6.29"/>
    <x v="1"/>
    <s v="yes"/>
    <s v="yes"/>
    <x v="0"/>
    <x v="1"/>
    <x v="1"/>
    <x v="2"/>
  </r>
  <r>
    <x v="2136"/>
    <n v="39.49"/>
    <n v="4.4800000000000004"/>
    <x v="2"/>
    <s v="yes"/>
    <s v="No"/>
    <x v="0"/>
    <x v="0"/>
    <x v="1"/>
    <x v="2"/>
  </r>
  <r>
    <x v="2137"/>
    <n v="34.869999999999997"/>
    <n v="5.51"/>
    <x v="2"/>
    <s v="yes"/>
    <s v="No"/>
    <x v="0"/>
    <x v="0"/>
    <x v="1"/>
    <x v="2"/>
  </r>
  <r>
    <x v="2138"/>
    <n v="34.6"/>
    <n v="4.5"/>
    <x v="2"/>
    <s v="yes"/>
    <s v="No"/>
    <x v="0"/>
    <x v="0"/>
    <x v="1"/>
    <x v="2"/>
  </r>
  <r>
    <x v="2139"/>
    <n v="25.8"/>
    <n v="6.29"/>
    <x v="1"/>
    <s v="yes"/>
    <s v="No"/>
    <x v="0"/>
    <x v="0"/>
    <x v="1"/>
    <x v="2"/>
  </r>
  <r>
    <x v="2140"/>
    <n v="35.86"/>
    <n v="4.33"/>
    <x v="2"/>
    <s v="No"/>
    <s v="No"/>
    <x v="0"/>
    <x v="3"/>
    <x v="1"/>
    <x v="2"/>
  </r>
  <r>
    <x v="2141"/>
    <n v="40.47"/>
    <n v="11.15"/>
    <x v="0"/>
    <s v="No"/>
    <s v="No"/>
    <x v="0"/>
    <x v="0"/>
    <x v="1"/>
    <x v="2"/>
  </r>
  <r>
    <x v="2142"/>
    <n v="32.01"/>
    <n v="6.45"/>
    <x v="1"/>
    <s v="No"/>
    <s v="No"/>
    <x v="0"/>
    <x v="3"/>
    <x v="1"/>
    <x v="2"/>
  </r>
  <r>
    <x v="2143"/>
    <n v="33"/>
    <n v="9.27"/>
    <x v="0"/>
    <s v="No"/>
    <s v="No"/>
    <x v="0"/>
    <x v="0"/>
    <x v="1"/>
    <x v="2"/>
  </r>
  <r>
    <x v="2144"/>
    <n v="29.3"/>
    <n v="6.15"/>
    <x v="1"/>
    <s v="No"/>
    <s v="No"/>
    <x v="0"/>
    <x v="3"/>
    <x v="1"/>
    <x v="2"/>
  </r>
  <r>
    <x v="2145"/>
    <n v="25.8"/>
    <n v="4.13"/>
    <x v="2"/>
    <s v="No"/>
    <s v="No"/>
    <x v="0"/>
    <x v="3"/>
    <x v="1"/>
    <x v="2"/>
  </r>
  <r>
    <x v="2146"/>
    <n v="23.4"/>
    <n v="4.24"/>
    <x v="2"/>
    <s v="No"/>
    <s v="No"/>
    <x v="0"/>
    <x v="3"/>
    <x v="1"/>
    <x v="2"/>
  </r>
  <r>
    <x v="2147"/>
    <n v="27.93"/>
    <n v="9.8800000000000008"/>
    <x v="0"/>
    <s v="No"/>
    <s v="No"/>
    <x v="0"/>
    <x v="0"/>
    <x v="1"/>
    <x v="2"/>
  </r>
  <r>
    <x v="2148"/>
    <n v="22"/>
    <n v="9.5"/>
    <x v="0"/>
    <s v="No"/>
    <s v="No"/>
    <x v="0"/>
    <x v="0"/>
    <x v="1"/>
    <x v="2"/>
  </r>
  <r>
    <x v="2149"/>
    <n v="36.86"/>
    <n v="4.97"/>
    <x v="2"/>
    <s v="yes"/>
    <s v="No"/>
    <x v="0"/>
    <x v="0"/>
    <x v="1"/>
    <x v="2"/>
  </r>
  <r>
    <x v="2150"/>
    <n v="31.254999999999999"/>
    <n v="5.49"/>
    <x v="2"/>
    <s v="yes"/>
    <s v="No"/>
    <x v="0"/>
    <x v="0"/>
    <x v="1"/>
    <x v="2"/>
  </r>
  <r>
    <x v="2151"/>
    <n v="23.06"/>
    <n v="4.47"/>
    <x v="2"/>
    <s v="No"/>
    <s v="No"/>
    <x v="0"/>
    <x v="0"/>
    <x v="1"/>
    <x v="2"/>
  </r>
  <r>
    <x v="2152"/>
    <n v="28.975000000000001"/>
    <n v="4.34"/>
    <x v="2"/>
    <s v="yes"/>
    <s v="No"/>
    <x v="0"/>
    <x v="0"/>
    <x v="1"/>
    <x v="2"/>
  </r>
  <r>
    <x v="2153"/>
    <n v="33.299999999999997"/>
    <n v="9.49"/>
    <x v="0"/>
    <s v="No"/>
    <s v="No"/>
    <x v="0"/>
    <x v="0"/>
    <x v="1"/>
    <x v="2"/>
  </r>
  <r>
    <x v="44"/>
    <n v="33"/>
    <n v="10.16"/>
    <x v="0"/>
    <s v="No"/>
    <s v="No"/>
    <x v="0"/>
    <x v="0"/>
    <x v="1"/>
    <x v="2"/>
  </r>
  <r>
    <x v="2154"/>
    <n v="31.46"/>
    <n v="11.19"/>
    <x v="0"/>
    <s v="No"/>
    <s v="No"/>
    <x v="0"/>
    <x v="0"/>
    <x v="1"/>
    <x v="2"/>
  </r>
  <r>
    <x v="2155"/>
    <n v="29.6"/>
    <n v="11.03"/>
    <x v="0"/>
    <s v="No"/>
    <s v="No"/>
    <x v="0"/>
    <x v="0"/>
    <x v="1"/>
    <x v="2"/>
  </r>
  <r>
    <x v="2156"/>
    <n v="22.05"/>
    <n v="4.43"/>
    <x v="2"/>
    <s v="yes"/>
    <s v="No"/>
    <x v="0"/>
    <x v="0"/>
    <x v="1"/>
    <x v="2"/>
  </r>
  <r>
    <x v="2157"/>
    <n v="27.06"/>
    <n v="6.14"/>
    <x v="1"/>
    <s v="No"/>
    <s v="yes"/>
    <x v="0"/>
    <x v="3"/>
    <x v="1"/>
    <x v="2"/>
  </r>
  <r>
    <x v="2158"/>
    <n v="20.49"/>
    <n v="4.87"/>
    <x v="2"/>
    <s v="No"/>
    <s v="No"/>
    <x v="0"/>
    <x v="0"/>
    <x v="1"/>
    <x v="2"/>
  </r>
  <r>
    <x v="2159"/>
    <n v="28.4"/>
    <n v="4.3"/>
    <x v="2"/>
    <s v="No"/>
    <s v="No"/>
    <x v="1"/>
    <x v="3"/>
    <x v="1"/>
    <x v="2"/>
  </r>
  <r>
    <x v="2160"/>
    <n v="41.91"/>
    <n v="6.19"/>
    <x v="1"/>
    <s v="No"/>
    <s v="No"/>
    <x v="0"/>
    <x v="0"/>
    <x v="1"/>
    <x v="2"/>
  </r>
  <r>
    <x v="2161"/>
    <n v="24.6"/>
    <n v="6.19"/>
    <x v="1"/>
    <s v="No"/>
    <s v="No"/>
    <x v="1"/>
    <x v="3"/>
    <x v="1"/>
    <x v="2"/>
  </r>
  <r>
    <x v="2162"/>
    <n v="20.9"/>
    <n v="5.12"/>
    <x v="2"/>
    <s v="No"/>
    <s v="No"/>
    <x v="1"/>
    <x v="3"/>
    <x v="1"/>
    <x v="2"/>
  </r>
  <r>
    <x v="2163"/>
    <n v="34.4"/>
    <n v="4.04"/>
    <x v="2"/>
    <s v="No"/>
    <s v="No"/>
    <x v="0"/>
    <x v="0"/>
    <x v="1"/>
    <x v="2"/>
  </r>
  <r>
    <x v="2164"/>
    <n v="32.56"/>
    <n v="5.36"/>
    <x v="2"/>
    <s v="No"/>
    <s v="No"/>
    <x v="0"/>
    <x v="0"/>
    <x v="1"/>
    <x v="2"/>
  </r>
  <r>
    <x v="2165"/>
    <n v="27.98"/>
    <n v="4.38"/>
    <x v="2"/>
    <s v="No"/>
    <s v="yes"/>
    <x v="0"/>
    <x v="3"/>
    <x v="1"/>
    <x v="2"/>
  </r>
  <r>
    <x v="2166"/>
    <n v="26.51"/>
    <n v="4.58"/>
    <x v="2"/>
    <s v="No"/>
    <s v="No"/>
    <x v="0"/>
    <x v="0"/>
    <x v="1"/>
    <x v="2"/>
  </r>
  <r>
    <x v="2167"/>
    <n v="29.734999999999999"/>
    <n v="11.92"/>
    <x v="0"/>
    <s v="No"/>
    <s v="No"/>
    <x v="0"/>
    <x v="0"/>
    <x v="1"/>
    <x v="2"/>
  </r>
  <r>
    <x v="2168"/>
    <n v="40.5"/>
    <n v="5.4"/>
    <x v="2"/>
    <s v="No"/>
    <s v="No"/>
    <x v="1"/>
    <x v="3"/>
    <x v="1"/>
    <x v="2"/>
  </r>
  <r>
    <x v="2169"/>
    <n v="25.64"/>
    <n v="4.76"/>
    <x v="2"/>
    <s v="No"/>
    <s v="No"/>
    <x v="0"/>
    <x v="3"/>
    <x v="1"/>
    <x v="2"/>
  </r>
  <r>
    <x v="2170"/>
    <n v="32.9"/>
    <n v="4.78"/>
    <x v="2"/>
    <s v="No"/>
    <s v="No"/>
    <x v="1"/>
    <x v="3"/>
    <x v="1"/>
    <x v="2"/>
  </r>
  <r>
    <x v="2171"/>
    <n v="29.8"/>
    <n v="4.26"/>
    <x v="2"/>
    <s v="No"/>
    <s v="No"/>
    <x v="1"/>
    <x v="3"/>
    <x v="1"/>
    <x v="2"/>
  </r>
  <r>
    <x v="2172"/>
    <n v="28.9"/>
    <n v="5.85"/>
    <x v="1"/>
    <s v="No"/>
    <s v="No"/>
    <x v="1"/>
    <x v="3"/>
    <x v="1"/>
    <x v="2"/>
  </r>
  <r>
    <x v="2173"/>
    <n v="24.7"/>
    <n v="5.32"/>
    <x v="2"/>
    <s v="No"/>
    <s v="No"/>
    <x v="1"/>
    <x v="3"/>
    <x v="1"/>
    <x v="2"/>
  </r>
  <r>
    <x v="2174"/>
    <n v="20.6"/>
    <n v="5.14"/>
    <x v="2"/>
    <s v="No"/>
    <s v="No"/>
    <x v="1"/>
    <x v="3"/>
    <x v="1"/>
    <x v="2"/>
  </r>
  <r>
    <x v="2175"/>
    <n v="18.600000000000001"/>
    <n v="5"/>
    <x v="2"/>
    <s v="No"/>
    <s v="No"/>
    <x v="1"/>
    <x v="3"/>
    <x v="1"/>
    <x v="2"/>
  </r>
  <r>
    <x v="2176"/>
    <n v="17.8"/>
    <n v="4.55"/>
    <x v="2"/>
    <s v="No"/>
    <s v="No"/>
    <x v="1"/>
    <x v="3"/>
    <x v="1"/>
    <x v="3"/>
  </r>
  <r>
    <x v="2177"/>
    <n v="35.200000000000003"/>
    <n v="5.97"/>
    <x v="1"/>
    <s v="No"/>
    <s v="yes"/>
    <x v="0"/>
    <x v="3"/>
    <x v="1"/>
    <x v="2"/>
  </r>
  <r>
    <x v="2178"/>
    <n v="33.770000000000003"/>
    <n v="4.0199999999999996"/>
    <x v="2"/>
    <s v="No"/>
    <s v="yes"/>
    <x v="0"/>
    <x v="3"/>
    <x v="1"/>
    <x v="2"/>
  </r>
  <r>
    <x v="2179"/>
    <n v="30.03"/>
    <n v="4.04"/>
    <x v="2"/>
    <s v="No"/>
    <s v="yes"/>
    <x v="0"/>
    <x v="3"/>
    <x v="1"/>
    <x v="2"/>
  </r>
  <r>
    <x v="2180"/>
    <n v="29.37"/>
    <n v="5.54"/>
    <x v="2"/>
    <s v="No"/>
    <s v="yes"/>
    <x v="0"/>
    <x v="3"/>
    <x v="1"/>
    <x v="2"/>
  </r>
  <r>
    <x v="2181"/>
    <n v="28.5"/>
    <n v="4.03"/>
    <x v="2"/>
    <s v="No"/>
    <s v="yes"/>
    <x v="0"/>
    <x v="3"/>
    <x v="1"/>
    <x v="2"/>
  </r>
  <r>
    <x v="2182"/>
    <n v="23.32"/>
    <n v="5.62"/>
    <x v="1"/>
    <s v="No"/>
    <s v="yes"/>
    <x v="0"/>
    <x v="3"/>
    <x v="1"/>
    <x v="2"/>
  </r>
  <r>
    <x v="2183"/>
    <n v="26.125"/>
    <n v="5.27"/>
    <x v="2"/>
    <s v="No"/>
    <s v="yes"/>
    <x v="0"/>
    <x v="3"/>
    <x v="1"/>
    <x v="2"/>
  </r>
  <r>
    <x v="2184"/>
    <n v="25.46"/>
    <n v="5.18"/>
    <x v="2"/>
    <s v="No"/>
    <s v="yes"/>
    <x v="0"/>
    <x v="3"/>
    <x v="1"/>
    <x v="2"/>
  </r>
  <r>
    <x v="2185"/>
    <n v="23.75"/>
    <n v="5.27"/>
    <x v="2"/>
    <s v="No"/>
    <s v="yes"/>
    <x v="0"/>
    <x v="3"/>
    <x v="1"/>
    <x v="2"/>
  </r>
  <r>
    <x v="2186"/>
    <n v="23.085000000000001"/>
    <n v="5.62"/>
    <x v="1"/>
    <s v="No"/>
    <s v="yes"/>
    <x v="0"/>
    <x v="3"/>
    <x v="1"/>
    <x v="2"/>
  </r>
  <r>
    <x v="2187"/>
    <n v="22.99"/>
    <n v="5.0599999999999996"/>
    <x v="2"/>
    <s v="No"/>
    <s v="yes"/>
    <x v="0"/>
    <x v="3"/>
    <x v="1"/>
    <x v="2"/>
  </r>
  <r>
    <x v="2188"/>
    <n v="21.47"/>
    <n v="4.6900000000000004"/>
    <x v="2"/>
    <s v="No"/>
    <s v="yes"/>
    <x v="0"/>
    <x v="3"/>
    <x v="1"/>
    <x v="2"/>
  </r>
  <r>
    <x v="2189"/>
    <n v="15.96"/>
    <n v="5.44"/>
    <x v="2"/>
    <s v="No"/>
    <s v="yes"/>
    <x v="0"/>
    <x v="3"/>
    <x v="1"/>
    <x v="3"/>
  </r>
  <r>
    <x v="2190"/>
    <n v="39.5"/>
    <n v="5.05"/>
    <x v="2"/>
    <s v="No"/>
    <s v="yes"/>
    <x v="0"/>
    <x v="3"/>
    <x v="1"/>
    <x v="2"/>
  </r>
  <r>
    <x v="2191"/>
    <n v="33.770000000000003"/>
    <n v="6"/>
    <x v="1"/>
    <s v="No"/>
    <s v="yes"/>
    <x v="0"/>
    <x v="3"/>
    <x v="1"/>
    <x v="2"/>
  </r>
  <r>
    <x v="2192"/>
    <n v="26.84"/>
    <n v="5.99"/>
    <x v="1"/>
    <s v="yes"/>
    <s v="yes"/>
    <x v="0"/>
    <x v="3"/>
    <x v="1"/>
    <x v="2"/>
  </r>
  <r>
    <x v="2193"/>
    <n v="35.53"/>
    <n v="4.3600000000000003"/>
    <x v="2"/>
    <s v="No"/>
    <s v="No"/>
    <x v="1"/>
    <x v="3"/>
    <x v="1"/>
    <x v="2"/>
  </r>
  <r>
    <x v="2194"/>
    <n v="30.59"/>
    <n v="4.41"/>
    <x v="2"/>
    <s v="No"/>
    <s v="No"/>
    <x v="1"/>
    <x v="3"/>
    <x v="1"/>
    <x v="2"/>
  </r>
  <r>
    <x v="2195"/>
    <n v="30.59"/>
    <n v="4.17"/>
    <x v="2"/>
    <s v="No"/>
    <s v="No"/>
    <x v="1"/>
    <x v="3"/>
    <x v="1"/>
    <x v="2"/>
  </r>
  <r>
    <x v="2196"/>
    <n v="27.835000000000001"/>
    <n v="4.4400000000000004"/>
    <x v="2"/>
    <s v="No"/>
    <s v="No"/>
    <x v="1"/>
    <x v="3"/>
    <x v="1"/>
    <x v="2"/>
  </r>
  <r>
    <x v="44"/>
    <n v="40.26"/>
    <n v="5.52"/>
    <x v="2"/>
    <s v="No"/>
    <s v="yes"/>
    <x v="0"/>
    <x v="3"/>
    <x v="1"/>
    <x v="2"/>
  </r>
  <r>
    <x v="2197"/>
    <n v="39.82"/>
    <n v="6.01"/>
    <x v="1"/>
    <s v="No"/>
    <s v="yes"/>
    <x v="0"/>
    <x v="3"/>
    <x v="1"/>
    <x v="2"/>
  </r>
  <r>
    <x v="2198"/>
    <n v="39.159999999999997"/>
    <n v="5.81"/>
    <x v="1"/>
    <s v="No"/>
    <s v="yes"/>
    <x v="0"/>
    <x v="3"/>
    <x v="1"/>
    <x v="2"/>
  </r>
  <r>
    <x v="2199"/>
    <n v="25.555"/>
    <n v="4.37"/>
    <x v="2"/>
    <s v="No"/>
    <s v="No"/>
    <x v="1"/>
    <x v="3"/>
    <x v="1"/>
    <x v="2"/>
  </r>
  <r>
    <x v="2200"/>
    <n v="25.175000000000001"/>
    <n v="5.74"/>
    <x v="1"/>
    <s v="No"/>
    <s v="No"/>
    <x v="1"/>
    <x v="3"/>
    <x v="1"/>
    <x v="2"/>
  </r>
  <r>
    <x v="2201"/>
    <n v="38.28"/>
    <n v="5.39"/>
    <x v="2"/>
    <s v="No"/>
    <s v="yes"/>
    <x v="0"/>
    <x v="3"/>
    <x v="1"/>
    <x v="2"/>
  </r>
  <r>
    <x v="2202"/>
    <n v="38.17"/>
    <n v="4.07"/>
    <x v="2"/>
    <s v="No"/>
    <s v="yes"/>
    <x v="0"/>
    <x v="3"/>
    <x v="1"/>
    <x v="2"/>
  </r>
  <r>
    <x v="2203"/>
    <n v="36.85"/>
    <n v="5.49"/>
    <x v="2"/>
    <s v="No"/>
    <s v="yes"/>
    <x v="0"/>
    <x v="3"/>
    <x v="1"/>
    <x v="2"/>
  </r>
  <r>
    <x v="2204"/>
    <n v="22.61"/>
    <n v="5.68"/>
    <x v="1"/>
    <s v="No"/>
    <s v="No"/>
    <x v="1"/>
    <x v="3"/>
    <x v="1"/>
    <x v="2"/>
  </r>
  <r>
    <x v="2205"/>
    <n v="21.754999999999999"/>
    <n v="6.09"/>
    <x v="1"/>
    <s v="No"/>
    <s v="No"/>
    <x v="1"/>
    <x v="3"/>
    <x v="1"/>
    <x v="2"/>
  </r>
  <r>
    <x v="2206"/>
    <n v="20.425000000000001"/>
    <n v="5.53"/>
    <x v="1"/>
    <s v="No"/>
    <s v="No"/>
    <x v="1"/>
    <x v="3"/>
    <x v="1"/>
    <x v="2"/>
  </r>
  <r>
    <x v="2207"/>
    <n v="31.35"/>
    <n v="4.28"/>
    <x v="2"/>
    <s v="No"/>
    <s v="yes"/>
    <x v="0"/>
    <x v="3"/>
    <x v="1"/>
    <x v="2"/>
  </r>
  <r>
    <x v="2208"/>
    <n v="31.13"/>
    <n v="6.01"/>
    <x v="1"/>
    <s v="No"/>
    <s v="yes"/>
    <x v="0"/>
    <x v="3"/>
    <x v="1"/>
    <x v="2"/>
  </r>
  <r>
    <x v="2209"/>
    <n v="17.48"/>
    <n v="4.59"/>
    <x v="2"/>
    <s v="No"/>
    <s v="No"/>
    <x v="1"/>
    <x v="3"/>
    <x v="1"/>
    <x v="3"/>
  </r>
  <r>
    <x v="2210"/>
    <n v="22.57"/>
    <n v="5.8"/>
    <x v="1"/>
    <s v="yes"/>
    <s v="No"/>
    <x v="0"/>
    <x v="3"/>
    <x v="1"/>
    <x v="2"/>
  </r>
  <r>
    <x v="2211"/>
    <n v="26.73"/>
    <n v="5.08"/>
    <x v="2"/>
    <s v="No"/>
    <s v="yes"/>
    <x v="0"/>
    <x v="3"/>
    <x v="1"/>
    <x v="2"/>
  </r>
  <r>
    <x v="2212"/>
    <n v="20.79"/>
    <n v="5.84"/>
    <x v="1"/>
    <s v="No"/>
    <s v="yes"/>
    <x v="0"/>
    <x v="3"/>
    <x v="1"/>
    <x v="2"/>
  </r>
  <r>
    <x v="2213"/>
    <n v="20.149999999999999"/>
    <n v="4.1500000000000004"/>
    <x v="2"/>
    <s v="No"/>
    <s v="No"/>
    <x v="0"/>
    <x v="3"/>
    <x v="1"/>
    <x v="2"/>
  </r>
  <r>
    <x v="2214"/>
    <n v="36.85"/>
    <n v="4.3600000000000003"/>
    <x v="2"/>
    <s v="yes"/>
    <s v="No"/>
    <x v="0"/>
    <x v="0"/>
    <x v="1"/>
    <x v="2"/>
  </r>
  <r>
    <x v="2215"/>
    <n v="35.53"/>
    <n v="4.55"/>
    <x v="2"/>
    <s v="yes"/>
    <s v="No"/>
    <x v="0"/>
    <x v="0"/>
    <x v="1"/>
    <x v="2"/>
  </r>
  <r>
    <x v="2216"/>
    <n v="31.1"/>
    <n v="4.37"/>
    <x v="2"/>
    <s v="yes"/>
    <s v="No"/>
    <x v="0"/>
    <x v="0"/>
    <x v="1"/>
    <x v="2"/>
  </r>
  <r>
    <x v="2217"/>
    <n v="23.21"/>
    <n v="5.24"/>
    <x v="2"/>
    <s v="yes"/>
    <s v="No"/>
    <x v="0"/>
    <x v="0"/>
    <x v="1"/>
    <x v="2"/>
  </r>
  <r>
    <x v="2218"/>
    <n v="18.36"/>
    <n v="5.96"/>
    <x v="1"/>
    <s v="No"/>
    <s v="No"/>
    <x v="0"/>
    <x v="3"/>
    <x v="1"/>
    <x v="3"/>
  </r>
  <r>
    <x v="2219"/>
    <n v="15.92"/>
    <n v="4.76"/>
    <x v="2"/>
    <s v="yes"/>
    <s v="No"/>
    <x v="0"/>
    <x v="3"/>
    <x v="1"/>
    <x v="3"/>
  </r>
  <r>
    <x v="2220"/>
    <n v="15.17"/>
    <n v="4.3"/>
    <x v="2"/>
    <s v="yes"/>
    <s v="No"/>
    <x v="1"/>
    <x v="3"/>
    <x v="1"/>
    <x v="3"/>
  </r>
  <r>
    <x v="2221"/>
    <n v="16.63"/>
    <n v="4.5"/>
    <x v="2"/>
    <s v="No"/>
    <s v="No"/>
    <x v="0"/>
    <x v="3"/>
    <x v="1"/>
    <x v="3"/>
  </r>
  <r>
    <x v="2222"/>
    <n v="19.39"/>
    <n v="5.59"/>
    <x v="1"/>
    <s v="No"/>
    <s v="No"/>
    <x v="1"/>
    <x v="3"/>
    <x v="1"/>
    <x v="2"/>
  </r>
  <r>
    <x v="2223"/>
    <n v="17.34"/>
    <n v="6.29"/>
    <x v="1"/>
    <s v="yes"/>
    <s v="No"/>
    <x v="1"/>
    <x v="3"/>
    <x v="1"/>
    <x v="3"/>
  </r>
  <r>
    <x v="2224"/>
    <n v="17.940000000000001"/>
    <n v="4.1900000000000004"/>
    <x v="2"/>
    <s v="No"/>
    <s v="yes"/>
    <x v="0"/>
    <x v="3"/>
    <x v="1"/>
    <x v="3"/>
  </r>
  <r>
    <x v="2225"/>
    <n v="16.670000000000002"/>
    <n v="4.7"/>
    <x v="2"/>
    <s v="yes"/>
    <s v="No"/>
    <x v="1"/>
    <x v="3"/>
    <x v="1"/>
    <x v="3"/>
  </r>
  <r>
    <x v="2226"/>
    <n v="20.58"/>
    <n v="5.64"/>
    <x v="1"/>
    <s v="yes"/>
    <s v="No"/>
    <x v="0"/>
    <x v="0"/>
    <x v="1"/>
    <x v="2"/>
  </r>
  <r>
    <x v="2227"/>
    <n v="16.5"/>
    <n v="4.1100000000000003"/>
    <x v="2"/>
    <s v="yes"/>
    <s v="No"/>
    <x v="0"/>
    <x v="0"/>
    <x v="1"/>
    <x v="3"/>
  </r>
  <r>
    <x v="2228"/>
    <n v="15.41"/>
    <n v="5.43"/>
    <x v="2"/>
    <s v="s"/>
    <s v="No"/>
    <x v="1"/>
    <x v="3"/>
    <x v="1"/>
    <x v="3"/>
  </r>
  <r>
    <x v="2229"/>
    <n v="24.59"/>
    <n v="4.38"/>
    <x v="2"/>
    <s v="No"/>
    <s v="No"/>
    <x v="0"/>
    <x v="3"/>
    <x v="1"/>
    <x v="2"/>
  </r>
  <r>
    <x v="2230"/>
    <n v="33.33"/>
    <n v="9.7899999999999991"/>
    <x v="0"/>
    <s v="No"/>
    <s v="No"/>
    <x v="0"/>
    <x v="0"/>
    <x v="1"/>
    <x v="2"/>
  </r>
  <r>
    <x v="2231"/>
    <n v="18.5"/>
    <n v="11.84"/>
    <x v="0"/>
    <s v="No"/>
    <s v="No"/>
    <x v="0"/>
    <x v="0"/>
    <x v="1"/>
    <x v="3"/>
  </r>
  <r>
    <x v="2232"/>
    <n v="18.579999999999998"/>
    <n v="6.22"/>
    <x v="1"/>
    <s v="No"/>
    <s v="No"/>
    <x v="0"/>
    <x v="0"/>
    <x v="1"/>
    <x v="2"/>
  </r>
  <r>
    <x v="2233"/>
    <n v="16.64"/>
    <n v="10.01"/>
    <x v="0"/>
    <s v="No"/>
    <s v="No"/>
    <x v="0"/>
    <x v="0"/>
    <x v="1"/>
    <x v="3"/>
  </r>
  <r>
    <x v="2234"/>
    <n v="19.329999999999998"/>
    <n v="4.32"/>
    <x v="2"/>
    <s v="No"/>
    <s v="No"/>
    <x v="0"/>
    <x v="3"/>
    <x v="1"/>
    <x v="2"/>
  </r>
  <r>
    <x v="2235"/>
    <n v="21.26"/>
    <n v="5.65"/>
    <x v="1"/>
    <s v="yes"/>
    <s v="No"/>
    <x v="1"/>
    <x v="3"/>
    <x v="1"/>
    <x v="2"/>
  </r>
  <r>
    <x v="2236"/>
    <n v="15.6"/>
    <n v="4.12"/>
    <x v="2"/>
    <s v="yes"/>
    <s v="No"/>
    <x v="0"/>
    <x v="3"/>
    <x v="1"/>
    <x v="3"/>
  </r>
  <r>
    <x v="2237"/>
    <n v="24.39"/>
    <n v="6.24"/>
    <x v="1"/>
    <s v="No"/>
    <s v="No"/>
    <x v="0"/>
    <x v="3"/>
    <x v="1"/>
    <x v="2"/>
  </r>
  <r>
    <x v="2238"/>
    <n v="24.75"/>
    <n v="4.83"/>
    <x v="2"/>
    <s v="No"/>
    <s v="No"/>
    <x v="0"/>
    <x v="0"/>
    <x v="1"/>
    <x v="2"/>
  </r>
  <r>
    <x v="2239"/>
    <n v="20.88"/>
    <n v="7.4"/>
    <x v="0"/>
    <s v="No"/>
    <s v="No"/>
    <x v="0"/>
    <x v="0"/>
    <x v="1"/>
    <x v="2"/>
  </r>
  <r>
    <x v="2240"/>
    <n v="20.43"/>
    <n v="4.54"/>
    <x v="2"/>
    <s v="No"/>
    <s v="No"/>
    <x v="0"/>
    <x v="0"/>
    <x v="1"/>
    <x v="2"/>
  </r>
  <r>
    <x v="2241"/>
    <n v="15.18"/>
    <n v="11.11"/>
    <x v="0"/>
    <s v="No"/>
    <s v="No"/>
    <x v="0"/>
    <x v="0"/>
    <x v="1"/>
    <x v="3"/>
  </r>
  <r>
    <x v="2242"/>
    <n v="15.12"/>
    <n v="4.03"/>
    <x v="2"/>
    <s v="yes"/>
    <s v="No"/>
    <x v="0"/>
    <x v="0"/>
    <x v="1"/>
    <x v="3"/>
  </r>
  <r>
    <x v="2243"/>
    <n v="23.88"/>
    <n v="4.51"/>
    <x v="2"/>
    <s v="No"/>
    <s v="No"/>
    <x v="0"/>
    <x v="3"/>
    <x v="1"/>
    <x v="2"/>
  </r>
  <r>
    <x v="2244"/>
    <n v="16.13"/>
    <n v="5.56"/>
    <x v="2"/>
    <s v="No"/>
    <s v="yes"/>
    <x v="0"/>
    <x v="3"/>
    <x v="1"/>
    <x v="3"/>
  </r>
  <r>
    <x v="2245"/>
    <n v="24.09"/>
    <n v="4.0999999999999996"/>
    <x v="2"/>
    <s v="No"/>
    <s v="yes"/>
    <x v="0"/>
    <x v="3"/>
    <x v="1"/>
    <x v="2"/>
  </r>
  <r>
    <x v="2246"/>
    <n v="19.43"/>
    <n v="5.85"/>
    <x v="1"/>
    <s v="No"/>
    <s v="yes"/>
    <x v="0"/>
    <x v="3"/>
    <x v="1"/>
    <x v="2"/>
  </r>
  <r>
    <x v="2247"/>
    <n v="15.22"/>
    <n v="4.92"/>
    <x v="2"/>
    <s v="yes"/>
    <s v="No"/>
    <x v="1"/>
    <x v="3"/>
    <x v="1"/>
    <x v="3"/>
  </r>
  <r>
    <x v="2248"/>
    <n v="20.72"/>
    <n v="9.4600000000000009"/>
    <x v="0"/>
    <s v="No"/>
    <s v="No"/>
    <x v="0"/>
    <x v="0"/>
    <x v="1"/>
    <x v="2"/>
  </r>
  <r>
    <x v="2249"/>
    <n v="35.4"/>
    <n v="5.94"/>
    <x v="1"/>
    <s v="No"/>
    <s v="No"/>
    <x v="1"/>
    <x v="3"/>
    <x v="1"/>
    <x v="2"/>
  </r>
  <r>
    <x v="2250"/>
    <n v="34.4"/>
    <n v="5.7"/>
    <x v="1"/>
    <s v="No"/>
    <s v="No"/>
    <x v="1"/>
    <x v="3"/>
    <x v="1"/>
    <x v="2"/>
  </r>
  <r>
    <x v="2251"/>
    <n v="34.1"/>
    <n v="4.13"/>
    <x v="2"/>
    <s v="No"/>
    <s v="No"/>
    <x v="1"/>
    <x v="3"/>
    <x v="1"/>
    <x v="2"/>
  </r>
  <r>
    <x v="2252"/>
    <n v="30.4"/>
    <n v="4.7699999999999996"/>
    <x v="2"/>
    <s v="No"/>
    <s v="No"/>
    <x v="1"/>
    <x v="3"/>
    <x v="1"/>
    <x v="2"/>
  </r>
  <r>
    <x v="2253"/>
    <n v="28.7"/>
    <n v="4.99"/>
    <x v="2"/>
    <s v="No"/>
    <s v="No"/>
    <x v="1"/>
    <x v="3"/>
    <x v="1"/>
    <x v="2"/>
  </r>
  <r>
    <x v="2254"/>
    <n v="17.440000000000001"/>
    <n v="4.42"/>
    <x v="2"/>
    <s v="yes"/>
    <s v="No"/>
    <x v="1"/>
    <x v="3"/>
    <x v="1"/>
    <x v="3"/>
  </r>
  <r>
    <x v="2255"/>
    <n v="27.6"/>
    <n v="4.01"/>
    <x v="2"/>
    <s v="No"/>
    <s v="No"/>
    <x v="1"/>
    <x v="3"/>
    <x v="1"/>
    <x v="2"/>
  </r>
  <r>
    <x v="2256"/>
    <n v="20.7"/>
    <n v="4.49"/>
    <x v="2"/>
    <s v="No"/>
    <s v="No"/>
    <x v="1"/>
    <x v="3"/>
    <x v="1"/>
    <x v="2"/>
  </r>
  <r>
    <x v="2257"/>
    <n v="20.3"/>
    <n v="6.37"/>
    <x v="1"/>
    <s v="No"/>
    <s v="No"/>
    <x v="1"/>
    <x v="3"/>
    <x v="1"/>
    <x v="2"/>
  </r>
  <r>
    <x v="2258"/>
    <n v="19.8"/>
    <n v="5.12"/>
    <x v="2"/>
    <s v="No"/>
    <s v="No"/>
    <x v="1"/>
    <x v="3"/>
    <x v="1"/>
    <x v="2"/>
  </r>
  <r>
    <x v="2259"/>
    <n v="21.87"/>
    <n v="8.59"/>
    <x v="0"/>
    <s v="No"/>
    <s v="No"/>
    <x v="0"/>
    <x v="0"/>
    <x v="1"/>
    <x v="2"/>
  </r>
  <r>
    <x v="2260"/>
    <n v="16.600000000000001"/>
    <n v="5.87"/>
    <x v="1"/>
    <s v="No"/>
    <s v="No"/>
    <x v="0"/>
    <x v="3"/>
    <x v="1"/>
    <x v="3"/>
  </r>
  <r>
    <x v="2261"/>
    <n v="21.98"/>
    <n v="7.03"/>
    <x v="0"/>
    <s v="No"/>
    <s v="No"/>
    <x v="0"/>
    <x v="0"/>
    <x v="1"/>
    <x v="2"/>
  </r>
  <r>
    <x v="2262"/>
    <n v="19.7"/>
    <n v="5.51"/>
    <x v="1"/>
    <s v="No"/>
    <s v="No"/>
    <x v="0"/>
    <x v="3"/>
    <x v="1"/>
    <x v="2"/>
  </r>
  <r>
    <x v="2263"/>
    <n v="19.21"/>
    <n v="4.76"/>
    <x v="2"/>
    <s v="No"/>
    <s v="yes"/>
    <x v="0"/>
    <x v="3"/>
    <x v="1"/>
    <x v="2"/>
  </r>
  <r>
    <x v="2264"/>
    <n v="19.3"/>
    <n v="4.7"/>
    <x v="2"/>
    <s v="No"/>
    <s v="yes"/>
    <x v="0"/>
    <x v="3"/>
    <x v="1"/>
    <x v="2"/>
  </r>
  <r>
    <x v="2265"/>
    <n v="16.22"/>
    <n v="6.21"/>
    <x v="1"/>
    <s v="yes"/>
    <s v="No"/>
    <x v="0"/>
    <x v="0"/>
    <x v="1"/>
    <x v="3"/>
  </r>
  <r>
    <x v="2266"/>
    <n v="17.12"/>
    <n v="4.5199999999999996"/>
    <x v="2"/>
    <s v="No"/>
    <s v="yes"/>
    <x v="0"/>
    <x v="3"/>
    <x v="1"/>
    <x v="3"/>
  </r>
  <r>
    <x v="2267"/>
    <n v="19.07"/>
    <n v="5.45"/>
    <x v="2"/>
    <s v="No"/>
    <s v="No"/>
    <x v="0"/>
    <x v="3"/>
    <x v="1"/>
    <x v="2"/>
  </r>
  <r>
    <x v="2268"/>
    <n v="15.56"/>
    <n v="4.42"/>
    <x v="2"/>
    <s v="No"/>
    <s v="No"/>
    <x v="0"/>
    <x v="0"/>
    <x v="1"/>
    <x v="3"/>
  </r>
  <r>
    <x v="2269"/>
    <n v="22.76"/>
    <n v="9.44"/>
    <x v="0"/>
    <s v="No"/>
    <s v="No"/>
    <x v="0"/>
    <x v="0"/>
    <x v="1"/>
    <x v="2"/>
  </r>
  <r>
    <x v="2270"/>
    <n v="22.79"/>
    <n v="6.15"/>
    <x v="1"/>
    <s v="yes"/>
    <s v="No"/>
    <x v="1"/>
    <x v="3"/>
    <x v="1"/>
    <x v="2"/>
  </r>
  <r>
    <x v="2271"/>
    <n v="17.41"/>
    <n v="5.13"/>
    <x v="2"/>
    <s v="yes"/>
    <s v="No"/>
    <x v="0"/>
    <x v="0"/>
    <x v="1"/>
    <x v="3"/>
  </r>
  <r>
    <x v="2272"/>
    <n v="19.32"/>
    <n v="4.96"/>
    <x v="1"/>
    <s v="yes"/>
    <s v="No"/>
    <x v="0"/>
    <x v="0"/>
    <x v="1"/>
    <x v="2"/>
  </r>
  <r>
    <x v="2273"/>
    <n v="18.25"/>
    <n v="10.95"/>
    <x v="0"/>
    <s v="No"/>
    <s v="No"/>
    <x v="0"/>
    <x v="0"/>
    <x v="1"/>
    <x v="3"/>
  </r>
  <r>
    <x v="2274"/>
    <n v="53.13"/>
    <n v="4.4400000000000004"/>
    <x v="2"/>
    <s v="No"/>
    <s v="yes"/>
    <x v="0"/>
    <x v="3"/>
    <x v="1"/>
    <x v="2"/>
  </r>
  <r>
    <x v="2275"/>
    <n v="20.46"/>
    <n v="4.0199999999999996"/>
    <x v="2"/>
    <s v="No"/>
    <s v="No"/>
    <x v="0"/>
    <x v="0"/>
    <x v="1"/>
    <x v="2"/>
  </r>
  <r>
    <x v="2276"/>
    <n v="43.01"/>
    <n v="5.44"/>
    <x v="2"/>
    <s v="No"/>
    <s v="yes"/>
    <x v="0"/>
    <x v="3"/>
    <x v="1"/>
    <x v="2"/>
  </r>
  <r>
    <x v="2277"/>
    <n v="15.01"/>
    <n v="4.1500000000000004"/>
    <x v="2"/>
    <s v="No"/>
    <s v="No"/>
    <x v="1"/>
    <x v="3"/>
    <x v="1"/>
    <x v="3"/>
  </r>
  <r>
    <x v="2278"/>
    <n v="41.14"/>
    <n v="6.02"/>
    <x v="1"/>
    <s v="No"/>
    <s v="yes"/>
    <x v="0"/>
    <x v="3"/>
    <x v="1"/>
    <x v="2"/>
  </r>
  <r>
    <x v="2279"/>
    <n v="16.55"/>
    <n v="7.73"/>
    <x v="0"/>
    <s v="No"/>
    <s v="No"/>
    <x v="0"/>
    <x v="0"/>
    <x v="1"/>
    <x v="3"/>
  </r>
  <r>
    <x v="2280"/>
    <n v="37.29"/>
    <n v="5.03"/>
    <x v="2"/>
    <s v="No"/>
    <s v="yes"/>
    <x v="0"/>
    <x v="3"/>
    <x v="1"/>
    <x v="2"/>
  </r>
  <r>
    <x v="2281"/>
    <n v="16.739999999999998"/>
    <n v="4.08"/>
    <x v="2"/>
    <s v="yes"/>
    <s v="No"/>
    <x v="0"/>
    <x v="0"/>
    <x v="1"/>
    <x v="3"/>
  </r>
  <r>
    <x v="2282"/>
    <n v="34.43"/>
    <n v="4.2699999999999996"/>
    <x v="2"/>
    <s v="No"/>
    <s v="yes"/>
    <x v="0"/>
    <x v="3"/>
    <x v="1"/>
    <x v="2"/>
  </r>
  <r>
    <x v="2283"/>
    <n v="34.1"/>
    <n v="4.07"/>
    <x v="2"/>
    <s v="No"/>
    <s v="yes"/>
    <x v="0"/>
    <x v="3"/>
    <x v="1"/>
    <x v="2"/>
  </r>
  <r>
    <x v="2284"/>
    <n v="19.3"/>
    <n v="10.36"/>
    <x v="0"/>
    <s v="No"/>
    <s v="No"/>
    <x v="0"/>
    <x v="0"/>
    <x v="1"/>
    <x v="2"/>
  </r>
  <r>
    <x v="2285"/>
    <n v="33.659999999999997"/>
    <n v="5.71"/>
    <x v="1"/>
    <s v="No"/>
    <s v="yes"/>
    <x v="0"/>
    <x v="3"/>
    <x v="1"/>
    <x v="2"/>
  </r>
  <r>
    <x v="2286"/>
    <n v="33.33"/>
    <n v="6.08"/>
    <x v="1"/>
    <s v="No"/>
    <s v="yes"/>
    <x v="0"/>
    <x v="3"/>
    <x v="1"/>
    <x v="2"/>
  </r>
  <r>
    <x v="2287"/>
    <n v="21.84"/>
    <n v="5.71"/>
    <x v="1"/>
    <s v="No"/>
    <s v="yes"/>
    <x v="0"/>
    <x v="3"/>
    <x v="1"/>
    <x v="2"/>
  </r>
  <r>
    <x v="2288"/>
    <n v="16.87"/>
    <n v="9.1300000000000008"/>
    <x v="0"/>
    <s v="No"/>
    <s v="No"/>
    <x v="0"/>
    <x v="0"/>
    <x v="1"/>
    <x v="3"/>
  </r>
  <r>
    <x v="2289"/>
    <n v="30.14"/>
    <n v="5.49"/>
    <x v="2"/>
    <s v="No"/>
    <s v="yes"/>
    <x v="0"/>
    <x v="3"/>
    <x v="1"/>
    <x v="2"/>
  </r>
  <r>
    <x v="2290"/>
    <n v="23.21"/>
    <n v="4.37"/>
    <x v="2"/>
    <s v="No"/>
    <s v="yes"/>
    <x v="0"/>
    <x v="3"/>
    <x v="1"/>
    <x v="2"/>
  </r>
  <r>
    <x v="2291"/>
    <n v="17.170000000000002"/>
    <n v="8.4600000000000009"/>
    <x v="0"/>
    <s v="No"/>
    <s v="No"/>
    <x v="0"/>
    <x v="0"/>
    <x v="1"/>
    <x v="3"/>
  </r>
  <r>
    <x v="2292"/>
    <n v="15.61"/>
    <n v="5.28"/>
    <x v="2"/>
    <s v="No"/>
    <s v="No"/>
    <x v="0"/>
    <x v="3"/>
    <x v="1"/>
    <x v="3"/>
  </r>
  <r>
    <x v="2293"/>
    <n v="17.98"/>
    <n v="5.33"/>
    <x v="2"/>
    <s v="yes"/>
    <s v="No"/>
    <x v="1"/>
    <x v="3"/>
    <x v="1"/>
    <x v="3"/>
  </r>
  <r>
    <x v="2294"/>
    <n v="21.64"/>
    <n v="5.5"/>
    <x v="2"/>
    <s v="No"/>
    <s v="yes"/>
    <x v="0"/>
    <x v="3"/>
    <x v="1"/>
    <x v="2"/>
  </r>
  <r>
    <x v="2295"/>
    <n v="16.399999999999999"/>
    <n v="5.4"/>
    <x v="2"/>
    <s v="No"/>
    <s v="No"/>
    <x v="1"/>
    <x v="3"/>
    <x v="1"/>
    <x v="3"/>
  </r>
  <r>
    <x v="2296"/>
    <n v="15.77"/>
    <n v="6.05"/>
    <x v="1"/>
    <s v="yes"/>
    <s v="No"/>
    <x v="0"/>
    <x v="3"/>
    <x v="1"/>
    <x v="3"/>
  </r>
  <r>
    <x v="2297"/>
    <n v="18.27"/>
    <n v="11.46"/>
    <x v="0"/>
    <s v="No"/>
    <s v="No"/>
    <x v="0"/>
    <x v="0"/>
    <x v="1"/>
    <x v="3"/>
  </r>
  <r>
    <x v="2298"/>
    <n v="16.489999999999998"/>
    <n v="8.48"/>
    <x v="0"/>
    <s v="No"/>
    <s v="No"/>
    <x v="0"/>
    <x v="0"/>
    <x v="1"/>
    <x v="3"/>
  </r>
  <r>
    <x v="2299"/>
    <n v="16.14"/>
    <n v="4.8600000000000003"/>
    <x v="2"/>
    <s v="No"/>
    <s v="No"/>
    <x v="0"/>
    <x v="0"/>
    <x v="1"/>
    <x v="3"/>
  </r>
  <r>
    <x v="2300"/>
    <n v="20.85"/>
    <n v="4.45"/>
    <x v="2"/>
    <s v="yes"/>
    <s v="No"/>
    <x v="0"/>
    <x v="3"/>
    <x v="1"/>
    <x v="2"/>
  </r>
  <r>
    <x v="2301"/>
    <n v="15.88"/>
    <n v="4.3600000000000003"/>
    <x v="2"/>
    <s v="No"/>
    <s v="No"/>
    <x v="0"/>
    <x v="0"/>
    <x v="1"/>
    <x v="3"/>
  </r>
  <r>
    <x v="2302"/>
    <n v="20.66"/>
    <n v="5.8"/>
    <x v="1"/>
    <s v="No"/>
    <s v="yes"/>
    <x v="0"/>
    <x v="3"/>
    <x v="1"/>
    <x v="2"/>
  </r>
  <r>
    <x v="2303"/>
    <n v="20.399999999999999"/>
    <n v="5.27"/>
    <x v="2"/>
    <s v="No"/>
    <s v="No"/>
    <x v="0"/>
    <x v="0"/>
    <x v="1"/>
    <x v="2"/>
  </r>
  <r>
    <x v="2304"/>
    <n v="25.19"/>
    <n v="5.64"/>
    <x v="1"/>
    <s v="yes"/>
    <s v="No"/>
    <x v="0"/>
    <x v="0"/>
    <x v="1"/>
    <x v="2"/>
  </r>
  <r>
    <x v="2305"/>
    <n v="20.54"/>
    <n v="4.2"/>
    <x v="2"/>
    <s v="yes"/>
    <s v="No"/>
    <x v="0"/>
    <x v="3"/>
    <x v="1"/>
    <x v="2"/>
  </r>
  <r>
    <x v="2306"/>
    <n v="20.13"/>
    <n v="5.42"/>
    <x v="1"/>
    <s v="No"/>
    <s v="No"/>
    <x v="0"/>
    <x v="0"/>
    <x v="1"/>
    <x v="2"/>
  </r>
  <r>
    <x v="2307"/>
    <n v="18.93"/>
    <n v="6.11"/>
    <x v="1"/>
    <s v="No"/>
    <s v="No"/>
    <x v="1"/>
    <x v="3"/>
    <x v="1"/>
    <x v="2"/>
  </r>
  <r>
    <x v="2308"/>
    <n v="24.14"/>
    <n v="5.29"/>
    <x v="2"/>
    <s v="No"/>
    <s v="yes"/>
    <x v="0"/>
    <x v="3"/>
    <x v="1"/>
    <x v="2"/>
  </r>
  <r>
    <x v="2309"/>
    <n v="25.03"/>
    <n v="5.91"/>
    <x v="1"/>
    <s v="No"/>
    <s v="yes"/>
    <x v="0"/>
    <x v="3"/>
    <x v="1"/>
    <x v="2"/>
  </r>
  <r>
    <x v="2310"/>
    <n v="20.47"/>
    <n v="5.81"/>
    <x v="1"/>
    <s v="yes"/>
    <s v="No"/>
    <x v="0"/>
    <x v="3"/>
    <x v="1"/>
    <x v="2"/>
  </r>
  <r>
    <x v="2311"/>
    <n v="18.82"/>
    <n v="5.51"/>
    <x v="1"/>
    <s v="yes"/>
    <s v="No"/>
    <x v="0"/>
    <x v="0"/>
    <x v="1"/>
    <x v="2"/>
  </r>
  <r>
    <x v="2312"/>
    <n v="17.079999999999998"/>
    <n v="5.73"/>
    <x v="1"/>
    <s v="No"/>
    <s v="No"/>
    <x v="1"/>
    <x v="3"/>
    <x v="1"/>
    <x v="3"/>
  </r>
  <r>
    <x v="2313"/>
    <n v="19.21"/>
    <n v="5.53"/>
    <x v="1"/>
    <s v="yes"/>
    <s v="No"/>
    <x v="0"/>
    <x v="0"/>
    <x v="1"/>
    <x v="2"/>
  </r>
  <r>
    <x v="2314"/>
    <n v="17.86"/>
    <n v="5.43"/>
    <x v="2"/>
    <s v="No"/>
    <s v="No"/>
    <x v="1"/>
    <x v="3"/>
    <x v="1"/>
    <x v="3"/>
  </r>
  <r>
    <x v="2315"/>
    <n v="21.38"/>
    <n v="8.01"/>
    <x v="0"/>
    <s v="No"/>
    <s v="No"/>
    <x v="0"/>
    <x v="0"/>
    <x v="1"/>
    <x v="2"/>
  </r>
  <r>
    <x v="2316"/>
    <n v="23.35"/>
    <n v="5.94"/>
    <x v="1"/>
    <s v="No"/>
    <s v="No"/>
    <x v="0"/>
    <x v="0"/>
    <x v="1"/>
    <x v="2"/>
  </r>
  <r>
    <x v="2317"/>
    <n v="22.24"/>
    <n v="5.04"/>
    <x v="1"/>
    <s v="No"/>
    <s v="No"/>
    <x v="0"/>
    <x v="0"/>
    <x v="1"/>
    <x v="2"/>
  </r>
  <r>
    <x v="2318"/>
    <n v="24.76"/>
    <n v="4.54"/>
    <x v="2"/>
    <s v="yes"/>
    <s v="No"/>
    <x v="0"/>
    <x v="0"/>
    <x v="1"/>
    <x v="2"/>
  </r>
  <r>
    <x v="2319"/>
    <n v="20.100000000000001"/>
    <n v="5.6"/>
    <x v="1"/>
    <s v="yes"/>
    <s v="No"/>
    <x v="1"/>
    <x v="3"/>
    <x v="1"/>
    <x v="2"/>
  </r>
  <r>
    <x v="2320"/>
    <n v="21.77"/>
    <n v="10.67"/>
    <x v="0"/>
    <s v="No"/>
    <s v="No"/>
    <x v="0"/>
    <x v="0"/>
    <x v="1"/>
    <x v="2"/>
  </r>
  <r>
    <x v="2321"/>
    <n v="17.82"/>
    <n v="5.26"/>
    <x v="2"/>
    <s v="yes"/>
    <s v="No"/>
    <x v="0"/>
    <x v="3"/>
    <x v="1"/>
    <x v="3"/>
  </r>
  <r>
    <x v="2322"/>
    <n v="17.07"/>
    <n v="5.22"/>
    <x v="2"/>
    <s v="No"/>
    <s v="No"/>
    <x v="1"/>
    <x v="3"/>
    <x v="1"/>
    <x v="3"/>
  </r>
  <r>
    <x v="2323"/>
    <n v="22.24"/>
    <n v="4.29"/>
    <x v="2"/>
    <s v="yes"/>
    <s v="No"/>
    <x v="0"/>
    <x v="0"/>
    <x v="1"/>
    <x v="2"/>
  </r>
  <r>
    <x v="2324"/>
    <n v="22.34"/>
    <n v="5.57"/>
    <x v="1"/>
    <s v="No"/>
    <s v="No"/>
    <x v="0"/>
    <x v="3"/>
    <x v="1"/>
    <x v="2"/>
  </r>
  <r>
    <x v="2325"/>
    <n v="17.7"/>
    <n v="6.28"/>
    <x v="1"/>
    <s v="No"/>
    <s v="No"/>
    <x v="0"/>
    <x v="3"/>
    <x v="1"/>
    <x v="3"/>
  </r>
  <r>
    <x v="2326"/>
    <n v="16.47"/>
    <n v="6.35"/>
    <x v="1"/>
    <s v="No"/>
    <s v="No"/>
    <x v="1"/>
    <x v="3"/>
    <x v="1"/>
    <x v="3"/>
  </r>
  <r>
    <x v="2327"/>
    <n v="17.600000000000001"/>
    <n v="4.3899999999999997"/>
    <x v="2"/>
    <s v="No"/>
    <s v="No"/>
    <x v="0"/>
    <x v="3"/>
    <x v="1"/>
    <x v="3"/>
  </r>
  <r>
    <x v="2328"/>
    <n v="17.579999999999998"/>
    <n v="4.51"/>
    <x v="2"/>
    <s v="No"/>
    <s v="No"/>
    <x v="0"/>
    <x v="3"/>
    <x v="1"/>
    <x v="3"/>
  </r>
  <r>
    <x v="2329"/>
    <n v="23.98"/>
    <n v="4.9000000000000004"/>
    <x v="2"/>
    <s v="No"/>
    <s v="No"/>
    <x v="0"/>
    <x v="0"/>
    <x v="1"/>
    <x v="2"/>
  </r>
  <r>
    <x v="2330"/>
    <n v="23.98"/>
    <n v="4.9000000000000004"/>
    <x v="2"/>
    <s v="No"/>
    <s v="No"/>
    <x v="0"/>
    <x v="0"/>
    <x v="1"/>
    <x v="2"/>
  </r>
  <r>
    <x v="2331"/>
    <n v="25.175000000000001"/>
    <n v="4.96"/>
    <x v="2"/>
    <s v="No"/>
    <s v="yes"/>
    <x v="0"/>
    <x v="3"/>
    <x v="1"/>
    <x v="2"/>
  </r>
  <r>
    <x v="2332"/>
    <n v="23.98"/>
    <n v="4.9000000000000004"/>
    <x v="2"/>
    <s v="No"/>
    <s v="No"/>
    <x v="0"/>
    <x v="0"/>
    <x v="1"/>
    <x v="2"/>
  </r>
  <r>
    <x v="2333"/>
    <n v="25.175000000000001"/>
    <n v="4.96"/>
    <x v="2"/>
    <s v="No"/>
    <s v="yes"/>
    <x v="0"/>
    <x v="3"/>
    <x v="1"/>
    <x v="2"/>
  </r>
  <r>
    <x v="2334"/>
    <n v="23.98"/>
    <n v="4.9000000000000004"/>
    <x v="2"/>
    <s v="No"/>
    <s v="No"/>
    <x v="0"/>
    <x v="0"/>
    <x v="1"/>
    <x v="2"/>
  </r>
  <r>
    <x v="2335"/>
    <n v="25.175000000000001"/>
    <n v="4.96"/>
    <x v="2"/>
    <s v="No"/>
    <s v="yes"/>
    <x v="0"/>
    <x v="3"/>
    <x v="1"/>
    <x v="2"/>
  </r>
  <r>
    <x v="2336"/>
    <n v="23.98"/>
    <n v="4.9000000000000004"/>
    <x v="2"/>
    <s v="No"/>
    <s v="No"/>
    <x v="0"/>
    <x v="0"/>
    <x v="1"/>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3">
  <r>
    <x v="0"/>
    <n v="47.41"/>
    <n v="7.47"/>
    <x v="0"/>
    <s v="No"/>
    <s v="No"/>
    <s v="No"/>
    <n v="0"/>
    <x v="0"/>
    <x v="0"/>
  </r>
  <r>
    <x v="1"/>
    <n v="30.36"/>
    <n v="5.77"/>
    <x v="1"/>
    <s v="No"/>
    <s v="No"/>
    <s v="No"/>
    <n v="0"/>
    <x v="0"/>
    <x v="1"/>
  </r>
  <r>
    <x v="2"/>
    <n v="34.484999999999999"/>
    <n v="11.87"/>
    <x v="0"/>
    <s v="yes"/>
    <s v="No"/>
    <s v="No"/>
    <n v="2"/>
    <x v="0"/>
    <x v="1"/>
  </r>
  <r>
    <x v="3"/>
    <n v="38.094999999999999"/>
    <n v="6.05"/>
    <x v="1"/>
    <s v="No"/>
    <s v="No"/>
    <s v="No"/>
    <n v="0"/>
    <x v="0"/>
    <x v="1"/>
  </r>
  <r>
    <x v="4"/>
    <n v="35.53"/>
    <n v="5.45"/>
    <x v="1"/>
    <s v="No"/>
    <s v="No"/>
    <s v="No"/>
    <n v="0"/>
    <x v="0"/>
    <x v="1"/>
  </r>
  <r>
    <x v="5"/>
    <n v="32.799999999999997"/>
    <n v="6.59"/>
    <x v="0"/>
    <s v="No"/>
    <s v="No"/>
    <s v="No"/>
    <n v="0"/>
    <x v="0"/>
    <x v="1"/>
  </r>
  <r>
    <x v="6"/>
    <n v="36.4"/>
    <n v="6.07"/>
    <x v="1"/>
    <s v="No"/>
    <s v="No"/>
    <s v="No"/>
    <n v="0"/>
    <x v="0"/>
    <x v="1"/>
  </r>
  <r>
    <x v="7"/>
    <n v="36.96"/>
    <n v="7.93"/>
    <x v="0"/>
    <s v="No"/>
    <s v="No"/>
    <s v="No"/>
    <n v="3"/>
    <x v="0"/>
    <x v="1"/>
  </r>
  <r>
    <x v="8"/>
    <n v="41.14"/>
    <n v="9.58"/>
    <x v="0"/>
    <s v="yes"/>
    <s v="No"/>
    <s v="Yes"/>
    <n v="1"/>
    <x v="0"/>
    <x v="1"/>
  </r>
  <r>
    <x v="9"/>
    <n v="38.06"/>
    <n v="10.79"/>
    <x v="0"/>
    <s v="No"/>
    <s v="No"/>
    <s v="No"/>
    <n v="0"/>
    <x v="0"/>
    <x v="1"/>
  </r>
  <r>
    <x v="10"/>
    <n v="37.700000000000003"/>
    <n v="5.96"/>
    <x v="1"/>
    <s v="yes"/>
    <s v="No"/>
    <s v="No"/>
    <n v="2"/>
    <x v="0"/>
    <x v="1"/>
  </r>
  <r>
    <x v="11"/>
    <n v="42.13"/>
    <n v="11.9"/>
    <x v="0"/>
    <s v="No"/>
    <s v="No"/>
    <s v="No"/>
    <n v="0"/>
    <x v="0"/>
    <x v="1"/>
  </r>
  <r>
    <x v="12"/>
    <n v="40.92"/>
    <n v="8.41"/>
    <x v="0"/>
    <s v="No"/>
    <s v="No"/>
    <s v="No"/>
    <n v="0"/>
    <x v="0"/>
    <x v="1"/>
  </r>
  <r>
    <x v="13"/>
    <n v="40.564999999999998"/>
    <n v="7.02"/>
    <x v="0"/>
    <s v="No"/>
    <s v="No"/>
    <s v="No"/>
    <n v="0"/>
    <x v="0"/>
    <x v="1"/>
  </r>
  <r>
    <x v="14"/>
    <n v="36.384999999999998"/>
    <n v="7.59"/>
    <x v="0"/>
    <s v="yes"/>
    <s v="No"/>
    <s v="No"/>
    <n v="2"/>
    <x v="0"/>
    <x v="1"/>
  </r>
  <r>
    <x v="15"/>
    <n v="39.9"/>
    <n v="11.32"/>
    <x v="0"/>
    <s v="No"/>
    <s v="No"/>
    <s v="No"/>
    <n v="0"/>
    <x v="0"/>
    <x v="1"/>
  </r>
  <r>
    <x v="16"/>
    <n v="33.799999999999997"/>
    <n v="7.67"/>
    <x v="0"/>
    <s v="No"/>
    <s v="No"/>
    <s v="No"/>
    <n v="3"/>
    <x v="0"/>
    <x v="1"/>
  </r>
  <r>
    <x v="17"/>
    <n v="36.765000000000001"/>
    <n v="7.29"/>
    <x v="0"/>
    <s v="yes"/>
    <s v="No"/>
    <s v="Yes"/>
    <n v="1"/>
    <x v="0"/>
    <x v="1"/>
  </r>
  <r>
    <x v="18"/>
    <n v="36.954999999999998"/>
    <n v="4.72"/>
    <x v="1"/>
    <s v="yes"/>
    <s v="No"/>
    <s v="No"/>
    <n v="1"/>
    <x v="0"/>
    <x v="1"/>
  </r>
  <r>
    <x v="19"/>
    <n v="42.9"/>
    <n v="11.41"/>
    <x v="0"/>
    <s v="No"/>
    <s v="No"/>
    <s v="No"/>
    <n v="0"/>
    <x v="0"/>
    <x v="1"/>
  </r>
  <r>
    <x v="20"/>
    <n v="36.299999999999997"/>
    <n v="11.5"/>
    <x v="0"/>
    <s v="yes"/>
    <s v="No"/>
    <s v="No"/>
    <n v="2"/>
    <x v="0"/>
    <x v="2"/>
  </r>
  <r>
    <x v="21"/>
    <n v="32.200000000000003"/>
    <n v="6.22"/>
    <x v="1"/>
    <s v="yes"/>
    <s v="No"/>
    <s v="No"/>
    <n v="2"/>
    <x v="0"/>
    <x v="2"/>
  </r>
  <r>
    <x v="22"/>
    <n v="31.3"/>
    <n v="11.38"/>
    <x v="0"/>
    <s v="No"/>
    <s v="No"/>
    <s v="No"/>
    <n v="3"/>
    <x v="0"/>
    <x v="2"/>
  </r>
  <r>
    <x v="23"/>
    <n v="41.8"/>
    <n v="7.89"/>
    <x v="0"/>
    <s v="yes"/>
    <s v="No"/>
    <s v="No"/>
    <n v="2"/>
    <x v="0"/>
    <x v="2"/>
  </r>
  <r>
    <x v="24"/>
    <n v="35.090000000000003"/>
    <n v="4.38"/>
    <x v="1"/>
    <s v="yes"/>
    <s v="No"/>
    <s v="No"/>
    <n v="2"/>
    <x v="0"/>
    <x v="2"/>
  </r>
  <r>
    <x v="25"/>
    <n v="33.880000000000003"/>
    <n v="7.01"/>
    <x v="0"/>
    <s v="No"/>
    <s v="No"/>
    <s v="No"/>
    <n v="3"/>
    <x v="0"/>
    <x v="2"/>
  </r>
  <r>
    <x v="26"/>
    <n v="30.875"/>
    <n v="11.88"/>
    <x v="0"/>
    <s v="No"/>
    <s v="No"/>
    <s v="No"/>
    <n v="0"/>
    <x v="0"/>
    <x v="2"/>
  </r>
  <r>
    <x v="27"/>
    <n v="36.86"/>
    <n v="5.19"/>
    <x v="1"/>
    <s v="yes"/>
    <s v="No"/>
    <s v="Yes"/>
    <n v="1"/>
    <x v="0"/>
    <x v="2"/>
  </r>
  <r>
    <x v="28"/>
    <n v="35.86"/>
    <n v="6.74"/>
    <x v="0"/>
    <s v="yes"/>
    <s v="No"/>
    <s v="No"/>
    <n v="2"/>
    <x v="0"/>
    <x v="2"/>
  </r>
  <r>
    <x v="29"/>
    <n v="37.049999999999997"/>
    <n v="8.44"/>
    <x v="0"/>
    <s v="No"/>
    <s v="No"/>
    <s v="No"/>
    <n v="0"/>
    <x v="0"/>
    <x v="2"/>
  </r>
  <r>
    <x v="30"/>
    <n v="43.89"/>
    <n v="8.7100000000000009"/>
    <x v="0"/>
    <s v="No"/>
    <s v="No"/>
    <s v="No"/>
    <n v="0"/>
    <x v="0"/>
    <x v="2"/>
  </r>
  <r>
    <x v="31"/>
    <n v="42.35"/>
    <n v="5.08"/>
    <x v="1"/>
    <s v="yes"/>
    <s v="No"/>
    <s v="No"/>
    <n v="0"/>
    <x v="0"/>
    <x v="2"/>
  </r>
  <r>
    <x v="32"/>
    <n v="31.35"/>
    <n v="6.86"/>
    <x v="0"/>
    <s v="No"/>
    <s v="No"/>
    <s v="No"/>
    <n v="0"/>
    <x v="0"/>
    <x v="2"/>
  </r>
  <r>
    <x v="33"/>
    <n v="47.6"/>
    <n v="5.95"/>
    <x v="1"/>
    <s v="yes"/>
    <s v="No"/>
    <s v="No"/>
    <n v="0"/>
    <x v="0"/>
    <x v="2"/>
  </r>
  <r>
    <x v="34"/>
    <n v="46.2"/>
    <n v="6.09"/>
    <x v="1"/>
    <s v="No"/>
    <s v="No"/>
    <s v="Yes"/>
    <n v="1"/>
    <x v="0"/>
    <x v="2"/>
  </r>
  <r>
    <x v="35"/>
    <n v="32.015000000000001"/>
    <n v="11.75"/>
    <x v="0"/>
    <s v="No"/>
    <s v="No"/>
    <s v="No"/>
    <n v="0"/>
    <x v="0"/>
    <x v="2"/>
  </r>
  <r>
    <x v="36"/>
    <n v="40.564999999999998"/>
    <n v="7.37"/>
    <x v="0"/>
    <s v="No"/>
    <s v="No"/>
    <s v="No"/>
    <n v="0"/>
    <x v="0"/>
    <x v="2"/>
  </r>
  <r>
    <x v="37"/>
    <n v="32.450000000000003"/>
    <n v="11.91"/>
    <x v="0"/>
    <s v="No"/>
    <s v="No"/>
    <s v="No"/>
    <n v="0"/>
    <x v="0"/>
    <x v="2"/>
  </r>
  <r>
    <x v="38"/>
    <n v="34.96"/>
    <n v="6.52"/>
    <x v="0"/>
    <s v="No"/>
    <s v="No"/>
    <s v="No"/>
    <n v="0"/>
    <x v="0"/>
    <x v="2"/>
  </r>
  <r>
    <x v="39"/>
    <n v="35.5"/>
    <n v="5.14"/>
    <x v="1"/>
    <s v="No"/>
    <s v="No"/>
    <s v="Yes"/>
    <n v="1"/>
    <x v="0"/>
    <x v="2"/>
  </r>
  <r>
    <x v="40"/>
    <n v="52.58"/>
    <n v="4.1900000000000004"/>
    <x v="1"/>
    <s v="No"/>
    <s v="yes"/>
    <s v="No"/>
    <n v="1"/>
    <x v="0"/>
    <x v="2"/>
  </r>
  <r>
    <x v="41"/>
    <n v="35.200000000000003"/>
    <n v="11.68"/>
    <x v="0"/>
    <s v="yes"/>
    <s v="No"/>
    <s v="No"/>
    <n v="0"/>
    <x v="0"/>
    <x v="2"/>
  </r>
  <r>
    <x v="42"/>
    <n v="38.06"/>
    <n v="6.98"/>
    <x v="0"/>
    <s v="No"/>
    <s v="No"/>
    <s v="No"/>
    <n v="0"/>
    <x v="0"/>
    <x v="2"/>
  </r>
  <r>
    <x v="43"/>
    <n v="34.21"/>
    <n v="8.34"/>
    <x v="0"/>
    <s v="No"/>
    <s v="No"/>
    <s v="No"/>
    <n v="0"/>
    <x v="0"/>
    <x v="2"/>
  </r>
  <r>
    <x v="44"/>
    <n v="38.94"/>
    <n v="8.49"/>
    <x v="0"/>
    <s v="yes"/>
    <s v="No"/>
    <s v="No"/>
    <n v="1"/>
    <x v="0"/>
    <x v="2"/>
  </r>
  <r>
    <x v="45"/>
    <n v="30.21"/>
    <n v="5.34"/>
    <x v="1"/>
    <s v="yes"/>
    <s v="No"/>
    <s v="No"/>
    <n v="1"/>
    <x v="0"/>
    <x v="2"/>
  </r>
  <r>
    <x v="46"/>
    <n v="33.630000000000003"/>
    <n v="4.43"/>
    <x v="1"/>
    <s v="yes"/>
    <s v="No"/>
    <s v="No"/>
    <n v="2"/>
    <x v="0"/>
    <x v="2"/>
  </r>
  <r>
    <x v="47"/>
    <n v="40.369999999999997"/>
    <n v="4.47"/>
    <x v="1"/>
    <s v="No"/>
    <s v="No"/>
    <s v="No"/>
    <n v="0"/>
    <x v="0"/>
    <x v="2"/>
  </r>
  <r>
    <x v="48"/>
    <n v="53.09"/>
    <n v="4.82"/>
    <x v="1"/>
    <s v="yes"/>
    <s v="No"/>
    <s v="No"/>
    <n v="2"/>
    <x v="0"/>
    <x v="2"/>
  </r>
  <r>
    <x v="49"/>
    <n v="31.79"/>
    <n v="5.51"/>
    <x v="1"/>
    <s v="yes"/>
    <s v="No"/>
    <s v="No"/>
    <n v="2"/>
    <x v="0"/>
    <x v="2"/>
  </r>
  <r>
    <x v="50"/>
    <n v="41.895000000000003"/>
    <n v="10.87"/>
    <x v="0"/>
    <s v="yes"/>
    <s v="No"/>
    <s v="No"/>
    <n v="1"/>
    <x v="0"/>
    <x v="2"/>
  </r>
  <r>
    <x v="51"/>
    <n v="31.16"/>
    <n v="9.34"/>
    <x v="0"/>
    <s v="No"/>
    <s v="No"/>
    <s v="No"/>
    <n v="0"/>
    <x v="0"/>
    <x v="2"/>
  </r>
  <r>
    <x v="52"/>
    <n v="34.104999999999997"/>
    <n v="5.03"/>
    <x v="1"/>
    <s v="yes"/>
    <s v="No"/>
    <s v="Yes"/>
    <n v="1"/>
    <x v="0"/>
    <x v="2"/>
  </r>
  <r>
    <x v="53"/>
    <n v="51.93"/>
    <n v="11.05"/>
    <x v="0"/>
    <s v="No"/>
    <s v="No"/>
    <s v="No"/>
    <n v="0"/>
    <x v="0"/>
    <x v="2"/>
  </r>
  <r>
    <x v="54"/>
    <n v="38.950000000000003"/>
    <n v="11.95"/>
    <x v="0"/>
    <s v="No"/>
    <s v="No"/>
    <s v="No"/>
    <n v="0"/>
    <x v="0"/>
    <x v="2"/>
  </r>
  <r>
    <x v="55"/>
    <n v="36.630000000000003"/>
    <n v="7.72"/>
    <x v="0"/>
    <s v="yes"/>
    <s v="No"/>
    <s v="No"/>
    <n v="1"/>
    <x v="0"/>
    <x v="2"/>
  </r>
  <r>
    <x v="56"/>
    <n v="34.200000000000003"/>
    <n v="5.75"/>
    <x v="1"/>
    <s v="No"/>
    <s v="No"/>
    <s v="No"/>
    <n v="2"/>
    <x v="0"/>
    <x v="2"/>
  </r>
  <r>
    <x v="57"/>
    <n v="50.63"/>
    <n v="11.89"/>
    <x v="0"/>
    <s v="No"/>
    <s v="No"/>
    <s v="No"/>
    <n v="0"/>
    <x v="0"/>
    <x v="2"/>
  </r>
  <r>
    <x v="58"/>
    <n v="36.479999999999997"/>
    <n v="6.2"/>
    <x v="1"/>
    <s v="No"/>
    <s v="No"/>
    <s v="No"/>
    <n v="0"/>
    <x v="0"/>
    <x v="2"/>
  </r>
  <r>
    <x v="59"/>
    <n v="54.82"/>
    <n v="10.61"/>
    <x v="0"/>
    <s v="No"/>
    <s v="No"/>
    <s v="No"/>
    <n v="0"/>
    <x v="0"/>
    <x v="2"/>
  </r>
  <r>
    <x v="60"/>
    <n v="38.06"/>
    <n v="6.04"/>
    <x v="1"/>
    <s v="No"/>
    <s v="No"/>
    <s v="Yes"/>
    <n v="1"/>
    <x v="0"/>
    <x v="2"/>
  </r>
  <r>
    <x v="61"/>
    <n v="51.48"/>
    <n v="9.33"/>
    <x v="0"/>
    <s v="yes"/>
    <s v="No"/>
    <s v="No"/>
    <n v="0"/>
    <x v="0"/>
    <x v="2"/>
  </r>
  <r>
    <x v="62"/>
    <n v="52.06"/>
    <n v="11.47"/>
    <x v="0"/>
    <s v="No"/>
    <s v="No"/>
    <s v="No"/>
    <n v="0"/>
    <x v="0"/>
    <x v="2"/>
  </r>
  <r>
    <x v="63"/>
    <n v="30.684999999999999"/>
    <n v="7.02"/>
    <x v="0"/>
    <s v="yes"/>
    <s v="No"/>
    <s v="No"/>
    <n v="0"/>
    <x v="0"/>
    <x v="2"/>
  </r>
  <r>
    <x v="64"/>
    <n v="36.08"/>
    <n v="8.8000000000000007"/>
    <x v="0"/>
    <s v="yes"/>
    <s v="No"/>
    <s v="No"/>
    <n v="1"/>
    <x v="0"/>
    <x v="2"/>
  </r>
  <r>
    <x v="65"/>
    <n v="54.99"/>
    <n v="8.68"/>
    <x v="0"/>
    <s v="No"/>
    <s v="No"/>
    <s v="No"/>
    <n v="2"/>
    <x v="0"/>
    <x v="2"/>
  </r>
  <r>
    <x v="66"/>
    <n v="35.97"/>
    <n v="6.12"/>
    <x v="1"/>
    <s v="No"/>
    <s v="No"/>
    <s v="Yes"/>
    <n v="1"/>
    <x v="0"/>
    <x v="2"/>
  </r>
  <r>
    <x v="67"/>
    <n v="45.54"/>
    <n v="5.4"/>
    <x v="1"/>
    <s v="yes"/>
    <s v="No"/>
    <s v="Yes"/>
    <n v="1"/>
    <x v="0"/>
    <x v="2"/>
  </r>
  <r>
    <x v="68"/>
    <n v="35.53"/>
    <n v="4.3600000000000003"/>
    <x v="1"/>
    <s v="yes"/>
    <s v="No"/>
    <s v="No"/>
    <n v="0"/>
    <x v="0"/>
    <x v="2"/>
  </r>
  <r>
    <x v="69"/>
    <n v="30.8"/>
    <n v="9.77"/>
    <x v="0"/>
    <s v="No"/>
    <s v="No"/>
    <s v="No"/>
    <n v="0"/>
    <x v="0"/>
    <x v="2"/>
  </r>
  <r>
    <x v="70"/>
    <n v="38.39"/>
    <n v="4.25"/>
    <x v="1"/>
    <s v="No"/>
    <s v="No"/>
    <s v="No"/>
    <n v="1"/>
    <x v="0"/>
    <x v="2"/>
  </r>
  <r>
    <x v="71"/>
    <n v="32.299999999999997"/>
    <n v="4.76"/>
    <x v="1"/>
    <s v="No"/>
    <s v="No"/>
    <s v="No"/>
    <n v="2"/>
    <x v="0"/>
    <x v="2"/>
  </r>
  <r>
    <x v="72"/>
    <n v="48.8"/>
    <n v="6.22"/>
    <x v="1"/>
    <s v="yes"/>
    <s v="No"/>
    <s v="No"/>
    <n v="2"/>
    <x v="0"/>
    <x v="2"/>
  </r>
  <r>
    <x v="73"/>
    <n v="45.5"/>
    <n v="7.96"/>
    <x v="0"/>
    <s v="No"/>
    <s v="No"/>
    <s v="No"/>
    <n v="0"/>
    <x v="0"/>
    <x v="2"/>
  </r>
  <r>
    <x v="74"/>
    <n v="53.61"/>
    <n v="10.92"/>
    <x v="0"/>
    <s v="yes"/>
    <s v="No"/>
    <s v="No"/>
    <n v="1"/>
    <x v="0"/>
    <x v="2"/>
  </r>
  <r>
    <x v="75"/>
    <n v="36.19"/>
    <n v="11.51"/>
    <x v="0"/>
    <s v="yes"/>
    <s v="No"/>
    <s v="No"/>
    <n v="1"/>
    <x v="0"/>
    <x v="2"/>
  </r>
  <r>
    <x v="76"/>
    <n v="34.6"/>
    <n v="5.99"/>
    <x v="1"/>
    <s v="yes"/>
    <s v="No"/>
    <s v="No"/>
    <n v="0"/>
    <x v="0"/>
    <x v="2"/>
  </r>
  <r>
    <x v="77"/>
    <n v="54.12"/>
    <n v="11.57"/>
    <x v="0"/>
    <s v="No"/>
    <s v="No"/>
    <s v="No"/>
    <n v="0"/>
    <x v="0"/>
    <x v="2"/>
  </r>
  <r>
    <x v="78"/>
    <n v="48.82"/>
    <n v="6.67"/>
    <x v="0"/>
    <s v="yes"/>
    <s v="No"/>
    <s v="No"/>
    <n v="0"/>
    <x v="0"/>
    <x v="2"/>
  </r>
  <r>
    <x v="79"/>
    <n v="51.01"/>
    <n v="9.1999999999999993"/>
    <x v="0"/>
    <s v="No"/>
    <s v="No"/>
    <s v="No"/>
    <n v="0"/>
    <x v="0"/>
    <x v="2"/>
  </r>
  <r>
    <x v="80"/>
    <n v="45.65"/>
    <n v="5.1100000000000003"/>
    <x v="1"/>
    <s v="yes"/>
    <s v="No"/>
    <s v="No"/>
    <n v="1"/>
    <x v="0"/>
    <x v="2"/>
  </r>
  <r>
    <x v="81"/>
    <n v="52.9"/>
    <n v="5.34"/>
    <x v="1"/>
    <s v="No"/>
    <s v="No"/>
    <s v="No"/>
    <n v="0"/>
    <x v="0"/>
    <x v="2"/>
  </r>
  <r>
    <x v="82"/>
    <n v="45.41"/>
    <n v="4.03"/>
    <x v="1"/>
    <s v="yes"/>
    <s v="No"/>
    <s v="No"/>
    <n v="1"/>
    <x v="0"/>
    <x v="2"/>
  </r>
  <r>
    <x v="83"/>
    <n v="49.41"/>
    <n v="4.2300000000000004"/>
    <x v="1"/>
    <s v="yes"/>
    <s v="No"/>
    <s v="Yes"/>
    <n v="1"/>
    <x v="0"/>
    <x v="2"/>
  </r>
  <r>
    <x v="84"/>
    <n v="31.824999999999999"/>
    <n v="4.0599999999999996"/>
    <x v="1"/>
    <s v="No"/>
    <s v="No"/>
    <s v="No"/>
    <n v="2"/>
    <x v="0"/>
    <x v="2"/>
  </r>
  <r>
    <x v="85"/>
    <n v="51.28"/>
    <n v="4.68"/>
    <x v="1"/>
    <s v="No"/>
    <s v="No"/>
    <s v="No"/>
    <n v="2"/>
    <x v="0"/>
    <x v="2"/>
  </r>
  <r>
    <x v="86"/>
    <n v="34.96"/>
    <n v="4.34"/>
    <x v="1"/>
    <s v="No"/>
    <s v="No"/>
    <s v="Yes"/>
    <n v="1"/>
    <x v="0"/>
    <x v="2"/>
  </r>
  <r>
    <x v="87"/>
    <n v="33.11"/>
    <n v="10.51"/>
    <x v="0"/>
    <s v="No"/>
    <s v="No"/>
    <s v="No"/>
    <n v="0"/>
    <x v="0"/>
    <x v="2"/>
  </r>
  <r>
    <x v="88"/>
    <n v="54.74"/>
    <n v="5.84"/>
    <x v="1"/>
    <s v="yes"/>
    <s v="No"/>
    <s v="Yes"/>
    <n v="1"/>
    <x v="0"/>
    <x v="2"/>
  </r>
  <r>
    <x v="89"/>
    <n v="32.56"/>
    <n v="5.41"/>
    <x v="1"/>
    <s v="No"/>
    <s v="No"/>
    <s v="Yes"/>
    <n v="1"/>
    <x v="0"/>
    <x v="2"/>
  </r>
  <r>
    <x v="90"/>
    <n v="39.049999999999997"/>
    <n v="6.06"/>
    <x v="1"/>
    <s v="No"/>
    <s v="No"/>
    <s v="No"/>
    <n v="1"/>
    <x v="0"/>
    <x v="2"/>
  </r>
  <r>
    <x v="91"/>
    <n v="42.75"/>
    <n v="4.22"/>
    <x v="1"/>
    <s v="No"/>
    <s v="No"/>
    <s v="No"/>
    <n v="0"/>
    <x v="0"/>
    <x v="2"/>
  </r>
  <r>
    <x v="92"/>
    <n v="50.58"/>
    <n v="5.12"/>
    <x v="1"/>
    <s v="No"/>
    <s v="No"/>
    <s v="No"/>
    <n v="2"/>
    <x v="0"/>
    <x v="2"/>
  </r>
  <r>
    <x v="93"/>
    <n v="30.495000000000001"/>
    <n v="4.57"/>
    <x v="1"/>
    <s v="yes"/>
    <s v="No"/>
    <s v="No"/>
    <n v="0"/>
    <x v="0"/>
    <x v="2"/>
  </r>
  <r>
    <x v="94"/>
    <n v="48.31"/>
    <n v="9.58"/>
    <x v="0"/>
    <s v="yes"/>
    <s v="No"/>
    <s v="No"/>
    <n v="2"/>
    <x v="0"/>
    <x v="2"/>
  </r>
  <r>
    <x v="95"/>
    <n v="48.99"/>
    <n v="9.7799999999999994"/>
    <x v="0"/>
    <s v="yes"/>
    <s v="No"/>
    <s v="No"/>
    <n v="1"/>
    <x v="0"/>
    <x v="2"/>
  </r>
  <r>
    <x v="96"/>
    <n v="38.39"/>
    <n v="4.1100000000000003"/>
    <x v="1"/>
    <s v="yes"/>
    <s v="No"/>
    <s v="No"/>
    <n v="0"/>
    <x v="0"/>
    <x v="2"/>
  </r>
  <r>
    <x v="97"/>
    <n v="44.34"/>
    <n v="4.0199999999999996"/>
    <x v="1"/>
    <s v="yes"/>
    <s v="No"/>
    <s v="No"/>
    <n v="2"/>
    <x v="0"/>
    <x v="2"/>
  </r>
  <r>
    <x v="98"/>
    <n v="41.51"/>
    <n v="6.92"/>
    <x v="0"/>
    <s v="No"/>
    <s v="No"/>
    <s v="No"/>
    <n v="0"/>
    <x v="0"/>
    <x v="2"/>
  </r>
  <r>
    <x v="99"/>
    <n v="48.2"/>
    <n v="4.84"/>
    <x v="1"/>
    <s v="No"/>
    <s v="No"/>
    <s v="No"/>
    <n v="0"/>
    <x v="0"/>
    <x v="2"/>
  </r>
  <r>
    <x v="100"/>
    <n v="35.75"/>
    <n v="8"/>
    <x v="0"/>
    <s v="yes"/>
    <s v="No"/>
    <s v="No"/>
    <n v="0"/>
    <x v="0"/>
    <x v="2"/>
  </r>
  <r>
    <x v="101"/>
    <n v="53.81"/>
    <n v="8.77"/>
    <x v="0"/>
    <s v="yes"/>
    <s v="No"/>
    <s v="No"/>
    <n v="0"/>
    <x v="0"/>
    <x v="2"/>
  </r>
  <r>
    <x v="102"/>
    <n v="49.48"/>
    <n v="4.96"/>
    <x v="1"/>
    <s v="No"/>
    <s v="No"/>
    <s v="Yes"/>
    <n v="1"/>
    <x v="0"/>
    <x v="2"/>
  </r>
  <r>
    <x v="103"/>
    <n v="34.1"/>
    <n v="4.43"/>
    <x v="1"/>
    <s v="yes"/>
    <s v="No"/>
    <s v="No"/>
    <n v="0"/>
    <x v="0"/>
    <x v="2"/>
  </r>
  <r>
    <x v="104"/>
    <n v="35.299999999999997"/>
    <n v="5.82"/>
    <x v="1"/>
    <s v="yes"/>
    <s v="No"/>
    <s v="Yes"/>
    <n v="1"/>
    <x v="0"/>
    <x v="2"/>
  </r>
  <r>
    <x v="105"/>
    <n v="43.83"/>
    <n v="6.03"/>
    <x v="1"/>
    <s v="yes"/>
    <s v="No"/>
    <s v="No"/>
    <n v="2"/>
    <x v="0"/>
    <x v="2"/>
  </r>
  <r>
    <x v="106"/>
    <n v="50.07"/>
    <n v="9.27"/>
    <x v="0"/>
    <s v="No"/>
    <s v="No"/>
    <s v="No"/>
    <n v="0"/>
    <x v="0"/>
    <x v="2"/>
  </r>
  <r>
    <x v="107"/>
    <n v="32.774999999999999"/>
    <n v="5.53"/>
    <x v="1"/>
    <s v="No"/>
    <s v="No"/>
    <s v="No"/>
    <n v="0"/>
    <x v="0"/>
    <x v="2"/>
  </r>
  <r>
    <x v="108"/>
    <n v="34.104999999999997"/>
    <n v="5.07"/>
    <x v="1"/>
    <s v="No"/>
    <s v="No"/>
    <s v="No"/>
    <n v="1"/>
    <x v="0"/>
    <x v="2"/>
  </r>
  <r>
    <x v="109"/>
    <n v="48.93"/>
    <n v="11.17"/>
    <x v="0"/>
    <s v="yes"/>
    <s v="No"/>
    <s v="No"/>
    <n v="1"/>
    <x v="0"/>
    <x v="2"/>
  </r>
  <r>
    <x v="110"/>
    <n v="37.07"/>
    <n v="6.14"/>
    <x v="1"/>
    <s v="yes"/>
    <s v="No"/>
    <s v="No"/>
    <n v="0"/>
    <x v="0"/>
    <x v="2"/>
  </r>
  <r>
    <x v="111"/>
    <n v="51.51"/>
    <n v="6.26"/>
    <x v="1"/>
    <s v="yes"/>
    <s v="No"/>
    <s v="Yes"/>
    <n v="1"/>
    <x v="0"/>
    <x v="2"/>
  </r>
  <r>
    <x v="112"/>
    <n v="34.799999999999997"/>
    <n v="4.72"/>
    <x v="1"/>
    <s v="yes"/>
    <s v="No"/>
    <s v="No"/>
    <n v="0"/>
    <x v="0"/>
    <x v="2"/>
  </r>
  <r>
    <x v="113"/>
    <n v="36.67"/>
    <n v="5.18"/>
    <x v="1"/>
    <s v="No"/>
    <s v="No"/>
    <s v="No"/>
    <n v="1"/>
    <x v="0"/>
    <x v="2"/>
  </r>
  <r>
    <x v="114"/>
    <n v="30.9"/>
    <n v="9.4"/>
    <x v="0"/>
    <s v="No"/>
    <s v="No"/>
    <s v="No"/>
    <n v="2"/>
    <x v="0"/>
    <x v="2"/>
  </r>
  <r>
    <x v="115"/>
    <n v="30.495000000000001"/>
    <n v="6.29"/>
    <x v="1"/>
    <s v="No"/>
    <s v="No"/>
    <s v="No"/>
    <n v="0"/>
    <x v="0"/>
    <x v="2"/>
  </r>
  <r>
    <x v="116"/>
    <n v="44.88"/>
    <n v="6.04"/>
    <x v="1"/>
    <s v="No"/>
    <s v="No"/>
    <s v="Yes"/>
    <n v="1"/>
    <x v="0"/>
    <x v="2"/>
  </r>
  <r>
    <x v="117"/>
    <n v="44.32"/>
    <n v="10.55"/>
    <x v="0"/>
    <s v="No"/>
    <s v="No"/>
    <s v="No"/>
    <n v="0"/>
    <x v="0"/>
    <x v="2"/>
  </r>
  <r>
    <x v="118"/>
    <n v="46.39"/>
    <n v="5.09"/>
    <x v="1"/>
    <s v="No"/>
    <s v="No"/>
    <s v="No"/>
    <n v="0"/>
    <x v="0"/>
    <x v="2"/>
  </r>
  <r>
    <x v="119"/>
    <n v="42.13"/>
    <n v="5.2"/>
    <x v="1"/>
    <s v="yes"/>
    <s v="No"/>
    <s v="No"/>
    <n v="1"/>
    <x v="0"/>
    <x v="2"/>
  </r>
  <r>
    <x v="44"/>
    <n v="30.78"/>
    <n v="8.4499999999999993"/>
    <x v="0"/>
    <s v="yes"/>
    <s v="No"/>
    <s v="No"/>
    <n v="0"/>
    <x v="0"/>
    <x v="2"/>
  </r>
  <r>
    <x v="120"/>
    <n v="31.35"/>
    <n v="9.5399999999999991"/>
    <x v="0"/>
    <s v="No"/>
    <s v="No"/>
    <s v="No"/>
    <n v="0"/>
    <x v="0"/>
    <x v="2"/>
  </r>
  <r>
    <x v="121"/>
    <n v="41.46"/>
    <n v="4.99"/>
    <x v="1"/>
    <s v="yes"/>
    <s v="No"/>
    <s v="No"/>
    <n v="2"/>
    <x v="0"/>
    <x v="2"/>
  </r>
  <r>
    <x v="122"/>
    <n v="48"/>
    <n v="10.54"/>
    <x v="0"/>
    <s v="No"/>
    <s v="No"/>
    <s v="No"/>
    <n v="0"/>
    <x v="0"/>
    <x v="2"/>
  </r>
  <r>
    <x v="123"/>
    <n v="49.13"/>
    <n v="4.54"/>
    <x v="1"/>
    <s v="No"/>
    <s v="No"/>
    <s v="No"/>
    <n v="0"/>
    <x v="0"/>
    <x v="2"/>
  </r>
  <r>
    <x v="124"/>
    <n v="37.799999999999997"/>
    <n v="6.29"/>
    <x v="1"/>
    <s v="No"/>
    <s v="No"/>
    <s v="No"/>
    <n v="1"/>
    <x v="0"/>
    <x v="2"/>
  </r>
  <r>
    <x v="125"/>
    <n v="38.299999999999997"/>
    <n v="9.51"/>
    <x v="0"/>
    <s v="No"/>
    <s v="No"/>
    <s v="No"/>
    <n v="0"/>
    <x v="0"/>
    <x v="2"/>
  </r>
  <r>
    <x v="126"/>
    <n v="32.774999999999999"/>
    <n v="4.72"/>
    <x v="1"/>
    <s v="No"/>
    <s v="No"/>
    <s v="No"/>
    <n v="0"/>
    <x v="0"/>
    <x v="2"/>
  </r>
  <r>
    <x v="127"/>
    <n v="34.200000000000003"/>
    <n v="5.91"/>
    <x v="1"/>
    <s v="yes"/>
    <s v="No"/>
    <s v="No"/>
    <n v="0"/>
    <x v="0"/>
    <x v="2"/>
  </r>
  <r>
    <x v="128"/>
    <n v="30.2"/>
    <n v="9.58"/>
    <x v="0"/>
    <s v="No"/>
    <s v="No"/>
    <s v="No"/>
    <n v="0"/>
    <x v="0"/>
    <x v="2"/>
  </r>
  <r>
    <x v="129"/>
    <n v="48.32"/>
    <n v="5.77"/>
    <x v="1"/>
    <s v="No"/>
    <s v="No"/>
    <s v="No"/>
    <n v="0"/>
    <x v="0"/>
    <x v="2"/>
  </r>
  <r>
    <x v="130"/>
    <n v="44.86"/>
    <n v="4.38"/>
    <x v="1"/>
    <s v="yes"/>
    <s v="No"/>
    <s v="No"/>
    <n v="0"/>
    <x v="0"/>
    <x v="2"/>
  </r>
  <r>
    <x v="131"/>
    <n v="52.15"/>
    <n v="5.65"/>
    <x v="1"/>
    <s v="No"/>
    <s v="No"/>
    <s v="No"/>
    <n v="1"/>
    <x v="0"/>
    <x v="2"/>
  </r>
  <r>
    <x v="132"/>
    <n v="41.12"/>
    <n v="7.54"/>
    <x v="0"/>
    <s v="yes"/>
    <s v="No"/>
    <s v="No"/>
    <n v="0"/>
    <x v="0"/>
    <x v="2"/>
  </r>
  <r>
    <x v="133"/>
    <n v="38.39"/>
    <n v="5.1100000000000003"/>
    <x v="1"/>
    <s v="yes"/>
    <s v="No"/>
    <s v="No"/>
    <n v="1"/>
    <x v="0"/>
    <x v="2"/>
  </r>
  <r>
    <x v="134"/>
    <n v="46.85"/>
    <n v="4.25"/>
    <x v="1"/>
    <s v="No"/>
    <s v="No"/>
    <s v="Yes"/>
    <n v="1"/>
    <x v="0"/>
    <x v="2"/>
  </r>
  <r>
    <x v="135"/>
    <n v="42.24"/>
    <n v="5.55"/>
    <x v="1"/>
    <s v="No"/>
    <s v="yes"/>
    <s v="No"/>
    <n v="1"/>
    <x v="0"/>
    <x v="2"/>
  </r>
  <r>
    <x v="136"/>
    <n v="34.39"/>
    <n v="5.78"/>
    <x v="1"/>
    <s v="No"/>
    <s v="No"/>
    <s v="No"/>
    <n v="0"/>
    <x v="0"/>
    <x v="2"/>
  </r>
  <r>
    <x v="137"/>
    <n v="42.89"/>
    <n v="5.28"/>
    <x v="1"/>
    <s v="yes"/>
    <s v="No"/>
    <s v="No"/>
    <n v="0"/>
    <x v="0"/>
    <x v="2"/>
  </r>
  <r>
    <x v="138"/>
    <n v="36.299999999999997"/>
    <n v="5.39"/>
    <x v="1"/>
    <s v="No"/>
    <s v="No"/>
    <s v="No"/>
    <n v="0"/>
    <x v="0"/>
    <x v="2"/>
  </r>
  <r>
    <x v="139"/>
    <n v="35.200000000000003"/>
    <n v="8.01"/>
    <x v="0"/>
    <s v="yes"/>
    <s v="No"/>
    <s v="No"/>
    <n v="1"/>
    <x v="0"/>
    <x v="2"/>
  </r>
  <r>
    <x v="140"/>
    <n v="53.62"/>
    <n v="5.21"/>
    <x v="1"/>
    <s v="No"/>
    <s v="No"/>
    <s v="No"/>
    <n v="0"/>
    <x v="0"/>
    <x v="2"/>
  </r>
  <r>
    <x v="141"/>
    <n v="36.67"/>
    <n v="6.27"/>
    <x v="1"/>
    <s v="No"/>
    <s v="No"/>
    <s v="No"/>
    <n v="0"/>
    <x v="0"/>
    <x v="2"/>
  </r>
  <r>
    <x v="142"/>
    <n v="33.4"/>
    <n v="10.73"/>
    <x v="0"/>
    <s v="yes"/>
    <s v="No"/>
    <s v="No"/>
    <n v="1"/>
    <x v="0"/>
    <x v="2"/>
  </r>
  <r>
    <x v="143"/>
    <n v="42.71"/>
    <n v="10.52"/>
    <x v="0"/>
    <s v="No"/>
    <s v="No"/>
    <s v="No"/>
    <n v="0"/>
    <x v="0"/>
    <x v="2"/>
  </r>
  <r>
    <x v="144"/>
    <n v="41.52"/>
    <n v="11.82"/>
    <x v="0"/>
    <s v="yes"/>
    <s v="No"/>
    <s v="No"/>
    <n v="2"/>
    <x v="0"/>
    <x v="2"/>
  </r>
  <r>
    <x v="145"/>
    <n v="39.4"/>
    <n v="6.76"/>
    <x v="0"/>
    <s v="No"/>
    <s v="No"/>
    <s v="No"/>
    <n v="0"/>
    <x v="0"/>
    <x v="2"/>
  </r>
  <r>
    <x v="146"/>
    <n v="46.45"/>
    <n v="5.62"/>
    <x v="1"/>
    <s v="No"/>
    <s v="No"/>
    <s v="No"/>
    <n v="0"/>
    <x v="0"/>
    <x v="2"/>
  </r>
  <r>
    <x v="147"/>
    <n v="35.75"/>
    <n v="4.1900000000000004"/>
    <x v="1"/>
    <s v="No"/>
    <s v="No"/>
    <s v="No"/>
    <n v="0"/>
    <x v="0"/>
    <x v="2"/>
  </r>
  <r>
    <x v="148"/>
    <n v="26.07"/>
    <n v="5.32"/>
    <x v="1"/>
    <s v="No"/>
    <s v="No"/>
    <s v="No"/>
    <n v="0"/>
    <x v="0"/>
    <x v="2"/>
  </r>
  <r>
    <x v="149"/>
    <n v="36.54"/>
    <n v="4.46"/>
    <x v="1"/>
    <s v="yes"/>
    <s v="No"/>
    <s v="No"/>
    <n v="1"/>
    <x v="0"/>
    <x v="2"/>
  </r>
  <r>
    <x v="150"/>
    <n v="51.64"/>
    <n v="5.65"/>
    <x v="1"/>
    <s v="No"/>
    <s v="No"/>
    <s v="No"/>
    <n v="0"/>
    <x v="0"/>
    <x v="2"/>
  </r>
  <r>
    <x v="151"/>
    <n v="42.83"/>
    <n v="6.04"/>
    <x v="1"/>
    <s v="No"/>
    <s v="No"/>
    <s v="No"/>
    <n v="2"/>
    <x v="0"/>
    <x v="2"/>
  </r>
  <r>
    <x v="152"/>
    <n v="40.15"/>
    <n v="5.76"/>
    <x v="1"/>
    <s v="No"/>
    <s v="No"/>
    <s v="No"/>
    <n v="1"/>
    <x v="0"/>
    <x v="2"/>
  </r>
  <r>
    <x v="153"/>
    <n v="27.8"/>
    <n v="4.3600000000000003"/>
    <x v="1"/>
    <s v="No"/>
    <s v="No"/>
    <s v="Yes"/>
    <n v="1"/>
    <x v="0"/>
    <x v="2"/>
  </r>
  <r>
    <x v="154"/>
    <n v="45.81"/>
    <n v="4.76"/>
    <x v="1"/>
    <s v="yes"/>
    <s v="No"/>
    <s v="Yes"/>
    <n v="1"/>
    <x v="0"/>
    <x v="2"/>
  </r>
  <r>
    <x v="155"/>
    <n v="34.43"/>
    <n v="10.82"/>
    <x v="0"/>
    <s v="yes"/>
    <s v="No"/>
    <s v="No"/>
    <n v="1"/>
    <x v="0"/>
    <x v="2"/>
  </r>
  <r>
    <x v="156"/>
    <n v="41.33"/>
    <n v="4.01"/>
    <x v="1"/>
    <s v="yes"/>
    <s v="No"/>
    <s v="No"/>
    <n v="0"/>
    <x v="0"/>
    <x v="2"/>
  </r>
  <r>
    <x v="157"/>
    <n v="31.92"/>
    <n v="5.12"/>
    <x v="1"/>
    <s v="yes"/>
    <s v="No"/>
    <s v="No"/>
    <n v="1"/>
    <x v="0"/>
    <x v="2"/>
  </r>
  <r>
    <x v="158"/>
    <n v="39.799999999999997"/>
    <n v="10.54"/>
    <x v="0"/>
    <s v="yes"/>
    <s v="No"/>
    <s v="No"/>
    <n v="2"/>
    <x v="0"/>
    <x v="2"/>
  </r>
  <r>
    <x v="159"/>
    <n v="42.82"/>
    <n v="4.21"/>
    <x v="1"/>
    <s v="No"/>
    <s v="No"/>
    <s v="No"/>
    <n v="0"/>
    <x v="0"/>
    <x v="2"/>
  </r>
  <r>
    <x v="160"/>
    <n v="33.630000000000003"/>
    <n v="5.42"/>
    <x v="1"/>
    <s v="No"/>
    <s v="No"/>
    <s v="No"/>
    <n v="0"/>
    <x v="0"/>
    <x v="2"/>
  </r>
  <r>
    <x v="161"/>
    <n v="37.07"/>
    <n v="4.28"/>
    <x v="1"/>
    <s v="No"/>
    <s v="yes"/>
    <s v="No"/>
    <n v="1"/>
    <x v="0"/>
    <x v="2"/>
  </r>
  <r>
    <x v="162"/>
    <n v="35.625"/>
    <n v="8.9"/>
    <x v="0"/>
    <s v="No"/>
    <s v="No"/>
    <s v="No"/>
    <n v="0"/>
    <x v="0"/>
    <x v="2"/>
  </r>
  <r>
    <x v="163"/>
    <n v="42.69"/>
    <n v="4.8899999999999997"/>
    <x v="1"/>
    <s v="No"/>
    <s v="No"/>
    <s v="Yes"/>
    <n v="1"/>
    <x v="0"/>
    <x v="2"/>
  </r>
  <r>
    <x v="164"/>
    <n v="37.869999999999997"/>
    <n v="4.29"/>
    <x v="1"/>
    <s v="yes"/>
    <s v="No"/>
    <s v="Yes"/>
    <n v="1"/>
    <x v="0"/>
    <x v="2"/>
  </r>
  <r>
    <x v="165"/>
    <n v="40.61"/>
    <n v="8"/>
    <x v="0"/>
    <s v="yes"/>
    <s v="No"/>
    <s v="No"/>
    <n v="1"/>
    <x v="0"/>
    <x v="2"/>
  </r>
  <r>
    <x v="166"/>
    <n v="30.78"/>
    <n v="4.67"/>
    <x v="1"/>
    <s v="yes"/>
    <s v="No"/>
    <s v="No"/>
    <n v="0"/>
    <x v="0"/>
    <x v="2"/>
  </r>
  <r>
    <x v="167"/>
    <n v="49.49"/>
    <n v="4.5"/>
    <x v="1"/>
    <s v="No"/>
    <s v="No"/>
    <s v="No"/>
    <n v="0"/>
    <x v="0"/>
    <x v="2"/>
  </r>
  <r>
    <x v="168"/>
    <n v="37.619999999999997"/>
    <n v="6.32"/>
    <x v="1"/>
    <s v="yes"/>
    <s v="yes"/>
    <s v="No"/>
    <n v="2"/>
    <x v="0"/>
    <x v="2"/>
  </r>
  <r>
    <x v="169"/>
    <n v="36.08"/>
    <n v="6.1"/>
    <x v="1"/>
    <s v="yes"/>
    <s v="No"/>
    <s v="No"/>
    <n v="1"/>
    <x v="0"/>
    <x v="2"/>
  </r>
  <r>
    <x v="170"/>
    <n v="33.5"/>
    <n v="5.4"/>
    <x v="1"/>
    <s v="No"/>
    <s v="No"/>
    <s v="No"/>
    <n v="0"/>
    <x v="0"/>
    <x v="2"/>
  </r>
  <r>
    <x v="171"/>
    <n v="47.46"/>
    <n v="6.24"/>
    <x v="1"/>
    <s v="yes"/>
    <s v="No"/>
    <s v="No"/>
    <n v="1"/>
    <x v="0"/>
    <x v="2"/>
  </r>
  <r>
    <x v="172"/>
    <n v="49.24"/>
    <n v="4.45"/>
    <x v="1"/>
    <s v="No"/>
    <s v="No"/>
    <s v="No"/>
    <n v="0"/>
    <x v="0"/>
    <x v="2"/>
  </r>
  <r>
    <x v="173"/>
    <n v="54.4"/>
    <n v="5.22"/>
    <x v="1"/>
    <s v="No"/>
    <s v="No"/>
    <s v="No"/>
    <n v="1"/>
    <x v="0"/>
    <x v="2"/>
  </r>
  <r>
    <x v="174"/>
    <n v="35.53"/>
    <n v="4.6100000000000003"/>
    <x v="1"/>
    <s v="No"/>
    <s v="No"/>
    <s v="No"/>
    <n v="1"/>
    <x v="0"/>
    <x v="2"/>
  </r>
  <r>
    <x v="175"/>
    <n v="39.729999999999997"/>
    <n v="6.24"/>
    <x v="1"/>
    <s v="No"/>
    <s v="No"/>
    <s v="No"/>
    <n v="0"/>
    <x v="0"/>
    <x v="2"/>
  </r>
  <r>
    <x v="176"/>
    <n v="35.68"/>
    <n v="10.039999999999999"/>
    <x v="0"/>
    <s v="No"/>
    <s v="No"/>
    <s v="No"/>
    <n v="0"/>
    <x v="0"/>
    <x v="2"/>
  </r>
  <r>
    <x v="177"/>
    <n v="48.86"/>
    <n v="6.09"/>
    <x v="1"/>
    <s v="No"/>
    <s v="No"/>
    <s v="No"/>
    <n v="0"/>
    <x v="0"/>
    <x v="2"/>
  </r>
  <r>
    <x v="178"/>
    <n v="34.799999999999997"/>
    <n v="11.4"/>
    <x v="0"/>
    <s v="yes"/>
    <s v="No"/>
    <s v="Yes"/>
    <n v="1"/>
    <x v="1"/>
    <x v="2"/>
  </r>
  <r>
    <x v="179"/>
    <n v="32.49"/>
    <n v="4.29"/>
    <x v="1"/>
    <s v="No"/>
    <s v="No"/>
    <s v="Yes"/>
    <n v="1"/>
    <x v="0"/>
    <x v="2"/>
  </r>
  <r>
    <x v="180"/>
    <n v="39"/>
    <n v="5.7"/>
    <x v="1"/>
    <s v="No"/>
    <s v="No"/>
    <s v="No"/>
    <n v="2"/>
    <x v="0"/>
    <x v="2"/>
  </r>
  <r>
    <x v="181"/>
    <n v="35.299999999999997"/>
    <n v="6.09"/>
    <x v="1"/>
    <s v="No"/>
    <s v="No"/>
    <s v="No"/>
    <n v="1"/>
    <x v="0"/>
    <x v="2"/>
  </r>
  <r>
    <x v="182"/>
    <n v="33.42"/>
    <n v="10.67"/>
    <x v="0"/>
    <s v="No"/>
    <s v="No"/>
    <s v="No"/>
    <n v="0"/>
    <x v="0"/>
    <x v="2"/>
  </r>
  <r>
    <x v="183"/>
    <n v="37.18"/>
    <n v="6.75"/>
    <x v="1"/>
    <s v="yes"/>
    <s v="No"/>
    <s v="No"/>
    <n v="2"/>
    <x v="0"/>
    <x v="2"/>
  </r>
  <r>
    <x v="184"/>
    <n v="33.33"/>
    <n v="9.26"/>
    <x v="0"/>
    <s v="yes"/>
    <s v="No"/>
    <s v="No"/>
    <n v="2"/>
    <x v="1"/>
    <x v="2"/>
  </r>
  <r>
    <x v="185"/>
    <n v="53.21"/>
    <n v="4.2699999999999996"/>
    <x v="1"/>
    <s v="No"/>
    <s v="No"/>
    <s v="No"/>
    <n v="1"/>
    <x v="0"/>
    <x v="2"/>
  </r>
  <r>
    <x v="186"/>
    <n v="38.729999999999997"/>
    <n v="11.51"/>
    <x v="0"/>
    <s v="No"/>
    <s v="No"/>
    <s v="No"/>
    <n v="2"/>
    <x v="0"/>
    <x v="2"/>
  </r>
  <r>
    <x v="187"/>
    <n v="29.73"/>
    <n v="7.22"/>
    <x v="0"/>
    <s v="No"/>
    <s v="No"/>
    <s v="No"/>
    <n v="0"/>
    <x v="0"/>
    <x v="2"/>
  </r>
  <r>
    <x v="188"/>
    <n v="34.700000000000003"/>
    <n v="4.37"/>
    <x v="1"/>
    <s v="No"/>
    <s v="No"/>
    <s v="Yes"/>
    <n v="1"/>
    <x v="0"/>
    <x v="2"/>
  </r>
  <r>
    <x v="189"/>
    <n v="38.28"/>
    <n v="11.56"/>
    <x v="0"/>
    <s v="yes"/>
    <s v="No"/>
    <s v="No"/>
    <n v="1"/>
    <x v="0"/>
    <x v="2"/>
  </r>
  <r>
    <x v="190"/>
    <n v="33.57"/>
    <n v="8.82"/>
    <x v="0"/>
    <s v="yes"/>
    <s v="No"/>
    <s v="No"/>
    <n v="0"/>
    <x v="0"/>
    <x v="2"/>
  </r>
  <r>
    <x v="191"/>
    <n v="52.06"/>
    <n v="4.6900000000000004"/>
    <x v="1"/>
    <s v="No"/>
    <s v="No"/>
    <s v="No"/>
    <n v="1"/>
    <x v="0"/>
    <x v="2"/>
  </r>
  <r>
    <x v="192"/>
    <n v="38.17"/>
    <n v="4.53"/>
    <x v="1"/>
    <s v="No"/>
    <s v="yes"/>
    <s v="No"/>
    <n v="1"/>
    <x v="0"/>
    <x v="2"/>
  </r>
  <r>
    <x v="193"/>
    <n v="36.954999999999998"/>
    <n v="5.84"/>
    <x v="1"/>
    <s v="No"/>
    <s v="No"/>
    <s v="Yes"/>
    <n v="1"/>
    <x v="0"/>
    <x v="2"/>
  </r>
  <r>
    <x v="194"/>
    <n v="34.4"/>
    <n v="4.9000000000000004"/>
    <x v="1"/>
    <s v="No"/>
    <s v="No"/>
    <s v="Yes"/>
    <n v="1"/>
    <x v="0"/>
    <x v="2"/>
  </r>
  <r>
    <x v="195"/>
    <n v="31.73"/>
    <n v="4.3"/>
    <x v="1"/>
    <s v="No"/>
    <s v="No"/>
    <s v="No"/>
    <n v="0"/>
    <x v="0"/>
    <x v="2"/>
  </r>
  <r>
    <x v="196"/>
    <n v="36.64"/>
    <n v="11.34"/>
    <x v="0"/>
    <s v="No"/>
    <s v="No"/>
    <s v="No"/>
    <n v="0"/>
    <x v="0"/>
    <x v="2"/>
  </r>
  <r>
    <x v="197"/>
    <n v="36.85"/>
    <n v="5.88"/>
    <x v="1"/>
    <s v="No"/>
    <s v="yes"/>
    <s v="No"/>
    <n v="1"/>
    <x v="0"/>
    <x v="2"/>
  </r>
  <r>
    <x v="198"/>
    <n v="33.33"/>
    <n v="5.01"/>
    <x v="1"/>
    <s v="yes"/>
    <s v="No"/>
    <s v="Yes"/>
    <n v="1"/>
    <x v="0"/>
    <x v="2"/>
  </r>
  <r>
    <x v="199"/>
    <n v="39.14"/>
    <n v="4.4000000000000004"/>
    <x v="1"/>
    <s v="No"/>
    <s v="No"/>
    <s v="Yes"/>
    <n v="1"/>
    <x v="0"/>
    <x v="2"/>
  </r>
  <r>
    <x v="200"/>
    <n v="32.9"/>
    <n v="6.26"/>
    <x v="1"/>
    <s v="yes"/>
    <s v="No"/>
    <s v="No"/>
    <n v="0"/>
    <x v="0"/>
    <x v="2"/>
  </r>
  <r>
    <x v="201"/>
    <n v="29.78"/>
    <n v="10.27"/>
    <x v="0"/>
    <s v="yes"/>
    <s v="No"/>
    <s v="Yes"/>
    <n v="1"/>
    <x v="0"/>
    <x v="2"/>
  </r>
  <r>
    <x v="202"/>
    <n v="32.78"/>
    <n v="5.27"/>
    <x v="1"/>
    <s v="No"/>
    <s v="No"/>
    <s v="No"/>
    <n v="0"/>
    <x v="0"/>
    <x v="2"/>
  </r>
  <r>
    <x v="203"/>
    <n v="41.65"/>
    <n v="10.73"/>
    <x v="0"/>
    <s v="yes"/>
    <s v="No"/>
    <s v="No"/>
    <n v="0"/>
    <x v="0"/>
    <x v="2"/>
  </r>
  <r>
    <x v="204"/>
    <n v="50.79"/>
    <n v="4.45"/>
    <x v="1"/>
    <s v="No"/>
    <s v="No"/>
    <s v="No"/>
    <n v="1"/>
    <x v="0"/>
    <x v="2"/>
  </r>
  <r>
    <x v="205"/>
    <n v="35.43"/>
    <n v="5.25"/>
    <x v="1"/>
    <s v="yes"/>
    <s v="No"/>
    <s v="No"/>
    <n v="0"/>
    <x v="0"/>
    <x v="2"/>
  </r>
  <r>
    <x v="206"/>
    <n v="35.25"/>
    <n v="9.51"/>
    <x v="0"/>
    <s v="No"/>
    <s v="No"/>
    <s v="No"/>
    <n v="0"/>
    <x v="0"/>
    <x v="2"/>
  </r>
  <r>
    <x v="207"/>
    <n v="36.85"/>
    <n v="11.12"/>
    <x v="0"/>
    <s v="No"/>
    <s v="No"/>
    <s v="No"/>
    <n v="0"/>
    <x v="0"/>
    <x v="2"/>
  </r>
  <r>
    <x v="208"/>
    <n v="31.02"/>
    <n v="4.5599999999999996"/>
    <x v="1"/>
    <s v="No"/>
    <s v="yes"/>
    <s v="No"/>
    <n v="1"/>
    <x v="0"/>
    <x v="2"/>
  </r>
  <r>
    <x v="209"/>
    <n v="35.6"/>
    <n v="4.0199999999999996"/>
    <x v="1"/>
    <s v="yes"/>
    <s v="yes"/>
    <s v="No"/>
    <n v="2"/>
    <x v="0"/>
    <x v="2"/>
  </r>
  <r>
    <x v="210"/>
    <n v="34.39"/>
    <n v="8.7200000000000006"/>
    <x v="0"/>
    <s v="No"/>
    <s v="No"/>
    <s v="No"/>
    <n v="0"/>
    <x v="0"/>
    <x v="2"/>
  </r>
  <r>
    <x v="211"/>
    <n v="29.06"/>
    <n v="6.25"/>
    <x v="1"/>
    <s v="yes"/>
    <s v="No"/>
    <s v="No"/>
    <n v="1"/>
    <x v="0"/>
    <x v="2"/>
  </r>
  <r>
    <x v="212"/>
    <n v="35.799999999999997"/>
    <n v="7.32"/>
    <x v="0"/>
    <s v="No"/>
    <s v="No"/>
    <s v="No"/>
    <n v="2"/>
    <x v="0"/>
    <x v="2"/>
  </r>
  <r>
    <x v="213"/>
    <n v="49.8"/>
    <n v="4.24"/>
    <x v="1"/>
    <s v="No"/>
    <s v="No"/>
    <s v="No"/>
    <n v="1"/>
    <x v="0"/>
    <x v="2"/>
  </r>
  <r>
    <x v="214"/>
    <n v="35.71"/>
    <n v="6.84"/>
    <x v="0"/>
    <s v="No"/>
    <s v="No"/>
    <s v="No"/>
    <n v="2"/>
    <x v="0"/>
    <x v="2"/>
  </r>
  <r>
    <x v="215"/>
    <n v="30.8"/>
    <n v="5.23"/>
    <x v="1"/>
    <s v="yes"/>
    <s v="No"/>
    <s v="No"/>
    <n v="1"/>
    <x v="0"/>
    <x v="2"/>
  </r>
  <r>
    <x v="216"/>
    <n v="33.69"/>
    <n v="9.68"/>
    <x v="0"/>
    <s v="No"/>
    <s v="No"/>
    <s v="No"/>
    <n v="0"/>
    <x v="0"/>
    <x v="2"/>
  </r>
  <r>
    <x v="217"/>
    <n v="42.27"/>
    <n v="6.05"/>
    <x v="1"/>
    <s v="yes"/>
    <s v="No"/>
    <s v="No"/>
    <n v="1"/>
    <x v="0"/>
    <x v="2"/>
  </r>
  <r>
    <x v="218"/>
    <n v="53.25"/>
    <n v="6.11"/>
    <x v="1"/>
    <s v="yes"/>
    <s v="No"/>
    <s v="Yes"/>
    <n v="1"/>
    <x v="0"/>
    <x v="2"/>
  </r>
  <r>
    <x v="219"/>
    <n v="26.8"/>
    <n v="10.93"/>
    <x v="0"/>
    <s v="yes"/>
    <s v="No"/>
    <s v="No"/>
    <n v="0"/>
    <x v="1"/>
    <x v="2"/>
  </r>
  <r>
    <x v="220"/>
    <n v="28.5"/>
    <n v="5.12"/>
    <x v="1"/>
    <s v="No"/>
    <s v="No"/>
    <s v="No"/>
    <n v="1"/>
    <x v="0"/>
    <x v="2"/>
  </r>
  <r>
    <x v="221"/>
    <n v="22.895"/>
    <n v="5.72"/>
    <x v="1"/>
    <s v="No"/>
    <s v="No"/>
    <s v="No"/>
    <n v="0"/>
    <x v="0"/>
    <x v="2"/>
  </r>
  <r>
    <x v="222"/>
    <n v="34.06"/>
    <n v="11.83"/>
    <x v="0"/>
    <s v="yes"/>
    <s v="No"/>
    <s v="No"/>
    <n v="1"/>
    <x v="0"/>
    <x v="2"/>
  </r>
  <r>
    <x v="223"/>
    <n v="36.409999999999997"/>
    <n v="4.55"/>
    <x v="1"/>
    <s v="No"/>
    <s v="No"/>
    <s v="No"/>
    <n v="0"/>
    <x v="0"/>
    <x v="2"/>
  </r>
  <r>
    <x v="224"/>
    <n v="52.3"/>
    <n v="4.87"/>
    <x v="1"/>
    <s v="yes"/>
    <s v="No"/>
    <s v="Yes"/>
    <n v="1"/>
    <x v="0"/>
    <x v="2"/>
  </r>
  <r>
    <x v="225"/>
    <n v="52.66"/>
    <n v="4.45"/>
    <x v="1"/>
    <s v="No"/>
    <s v="No"/>
    <s v="No"/>
    <n v="1"/>
    <x v="0"/>
    <x v="2"/>
  </r>
  <r>
    <x v="226"/>
    <n v="29.57"/>
    <n v="9.42"/>
    <x v="0"/>
    <s v="yes"/>
    <s v="No"/>
    <s v="No"/>
    <n v="0"/>
    <x v="0"/>
    <x v="2"/>
  </r>
  <r>
    <x v="227"/>
    <n v="36.99"/>
    <n v="5.37"/>
    <x v="1"/>
    <s v="yes"/>
    <s v="No"/>
    <s v="Yes"/>
    <n v="1"/>
    <x v="0"/>
    <x v="2"/>
  </r>
  <r>
    <x v="228"/>
    <n v="31.4"/>
    <n v="4.5999999999999996"/>
    <x v="1"/>
    <s v="yes"/>
    <s v="No"/>
    <s v="No"/>
    <n v="1"/>
    <x v="0"/>
    <x v="2"/>
  </r>
  <r>
    <x v="229"/>
    <n v="34.9"/>
    <n v="6.22"/>
    <x v="1"/>
    <s v="No"/>
    <s v="No"/>
    <s v="Yes"/>
    <n v="1"/>
    <x v="0"/>
    <x v="2"/>
  </r>
  <r>
    <x v="230"/>
    <n v="31.13"/>
    <n v="4.5199999999999996"/>
    <x v="1"/>
    <s v="yes"/>
    <s v="No"/>
    <s v="No"/>
    <n v="1"/>
    <x v="0"/>
    <x v="2"/>
  </r>
  <r>
    <x v="231"/>
    <n v="34.799999999999997"/>
    <n v="6.18"/>
    <x v="1"/>
    <s v="No"/>
    <s v="No"/>
    <s v="Yes"/>
    <n v="1"/>
    <x v="0"/>
    <x v="2"/>
  </r>
  <r>
    <x v="232"/>
    <n v="31.68"/>
    <n v="4.4000000000000004"/>
    <x v="1"/>
    <s v="No"/>
    <s v="No"/>
    <s v="No"/>
    <n v="0"/>
    <x v="0"/>
    <x v="2"/>
  </r>
  <r>
    <x v="233"/>
    <n v="33.534999999999997"/>
    <n v="6.23"/>
    <x v="1"/>
    <s v="No"/>
    <s v="yes"/>
    <s v="No"/>
    <n v="1"/>
    <x v="0"/>
    <x v="2"/>
  </r>
  <r>
    <x v="234"/>
    <n v="31.92"/>
    <n v="5.33"/>
    <x v="1"/>
    <s v="yes"/>
    <s v="No"/>
    <s v="No"/>
    <n v="0"/>
    <x v="0"/>
    <x v="2"/>
  </r>
  <r>
    <x v="235"/>
    <n v="32.700000000000003"/>
    <n v="4.09"/>
    <x v="1"/>
    <s v="No"/>
    <s v="No"/>
    <s v="No"/>
    <n v="1"/>
    <x v="0"/>
    <x v="2"/>
  </r>
  <r>
    <x v="236"/>
    <n v="41.25"/>
    <n v="5.19"/>
    <x v="1"/>
    <s v="No"/>
    <s v="No"/>
    <s v="No"/>
    <n v="0"/>
    <x v="0"/>
    <x v="2"/>
  </r>
  <r>
    <x v="237"/>
    <n v="33.11"/>
    <n v="4.12"/>
    <x v="1"/>
    <s v="No"/>
    <s v="No"/>
    <s v="Yes"/>
    <n v="1"/>
    <x v="0"/>
    <x v="2"/>
  </r>
  <r>
    <x v="238"/>
    <n v="36.159999999999997"/>
    <n v="5.0999999999999996"/>
    <x v="1"/>
    <s v="No"/>
    <s v="No"/>
    <s v="No"/>
    <n v="1"/>
    <x v="0"/>
    <x v="2"/>
  </r>
  <r>
    <x v="239"/>
    <n v="33.72"/>
    <n v="6.21"/>
    <x v="1"/>
    <s v="yes"/>
    <s v="No"/>
    <s v="Yes"/>
    <n v="1"/>
    <x v="0"/>
    <x v="2"/>
  </r>
  <r>
    <x v="240"/>
    <n v="37.74"/>
    <n v="9.5299999999999994"/>
    <x v="0"/>
    <s v="yes"/>
    <s v="No"/>
    <s v="No"/>
    <n v="1"/>
    <x v="0"/>
    <x v="2"/>
  </r>
  <r>
    <x v="241"/>
    <n v="48.75"/>
    <n v="4.6399999999999997"/>
    <x v="1"/>
    <s v="yes"/>
    <s v="No"/>
    <s v="No"/>
    <n v="1"/>
    <x v="0"/>
    <x v="2"/>
  </r>
  <r>
    <x v="242"/>
    <n v="31.065000000000001"/>
    <n v="5.05"/>
    <x v="1"/>
    <s v="No"/>
    <s v="No"/>
    <s v="No"/>
    <n v="1"/>
    <x v="0"/>
    <x v="2"/>
  </r>
  <r>
    <x v="243"/>
    <n v="23.55"/>
    <n v="10.38"/>
    <x v="0"/>
    <s v="No"/>
    <s v="No"/>
    <s v="No"/>
    <n v="0"/>
    <x v="0"/>
    <x v="2"/>
  </r>
  <r>
    <x v="244"/>
    <n v="30.18"/>
    <n v="8.31"/>
    <x v="0"/>
    <s v="yes"/>
    <s v="No"/>
    <s v="No"/>
    <n v="1"/>
    <x v="0"/>
    <x v="2"/>
  </r>
  <r>
    <x v="245"/>
    <n v="29.94"/>
    <n v="7.59"/>
    <x v="0"/>
    <s v="No"/>
    <s v="No"/>
    <s v="No"/>
    <n v="0"/>
    <x v="0"/>
    <x v="2"/>
  </r>
  <r>
    <x v="246"/>
    <n v="31.4"/>
    <n v="5.49"/>
    <x v="1"/>
    <s v="No"/>
    <s v="No"/>
    <s v="No"/>
    <n v="0"/>
    <x v="0"/>
    <x v="2"/>
  </r>
  <r>
    <x v="247"/>
    <n v="53.06"/>
    <n v="11.68"/>
    <x v="0"/>
    <s v="No"/>
    <s v="No"/>
    <s v="No"/>
    <n v="0"/>
    <x v="0"/>
    <x v="2"/>
  </r>
  <r>
    <x v="248"/>
    <n v="30.25"/>
    <n v="4.1900000000000004"/>
    <x v="1"/>
    <s v="No"/>
    <s v="No"/>
    <s v="No"/>
    <n v="2"/>
    <x v="0"/>
    <x v="2"/>
  </r>
  <r>
    <x v="249"/>
    <n v="46.68"/>
    <n v="4.01"/>
    <x v="1"/>
    <s v="No"/>
    <s v="No"/>
    <s v="No"/>
    <n v="0"/>
    <x v="0"/>
    <x v="2"/>
  </r>
  <r>
    <x v="250"/>
    <n v="30.4"/>
    <n v="5.91"/>
    <x v="1"/>
    <s v="No"/>
    <s v="yes"/>
    <s v="No"/>
    <n v="2"/>
    <x v="0"/>
    <x v="2"/>
  </r>
  <r>
    <x v="251"/>
    <n v="30.2"/>
    <n v="4.47"/>
    <x v="1"/>
    <s v="yes"/>
    <s v="No"/>
    <s v="Yes"/>
    <n v="1"/>
    <x v="0"/>
    <x v="2"/>
  </r>
  <r>
    <x v="252"/>
    <n v="51.18"/>
    <n v="4.5599999999999996"/>
    <x v="1"/>
    <s v="yes"/>
    <s v="yes"/>
    <s v="No"/>
    <n v="2"/>
    <x v="0"/>
    <x v="2"/>
  </r>
  <r>
    <x v="253"/>
    <n v="22.18"/>
    <n v="9.9"/>
    <x v="0"/>
    <s v="No"/>
    <s v="No"/>
    <s v="No"/>
    <n v="0"/>
    <x v="0"/>
    <x v="2"/>
  </r>
  <r>
    <x v="254"/>
    <n v="31.92"/>
    <n v="5.1100000000000003"/>
    <x v="1"/>
    <s v="No"/>
    <s v="No"/>
    <s v="Yes"/>
    <n v="1"/>
    <x v="0"/>
    <x v="2"/>
  </r>
  <r>
    <x v="255"/>
    <n v="31.73"/>
    <n v="5.73"/>
    <x v="1"/>
    <s v="No"/>
    <s v="yes"/>
    <s v="No"/>
    <n v="1"/>
    <x v="0"/>
    <x v="2"/>
  </r>
  <r>
    <x v="256"/>
    <n v="45.52"/>
    <n v="6.04"/>
    <x v="1"/>
    <s v="No"/>
    <s v="No"/>
    <s v="Yes"/>
    <n v="1"/>
    <x v="0"/>
    <x v="2"/>
  </r>
  <r>
    <x v="257"/>
    <n v="52.81"/>
    <n v="5.19"/>
    <x v="1"/>
    <s v="No"/>
    <s v="No"/>
    <s v="Yes"/>
    <n v="1"/>
    <x v="0"/>
    <x v="2"/>
  </r>
  <r>
    <x v="258"/>
    <n v="33.58"/>
    <n v="5.56"/>
    <x v="1"/>
    <s v="No"/>
    <s v="No"/>
    <s v="No"/>
    <n v="1"/>
    <x v="0"/>
    <x v="2"/>
  </r>
  <r>
    <x v="259"/>
    <n v="30.684999999999999"/>
    <n v="8.23"/>
    <x v="0"/>
    <s v="No"/>
    <s v="No"/>
    <s v="No"/>
    <n v="0"/>
    <x v="0"/>
    <x v="2"/>
  </r>
  <r>
    <x v="260"/>
    <n v="37.524999999999999"/>
    <n v="9.0299999999999994"/>
    <x v="0"/>
    <s v="yes"/>
    <s v="No"/>
    <s v="No"/>
    <n v="2"/>
    <x v="1"/>
    <x v="2"/>
  </r>
  <r>
    <x v="261"/>
    <n v="34.5"/>
    <n v="4.07"/>
    <x v="1"/>
    <s v="yes"/>
    <s v="No"/>
    <s v="No"/>
    <n v="0"/>
    <x v="0"/>
    <x v="2"/>
  </r>
  <r>
    <x v="262"/>
    <n v="28.16"/>
    <n v="5.77"/>
    <x v="1"/>
    <s v="No"/>
    <s v="No"/>
    <s v="No"/>
    <n v="2"/>
    <x v="0"/>
    <x v="2"/>
  </r>
  <r>
    <x v="263"/>
    <n v="30.02"/>
    <n v="5.98"/>
    <x v="1"/>
    <s v="No"/>
    <s v="No"/>
    <s v="Yes"/>
    <n v="1"/>
    <x v="0"/>
    <x v="2"/>
  </r>
  <r>
    <x v="264"/>
    <n v="37.82"/>
    <n v="6.01"/>
    <x v="1"/>
    <s v="No"/>
    <s v="No"/>
    <s v="No"/>
    <n v="0"/>
    <x v="0"/>
    <x v="2"/>
  </r>
  <r>
    <x v="265"/>
    <n v="33.14"/>
    <n v="5.67"/>
    <x v="1"/>
    <s v="yes"/>
    <s v="No"/>
    <s v="No"/>
    <n v="0"/>
    <x v="0"/>
    <x v="2"/>
  </r>
  <r>
    <x v="266"/>
    <n v="25.14"/>
    <n v="6.02"/>
    <x v="1"/>
    <s v="yes"/>
    <s v="No"/>
    <s v="Yes"/>
    <n v="1"/>
    <x v="0"/>
    <x v="2"/>
  </r>
  <r>
    <x v="267"/>
    <n v="20.18"/>
    <n v="11.19"/>
    <x v="0"/>
    <s v="No"/>
    <s v="No"/>
    <s v="No"/>
    <n v="0"/>
    <x v="0"/>
    <x v="2"/>
  </r>
  <r>
    <x v="268"/>
    <n v="44.36"/>
    <n v="5.1100000000000003"/>
    <x v="1"/>
    <s v="No"/>
    <s v="No"/>
    <s v="No"/>
    <n v="0"/>
    <x v="0"/>
    <x v="2"/>
  </r>
  <r>
    <x v="269"/>
    <n v="23.82"/>
    <n v="10.85"/>
    <x v="0"/>
    <s v="yes"/>
    <s v="No"/>
    <s v="No"/>
    <n v="0"/>
    <x v="0"/>
    <x v="2"/>
  </r>
  <r>
    <x v="270"/>
    <n v="45"/>
    <n v="5.24"/>
    <x v="1"/>
    <s v="yes"/>
    <s v="No"/>
    <s v="No"/>
    <n v="1"/>
    <x v="0"/>
    <x v="2"/>
  </r>
  <r>
    <x v="271"/>
    <n v="26.62"/>
    <n v="10.08"/>
    <x v="0"/>
    <s v="No"/>
    <s v="No"/>
    <s v="No"/>
    <n v="0"/>
    <x v="0"/>
    <x v="2"/>
  </r>
  <r>
    <x v="272"/>
    <n v="32.67"/>
    <n v="10.97"/>
    <x v="0"/>
    <s v="yes"/>
    <s v="No"/>
    <s v="No"/>
    <n v="0"/>
    <x v="0"/>
    <x v="2"/>
  </r>
  <r>
    <x v="273"/>
    <n v="44.44"/>
    <n v="4.9000000000000004"/>
    <x v="1"/>
    <s v="yes"/>
    <s v="No"/>
    <s v="No"/>
    <n v="1"/>
    <x v="0"/>
    <x v="2"/>
  </r>
  <r>
    <x v="274"/>
    <n v="28.31"/>
    <n v="5.33"/>
    <x v="1"/>
    <s v="No"/>
    <s v="No"/>
    <s v="No"/>
    <n v="0"/>
    <x v="0"/>
    <x v="2"/>
  </r>
  <r>
    <x v="275"/>
    <n v="25.05"/>
    <n v="4.6100000000000003"/>
    <x v="1"/>
    <s v="No"/>
    <s v="No"/>
    <s v="No"/>
    <n v="2"/>
    <x v="0"/>
    <x v="2"/>
  </r>
  <r>
    <x v="276"/>
    <n v="28.34"/>
    <n v="8.18"/>
    <x v="0"/>
    <s v="No"/>
    <s v="No"/>
    <s v="No"/>
    <n v="0"/>
    <x v="0"/>
    <x v="2"/>
  </r>
  <r>
    <x v="277"/>
    <n v="17.765000000000001"/>
    <n v="5.62"/>
    <x v="1"/>
    <s v="No"/>
    <s v="No"/>
    <s v="No"/>
    <n v="0"/>
    <x v="0"/>
    <x v="3"/>
  </r>
  <r>
    <x v="278"/>
    <n v="36.119999999999997"/>
    <n v="5.82"/>
    <x v="1"/>
    <s v="No"/>
    <s v="No"/>
    <s v="No"/>
    <n v="0"/>
    <x v="0"/>
    <x v="2"/>
  </r>
  <r>
    <x v="279"/>
    <n v="23.19"/>
    <n v="7.66"/>
    <x v="0"/>
    <s v="No"/>
    <s v="No"/>
    <s v="No"/>
    <n v="0"/>
    <x v="0"/>
    <x v="2"/>
  </r>
  <r>
    <x v="280"/>
    <n v="35.99"/>
    <n v="4.2300000000000004"/>
    <x v="1"/>
    <s v="No"/>
    <s v="No"/>
    <s v="No"/>
    <n v="0"/>
    <x v="0"/>
    <x v="2"/>
  </r>
  <r>
    <x v="281"/>
    <n v="30.25"/>
    <n v="5.58"/>
    <x v="1"/>
    <s v="No"/>
    <s v="No"/>
    <s v="Yes"/>
    <n v="1"/>
    <x v="0"/>
    <x v="2"/>
  </r>
  <r>
    <x v="282"/>
    <n v="26.24"/>
    <n v="6.26"/>
    <x v="0"/>
    <s v="yes"/>
    <s v="No"/>
    <s v="No"/>
    <n v="0"/>
    <x v="0"/>
    <x v="2"/>
  </r>
  <r>
    <x v="283"/>
    <n v="31.36"/>
    <n v="10.6"/>
    <x v="0"/>
    <s v="yes"/>
    <s v="No"/>
    <s v="No"/>
    <n v="0"/>
    <x v="0"/>
    <x v="2"/>
  </r>
  <r>
    <x v="284"/>
    <n v="25.69"/>
    <n v="4.78"/>
    <x v="1"/>
    <s v="yes"/>
    <s v="No"/>
    <s v="No"/>
    <n v="0"/>
    <x v="0"/>
    <x v="2"/>
  </r>
  <r>
    <x v="285"/>
    <n v="25.46"/>
    <n v="6.03"/>
    <x v="1"/>
    <s v="No"/>
    <s v="No"/>
    <s v="No"/>
    <n v="2"/>
    <x v="0"/>
    <x v="2"/>
  </r>
  <r>
    <x v="286"/>
    <n v="31.83"/>
    <n v="11.55"/>
    <x v="0"/>
    <s v="yes"/>
    <s v="No"/>
    <s v="No"/>
    <n v="1"/>
    <x v="0"/>
    <x v="2"/>
  </r>
  <r>
    <x v="287"/>
    <n v="24.43"/>
    <n v="7.59"/>
    <x v="0"/>
    <s v="yes"/>
    <s v="No"/>
    <s v="No"/>
    <n v="1"/>
    <x v="0"/>
    <x v="2"/>
  </r>
  <r>
    <x v="288"/>
    <n v="41.9"/>
    <n v="4.26"/>
    <x v="1"/>
    <s v="No"/>
    <s v="No"/>
    <s v="No"/>
    <n v="0"/>
    <x v="0"/>
    <x v="2"/>
  </r>
  <r>
    <x v="289"/>
    <n v="22.88"/>
    <n v="5.9"/>
    <x v="1"/>
    <s v="yes"/>
    <s v="No"/>
    <s v="Yes"/>
    <n v="1"/>
    <x v="0"/>
    <x v="2"/>
  </r>
  <r>
    <x v="290"/>
    <n v="29.734999999999999"/>
    <n v="7.79"/>
    <x v="0"/>
    <s v="No"/>
    <s v="No"/>
    <s v="No"/>
    <n v="0"/>
    <x v="1"/>
    <x v="2"/>
  </r>
  <r>
    <x v="291"/>
    <n v="40.74"/>
    <n v="5.28"/>
    <x v="1"/>
    <s v="No"/>
    <s v="No"/>
    <s v="Yes"/>
    <n v="1"/>
    <x v="0"/>
    <x v="2"/>
  </r>
  <r>
    <x v="292"/>
    <n v="24.14"/>
    <n v="5.87"/>
    <x v="1"/>
    <s v="No"/>
    <s v="No"/>
    <s v="No"/>
    <n v="2"/>
    <x v="0"/>
    <x v="2"/>
  </r>
  <r>
    <x v="44"/>
    <n v="25.15"/>
    <n v="9.08"/>
    <x v="0"/>
    <s v="yes"/>
    <s v="No"/>
    <s v="No"/>
    <n v="1"/>
    <x v="0"/>
    <x v="2"/>
  </r>
  <r>
    <x v="293"/>
    <n v="28.71"/>
    <n v="5.2"/>
    <x v="1"/>
    <s v="No"/>
    <s v="No"/>
    <s v="No"/>
    <n v="1"/>
    <x v="0"/>
    <x v="2"/>
  </r>
  <r>
    <x v="294"/>
    <n v="23"/>
    <n v="5.48"/>
    <x v="1"/>
    <s v="No"/>
    <s v="No"/>
    <s v="No"/>
    <n v="0"/>
    <x v="0"/>
    <x v="2"/>
  </r>
  <r>
    <x v="295"/>
    <n v="36.86"/>
    <n v="11.95"/>
    <x v="0"/>
    <s v="No"/>
    <s v="No"/>
    <s v="No"/>
    <n v="0"/>
    <x v="1"/>
    <x v="2"/>
  </r>
  <r>
    <x v="296"/>
    <n v="24.25"/>
    <n v="8.6999999999999993"/>
    <x v="0"/>
    <s v="yes"/>
    <s v="No"/>
    <s v="No"/>
    <n v="1"/>
    <x v="0"/>
    <x v="2"/>
  </r>
  <r>
    <x v="297"/>
    <n v="23.85"/>
    <n v="7.84"/>
    <x v="0"/>
    <s v="No"/>
    <s v="No"/>
    <s v="No"/>
    <n v="0"/>
    <x v="0"/>
    <x v="2"/>
  </r>
  <r>
    <x v="298"/>
    <n v="40.020000000000003"/>
    <n v="5.19"/>
    <x v="1"/>
    <s v="yes"/>
    <s v="No"/>
    <s v="No"/>
    <n v="1"/>
    <x v="0"/>
    <x v="2"/>
  </r>
  <r>
    <x v="299"/>
    <n v="19.170000000000002"/>
    <n v="8.41"/>
    <x v="0"/>
    <s v="No"/>
    <s v="No"/>
    <s v="No"/>
    <n v="0"/>
    <x v="0"/>
    <x v="2"/>
  </r>
  <r>
    <x v="300"/>
    <n v="43.53"/>
    <n v="5.86"/>
    <x v="1"/>
    <s v="yes"/>
    <s v="yes"/>
    <s v="No"/>
    <n v="2"/>
    <x v="0"/>
    <x v="2"/>
  </r>
  <r>
    <x v="301"/>
    <n v="46.06"/>
    <n v="4.18"/>
    <x v="1"/>
    <s v="No"/>
    <s v="yes"/>
    <s v="No"/>
    <n v="1"/>
    <x v="0"/>
    <x v="2"/>
  </r>
  <r>
    <x v="302"/>
    <n v="29.92"/>
    <n v="11.99"/>
    <x v="0"/>
    <s v="yes"/>
    <s v="No"/>
    <s v="No"/>
    <n v="2"/>
    <x v="0"/>
    <x v="2"/>
  </r>
  <r>
    <x v="303"/>
    <n v="28.46"/>
    <n v="4.8499999999999996"/>
    <x v="1"/>
    <s v="yes"/>
    <s v="No"/>
    <s v="No"/>
    <n v="1"/>
    <x v="0"/>
    <x v="2"/>
  </r>
  <r>
    <x v="304"/>
    <n v="24.56"/>
    <n v="6.18"/>
    <x v="1"/>
    <s v="yes"/>
    <s v="No"/>
    <s v="Yes"/>
    <n v="1"/>
    <x v="0"/>
    <x v="2"/>
  </r>
  <r>
    <x v="305"/>
    <n v="41.19"/>
    <n v="6.37"/>
    <x v="1"/>
    <s v="No"/>
    <s v="No"/>
    <s v="No"/>
    <n v="0"/>
    <x v="0"/>
    <x v="2"/>
  </r>
  <r>
    <x v="306"/>
    <n v="18.63"/>
    <n v="9.81"/>
    <x v="0"/>
    <s v="yes"/>
    <s v="No"/>
    <s v="No"/>
    <n v="2"/>
    <x v="0"/>
    <x v="2"/>
  </r>
  <r>
    <x v="307"/>
    <n v="26.26"/>
    <n v="11.8"/>
    <x v="0"/>
    <s v="yes"/>
    <s v="No"/>
    <s v="No"/>
    <n v="1"/>
    <x v="0"/>
    <x v="2"/>
  </r>
  <r>
    <x v="308"/>
    <n v="22.37"/>
    <n v="5.86"/>
    <x v="1"/>
    <s v="yes"/>
    <s v="No"/>
    <s v="Yes"/>
    <n v="1"/>
    <x v="0"/>
    <x v="2"/>
  </r>
  <r>
    <x v="309"/>
    <n v="39.619999999999997"/>
    <n v="4.28"/>
    <x v="1"/>
    <s v="No"/>
    <s v="No"/>
    <s v="No"/>
    <n v="1"/>
    <x v="0"/>
    <x v="2"/>
  </r>
  <r>
    <x v="310"/>
    <n v="18.329999999999998"/>
    <n v="4.16"/>
    <x v="1"/>
    <s v="yes"/>
    <s v="No"/>
    <s v="No"/>
    <n v="0"/>
    <x v="0"/>
    <x v="3"/>
  </r>
  <r>
    <x v="311"/>
    <n v="17.11"/>
    <n v="4.9800000000000004"/>
    <x v="1"/>
    <s v="yes"/>
    <s v="No"/>
    <s v="Yes"/>
    <n v="1"/>
    <x v="0"/>
    <x v="3"/>
  </r>
  <r>
    <x v="312"/>
    <n v="43.5"/>
    <n v="6.38"/>
    <x v="1"/>
    <s v="No"/>
    <s v="yes"/>
    <s v="No"/>
    <n v="1"/>
    <x v="0"/>
    <x v="2"/>
  </r>
  <r>
    <x v="313"/>
    <n v="25.364999999999998"/>
    <n v="5.19"/>
    <x v="1"/>
    <s v="No"/>
    <s v="No"/>
    <s v="No"/>
    <n v="2"/>
    <x v="1"/>
    <x v="2"/>
  </r>
  <r>
    <x v="314"/>
    <n v="28.594999999999999"/>
    <n v="10.210000000000001"/>
    <x v="0"/>
    <s v="No"/>
    <s v="No"/>
    <s v="No"/>
    <n v="0"/>
    <x v="1"/>
    <x v="2"/>
  </r>
  <r>
    <x v="315"/>
    <n v="29.83"/>
    <n v="9.6999999999999993"/>
    <x v="0"/>
    <s v="yes"/>
    <s v="No"/>
    <s v="Yes"/>
    <n v="1"/>
    <x v="0"/>
    <x v="2"/>
  </r>
  <r>
    <x v="316"/>
    <n v="24.7"/>
    <n v="10.25"/>
    <x v="0"/>
    <s v="No"/>
    <s v="No"/>
    <s v="No"/>
    <n v="3"/>
    <x v="1"/>
    <x v="2"/>
  </r>
  <r>
    <x v="317"/>
    <n v="17.940000000000001"/>
    <n v="9.77"/>
    <x v="0"/>
    <s v="No"/>
    <s v="No"/>
    <s v="No"/>
    <n v="0"/>
    <x v="0"/>
    <x v="3"/>
  </r>
  <r>
    <x v="318"/>
    <n v="21.08"/>
    <n v="4.83"/>
    <x v="1"/>
    <s v="No"/>
    <s v="No"/>
    <s v="Yes"/>
    <n v="1"/>
    <x v="0"/>
    <x v="2"/>
  </r>
  <r>
    <x v="319"/>
    <n v="37.715000000000003"/>
    <n v="10.86"/>
    <x v="0"/>
    <s v="yes"/>
    <s v="No"/>
    <s v="No"/>
    <n v="0"/>
    <x v="1"/>
    <x v="2"/>
  </r>
  <r>
    <x v="320"/>
    <n v="22.39"/>
    <n v="9.5299999999999994"/>
    <x v="0"/>
    <s v="yes"/>
    <s v="No"/>
    <s v="No"/>
    <n v="0"/>
    <x v="0"/>
    <x v="2"/>
  </r>
  <r>
    <x v="321"/>
    <n v="28.78"/>
    <n v="5.68"/>
    <x v="1"/>
    <s v="No"/>
    <s v="No"/>
    <s v="No"/>
    <n v="0"/>
    <x v="0"/>
    <x v="2"/>
  </r>
  <r>
    <x v="322"/>
    <n v="18.329999999999998"/>
    <n v="5.57"/>
    <x v="1"/>
    <s v="yes"/>
    <s v="No"/>
    <s v="No"/>
    <n v="0"/>
    <x v="0"/>
    <x v="3"/>
  </r>
  <r>
    <x v="323"/>
    <n v="26.39"/>
    <n v="4.58"/>
    <x v="1"/>
    <s v="yes"/>
    <s v="No"/>
    <s v="No"/>
    <n v="1"/>
    <x v="0"/>
    <x v="2"/>
  </r>
  <r>
    <x v="324"/>
    <n v="19.260000000000002"/>
    <n v="8.9600000000000009"/>
    <x v="0"/>
    <s v="yes"/>
    <s v="No"/>
    <s v="No"/>
    <n v="1"/>
    <x v="0"/>
    <x v="2"/>
  </r>
  <r>
    <x v="325"/>
    <n v="26.92"/>
    <n v="6.09"/>
    <x v="1"/>
    <s v="No"/>
    <s v="No"/>
    <s v="No"/>
    <n v="0"/>
    <x v="0"/>
    <x v="2"/>
  </r>
  <r>
    <x v="326"/>
    <n v="19.73"/>
    <n v="4.3600000000000003"/>
    <x v="1"/>
    <s v="No"/>
    <s v="No"/>
    <s v="No"/>
    <n v="0"/>
    <x v="0"/>
    <x v="2"/>
  </r>
  <r>
    <x v="327"/>
    <n v="23.56"/>
    <n v="11.74"/>
    <x v="0"/>
    <s v="yes"/>
    <s v="No"/>
    <s v="No"/>
    <n v="0"/>
    <x v="0"/>
    <x v="2"/>
  </r>
  <r>
    <x v="328"/>
    <n v="37.67"/>
    <n v="5.89"/>
    <x v="1"/>
    <s v="No"/>
    <s v="No"/>
    <s v="No"/>
    <n v="1"/>
    <x v="0"/>
    <x v="2"/>
  </r>
  <r>
    <x v="329"/>
    <n v="18.73"/>
    <n v="10.64"/>
    <x v="0"/>
    <s v="No"/>
    <s v="No"/>
    <s v="No"/>
    <n v="2"/>
    <x v="0"/>
    <x v="2"/>
  </r>
  <r>
    <x v="330"/>
    <n v="33.090000000000003"/>
    <n v="6.06"/>
    <x v="1"/>
    <s v="No"/>
    <s v="No"/>
    <s v="Yes"/>
    <n v="1"/>
    <x v="0"/>
    <x v="2"/>
  </r>
  <r>
    <x v="331"/>
    <n v="18.329999999999998"/>
    <n v="7.46"/>
    <x v="0"/>
    <s v="yes"/>
    <s v="No"/>
    <s v="No"/>
    <n v="1"/>
    <x v="0"/>
    <x v="3"/>
  </r>
  <r>
    <x v="332"/>
    <n v="27.74"/>
    <n v="4.68"/>
    <x v="1"/>
    <s v="yes"/>
    <s v="No"/>
    <s v="No"/>
    <n v="2"/>
    <x v="0"/>
    <x v="2"/>
  </r>
  <r>
    <x v="333"/>
    <n v="24.2"/>
    <n v="6.15"/>
    <x v="1"/>
    <s v="No"/>
    <s v="No"/>
    <s v="No"/>
    <n v="1"/>
    <x v="0"/>
    <x v="2"/>
  </r>
  <r>
    <x v="334"/>
    <n v="22.03"/>
    <n v="4.28"/>
    <x v="1"/>
    <s v="yes"/>
    <s v="No"/>
    <s v="No"/>
    <n v="0"/>
    <x v="0"/>
    <x v="2"/>
  </r>
  <r>
    <x v="335"/>
    <n v="26.885000000000002"/>
    <n v="9.86"/>
    <x v="0"/>
    <s v="No"/>
    <s v="No"/>
    <s v="No"/>
    <n v="3"/>
    <x v="0"/>
    <x v="2"/>
  </r>
  <r>
    <x v="336"/>
    <n v="16.36"/>
    <n v="11.19"/>
    <x v="0"/>
    <s v="No"/>
    <s v="No"/>
    <s v="No"/>
    <n v="0"/>
    <x v="0"/>
    <x v="3"/>
  </r>
  <r>
    <x v="337"/>
    <n v="32.299999999999997"/>
    <n v="4.8899999999999997"/>
    <x v="1"/>
    <s v="yes"/>
    <s v="No"/>
    <s v="Yes"/>
    <n v="1"/>
    <x v="1"/>
    <x v="2"/>
  </r>
  <r>
    <x v="338"/>
    <n v="16.05"/>
    <n v="4.3499999999999996"/>
    <x v="1"/>
    <s v="yes"/>
    <s v="No"/>
    <s v="No"/>
    <n v="0"/>
    <x v="0"/>
    <x v="3"/>
  </r>
  <r>
    <x v="339"/>
    <n v="29.07"/>
    <n v="8.66"/>
    <x v="0"/>
    <s v="yes"/>
    <s v="No"/>
    <s v="No"/>
    <n v="2"/>
    <x v="0"/>
    <x v="2"/>
  </r>
  <r>
    <x v="340"/>
    <n v="17.43"/>
    <n v="8.64"/>
    <x v="0"/>
    <s v="No"/>
    <s v="No"/>
    <s v="No"/>
    <n v="0"/>
    <x v="0"/>
    <x v="3"/>
  </r>
  <r>
    <x v="341"/>
    <n v="19.329999999999998"/>
    <n v="4.2699999999999996"/>
    <x v="1"/>
    <s v="No"/>
    <s v="No"/>
    <s v="No"/>
    <n v="0"/>
    <x v="0"/>
    <x v="2"/>
  </r>
  <r>
    <x v="342"/>
    <n v="30.52"/>
    <n v="4.21"/>
    <x v="1"/>
    <s v="No"/>
    <s v="No"/>
    <s v="No"/>
    <n v="1"/>
    <x v="0"/>
    <x v="2"/>
  </r>
  <r>
    <x v="343"/>
    <n v="39.21"/>
    <n v="5.04"/>
    <x v="1"/>
    <s v="No"/>
    <s v="No"/>
    <s v="Yes"/>
    <n v="1"/>
    <x v="0"/>
    <x v="2"/>
  </r>
  <r>
    <x v="344"/>
    <n v="26.98"/>
    <n v="5.21"/>
    <x v="1"/>
    <s v="yes"/>
    <s v="No"/>
    <s v="No"/>
    <n v="2"/>
    <x v="0"/>
    <x v="2"/>
  </r>
  <r>
    <x v="345"/>
    <n v="25.84"/>
    <n v="8.83"/>
    <x v="0"/>
    <s v="No"/>
    <s v="No"/>
    <s v="No"/>
    <n v="0"/>
    <x v="1"/>
    <x v="2"/>
  </r>
  <r>
    <x v="346"/>
    <n v="28.31"/>
    <n v="8.4700000000000006"/>
    <x v="0"/>
    <s v="yes"/>
    <s v="No"/>
    <s v="No"/>
    <n v="2"/>
    <x v="0"/>
    <x v="2"/>
  </r>
  <r>
    <x v="347"/>
    <n v="23.94"/>
    <n v="4.2"/>
    <x v="1"/>
    <s v="No"/>
    <s v="No"/>
    <s v="No"/>
    <n v="0"/>
    <x v="0"/>
    <x v="2"/>
  </r>
  <r>
    <x v="348"/>
    <n v="20.03"/>
    <n v="6.14"/>
    <x v="1"/>
    <s v="yes"/>
    <s v="No"/>
    <s v="No"/>
    <n v="0"/>
    <x v="0"/>
    <x v="2"/>
  </r>
  <r>
    <x v="349"/>
    <n v="41.42"/>
    <n v="6.07"/>
    <x v="1"/>
    <s v="No"/>
    <s v="No"/>
    <s v="No"/>
    <n v="0"/>
    <x v="1"/>
    <x v="2"/>
  </r>
  <r>
    <x v="350"/>
    <n v="36.67"/>
    <n v="10.210000000000001"/>
    <x v="0"/>
    <s v="No"/>
    <s v="No"/>
    <s v="No"/>
    <n v="0"/>
    <x v="1"/>
    <x v="2"/>
  </r>
  <r>
    <x v="351"/>
    <n v="27.645"/>
    <n v="4.6900000000000004"/>
    <x v="1"/>
    <s v="No"/>
    <s v="No"/>
    <s v="No"/>
    <n v="0"/>
    <x v="1"/>
    <x v="2"/>
  </r>
  <r>
    <x v="352"/>
    <n v="22.72"/>
    <n v="5.71"/>
    <x v="1"/>
    <s v="No"/>
    <s v="No"/>
    <s v="No"/>
    <n v="0"/>
    <x v="0"/>
    <x v="2"/>
  </r>
  <r>
    <x v="353"/>
    <n v="36.520000000000003"/>
    <n v="9.07"/>
    <x v="0"/>
    <s v="yes"/>
    <s v="No"/>
    <s v="Yes"/>
    <n v="1"/>
    <x v="1"/>
    <x v="2"/>
  </r>
  <r>
    <x v="354"/>
    <n v="33.96"/>
    <n v="4.99"/>
    <x v="1"/>
    <s v="No"/>
    <s v="No"/>
    <s v="No"/>
    <n v="0"/>
    <x v="0"/>
    <x v="2"/>
  </r>
  <r>
    <x v="355"/>
    <n v="26.695"/>
    <n v="8.31"/>
    <x v="0"/>
    <s v="No"/>
    <s v="No"/>
    <s v="No"/>
    <n v="0"/>
    <x v="0"/>
    <x v="2"/>
  </r>
  <r>
    <x v="356"/>
    <n v="18.45"/>
    <n v="5.07"/>
    <x v="1"/>
    <s v="yes"/>
    <s v="No"/>
    <s v="No"/>
    <n v="0"/>
    <x v="0"/>
    <x v="3"/>
  </r>
  <r>
    <x v="357"/>
    <n v="33.18"/>
    <n v="4.79"/>
    <x v="1"/>
    <s v="No"/>
    <s v="No"/>
    <s v="No"/>
    <n v="0"/>
    <x v="0"/>
    <x v="2"/>
  </r>
  <r>
    <x v="358"/>
    <n v="36.1"/>
    <n v="11.39"/>
    <x v="0"/>
    <s v="yes"/>
    <s v="No"/>
    <s v="No"/>
    <n v="2"/>
    <x v="1"/>
    <x v="2"/>
  </r>
  <r>
    <x v="359"/>
    <n v="22.77"/>
    <n v="6"/>
    <x v="1"/>
    <s v="No"/>
    <s v="No"/>
    <s v="No"/>
    <n v="0"/>
    <x v="0"/>
    <x v="2"/>
  </r>
  <r>
    <x v="360"/>
    <n v="21.24"/>
    <n v="5.13"/>
    <x v="1"/>
    <s v="No"/>
    <s v="No"/>
    <s v="No"/>
    <n v="0"/>
    <x v="0"/>
    <x v="2"/>
  </r>
  <r>
    <x v="361"/>
    <n v="17.600000000000001"/>
    <n v="5.26"/>
    <x v="1"/>
    <s v="yes"/>
    <s v="No"/>
    <s v="No"/>
    <n v="0"/>
    <x v="0"/>
    <x v="3"/>
  </r>
  <r>
    <x v="362"/>
    <n v="26.29"/>
    <n v="6.84"/>
    <x v="0"/>
    <s v="No"/>
    <s v="No"/>
    <s v="No"/>
    <n v="0"/>
    <x v="0"/>
    <x v="2"/>
  </r>
  <r>
    <x v="363"/>
    <n v="35.31"/>
    <n v="9.0399999999999991"/>
    <x v="0"/>
    <s v="No"/>
    <s v="No"/>
    <s v="No"/>
    <n v="0"/>
    <x v="1"/>
    <x v="2"/>
  </r>
  <r>
    <x v="364"/>
    <n v="27.04"/>
    <n v="4.0999999999999996"/>
    <x v="1"/>
    <s v="No"/>
    <s v="No"/>
    <s v="No"/>
    <n v="1"/>
    <x v="0"/>
    <x v="2"/>
  </r>
  <r>
    <x v="365"/>
    <n v="30.23"/>
    <n v="4.2300000000000004"/>
    <x v="1"/>
    <s v="yes"/>
    <s v="No"/>
    <s v="Yes"/>
    <n v="1"/>
    <x v="0"/>
    <x v="2"/>
  </r>
  <r>
    <x v="366"/>
    <n v="30.6"/>
    <n v="6.48"/>
    <x v="1"/>
    <s v="yes"/>
    <s v="No"/>
    <s v="Yes"/>
    <n v="1"/>
    <x v="0"/>
    <x v="2"/>
  </r>
  <r>
    <x v="367"/>
    <n v="26.8"/>
    <n v="5.53"/>
    <x v="1"/>
    <s v="No"/>
    <s v="No"/>
    <s v="No"/>
    <n v="1"/>
    <x v="0"/>
    <x v="2"/>
  </r>
  <r>
    <x v="368"/>
    <n v="16.86"/>
    <n v="4.07"/>
    <x v="1"/>
    <s v="yes"/>
    <s v="No"/>
    <s v="No"/>
    <n v="0"/>
    <x v="0"/>
    <x v="3"/>
  </r>
  <r>
    <x v="369"/>
    <n v="16.3"/>
    <n v="5.51"/>
    <x v="1"/>
    <s v="No"/>
    <s v="No"/>
    <s v="No"/>
    <n v="1"/>
    <x v="0"/>
    <x v="3"/>
  </r>
  <r>
    <x v="370"/>
    <n v="29.81"/>
    <n v="11.66"/>
    <x v="0"/>
    <s v="No"/>
    <s v="No"/>
    <s v="No"/>
    <n v="0"/>
    <x v="0"/>
    <x v="2"/>
  </r>
  <r>
    <x v="371"/>
    <n v="16.329999999999998"/>
    <n v="7.26"/>
    <x v="0"/>
    <s v="yes"/>
    <s v="No"/>
    <s v="No"/>
    <n v="0"/>
    <x v="0"/>
    <x v="3"/>
  </r>
  <r>
    <x v="372"/>
    <n v="16.37"/>
    <n v="4.79"/>
    <x v="1"/>
    <s v="yes"/>
    <s v="No"/>
    <s v="No"/>
    <n v="0"/>
    <x v="0"/>
    <x v="3"/>
  </r>
  <r>
    <x v="373"/>
    <n v="22.42"/>
    <n v="4.68"/>
    <x v="1"/>
    <s v="yes"/>
    <s v="No"/>
    <s v="No"/>
    <n v="1"/>
    <x v="1"/>
    <x v="2"/>
  </r>
  <r>
    <x v="374"/>
    <n v="31.35"/>
    <n v="4.33"/>
    <x v="1"/>
    <s v="yes"/>
    <s v="No"/>
    <s v="Yes"/>
    <n v="1"/>
    <x v="1"/>
    <x v="2"/>
  </r>
  <r>
    <x v="375"/>
    <n v="31.9"/>
    <n v="11.89"/>
    <x v="0"/>
    <s v="No"/>
    <s v="No"/>
    <s v="No"/>
    <n v="0"/>
    <x v="1"/>
    <x v="2"/>
  </r>
  <r>
    <x v="376"/>
    <n v="30.6"/>
    <n v="5.24"/>
    <x v="1"/>
    <s v="No"/>
    <s v="No"/>
    <s v="No"/>
    <n v="0"/>
    <x v="0"/>
    <x v="2"/>
  </r>
  <r>
    <x v="377"/>
    <n v="28.975000000000001"/>
    <n v="7.63"/>
    <x v="0"/>
    <s v="No"/>
    <s v="No"/>
    <s v="No"/>
    <n v="0"/>
    <x v="0"/>
    <x v="2"/>
  </r>
  <r>
    <x v="378"/>
    <n v="24.86"/>
    <n v="8.92"/>
    <x v="0"/>
    <s v="yes"/>
    <s v="No"/>
    <s v="No"/>
    <n v="2"/>
    <x v="1"/>
    <x v="2"/>
  </r>
  <r>
    <x v="379"/>
    <n v="19.54"/>
    <n v="5.37"/>
    <x v="1"/>
    <s v="No"/>
    <s v="No"/>
    <s v="No"/>
    <n v="0"/>
    <x v="0"/>
    <x v="2"/>
  </r>
  <r>
    <x v="380"/>
    <n v="26.74"/>
    <n v="4.3099999999999996"/>
    <x v="1"/>
    <s v="No"/>
    <s v="No"/>
    <s v="No"/>
    <n v="0"/>
    <x v="0"/>
    <x v="2"/>
  </r>
  <r>
    <x v="381"/>
    <n v="22.99"/>
    <n v="10.46"/>
    <x v="0"/>
    <s v="No"/>
    <s v="No"/>
    <s v="No"/>
    <n v="3"/>
    <x v="0"/>
    <x v="2"/>
  </r>
  <r>
    <x v="382"/>
    <n v="31.46"/>
    <n v="7.39"/>
    <x v="0"/>
    <s v="No"/>
    <s v="No"/>
    <s v="No"/>
    <n v="0"/>
    <x v="1"/>
    <x v="2"/>
  </r>
  <r>
    <x v="383"/>
    <n v="30.86"/>
    <n v="6.18"/>
    <x v="1"/>
    <s v="No"/>
    <s v="yes"/>
    <s v="No"/>
    <n v="2"/>
    <x v="0"/>
    <x v="2"/>
  </r>
  <r>
    <x v="384"/>
    <n v="31.96"/>
    <n v="8.86"/>
    <x v="0"/>
    <s v="No"/>
    <s v="No"/>
    <s v="No"/>
    <n v="0"/>
    <x v="0"/>
    <x v="2"/>
  </r>
  <r>
    <x v="385"/>
    <n v="23.76"/>
    <n v="10.96"/>
    <x v="0"/>
    <s v="No"/>
    <s v="No"/>
    <s v="No"/>
    <n v="3"/>
    <x v="0"/>
    <x v="2"/>
  </r>
  <r>
    <x v="386"/>
    <n v="19.38"/>
    <n v="6.28"/>
    <x v="1"/>
    <s v="No"/>
    <s v="No"/>
    <s v="No"/>
    <n v="0"/>
    <x v="0"/>
    <x v="2"/>
  </r>
  <r>
    <x v="387"/>
    <n v="16.21"/>
    <n v="6.29"/>
    <x v="1"/>
    <s v="yes"/>
    <s v="No"/>
    <s v="No"/>
    <n v="1"/>
    <x v="0"/>
    <x v="3"/>
  </r>
  <r>
    <x v="388"/>
    <n v="32.54"/>
    <n v="4.0199999999999996"/>
    <x v="1"/>
    <s v="No"/>
    <s v="yes"/>
    <s v="No"/>
    <n v="1"/>
    <x v="0"/>
    <x v="2"/>
  </r>
  <r>
    <x v="389"/>
    <n v="36.765000000000001"/>
    <n v="11.95"/>
    <x v="0"/>
    <s v="yes"/>
    <s v="No"/>
    <s v="No"/>
    <n v="2"/>
    <x v="1"/>
    <x v="2"/>
  </r>
  <r>
    <x v="390"/>
    <n v="35.909999999999997"/>
    <n v="8.7100000000000009"/>
    <x v="0"/>
    <s v="No"/>
    <s v="No"/>
    <s v="No"/>
    <n v="0"/>
    <x v="1"/>
    <x v="2"/>
  </r>
  <r>
    <x v="391"/>
    <n v="32.06"/>
    <n v="4.67"/>
    <x v="1"/>
    <s v="No"/>
    <s v="yes"/>
    <s v="No"/>
    <n v="1"/>
    <x v="0"/>
    <x v="2"/>
  </r>
  <r>
    <x v="392"/>
    <n v="24.1"/>
    <n v="11.14"/>
    <x v="0"/>
    <s v="yes"/>
    <s v="No"/>
    <s v="No"/>
    <n v="1"/>
    <x v="1"/>
    <x v="2"/>
  </r>
  <r>
    <x v="393"/>
    <n v="27.1"/>
    <n v="9.0500000000000007"/>
    <x v="0"/>
    <s v="No"/>
    <s v="No"/>
    <s v="No"/>
    <n v="2"/>
    <x v="1"/>
    <x v="2"/>
  </r>
  <r>
    <x v="394"/>
    <n v="24.42"/>
    <n v="11.31"/>
    <x v="0"/>
    <s v="No"/>
    <s v="No"/>
    <s v="No"/>
    <n v="0"/>
    <x v="0"/>
    <x v="2"/>
  </r>
  <r>
    <x v="395"/>
    <n v="26.695"/>
    <n v="4.68"/>
    <x v="1"/>
    <s v="yes"/>
    <s v="No"/>
    <s v="No"/>
    <n v="2"/>
    <x v="0"/>
    <x v="2"/>
  </r>
  <r>
    <x v="396"/>
    <n v="27.79"/>
    <n v="6.05"/>
    <x v="1"/>
    <s v="yes"/>
    <s v="yes"/>
    <s v="No"/>
    <n v="1"/>
    <x v="0"/>
    <x v="2"/>
  </r>
  <r>
    <x v="397"/>
    <n v="32.68"/>
    <n v="4.68"/>
    <x v="1"/>
    <s v="yes"/>
    <s v="No"/>
    <s v="No"/>
    <n v="0"/>
    <x v="1"/>
    <x v="2"/>
  </r>
  <r>
    <x v="398"/>
    <n v="26.4"/>
    <n v="9.5"/>
    <x v="0"/>
    <s v="yes"/>
    <s v="No"/>
    <s v="No"/>
    <n v="2"/>
    <x v="1"/>
    <x v="2"/>
  </r>
  <r>
    <x v="399"/>
    <n v="23.655000000000001"/>
    <n v="10.84"/>
    <x v="0"/>
    <s v="yes"/>
    <s v="No"/>
    <s v="Yes"/>
    <n v="1"/>
    <x v="0"/>
    <x v="2"/>
  </r>
  <r>
    <x v="400"/>
    <n v="27.36"/>
    <n v="5.88"/>
    <x v="1"/>
    <s v="No"/>
    <s v="No"/>
    <s v="No"/>
    <n v="2"/>
    <x v="1"/>
    <x v="2"/>
  </r>
  <r>
    <x v="401"/>
    <n v="27.82"/>
    <n v="5.24"/>
    <x v="1"/>
    <s v="yes"/>
    <s v="No"/>
    <s v="No"/>
    <n v="0"/>
    <x v="0"/>
    <x v="2"/>
  </r>
  <r>
    <x v="402"/>
    <n v="25.46"/>
    <n v="11.75"/>
    <x v="0"/>
    <s v="No"/>
    <s v="No"/>
    <s v="No"/>
    <n v="0"/>
    <x v="1"/>
    <x v="2"/>
  </r>
  <r>
    <x v="403"/>
    <n v="25.1"/>
    <n v="6.97"/>
    <x v="0"/>
    <s v="No"/>
    <s v="No"/>
    <s v="No"/>
    <n v="0"/>
    <x v="0"/>
    <x v="2"/>
  </r>
  <r>
    <x v="404"/>
    <n v="32.11"/>
    <n v="4.76"/>
    <x v="1"/>
    <s v="No"/>
    <s v="No"/>
    <s v="No"/>
    <n v="2"/>
    <x v="1"/>
    <x v="2"/>
  </r>
  <r>
    <x v="405"/>
    <n v="29.8"/>
    <n v="8.24"/>
    <x v="0"/>
    <s v="yes"/>
    <s v="No"/>
    <s v="No"/>
    <n v="1"/>
    <x v="0"/>
    <x v="2"/>
  </r>
  <r>
    <x v="406"/>
    <n v="24.01"/>
    <n v="4.76"/>
    <x v="1"/>
    <s v="No"/>
    <s v="No"/>
    <s v="No"/>
    <n v="1"/>
    <x v="0"/>
    <x v="2"/>
  </r>
  <r>
    <x v="407"/>
    <n v="23.21"/>
    <n v="6.03"/>
    <x v="1"/>
    <s v="No"/>
    <s v="No"/>
    <s v="No"/>
    <n v="1"/>
    <x v="1"/>
    <x v="2"/>
  </r>
  <r>
    <x v="408"/>
    <n v="21.2"/>
    <n v="4.07"/>
    <x v="1"/>
    <s v="yes"/>
    <s v="No"/>
    <s v="No"/>
    <n v="1"/>
    <x v="0"/>
    <x v="2"/>
  </r>
  <r>
    <x v="409"/>
    <n v="28.215"/>
    <n v="8.26"/>
    <x v="0"/>
    <s v="yes"/>
    <s v="No"/>
    <s v="No"/>
    <n v="1"/>
    <x v="0"/>
    <x v="2"/>
  </r>
  <r>
    <x v="410"/>
    <n v="38.094999999999999"/>
    <n v="4.76"/>
    <x v="1"/>
    <s v="No"/>
    <s v="No"/>
    <s v="No"/>
    <n v="1"/>
    <x v="1"/>
    <x v="2"/>
  </r>
  <r>
    <x v="411"/>
    <n v="22.61"/>
    <n v="6.13"/>
    <x v="1"/>
    <s v="yes"/>
    <s v="No"/>
    <s v="Yes"/>
    <n v="1"/>
    <x v="0"/>
    <x v="2"/>
  </r>
  <r>
    <x v="412"/>
    <n v="24.32"/>
    <n v="10.47"/>
    <x v="0"/>
    <s v="yes"/>
    <s v="No"/>
    <s v="No"/>
    <n v="2"/>
    <x v="0"/>
    <x v="2"/>
  </r>
  <r>
    <x v="413"/>
    <n v="20.96"/>
    <n v="4.04"/>
    <x v="1"/>
    <s v="yes"/>
    <s v="No"/>
    <s v="No"/>
    <n v="1"/>
    <x v="0"/>
    <x v="2"/>
  </r>
  <r>
    <x v="414"/>
    <n v="19.68"/>
    <n v="5.74"/>
    <x v="1"/>
    <s v="No"/>
    <s v="No"/>
    <s v="No"/>
    <n v="0"/>
    <x v="0"/>
    <x v="2"/>
  </r>
  <r>
    <x v="415"/>
    <n v="18.100000000000001"/>
    <n v="6.33"/>
    <x v="1"/>
    <s v="No"/>
    <s v="No"/>
    <s v="No"/>
    <n v="1"/>
    <x v="0"/>
    <x v="3"/>
  </r>
  <r>
    <x v="416"/>
    <n v="29.64"/>
    <n v="4.28"/>
    <x v="1"/>
    <s v="yes"/>
    <s v="No"/>
    <s v="No"/>
    <n v="0"/>
    <x v="1"/>
    <x v="2"/>
  </r>
  <r>
    <x v="417"/>
    <n v="25.3"/>
    <n v="9.4700000000000006"/>
    <x v="0"/>
    <s v="yes"/>
    <s v="No"/>
    <s v="No"/>
    <n v="2"/>
    <x v="0"/>
    <x v="2"/>
  </r>
  <r>
    <x v="418"/>
    <n v="27.6"/>
    <n v="4.8499999999999996"/>
    <x v="1"/>
    <s v="yes"/>
    <s v="No"/>
    <s v="No"/>
    <n v="0"/>
    <x v="1"/>
    <x v="2"/>
  </r>
  <r>
    <x v="419"/>
    <n v="27.645"/>
    <n v="11.03"/>
    <x v="0"/>
    <s v="yes"/>
    <s v="No"/>
    <s v="No"/>
    <n v="1"/>
    <x v="0"/>
    <x v="2"/>
  </r>
  <r>
    <x v="420"/>
    <n v="27.6"/>
    <n v="5.22"/>
    <x v="1"/>
    <s v="No"/>
    <s v="No"/>
    <s v="No"/>
    <n v="2"/>
    <x v="0"/>
    <x v="2"/>
  </r>
  <r>
    <x v="421"/>
    <n v="25.08"/>
    <n v="9.52"/>
    <x v="0"/>
    <s v="yes"/>
    <s v="No"/>
    <s v="No"/>
    <n v="2"/>
    <x v="1"/>
    <x v="2"/>
  </r>
  <r>
    <x v="422"/>
    <n v="30.02"/>
    <n v="11.09"/>
    <x v="0"/>
    <s v="No"/>
    <s v="No"/>
    <s v="No"/>
    <n v="0"/>
    <x v="1"/>
    <x v="2"/>
  </r>
  <r>
    <x v="423"/>
    <n v="27.36"/>
    <n v="9.4499999999999993"/>
    <x v="0"/>
    <s v="yes"/>
    <s v="No"/>
    <s v="No"/>
    <n v="2"/>
    <x v="0"/>
    <x v="2"/>
  </r>
  <r>
    <x v="424"/>
    <n v="22.2"/>
    <n v="5.51"/>
    <x v="1"/>
    <s v="No"/>
    <s v="No"/>
    <s v="No"/>
    <n v="0"/>
    <x v="0"/>
    <x v="2"/>
  </r>
  <r>
    <x v="425"/>
    <n v="25.71"/>
    <n v="4.18"/>
    <x v="1"/>
    <s v="No"/>
    <s v="yes"/>
    <s v="No"/>
    <n v="1"/>
    <x v="0"/>
    <x v="2"/>
  </r>
  <r>
    <x v="426"/>
    <n v="41.91"/>
    <n v="5.98"/>
    <x v="1"/>
    <s v="yes"/>
    <s v="No"/>
    <s v="No"/>
    <n v="1"/>
    <x v="1"/>
    <x v="2"/>
  </r>
  <r>
    <x v="427"/>
    <n v="25.85"/>
    <n v="10.16"/>
    <x v="0"/>
    <s v="No"/>
    <s v="No"/>
    <s v="No"/>
    <n v="0"/>
    <x v="0"/>
    <x v="2"/>
  </r>
  <r>
    <x v="428"/>
    <n v="23.844999999999999"/>
    <n v="11.71"/>
    <x v="0"/>
    <s v="No"/>
    <s v="No"/>
    <s v="No"/>
    <n v="2"/>
    <x v="0"/>
    <x v="2"/>
  </r>
  <r>
    <x v="429"/>
    <n v="30.59"/>
    <n v="5.23"/>
    <x v="1"/>
    <s v="No"/>
    <s v="No"/>
    <s v="Yes"/>
    <n v="1"/>
    <x v="1"/>
    <x v="2"/>
  </r>
  <r>
    <x v="430"/>
    <n v="24.795000000000002"/>
    <n v="6.85"/>
    <x v="0"/>
    <s v="No"/>
    <s v="No"/>
    <s v="No"/>
    <n v="0"/>
    <x v="0"/>
    <x v="2"/>
  </r>
  <r>
    <x v="431"/>
    <n v="24.13"/>
    <n v="7.05"/>
    <x v="0"/>
    <s v="yes"/>
    <s v="No"/>
    <s v="No"/>
    <n v="2"/>
    <x v="0"/>
    <x v="2"/>
  </r>
  <r>
    <x v="432"/>
    <n v="25.84"/>
    <n v="11.64"/>
    <x v="0"/>
    <s v="No"/>
    <s v="No"/>
    <s v="No"/>
    <n v="2"/>
    <x v="0"/>
    <x v="2"/>
  </r>
  <r>
    <x v="433"/>
    <n v="28"/>
    <n v="10.52"/>
    <x v="0"/>
    <s v="No"/>
    <s v="No"/>
    <s v="No"/>
    <n v="0"/>
    <x v="0"/>
    <x v="2"/>
  </r>
  <r>
    <x v="434"/>
    <n v="34.1"/>
    <n v="4.01"/>
    <x v="1"/>
    <s v="yes"/>
    <s v="No"/>
    <s v="Yes"/>
    <n v="1"/>
    <x v="1"/>
    <x v="2"/>
  </r>
  <r>
    <x v="435"/>
    <n v="26.125"/>
    <n v="8.56"/>
    <x v="0"/>
    <s v="yes"/>
    <s v="No"/>
    <s v="No"/>
    <n v="1"/>
    <x v="0"/>
    <x v="2"/>
  </r>
  <r>
    <x v="436"/>
    <n v="25.6"/>
    <n v="10.5"/>
    <x v="0"/>
    <s v="No"/>
    <s v="No"/>
    <s v="No"/>
    <n v="2"/>
    <x v="0"/>
    <x v="2"/>
  </r>
  <r>
    <x v="437"/>
    <n v="24.32"/>
    <n v="6.39"/>
    <x v="0"/>
    <s v="No"/>
    <s v="No"/>
    <s v="No"/>
    <n v="0"/>
    <x v="1"/>
    <x v="2"/>
  </r>
  <r>
    <x v="438"/>
    <n v="22.88"/>
    <n v="5.71"/>
    <x v="1"/>
    <s v="yes"/>
    <s v="No"/>
    <s v="Yes"/>
    <n v="1"/>
    <x v="0"/>
    <x v="2"/>
  </r>
  <r>
    <x v="439"/>
    <n v="24.984999999999999"/>
    <n v="4.43"/>
    <x v="1"/>
    <s v="yes"/>
    <s v="No"/>
    <s v="Yes"/>
    <n v="1"/>
    <x v="1"/>
    <x v="2"/>
  </r>
  <r>
    <x v="440"/>
    <n v="33.1"/>
    <n v="5.52"/>
    <x v="1"/>
    <s v="No"/>
    <s v="No"/>
    <s v="Yes"/>
    <n v="1"/>
    <x v="1"/>
    <x v="2"/>
  </r>
  <r>
    <x v="441"/>
    <n v="27.83"/>
    <n v="9.1999999999999993"/>
    <x v="0"/>
    <s v="yes"/>
    <s v="No"/>
    <s v="No"/>
    <n v="1"/>
    <x v="0"/>
    <x v="2"/>
  </r>
  <r>
    <x v="442"/>
    <n v="30.875"/>
    <n v="10.97"/>
    <x v="0"/>
    <s v="yes"/>
    <s v="No"/>
    <s v="No"/>
    <n v="2"/>
    <x v="1"/>
    <x v="2"/>
  </r>
  <r>
    <x v="443"/>
    <n v="27.265000000000001"/>
    <n v="4.25"/>
    <x v="1"/>
    <s v="No"/>
    <s v="No"/>
    <s v="Yes"/>
    <n v="1"/>
    <x v="1"/>
    <x v="2"/>
  </r>
  <r>
    <x v="444"/>
    <n v="26.7"/>
    <n v="5.23"/>
    <x v="1"/>
    <s v="No"/>
    <s v="No"/>
    <s v="Yes"/>
    <n v="1"/>
    <x v="0"/>
    <x v="2"/>
  </r>
  <r>
    <x v="445"/>
    <n v="29.925000000000001"/>
    <n v="5.96"/>
    <x v="1"/>
    <s v="yes"/>
    <s v="No"/>
    <s v="Yes"/>
    <n v="1"/>
    <x v="0"/>
    <x v="2"/>
  </r>
  <r>
    <x v="446"/>
    <n v="19.95"/>
    <n v="4.29"/>
    <x v="1"/>
    <s v="yes"/>
    <s v="No"/>
    <s v="No"/>
    <n v="2"/>
    <x v="0"/>
    <x v="2"/>
  </r>
  <r>
    <x v="447"/>
    <n v="24.225000000000001"/>
    <n v="4.09"/>
    <x v="1"/>
    <s v="No"/>
    <s v="No"/>
    <s v="No"/>
    <n v="0"/>
    <x v="1"/>
    <x v="2"/>
  </r>
  <r>
    <x v="448"/>
    <n v="28.12"/>
    <n v="4.88"/>
    <x v="1"/>
    <s v="No"/>
    <s v="No"/>
    <s v="No"/>
    <n v="0"/>
    <x v="0"/>
    <x v="2"/>
  </r>
  <r>
    <x v="449"/>
    <n v="23.21"/>
    <n v="6.76"/>
    <x v="0"/>
    <s v="No"/>
    <s v="No"/>
    <s v="No"/>
    <n v="0"/>
    <x v="0"/>
    <x v="2"/>
  </r>
  <r>
    <x v="450"/>
    <n v="23.98"/>
    <n v="10.67"/>
    <x v="0"/>
    <s v="No"/>
    <s v="No"/>
    <s v="No"/>
    <n v="0"/>
    <x v="1"/>
    <x v="2"/>
  </r>
  <r>
    <x v="451"/>
    <n v="30"/>
    <n v="6.21"/>
    <x v="1"/>
    <s v="No"/>
    <s v="No"/>
    <s v="No"/>
    <n v="0"/>
    <x v="0"/>
    <x v="2"/>
  </r>
  <r>
    <x v="452"/>
    <n v="17.350000000000001"/>
    <n v="5.03"/>
    <x v="1"/>
    <s v="yes"/>
    <s v="No"/>
    <s v="No"/>
    <n v="0"/>
    <x v="0"/>
    <x v="3"/>
  </r>
  <r>
    <x v="453"/>
    <n v="22.704999999999998"/>
    <n v="5.27"/>
    <x v="1"/>
    <s v="No"/>
    <s v="No"/>
    <s v="No"/>
    <n v="0"/>
    <x v="1"/>
    <x v="2"/>
  </r>
  <r>
    <x v="454"/>
    <n v="25.41"/>
    <n v="10.53"/>
    <x v="0"/>
    <s v="yes"/>
    <s v="No"/>
    <s v="No"/>
    <n v="1"/>
    <x v="0"/>
    <x v="2"/>
  </r>
  <r>
    <x v="455"/>
    <n v="18.23"/>
    <n v="5.78"/>
    <x v="1"/>
    <s v="No"/>
    <s v="No"/>
    <s v="Yes"/>
    <n v="1"/>
    <x v="0"/>
    <x v="3"/>
  </r>
  <r>
    <x v="456"/>
    <n v="24.7"/>
    <n v="4.3600000000000003"/>
    <x v="1"/>
    <s v="No"/>
    <s v="No"/>
    <s v="Yes"/>
    <n v="1"/>
    <x v="0"/>
    <x v="2"/>
  </r>
  <r>
    <x v="457"/>
    <n v="37.4"/>
    <n v="9.7200000000000006"/>
    <x v="0"/>
    <s v="yes"/>
    <s v="No"/>
    <s v="Yes"/>
    <n v="1"/>
    <x v="1"/>
    <x v="2"/>
  </r>
  <r>
    <x v="458"/>
    <n v="26.885000000000002"/>
    <n v="5.18"/>
    <x v="1"/>
    <s v="No"/>
    <s v="No"/>
    <s v="Yes"/>
    <n v="1"/>
    <x v="0"/>
    <x v="2"/>
  </r>
  <r>
    <x v="459"/>
    <n v="25.27"/>
    <n v="5.29"/>
    <x v="1"/>
    <s v="No"/>
    <s v="No"/>
    <s v="Yes"/>
    <n v="1"/>
    <x v="0"/>
    <x v="2"/>
  </r>
  <r>
    <x v="460"/>
    <n v="23.655000000000001"/>
    <n v="4.8600000000000003"/>
    <x v="1"/>
    <s v="yes"/>
    <s v="No"/>
    <s v="No"/>
    <n v="0"/>
    <x v="0"/>
    <x v="2"/>
  </r>
  <r>
    <x v="461"/>
    <n v="55.05"/>
    <n v="7.66"/>
    <x v="0"/>
    <s v="No"/>
    <s v="No"/>
    <s v="No"/>
    <n v="0"/>
    <x v="1"/>
    <x v="2"/>
  </r>
  <r>
    <x v="462"/>
    <n v="24.89"/>
    <n v="6.1"/>
    <x v="1"/>
    <s v="yes"/>
    <s v="No"/>
    <s v="Yes"/>
    <n v="1"/>
    <x v="0"/>
    <x v="2"/>
  </r>
  <r>
    <x v="463"/>
    <n v="18.715"/>
    <n v="4.4400000000000004"/>
    <x v="1"/>
    <s v="No"/>
    <s v="No"/>
    <s v="No"/>
    <n v="0"/>
    <x v="1"/>
    <x v="2"/>
  </r>
  <r>
    <x v="464"/>
    <n v="28.12"/>
    <n v="6.15"/>
    <x v="1"/>
    <s v="No"/>
    <s v="No"/>
    <s v="No"/>
    <n v="0"/>
    <x v="0"/>
    <x v="2"/>
  </r>
  <r>
    <x v="465"/>
    <n v="26.6"/>
    <n v="4.53"/>
    <x v="1"/>
    <s v="No"/>
    <s v="No"/>
    <s v="No"/>
    <n v="0"/>
    <x v="0"/>
    <x v="2"/>
  </r>
  <r>
    <x v="466"/>
    <n v="30.114999999999998"/>
    <n v="5.48"/>
    <x v="1"/>
    <s v="No"/>
    <s v="yes"/>
    <s v="No"/>
    <n v="1"/>
    <x v="1"/>
    <x v="2"/>
  </r>
  <r>
    <x v="467"/>
    <n v="24.605"/>
    <n v="5.48"/>
    <x v="1"/>
    <s v="No"/>
    <s v="No"/>
    <s v="No"/>
    <n v="0"/>
    <x v="0"/>
    <x v="2"/>
  </r>
  <r>
    <x v="468"/>
    <n v="29.6"/>
    <n v="8.1"/>
    <x v="0"/>
    <s v="No"/>
    <s v="No"/>
    <s v="No"/>
    <n v="0"/>
    <x v="1"/>
    <x v="2"/>
  </r>
  <r>
    <x v="469"/>
    <n v="24.42"/>
    <n v="7.16"/>
    <x v="0"/>
    <s v="No"/>
    <s v="No"/>
    <s v="No"/>
    <n v="0"/>
    <x v="0"/>
    <x v="2"/>
  </r>
  <r>
    <x v="470"/>
    <n v="20.9"/>
    <n v="4.55"/>
    <x v="1"/>
    <s v="yes"/>
    <s v="No"/>
    <s v="Yes"/>
    <n v="1"/>
    <x v="0"/>
    <x v="2"/>
  </r>
  <r>
    <x v="471"/>
    <n v="22.895"/>
    <n v="6.03"/>
    <x v="1"/>
    <s v="No"/>
    <s v="No"/>
    <s v="No"/>
    <n v="0"/>
    <x v="0"/>
    <x v="2"/>
  </r>
  <r>
    <x v="472"/>
    <n v="28.3"/>
    <n v="5.47"/>
    <x v="1"/>
    <s v="yes"/>
    <s v="No"/>
    <s v="Yes"/>
    <n v="1"/>
    <x v="0"/>
    <x v="2"/>
  </r>
  <r>
    <x v="473"/>
    <n v="54.3"/>
    <n v="4.1500000000000004"/>
    <x v="1"/>
    <s v="yes"/>
    <s v="No"/>
    <s v="No"/>
    <n v="1"/>
    <x v="1"/>
    <x v="2"/>
  </r>
  <r>
    <x v="474"/>
    <n v="33.344999999999999"/>
    <n v="11.32"/>
    <x v="0"/>
    <s v="yes"/>
    <s v="No"/>
    <s v="No"/>
    <n v="1"/>
    <x v="1"/>
    <x v="2"/>
  </r>
  <r>
    <x v="475"/>
    <n v="33"/>
    <n v="9.51"/>
    <x v="0"/>
    <s v="yes"/>
    <s v="No"/>
    <s v="No"/>
    <n v="0"/>
    <x v="1"/>
    <x v="2"/>
  </r>
  <r>
    <x v="476"/>
    <n v="28.024999999999999"/>
    <n v="7.67"/>
    <x v="0"/>
    <s v="yes"/>
    <s v="No"/>
    <s v="No"/>
    <n v="1"/>
    <x v="0"/>
    <x v="2"/>
  </r>
  <r>
    <x v="477"/>
    <n v="28.69"/>
    <n v="6.23"/>
    <x v="1"/>
    <s v="No"/>
    <s v="No"/>
    <s v="No"/>
    <n v="1"/>
    <x v="0"/>
    <x v="2"/>
  </r>
  <r>
    <x v="478"/>
    <n v="40.28"/>
    <n v="8.9"/>
    <x v="0"/>
    <s v="No"/>
    <s v="No"/>
    <s v="No"/>
    <n v="0"/>
    <x v="1"/>
    <x v="2"/>
  </r>
  <r>
    <x v="479"/>
    <n v="37.299999999999997"/>
    <n v="7.79"/>
    <x v="0"/>
    <s v="yes"/>
    <s v="No"/>
    <s v="No"/>
    <n v="0"/>
    <x v="1"/>
    <x v="2"/>
  </r>
  <r>
    <x v="480"/>
    <n v="54.47"/>
    <n v="4.49"/>
    <x v="1"/>
    <s v="yes"/>
    <s v="No"/>
    <s v="No"/>
    <n v="2"/>
    <x v="1"/>
    <x v="2"/>
  </r>
  <r>
    <x v="481"/>
    <n v="38.06"/>
    <n v="5.24"/>
    <x v="1"/>
    <s v="yes"/>
    <s v="No"/>
    <s v="Yes"/>
    <n v="1"/>
    <x v="1"/>
    <x v="2"/>
  </r>
  <r>
    <x v="482"/>
    <n v="51.47"/>
    <n v="9.6"/>
    <x v="0"/>
    <s v="No"/>
    <s v="No"/>
    <s v="No"/>
    <n v="0"/>
    <x v="1"/>
    <x v="2"/>
  </r>
  <r>
    <x v="483"/>
    <n v="29.8"/>
    <n v="5.78"/>
    <x v="1"/>
    <s v="yes"/>
    <s v="No"/>
    <s v="No"/>
    <n v="0"/>
    <x v="1"/>
    <x v="2"/>
  </r>
  <r>
    <x v="484"/>
    <n v="49.77"/>
    <n v="7.02"/>
    <x v="0"/>
    <s v="No"/>
    <s v="No"/>
    <s v="No"/>
    <n v="0"/>
    <x v="1"/>
    <x v="2"/>
  </r>
  <r>
    <x v="485"/>
    <n v="25.555"/>
    <n v="4.09"/>
    <x v="1"/>
    <s v="yes"/>
    <s v="No"/>
    <s v="No"/>
    <n v="0"/>
    <x v="0"/>
    <x v="2"/>
  </r>
  <r>
    <x v="486"/>
    <n v="29.64"/>
    <n v="4.93"/>
    <x v="1"/>
    <s v="No"/>
    <s v="No"/>
    <s v="Yes"/>
    <n v="1"/>
    <x v="1"/>
    <x v="2"/>
  </r>
  <r>
    <x v="487"/>
    <n v="53.93"/>
    <n v="5.34"/>
    <x v="1"/>
    <s v="yes"/>
    <s v="No"/>
    <s v="No"/>
    <n v="2"/>
    <x v="1"/>
    <x v="2"/>
  </r>
  <r>
    <x v="488"/>
    <n v="28.024999999999999"/>
    <n v="5.65"/>
    <x v="1"/>
    <s v="No"/>
    <s v="No"/>
    <s v="No"/>
    <n v="1"/>
    <x v="0"/>
    <x v="2"/>
  </r>
  <r>
    <x v="489"/>
    <n v="27.5"/>
    <n v="4.49"/>
    <x v="1"/>
    <s v="No"/>
    <s v="No"/>
    <s v="No"/>
    <n v="0"/>
    <x v="1"/>
    <x v="2"/>
  </r>
  <r>
    <x v="490"/>
    <n v="21.8"/>
    <n v="10.55"/>
    <x v="0"/>
    <s v="No"/>
    <s v="No"/>
    <s v="No"/>
    <n v="0"/>
    <x v="0"/>
    <x v="2"/>
  </r>
  <r>
    <x v="491"/>
    <n v="26.41"/>
    <n v="4.92"/>
    <x v="1"/>
    <s v="yes"/>
    <s v="No"/>
    <s v="Yes"/>
    <n v="1"/>
    <x v="0"/>
    <x v="2"/>
  </r>
  <r>
    <x v="492"/>
    <n v="27.835000000000001"/>
    <n v="5.9"/>
    <x v="1"/>
    <s v="yes"/>
    <s v="No"/>
    <s v="No"/>
    <n v="1"/>
    <x v="0"/>
    <x v="2"/>
  </r>
  <r>
    <x v="493"/>
    <n v="51.74"/>
    <n v="4.9800000000000004"/>
    <x v="1"/>
    <s v="yes"/>
    <s v="No"/>
    <s v="No"/>
    <n v="2"/>
    <x v="1"/>
    <x v="2"/>
  </r>
  <r>
    <x v="494"/>
    <n v="23.37"/>
    <n v="5.8"/>
    <x v="1"/>
    <s v="No"/>
    <s v="No"/>
    <s v="No"/>
    <n v="0"/>
    <x v="0"/>
    <x v="2"/>
  </r>
  <r>
    <x v="495"/>
    <n v="29.7"/>
    <n v="6.21"/>
    <x v="1"/>
    <s v="yes"/>
    <s v="No"/>
    <s v="Yes"/>
    <n v="1"/>
    <x v="0"/>
    <x v="2"/>
  </r>
  <r>
    <x v="496"/>
    <n v="20.045000000000002"/>
    <n v="6.17"/>
    <x v="1"/>
    <s v="No"/>
    <s v="No"/>
    <s v="Yes"/>
    <n v="1"/>
    <x v="0"/>
    <x v="2"/>
  </r>
  <r>
    <x v="497"/>
    <n v="27.83"/>
    <n v="5.36"/>
    <x v="1"/>
    <s v="No"/>
    <s v="No"/>
    <s v="No"/>
    <n v="2"/>
    <x v="1"/>
    <x v="2"/>
  </r>
  <r>
    <x v="498"/>
    <n v="28.93"/>
    <n v="5.2"/>
    <x v="1"/>
    <s v="No"/>
    <s v="No"/>
    <s v="No"/>
    <n v="0"/>
    <x v="0"/>
    <x v="2"/>
  </r>
  <r>
    <x v="499"/>
    <n v="33.82"/>
    <n v="5.42"/>
    <x v="1"/>
    <s v="No"/>
    <s v="No"/>
    <s v="No"/>
    <n v="0"/>
    <x v="1"/>
    <x v="2"/>
  </r>
  <r>
    <x v="500"/>
    <n v="20.234999999999999"/>
    <n v="6.84"/>
    <x v="0"/>
    <s v="No"/>
    <s v="No"/>
    <s v="No"/>
    <n v="0"/>
    <x v="0"/>
    <x v="2"/>
  </r>
  <r>
    <x v="501"/>
    <n v="49.2"/>
    <n v="10.9"/>
    <x v="0"/>
    <s v="yes"/>
    <s v="No"/>
    <s v="Yes"/>
    <n v="1"/>
    <x v="1"/>
    <x v="2"/>
  </r>
  <r>
    <x v="502"/>
    <n v="26.4"/>
    <n v="4.87"/>
    <x v="1"/>
    <s v="yes"/>
    <s v="No"/>
    <s v="No"/>
    <n v="0"/>
    <x v="0"/>
    <x v="2"/>
  </r>
  <r>
    <x v="503"/>
    <n v="28.38"/>
    <n v="6.07"/>
    <x v="1"/>
    <s v="No"/>
    <s v="No"/>
    <s v="No"/>
    <n v="1"/>
    <x v="0"/>
    <x v="2"/>
  </r>
  <r>
    <x v="504"/>
    <n v="24.64"/>
    <n v="4.33"/>
    <x v="1"/>
    <s v="No"/>
    <s v="No"/>
    <s v="No"/>
    <n v="0"/>
    <x v="0"/>
    <x v="2"/>
  </r>
  <r>
    <x v="505"/>
    <n v="39.71"/>
    <n v="5.83"/>
    <x v="1"/>
    <s v="No"/>
    <s v="No"/>
    <s v="No"/>
    <n v="1"/>
    <x v="1"/>
    <x v="2"/>
  </r>
  <r>
    <x v="506"/>
    <n v="22.22"/>
    <n v="5.5"/>
    <x v="1"/>
    <s v="No"/>
    <s v="No"/>
    <s v="No"/>
    <n v="0"/>
    <x v="0"/>
    <x v="2"/>
  </r>
  <r>
    <x v="507"/>
    <n v="33.344999999999999"/>
    <n v="4.79"/>
    <x v="1"/>
    <s v="No"/>
    <s v="No"/>
    <s v="Yes"/>
    <n v="1"/>
    <x v="1"/>
    <x v="2"/>
  </r>
  <r>
    <x v="508"/>
    <n v="24.42"/>
    <n v="5.81"/>
    <x v="1"/>
    <s v="No"/>
    <s v="No"/>
    <s v="No"/>
    <n v="1"/>
    <x v="0"/>
    <x v="2"/>
  </r>
  <r>
    <x v="509"/>
    <n v="29.81"/>
    <n v="5.58"/>
    <x v="1"/>
    <s v="No"/>
    <s v="No"/>
    <s v="No"/>
    <n v="0"/>
    <x v="0"/>
    <x v="2"/>
  </r>
  <r>
    <x v="510"/>
    <n v="51.18"/>
    <n v="4.4000000000000004"/>
    <x v="1"/>
    <s v="yes"/>
    <s v="No"/>
    <s v="No"/>
    <n v="2"/>
    <x v="1"/>
    <x v="2"/>
  </r>
  <r>
    <x v="511"/>
    <n v="51.37"/>
    <n v="8.18"/>
    <x v="1"/>
    <s v="yes"/>
    <s v="No"/>
    <s v="No"/>
    <n v="0"/>
    <x v="1"/>
    <x v="2"/>
  </r>
  <r>
    <x v="512"/>
    <n v="36.19"/>
    <n v="5.52"/>
    <x v="1"/>
    <s v="yes"/>
    <s v="No"/>
    <s v="No"/>
    <n v="0"/>
    <x v="1"/>
    <x v="2"/>
  </r>
  <r>
    <x v="513"/>
    <n v="25.9"/>
    <n v="4.84"/>
    <x v="1"/>
    <s v="No"/>
    <s v="No"/>
    <s v="No"/>
    <n v="0"/>
    <x v="0"/>
    <x v="2"/>
  </r>
  <r>
    <x v="514"/>
    <n v="35.72"/>
    <n v="4.08"/>
    <x v="1"/>
    <s v="No"/>
    <s v="No"/>
    <s v="Yes"/>
    <n v="1"/>
    <x v="1"/>
    <x v="2"/>
  </r>
  <r>
    <x v="515"/>
    <n v="27.94"/>
    <n v="4.4800000000000004"/>
    <x v="1"/>
    <s v="No"/>
    <s v="No"/>
    <s v="Yes"/>
    <n v="1"/>
    <x v="0"/>
    <x v="2"/>
  </r>
  <r>
    <x v="516"/>
    <n v="27.1"/>
    <n v="5.73"/>
    <x v="1"/>
    <s v="No"/>
    <s v="No"/>
    <s v="No"/>
    <n v="0"/>
    <x v="0"/>
    <x v="2"/>
  </r>
  <r>
    <x v="517"/>
    <n v="18.3"/>
    <n v="5.46"/>
    <x v="1"/>
    <s v="yes"/>
    <s v="No"/>
    <s v="Yes"/>
    <n v="1"/>
    <x v="0"/>
    <x v="3"/>
  </r>
  <r>
    <x v="518"/>
    <n v="25.3"/>
    <n v="5.0199999999999996"/>
    <x v="1"/>
    <s v="yes"/>
    <s v="No"/>
    <s v="No"/>
    <n v="1"/>
    <x v="0"/>
    <x v="2"/>
  </r>
  <r>
    <x v="519"/>
    <n v="38.83"/>
    <n v="6.36"/>
    <x v="1"/>
    <s v="No"/>
    <s v="No"/>
    <s v="No"/>
    <n v="1"/>
    <x v="1"/>
    <x v="2"/>
  </r>
  <r>
    <x v="520"/>
    <n v="27.6"/>
    <n v="5.36"/>
    <x v="1"/>
    <s v="No"/>
    <s v="No"/>
    <s v="No"/>
    <n v="1"/>
    <x v="1"/>
    <x v="2"/>
  </r>
  <r>
    <x v="521"/>
    <n v="46.4"/>
    <n v="8.3699999999999992"/>
    <x v="0"/>
    <s v="yes"/>
    <s v="No"/>
    <s v="Yes"/>
    <n v="1"/>
    <x v="1"/>
    <x v="2"/>
  </r>
  <r>
    <x v="522"/>
    <n v="51.92"/>
    <n v="5.18"/>
    <x v="1"/>
    <s v="yes"/>
    <s v="No"/>
    <s v="Yes"/>
    <n v="1"/>
    <x v="1"/>
    <x v="2"/>
  </r>
  <r>
    <x v="523"/>
    <n v="32.395000000000003"/>
    <n v="5.68"/>
    <x v="1"/>
    <s v="yes"/>
    <s v="No"/>
    <s v="No"/>
    <n v="1"/>
    <x v="1"/>
    <x v="2"/>
  </r>
  <r>
    <x v="524"/>
    <n v="46.19"/>
    <n v="7.31"/>
    <x v="0"/>
    <s v="yes"/>
    <s v="No"/>
    <s v="Yes"/>
    <n v="1"/>
    <x v="1"/>
    <x v="2"/>
  </r>
  <r>
    <x v="525"/>
    <n v="27.93"/>
    <n v="4.67"/>
    <x v="1"/>
    <s v="No"/>
    <s v="No"/>
    <s v="Yes"/>
    <n v="1"/>
    <x v="1"/>
    <x v="2"/>
  </r>
  <r>
    <x v="526"/>
    <n v="45.62"/>
    <n v="6.87"/>
    <x v="0"/>
    <s v="No"/>
    <s v="No"/>
    <s v="No"/>
    <n v="0"/>
    <x v="1"/>
    <x v="2"/>
  </r>
  <r>
    <x v="527"/>
    <n v="35.31"/>
    <n v="5.87"/>
    <x v="1"/>
    <s v="No"/>
    <s v="No"/>
    <s v="Yes"/>
    <n v="1"/>
    <x v="1"/>
    <x v="2"/>
  </r>
  <r>
    <x v="528"/>
    <n v="30.4"/>
    <n v="4.07"/>
    <x v="1"/>
    <s v="yes"/>
    <s v="No"/>
    <s v="No"/>
    <n v="1"/>
    <x v="1"/>
    <x v="2"/>
  </r>
  <r>
    <x v="529"/>
    <n v="20.13"/>
    <n v="6.47"/>
    <x v="1"/>
    <s v="No"/>
    <s v="No"/>
    <s v="Yes"/>
    <n v="1"/>
    <x v="0"/>
    <x v="2"/>
  </r>
  <r>
    <x v="530"/>
    <n v="23.655000000000001"/>
    <n v="5.14"/>
    <x v="1"/>
    <s v="No"/>
    <s v="No"/>
    <s v="No"/>
    <n v="1"/>
    <x v="0"/>
    <x v="2"/>
  </r>
  <r>
    <x v="531"/>
    <n v="49.05"/>
    <n v="9.77"/>
    <x v="0"/>
    <s v="yes"/>
    <s v="No"/>
    <s v="No"/>
    <n v="0"/>
    <x v="1"/>
    <x v="2"/>
  </r>
  <r>
    <x v="532"/>
    <n v="51.94"/>
    <n v="8.8000000000000007"/>
    <x v="0"/>
    <s v="yes"/>
    <s v="No"/>
    <s v="No"/>
    <n v="2"/>
    <x v="1"/>
    <x v="2"/>
  </r>
  <r>
    <x v="533"/>
    <n v="29.83"/>
    <n v="5.84"/>
    <x v="1"/>
    <s v="No"/>
    <s v="No"/>
    <s v="No"/>
    <n v="1"/>
    <x v="0"/>
    <x v="2"/>
  </r>
  <r>
    <x v="534"/>
    <n v="22.6"/>
    <n v="10.43"/>
    <x v="0"/>
    <s v="yes"/>
    <s v="No"/>
    <s v="No"/>
    <n v="1"/>
    <x v="0"/>
    <x v="2"/>
  </r>
  <r>
    <x v="535"/>
    <n v="46.69"/>
    <n v="4.25"/>
    <x v="1"/>
    <s v="yes"/>
    <s v="No"/>
    <s v="No"/>
    <n v="1"/>
    <x v="1"/>
    <x v="2"/>
  </r>
  <r>
    <x v="536"/>
    <n v="28.49"/>
    <n v="4.8899999999999997"/>
    <x v="1"/>
    <s v="No"/>
    <s v="No"/>
    <s v="No"/>
    <n v="0"/>
    <x v="0"/>
    <x v="2"/>
  </r>
  <r>
    <x v="537"/>
    <n v="28.5"/>
    <n v="5.55"/>
    <x v="1"/>
    <s v="yes"/>
    <s v="No"/>
    <s v="No"/>
    <n v="1"/>
    <x v="0"/>
    <x v="2"/>
  </r>
  <r>
    <x v="538"/>
    <n v="24.4"/>
    <n v="4.5199999999999996"/>
    <x v="1"/>
    <s v="No"/>
    <s v="No"/>
    <s v="No"/>
    <n v="1"/>
    <x v="0"/>
    <x v="2"/>
  </r>
  <r>
    <x v="539"/>
    <n v="29.15"/>
    <n v="4.45"/>
    <x v="1"/>
    <s v="yes"/>
    <s v="No"/>
    <s v="No"/>
    <n v="1"/>
    <x v="0"/>
    <x v="2"/>
  </r>
  <r>
    <x v="540"/>
    <n v="27.28"/>
    <n v="4.72"/>
    <x v="1"/>
    <s v="No"/>
    <s v="yes"/>
    <s v="No"/>
    <n v="1"/>
    <x v="0"/>
    <x v="2"/>
  </r>
  <r>
    <x v="541"/>
    <n v="32.229999999999997"/>
    <n v="4.6500000000000004"/>
    <x v="1"/>
    <s v="yes"/>
    <s v="No"/>
    <s v="Yes"/>
    <n v="1"/>
    <x v="1"/>
    <x v="2"/>
  </r>
  <r>
    <x v="542"/>
    <n v="44.2"/>
    <n v="11.34"/>
    <x v="0"/>
    <s v="yes"/>
    <s v="No"/>
    <s v="Yes"/>
    <n v="1"/>
    <x v="1"/>
    <x v="2"/>
  </r>
  <r>
    <x v="543"/>
    <n v="29.734999999999999"/>
    <n v="4.53"/>
    <x v="1"/>
    <s v="No"/>
    <s v="No"/>
    <s v="Yes"/>
    <n v="1"/>
    <x v="1"/>
    <x v="2"/>
  </r>
  <r>
    <x v="544"/>
    <n v="28.31"/>
    <n v="6.35"/>
    <x v="1"/>
    <s v="No"/>
    <s v="No"/>
    <s v="No"/>
    <n v="0"/>
    <x v="0"/>
    <x v="2"/>
  </r>
  <r>
    <x v="545"/>
    <n v="46.62"/>
    <n v="8.51"/>
    <x v="0"/>
    <s v="No"/>
    <s v="No"/>
    <s v="No"/>
    <n v="0"/>
    <x v="1"/>
    <x v="2"/>
  </r>
  <r>
    <x v="546"/>
    <n v="51.75"/>
    <n v="8.59"/>
    <x v="0"/>
    <s v="yes"/>
    <s v="No"/>
    <s v="No"/>
    <n v="1"/>
    <x v="1"/>
    <x v="2"/>
  </r>
  <r>
    <x v="547"/>
    <n v="25.7"/>
    <n v="4.13"/>
    <x v="1"/>
    <s v="yes"/>
    <s v="No"/>
    <s v="No"/>
    <n v="0"/>
    <x v="0"/>
    <x v="2"/>
  </r>
  <r>
    <x v="548"/>
    <n v="31.79"/>
    <n v="4.55"/>
    <x v="1"/>
    <s v="No"/>
    <s v="No"/>
    <s v="No"/>
    <n v="0"/>
    <x v="1"/>
    <x v="2"/>
  </r>
  <r>
    <x v="549"/>
    <n v="24.795000000000002"/>
    <n v="4.5199999999999996"/>
    <x v="1"/>
    <s v="No"/>
    <s v="No"/>
    <s v="No"/>
    <n v="0"/>
    <x v="0"/>
    <x v="2"/>
  </r>
  <r>
    <x v="550"/>
    <n v="53.98"/>
    <n v="5.07"/>
    <x v="1"/>
    <s v="No"/>
    <s v="No"/>
    <s v="Yes"/>
    <n v="1"/>
    <x v="1"/>
    <x v="2"/>
  </r>
  <r>
    <x v="551"/>
    <n v="41.325000000000003"/>
    <n v="4.04"/>
    <x v="1"/>
    <s v="yes"/>
    <s v="No"/>
    <s v="Yes"/>
    <n v="1"/>
    <x v="1"/>
    <x v="2"/>
  </r>
  <r>
    <x v="552"/>
    <n v="51.65"/>
    <n v="5.3"/>
    <x v="1"/>
    <s v="yes"/>
    <s v="No"/>
    <s v="No"/>
    <n v="0"/>
    <x v="1"/>
    <x v="2"/>
  </r>
  <r>
    <x v="553"/>
    <n v="44.52"/>
    <n v="8.64"/>
    <x v="0"/>
    <s v="yes"/>
    <s v="No"/>
    <s v="Yes"/>
    <n v="1"/>
    <x v="1"/>
    <x v="2"/>
  </r>
  <r>
    <x v="554"/>
    <n v="53.29"/>
    <n v="4.03"/>
    <x v="1"/>
    <s v="No"/>
    <s v="No"/>
    <s v="Yes"/>
    <n v="1"/>
    <x v="1"/>
    <x v="2"/>
  </r>
  <r>
    <x v="555"/>
    <n v="46.63"/>
    <n v="4.26"/>
    <x v="1"/>
    <s v="yes"/>
    <s v="No"/>
    <s v="No"/>
    <n v="2"/>
    <x v="1"/>
    <x v="2"/>
  </r>
  <r>
    <x v="556"/>
    <n v="28.88"/>
    <n v="5.35"/>
    <x v="1"/>
    <s v="No"/>
    <s v="No"/>
    <s v="Yes"/>
    <n v="1"/>
    <x v="0"/>
    <x v="2"/>
  </r>
  <r>
    <x v="557"/>
    <n v="23.98"/>
    <n v="4.9000000000000004"/>
    <x v="1"/>
    <s v="No"/>
    <s v="No"/>
    <s v="No"/>
    <n v="0"/>
    <x v="1"/>
    <x v="2"/>
  </r>
  <r>
    <x v="558"/>
    <n v="23.65"/>
    <n v="4.5"/>
    <x v="1"/>
    <s v="No"/>
    <s v="No"/>
    <s v="No"/>
    <n v="0"/>
    <x v="1"/>
    <x v="2"/>
  </r>
  <r>
    <x v="559"/>
    <n v="49.09"/>
    <n v="8.3800000000000008"/>
    <x v="0"/>
    <s v="yes"/>
    <s v="No"/>
    <s v="No"/>
    <n v="2"/>
    <x v="1"/>
    <x v="2"/>
  </r>
  <r>
    <x v="560"/>
    <n v="28.024999999999999"/>
    <n v="7.03"/>
    <x v="0"/>
    <s v="No"/>
    <s v="No"/>
    <s v="No"/>
    <n v="0"/>
    <x v="0"/>
    <x v="2"/>
  </r>
  <r>
    <x v="561"/>
    <n v="43.32"/>
    <n v="8.75"/>
    <x v="0"/>
    <s v="yes"/>
    <s v="No"/>
    <s v="Yes"/>
    <n v="1"/>
    <x v="1"/>
    <x v="2"/>
  </r>
  <r>
    <x v="562"/>
    <n v="45.92"/>
    <n v="9.51"/>
    <x v="0"/>
    <s v="No"/>
    <s v="No"/>
    <s v="No"/>
    <n v="0"/>
    <x v="1"/>
    <x v="2"/>
  </r>
  <r>
    <x v="563"/>
    <n v="44.03"/>
    <n v="9.36"/>
    <x v="0"/>
    <s v="No"/>
    <s v="No"/>
    <s v="No"/>
    <n v="0"/>
    <x v="1"/>
    <x v="2"/>
  </r>
  <r>
    <x v="564"/>
    <n v="24.6"/>
    <n v="4.8099999999999996"/>
    <x v="1"/>
    <s v="No"/>
    <s v="No"/>
    <s v="No"/>
    <n v="0"/>
    <x v="0"/>
    <x v="2"/>
  </r>
  <r>
    <x v="565"/>
    <n v="49.15"/>
    <n v="8.08"/>
    <x v="0"/>
    <s v="No"/>
    <s v="No"/>
    <s v="No"/>
    <n v="0"/>
    <x v="1"/>
    <x v="2"/>
  </r>
  <r>
    <x v="566"/>
    <n v="28.31"/>
    <n v="6.29"/>
    <x v="1"/>
    <s v="No"/>
    <s v="No"/>
    <s v="Yes"/>
    <n v="1"/>
    <x v="0"/>
    <x v="2"/>
  </r>
  <r>
    <x v="567"/>
    <n v="22.99"/>
    <n v="6.29"/>
    <x v="1"/>
    <s v="No"/>
    <s v="No"/>
    <s v="No"/>
    <n v="1"/>
    <x v="0"/>
    <x v="2"/>
  </r>
  <r>
    <x v="568"/>
    <n v="29.07"/>
    <n v="5.12"/>
    <x v="1"/>
    <s v="No"/>
    <s v="No"/>
    <s v="Yes"/>
    <n v="1"/>
    <x v="0"/>
    <x v="2"/>
  </r>
  <r>
    <x v="569"/>
    <n v="42.02"/>
    <n v="9.9499999999999993"/>
    <x v="0"/>
    <s v="yes"/>
    <s v="No"/>
    <s v="Yes"/>
    <n v="1"/>
    <x v="1"/>
    <x v="2"/>
  </r>
  <r>
    <x v="570"/>
    <n v="49.07"/>
    <n v="9.08"/>
    <x v="0"/>
    <s v="yes"/>
    <s v="No"/>
    <s v="No"/>
    <n v="1"/>
    <x v="1"/>
    <x v="2"/>
  </r>
  <r>
    <x v="571"/>
    <n v="19.8"/>
    <n v="4.82"/>
    <x v="1"/>
    <s v="No"/>
    <s v="No"/>
    <s v="No"/>
    <n v="0"/>
    <x v="0"/>
    <x v="2"/>
  </r>
  <r>
    <x v="572"/>
    <n v="27.36"/>
    <n v="4.6500000000000004"/>
    <x v="1"/>
    <s v="No"/>
    <s v="yes"/>
    <s v="No"/>
    <n v="1"/>
    <x v="0"/>
    <x v="2"/>
  </r>
  <r>
    <x v="573"/>
    <n v="42.95"/>
    <n v="5.16"/>
    <x v="1"/>
    <s v="yes"/>
    <s v="No"/>
    <s v="No"/>
    <n v="1"/>
    <x v="1"/>
    <x v="2"/>
  </r>
  <r>
    <x v="574"/>
    <n v="42.66"/>
    <n v="10.44"/>
    <x v="0"/>
    <s v="No"/>
    <s v="No"/>
    <s v="No"/>
    <n v="0"/>
    <x v="1"/>
    <x v="2"/>
  </r>
  <r>
    <x v="575"/>
    <n v="33.630000000000003"/>
    <n v="5.69"/>
    <x v="1"/>
    <s v="No"/>
    <s v="No"/>
    <s v="No"/>
    <n v="1"/>
    <x v="1"/>
    <x v="2"/>
  </r>
  <r>
    <x v="576"/>
    <n v="26.84"/>
    <n v="6.5"/>
    <x v="1"/>
    <s v="No"/>
    <s v="No"/>
    <s v="No"/>
    <n v="0"/>
    <x v="0"/>
    <x v="2"/>
  </r>
  <r>
    <x v="577"/>
    <n v="28.3"/>
    <n v="5.73"/>
    <x v="1"/>
    <s v="No"/>
    <s v="No"/>
    <s v="Yes"/>
    <n v="1"/>
    <x v="0"/>
    <x v="2"/>
  </r>
  <r>
    <x v="578"/>
    <n v="27.06"/>
    <n v="5.74"/>
    <x v="1"/>
    <s v="yes"/>
    <s v="No"/>
    <s v="No"/>
    <n v="0"/>
    <x v="0"/>
    <x v="2"/>
  </r>
  <r>
    <x v="579"/>
    <n v="47.13"/>
    <n v="8.6999999999999993"/>
    <x v="0"/>
    <s v="No"/>
    <s v="No"/>
    <s v="No"/>
    <n v="0"/>
    <x v="1"/>
    <x v="2"/>
  </r>
  <r>
    <x v="580"/>
    <n v="51.72"/>
    <n v="5.09"/>
    <x v="1"/>
    <s v="No"/>
    <s v="No"/>
    <s v="No"/>
    <n v="0"/>
    <x v="1"/>
    <x v="2"/>
  </r>
  <r>
    <x v="581"/>
    <n v="48.59"/>
    <n v="5.57"/>
    <x v="1"/>
    <s v="No"/>
    <s v="No"/>
    <s v="No"/>
    <n v="0"/>
    <x v="1"/>
    <x v="2"/>
  </r>
  <r>
    <x v="582"/>
    <n v="45.18"/>
    <n v="10.87"/>
    <x v="0"/>
    <s v="No"/>
    <s v="No"/>
    <s v="No"/>
    <n v="0"/>
    <x v="1"/>
    <x v="2"/>
  </r>
  <r>
    <x v="583"/>
    <n v="27.9"/>
    <n v="6.02"/>
    <x v="1"/>
    <s v="No"/>
    <s v="No"/>
    <s v="Yes"/>
    <n v="1"/>
    <x v="0"/>
    <x v="2"/>
  </r>
  <r>
    <x v="584"/>
    <n v="51.33"/>
    <n v="7"/>
    <x v="0"/>
    <s v="No"/>
    <s v="No"/>
    <s v="No"/>
    <n v="0"/>
    <x v="1"/>
    <x v="2"/>
  </r>
  <r>
    <x v="585"/>
    <n v="30.59"/>
    <n v="5.56"/>
    <x v="1"/>
    <s v="yes"/>
    <s v="No"/>
    <s v="No"/>
    <n v="1"/>
    <x v="1"/>
    <x v="2"/>
  </r>
  <r>
    <x v="586"/>
    <n v="39.229999999999997"/>
    <n v="8.4499999999999993"/>
    <x v="0"/>
    <s v="No"/>
    <s v="No"/>
    <s v="No"/>
    <n v="0"/>
    <x v="1"/>
    <x v="2"/>
  </r>
  <r>
    <x v="587"/>
    <n v="19.094999999999999"/>
    <n v="6.19"/>
    <x v="1"/>
    <s v="No"/>
    <s v="No"/>
    <s v="No"/>
    <n v="0"/>
    <x v="0"/>
    <x v="2"/>
  </r>
  <r>
    <x v="588"/>
    <n v="49.72"/>
    <n v="7.71"/>
    <x v="0"/>
    <s v="No"/>
    <s v="No"/>
    <s v="No"/>
    <n v="0"/>
    <x v="1"/>
    <x v="2"/>
  </r>
  <r>
    <x v="589"/>
    <n v="21.754999999999999"/>
    <n v="4.63"/>
    <x v="1"/>
    <s v="No"/>
    <s v="No"/>
    <s v="Yes"/>
    <n v="1"/>
    <x v="0"/>
    <x v="2"/>
  </r>
  <r>
    <x v="590"/>
    <n v="48.39"/>
    <n v="4.6100000000000003"/>
    <x v="1"/>
    <s v="No"/>
    <s v="No"/>
    <s v="No"/>
    <n v="0"/>
    <x v="1"/>
    <x v="2"/>
  </r>
  <r>
    <x v="591"/>
    <n v="47.15"/>
    <n v="9.5299999999999994"/>
    <x v="0"/>
    <s v="yes"/>
    <s v="No"/>
    <s v="No"/>
    <n v="1"/>
    <x v="1"/>
    <x v="2"/>
  </r>
  <r>
    <x v="592"/>
    <n v="47.59"/>
    <n v="11.43"/>
    <x v="0"/>
    <s v="yes"/>
    <s v="No"/>
    <s v="No"/>
    <n v="2"/>
    <x v="1"/>
    <x v="2"/>
  </r>
  <r>
    <x v="593"/>
    <n v="39.81"/>
    <n v="7.65"/>
    <x v="0"/>
    <s v="yes"/>
    <s v="No"/>
    <s v="Yes"/>
    <n v="1"/>
    <x v="1"/>
    <x v="2"/>
  </r>
  <r>
    <x v="594"/>
    <n v="31.02"/>
    <n v="5.87"/>
    <x v="1"/>
    <s v="yes"/>
    <s v="No"/>
    <s v="No"/>
    <n v="0"/>
    <x v="1"/>
    <x v="2"/>
  </r>
  <r>
    <x v="595"/>
    <n v="24.75"/>
    <n v="4.3600000000000003"/>
    <x v="1"/>
    <s v="yes"/>
    <s v="No"/>
    <s v="No"/>
    <n v="1"/>
    <x v="0"/>
    <x v="2"/>
  </r>
  <r>
    <x v="596"/>
    <n v="30.114999999999998"/>
    <n v="10.119999999999999"/>
    <x v="0"/>
    <s v="No"/>
    <s v="No"/>
    <s v="No"/>
    <n v="3"/>
    <x v="1"/>
    <x v="2"/>
  </r>
  <r>
    <x v="597"/>
    <n v="26.03"/>
    <n v="4.01"/>
    <x v="1"/>
    <s v="No"/>
    <s v="No"/>
    <s v="Yes"/>
    <n v="1"/>
    <x v="0"/>
    <x v="2"/>
  </r>
  <r>
    <x v="598"/>
    <n v="20.045000000000002"/>
    <n v="4.7699999999999996"/>
    <x v="1"/>
    <s v="yes"/>
    <s v="No"/>
    <s v="No"/>
    <n v="1"/>
    <x v="0"/>
    <x v="2"/>
  </r>
  <r>
    <x v="599"/>
    <n v="40.24"/>
    <n v="6.83"/>
    <x v="1"/>
    <s v="No"/>
    <s v="No"/>
    <s v="No"/>
    <n v="0"/>
    <x v="1"/>
    <x v="2"/>
  </r>
  <r>
    <x v="600"/>
    <n v="43.15"/>
    <n v="6.14"/>
    <x v="1"/>
    <s v="yes"/>
    <s v="No"/>
    <s v="Yes"/>
    <n v="1"/>
    <x v="1"/>
    <x v="2"/>
  </r>
  <r>
    <x v="601"/>
    <n v="27.7"/>
    <n v="5.6"/>
    <x v="1"/>
    <s v="No"/>
    <s v="No"/>
    <s v="Yes"/>
    <n v="1"/>
    <x v="0"/>
    <x v="2"/>
  </r>
  <r>
    <x v="602"/>
    <n v="45.68"/>
    <n v="4.8"/>
    <x v="1"/>
    <s v="No"/>
    <s v="No"/>
    <s v="No"/>
    <n v="2"/>
    <x v="1"/>
    <x v="2"/>
  </r>
  <r>
    <x v="603"/>
    <n v="27.3"/>
    <n v="11.89"/>
    <x v="0"/>
    <s v="No"/>
    <s v="No"/>
    <s v="No"/>
    <n v="0"/>
    <x v="0"/>
    <x v="2"/>
  </r>
  <r>
    <x v="604"/>
    <n v="54.45"/>
    <n v="4.7300000000000004"/>
    <x v="1"/>
    <s v="yes"/>
    <s v="No"/>
    <s v="No"/>
    <n v="1"/>
    <x v="1"/>
    <x v="2"/>
  </r>
  <r>
    <x v="605"/>
    <n v="54.43"/>
    <n v="4.6100000000000003"/>
    <x v="1"/>
    <s v="yes"/>
    <s v="No"/>
    <s v="No"/>
    <n v="1"/>
    <x v="1"/>
    <x v="2"/>
  </r>
  <r>
    <x v="606"/>
    <n v="48.01"/>
    <n v="7.3"/>
    <x v="0"/>
    <s v="No"/>
    <s v="No"/>
    <s v="No"/>
    <n v="0"/>
    <x v="1"/>
    <x v="2"/>
  </r>
  <r>
    <x v="607"/>
    <n v="48.32"/>
    <n v="5.88"/>
    <x v="1"/>
    <s v="No"/>
    <s v="No"/>
    <s v="No"/>
    <n v="0"/>
    <x v="1"/>
    <x v="2"/>
  </r>
  <r>
    <x v="608"/>
    <n v="22.895"/>
    <n v="4.0599999999999996"/>
    <x v="1"/>
    <s v="No"/>
    <s v="No"/>
    <s v="Yes"/>
    <n v="1"/>
    <x v="0"/>
    <x v="2"/>
  </r>
  <r>
    <x v="609"/>
    <n v="54.85"/>
    <n v="4.9000000000000004"/>
    <x v="1"/>
    <s v="No"/>
    <s v="No"/>
    <s v="No"/>
    <n v="1"/>
    <x v="1"/>
    <x v="2"/>
  </r>
  <r>
    <x v="610"/>
    <n v="21.85"/>
    <n v="5.52"/>
    <x v="1"/>
    <s v="No"/>
    <s v="No"/>
    <s v="Yes"/>
    <n v="1"/>
    <x v="0"/>
    <x v="2"/>
  </r>
  <r>
    <x v="611"/>
    <n v="51.86"/>
    <n v="5.2"/>
    <x v="1"/>
    <s v="yes"/>
    <s v="No"/>
    <s v="No"/>
    <n v="0"/>
    <x v="1"/>
    <x v="2"/>
  </r>
  <r>
    <x v="612"/>
    <n v="39.049999999999997"/>
    <n v="7.59"/>
    <x v="0"/>
    <s v="No"/>
    <s v="No"/>
    <s v="No"/>
    <n v="3"/>
    <x v="1"/>
    <x v="2"/>
  </r>
  <r>
    <x v="613"/>
    <n v="31.824999999999999"/>
    <n v="8.2799999999999994"/>
    <x v="0"/>
    <s v="No"/>
    <s v="No"/>
    <s v="No"/>
    <n v="3"/>
    <x v="1"/>
    <x v="2"/>
  </r>
  <r>
    <x v="614"/>
    <n v="46.43"/>
    <n v="6.72"/>
    <x v="0"/>
    <s v="No"/>
    <s v="No"/>
    <s v="No"/>
    <n v="0"/>
    <x v="1"/>
    <x v="2"/>
  </r>
  <r>
    <x v="615"/>
    <n v="53.63"/>
    <n v="5.47"/>
    <x v="1"/>
    <s v="yes"/>
    <s v="No"/>
    <s v="No"/>
    <n v="1"/>
    <x v="1"/>
    <x v="2"/>
  </r>
  <r>
    <x v="616"/>
    <n v="48.7"/>
    <n v="4.71"/>
    <x v="1"/>
    <s v="No"/>
    <s v="No"/>
    <s v="No"/>
    <n v="0"/>
    <x v="1"/>
    <x v="2"/>
  </r>
  <r>
    <x v="617"/>
    <n v="48.81"/>
    <n v="5.49"/>
    <x v="1"/>
    <s v="No"/>
    <s v="No"/>
    <s v="No"/>
    <n v="0"/>
    <x v="1"/>
    <x v="2"/>
  </r>
  <r>
    <x v="618"/>
    <n v="47.53"/>
    <n v="4.72"/>
    <x v="1"/>
    <s v="No"/>
    <s v="No"/>
    <s v="No"/>
    <n v="0"/>
    <x v="1"/>
    <x v="2"/>
  </r>
  <r>
    <x v="619"/>
    <n v="36.85"/>
    <n v="6.7"/>
    <x v="0"/>
    <s v="No"/>
    <s v="No"/>
    <s v="No"/>
    <n v="0"/>
    <x v="1"/>
    <x v="2"/>
  </r>
  <r>
    <x v="620"/>
    <n v="29.3"/>
    <n v="5.5"/>
    <x v="1"/>
    <s v="No"/>
    <s v="No"/>
    <s v="No"/>
    <n v="0"/>
    <x v="1"/>
    <x v="2"/>
  </r>
  <r>
    <x v="621"/>
    <n v="19.3"/>
    <n v="4.46"/>
    <x v="1"/>
    <s v="No"/>
    <s v="No"/>
    <s v="No"/>
    <n v="1"/>
    <x v="0"/>
    <x v="2"/>
  </r>
  <r>
    <x v="622"/>
    <n v="24.13"/>
    <n v="5.29"/>
    <x v="1"/>
    <s v="yes"/>
    <s v="No"/>
    <s v="Yes"/>
    <n v="1"/>
    <x v="0"/>
    <x v="2"/>
  </r>
  <r>
    <x v="623"/>
    <n v="46.7"/>
    <n v="10.99"/>
    <x v="0"/>
    <s v="No"/>
    <s v="No"/>
    <s v="No"/>
    <n v="0"/>
    <x v="1"/>
    <x v="2"/>
  </r>
  <r>
    <x v="624"/>
    <n v="45.27"/>
    <n v="5.2"/>
    <x v="1"/>
    <s v="yes"/>
    <s v="No"/>
    <s v="No"/>
    <n v="0"/>
    <x v="1"/>
    <x v="2"/>
  </r>
  <r>
    <x v="625"/>
    <n v="44.29"/>
    <n v="9.66"/>
    <x v="0"/>
    <s v="No"/>
    <s v="No"/>
    <s v="No"/>
    <n v="2"/>
    <x v="1"/>
    <x v="2"/>
  </r>
  <r>
    <x v="626"/>
    <n v="54.59"/>
    <n v="4.22"/>
    <x v="1"/>
    <s v="yes"/>
    <s v="No"/>
    <s v="No"/>
    <n v="1"/>
    <x v="1"/>
    <x v="2"/>
  </r>
  <r>
    <x v="627"/>
    <n v="32.965000000000003"/>
    <n v="11.78"/>
    <x v="0"/>
    <s v="No"/>
    <s v="No"/>
    <s v="No"/>
    <n v="0"/>
    <x v="1"/>
    <x v="2"/>
  </r>
  <r>
    <x v="628"/>
    <n v="38.049999999999997"/>
    <n v="9.6199999999999992"/>
    <x v="0"/>
    <s v="No"/>
    <s v="No"/>
    <s v="No"/>
    <n v="0"/>
    <x v="1"/>
    <x v="2"/>
  </r>
  <r>
    <x v="629"/>
    <n v="46.14"/>
    <n v="10.78"/>
    <x v="0"/>
    <s v="No"/>
    <s v="No"/>
    <s v="No"/>
    <n v="0"/>
    <x v="1"/>
    <x v="2"/>
  </r>
  <r>
    <x v="630"/>
    <n v="41.325000000000003"/>
    <n v="5.1100000000000003"/>
    <x v="1"/>
    <s v="yes"/>
    <s v="No"/>
    <s v="No"/>
    <n v="2"/>
    <x v="1"/>
    <x v="2"/>
  </r>
  <r>
    <x v="631"/>
    <n v="44.64"/>
    <n v="7.18"/>
    <x v="0"/>
    <s v="No"/>
    <s v="No"/>
    <s v="No"/>
    <n v="0"/>
    <x v="1"/>
    <x v="2"/>
  </r>
  <r>
    <x v="632"/>
    <n v="25.175000000000001"/>
    <n v="4.96"/>
    <x v="1"/>
    <s v="No"/>
    <s v="yes"/>
    <s v="No"/>
    <n v="1"/>
    <x v="1"/>
    <x v="2"/>
  </r>
  <r>
    <x v="633"/>
    <n v="43.11"/>
    <n v="4.67"/>
    <x v="1"/>
    <s v="yes"/>
    <s v="No"/>
    <s v="No"/>
    <n v="0"/>
    <x v="1"/>
    <x v="2"/>
  </r>
  <r>
    <x v="634"/>
    <n v="53.32"/>
    <n v="5.0599999999999996"/>
    <x v="1"/>
    <s v="No"/>
    <s v="No"/>
    <s v="No"/>
    <n v="0"/>
    <x v="1"/>
    <x v="2"/>
  </r>
  <r>
    <x v="635"/>
    <n v="38.04"/>
    <n v="5.0199999999999996"/>
    <x v="1"/>
    <s v="yes"/>
    <s v="No"/>
    <s v="No"/>
    <n v="1"/>
    <x v="1"/>
    <x v="2"/>
  </r>
  <r>
    <x v="636"/>
    <n v="37.9"/>
    <n v="7.76"/>
    <x v="0"/>
    <s v="No"/>
    <s v="No"/>
    <s v="No"/>
    <n v="0"/>
    <x v="1"/>
    <x v="2"/>
  </r>
  <r>
    <x v="637"/>
    <n v="39.6"/>
    <n v="9.32"/>
    <x v="0"/>
    <s v="No"/>
    <s v="No"/>
    <s v="No"/>
    <n v="0"/>
    <x v="1"/>
    <x v="2"/>
  </r>
  <r>
    <x v="638"/>
    <n v="50.92"/>
    <n v="5.31"/>
    <x v="1"/>
    <s v="yes"/>
    <s v="No"/>
    <s v="No"/>
    <n v="1"/>
    <x v="1"/>
    <x v="2"/>
  </r>
  <r>
    <x v="639"/>
    <n v="21.85"/>
    <n v="5.56"/>
    <x v="1"/>
    <s v="yes"/>
    <s v="No"/>
    <s v="No"/>
    <n v="0"/>
    <x v="0"/>
    <x v="2"/>
  </r>
  <r>
    <x v="640"/>
    <n v="36.08"/>
    <n v="7.11"/>
    <x v="0"/>
    <s v="yes"/>
    <s v="No"/>
    <s v="Yes"/>
    <n v="1"/>
    <x v="1"/>
    <x v="2"/>
  </r>
  <r>
    <x v="641"/>
    <n v="40.44"/>
    <n v="5.13"/>
    <x v="1"/>
    <s v="yes"/>
    <s v="No"/>
    <s v="Yes"/>
    <n v="1"/>
    <x v="1"/>
    <x v="2"/>
  </r>
  <r>
    <x v="642"/>
    <n v="38.094999999999999"/>
    <n v="10.199999999999999"/>
    <x v="0"/>
    <s v="No"/>
    <s v="No"/>
    <s v="No"/>
    <n v="0"/>
    <x v="1"/>
    <x v="2"/>
  </r>
  <r>
    <x v="643"/>
    <n v="44.95"/>
    <n v="10.4"/>
    <x v="0"/>
    <s v="No"/>
    <s v="No"/>
    <s v="No"/>
    <n v="0"/>
    <x v="1"/>
    <x v="2"/>
  </r>
  <r>
    <x v="644"/>
    <n v="35.54"/>
    <n v="10.67"/>
    <x v="0"/>
    <s v="No"/>
    <s v="No"/>
    <s v="No"/>
    <n v="0"/>
    <x v="1"/>
    <x v="2"/>
  </r>
  <r>
    <x v="645"/>
    <n v="39.799999999999997"/>
    <n v="4.6500000000000004"/>
    <x v="1"/>
    <s v="yes"/>
    <s v="No"/>
    <s v="No"/>
    <n v="2"/>
    <x v="1"/>
    <x v="2"/>
  </r>
  <r>
    <x v="646"/>
    <n v="33.659999999999997"/>
    <n v="5.65"/>
    <x v="1"/>
    <s v="yes"/>
    <s v="No"/>
    <s v="No"/>
    <n v="2"/>
    <x v="1"/>
    <x v="2"/>
  </r>
  <r>
    <x v="647"/>
    <n v="35.5"/>
    <n v="11.97"/>
    <x v="0"/>
    <s v="No"/>
    <s v="No"/>
    <s v="No"/>
    <n v="0"/>
    <x v="1"/>
    <x v="2"/>
  </r>
  <r>
    <x v="648"/>
    <n v="41.63"/>
    <n v="6.71"/>
    <x v="1"/>
    <s v="No"/>
    <s v="No"/>
    <s v="No"/>
    <n v="0"/>
    <x v="1"/>
    <x v="2"/>
  </r>
  <r>
    <x v="649"/>
    <n v="46.49"/>
    <n v="11.92"/>
    <x v="0"/>
    <s v="No"/>
    <s v="No"/>
    <s v="No"/>
    <n v="0"/>
    <x v="1"/>
    <x v="2"/>
  </r>
  <r>
    <x v="650"/>
    <n v="43.29"/>
    <n v="5.35"/>
    <x v="1"/>
    <s v="No"/>
    <s v="No"/>
    <s v="No"/>
    <n v="2"/>
    <x v="1"/>
    <x v="2"/>
  </r>
  <r>
    <x v="651"/>
    <n v="43.08"/>
    <n v="8.9600000000000009"/>
    <x v="0"/>
    <s v="yes"/>
    <s v="No"/>
    <s v="No"/>
    <n v="1"/>
    <x v="1"/>
    <x v="2"/>
  </r>
  <r>
    <x v="652"/>
    <n v="39.07"/>
    <n v="11.93"/>
    <x v="0"/>
    <s v="No"/>
    <s v="No"/>
    <s v="No"/>
    <n v="0"/>
    <x v="1"/>
    <x v="2"/>
  </r>
  <r>
    <x v="653"/>
    <n v="41.3"/>
    <n v="9.59"/>
    <x v="0"/>
    <s v="No"/>
    <s v="No"/>
    <s v="No"/>
    <n v="0"/>
    <x v="1"/>
    <x v="2"/>
  </r>
  <r>
    <x v="654"/>
    <n v="42.95"/>
    <n v="11.88"/>
    <x v="0"/>
    <s v="yes"/>
    <s v="No"/>
    <s v="No"/>
    <n v="2"/>
    <x v="1"/>
    <x v="2"/>
  </r>
  <r>
    <x v="655"/>
    <n v="46.96"/>
    <n v="4.6399999999999997"/>
    <x v="1"/>
    <s v="No"/>
    <s v="No"/>
    <s v="Yes"/>
    <n v="1"/>
    <x v="1"/>
    <x v="2"/>
  </r>
  <r>
    <x v="656"/>
    <n v="30.495000000000001"/>
    <n v="9.5299999999999994"/>
    <x v="0"/>
    <s v="No"/>
    <s v="No"/>
    <s v="No"/>
    <n v="0"/>
    <x v="1"/>
    <x v="2"/>
  </r>
  <r>
    <x v="657"/>
    <n v="17.954999999999998"/>
    <n v="5.29"/>
    <x v="1"/>
    <s v="yes"/>
    <s v="No"/>
    <s v="No"/>
    <n v="1"/>
    <x v="0"/>
    <x v="3"/>
  </r>
  <r>
    <x v="658"/>
    <n v="25.6"/>
    <n v="10.95"/>
    <x v="0"/>
    <s v="No"/>
    <s v="No"/>
    <s v="No"/>
    <n v="3"/>
    <x v="1"/>
    <x v="2"/>
  </r>
  <r>
    <x v="659"/>
    <n v="34.21"/>
    <n v="9.17"/>
    <x v="0"/>
    <s v="No"/>
    <s v="No"/>
    <s v="No"/>
    <n v="0"/>
    <x v="1"/>
    <x v="2"/>
  </r>
  <r>
    <x v="660"/>
    <n v="39.74"/>
    <n v="7.39"/>
    <x v="0"/>
    <s v="No"/>
    <s v="No"/>
    <s v="No"/>
    <n v="0"/>
    <x v="1"/>
    <x v="2"/>
  </r>
  <r>
    <x v="661"/>
    <n v="49.53"/>
    <n v="9.1300000000000008"/>
    <x v="0"/>
    <s v="yes"/>
    <s v="No"/>
    <s v="No"/>
    <n v="0"/>
    <x v="1"/>
    <x v="2"/>
  </r>
  <r>
    <x v="662"/>
    <n v="39.33"/>
    <n v="10.4"/>
    <x v="0"/>
    <s v="No"/>
    <s v="No"/>
    <s v="No"/>
    <n v="3"/>
    <x v="1"/>
    <x v="2"/>
  </r>
  <r>
    <x v="663"/>
    <n v="39.979999999999997"/>
    <n v="9.4600000000000009"/>
    <x v="0"/>
    <s v="yes"/>
    <s v="No"/>
    <s v="No"/>
    <n v="2"/>
    <x v="1"/>
    <x v="2"/>
  </r>
  <r>
    <x v="664"/>
    <n v="46.51"/>
    <n v="8.69"/>
    <x v="0"/>
    <s v="yes"/>
    <s v="No"/>
    <s v="No"/>
    <n v="0"/>
    <x v="1"/>
    <x v="2"/>
  </r>
  <r>
    <x v="665"/>
    <n v="43.58"/>
    <n v="4.2300000000000004"/>
    <x v="1"/>
    <s v="No"/>
    <s v="No"/>
    <s v="Yes"/>
    <n v="1"/>
    <x v="1"/>
    <x v="2"/>
  </r>
  <r>
    <x v="666"/>
    <n v="42.28"/>
    <n v="9.16"/>
    <x v="0"/>
    <s v="yes"/>
    <s v="No"/>
    <s v="No"/>
    <n v="1"/>
    <x v="1"/>
    <x v="2"/>
  </r>
  <r>
    <x v="667"/>
    <n v="35.520000000000003"/>
    <n v="8.26"/>
    <x v="0"/>
    <s v="No"/>
    <s v="No"/>
    <s v="No"/>
    <n v="0"/>
    <x v="1"/>
    <x v="2"/>
  </r>
  <r>
    <x v="668"/>
    <n v="33.6"/>
    <n v="11.25"/>
    <x v="0"/>
    <s v="No"/>
    <s v="No"/>
    <s v="No"/>
    <n v="0"/>
    <x v="1"/>
    <x v="2"/>
  </r>
  <r>
    <x v="669"/>
    <n v="22.42"/>
    <n v="6.74"/>
    <x v="0"/>
    <s v="No"/>
    <s v="No"/>
    <s v="No"/>
    <n v="0"/>
    <x v="0"/>
    <x v="2"/>
  </r>
  <r>
    <x v="670"/>
    <n v="46.86"/>
    <n v="4.87"/>
    <x v="1"/>
    <s v="No"/>
    <s v="No"/>
    <s v="No"/>
    <n v="0"/>
    <x v="1"/>
    <x v="2"/>
  </r>
  <r>
    <x v="671"/>
    <n v="32.965000000000003"/>
    <n v="6.68"/>
    <x v="0"/>
    <s v="No"/>
    <s v="No"/>
    <s v="No"/>
    <n v="3"/>
    <x v="1"/>
    <x v="2"/>
  </r>
  <r>
    <x v="672"/>
    <n v="39.340000000000003"/>
    <n v="5.0199999999999996"/>
    <x v="1"/>
    <s v="yes"/>
    <s v="No"/>
    <s v="Yes"/>
    <n v="1"/>
    <x v="1"/>
    <x v="2"/>
  </r>
  <r>
    <x v="673"/>
    <n v="47"/>
    <n v="10.64"/>
    <x v="0"/>
    <s v="yes"/>
    <s v="No"/>
    <s v="No"/>
    <n v="0"/>
    <x v="1"/>
    <x v="2"/>
  </r>
  <r>
    <x v="674"/>
    <n v="36.71"/>
    <n v="8.74"/>
    <x v="0"/>
    <s v="yes"/>
    <s v="No"/>
    <s v="No"/>
    <n v="0"/>
    <x v="1"/>
    <x v="2"/>
  </r>
  <r>
    <x v="675"/>
    <n v="53.48"/>
    <n v="5.64"/>
    <x v="1"/>
    <s v="No"/>
    <s v="No"/>
    <s v="No"/>
    <n v="0"/>
    <x v="1"/>
    <x v="2"/>
  </r>
  <r>
    <x v="676"/>
    <n v="35.5"/>
    <n v="10.37"/>
    <x v="0"/>
    <s v="No"/>
    <s v="No"/>
    <s v="No"/>
    <n v="0"/>
    <x v="1"/>
    <x v="2"/>
  </r>
  <r>
    <x v="677"/>
    <n v="36.979999999999997"/>
    <n v="9.56"/>
    <x v="0"/>
    <s v="yes"/>
    <s v="No"/>
    <s v="No"/>
    <n v="0"/>
    <x v="1"/>
    <x v="2"/>
  </r>
  <r>
    <x v="678"/>
    <n v="32.395000000000003"/>
    <n v="8.23"/>
    <x v="0"/>
    <s v="yes"/>
    <s v="No"/>
    <s v="Yes"/>
    <n v="1"/>
    <x v="1"/>
    <x v="2"/>
  </r>
  <r>
    <x v="679"/>
    <n v="32.729999999999997"/>
    <n v="7.03"/>
    <x v="0"/>
    <s v="No"/>
    <s v="No"/>
    <s v="No"/>
    <n v="0"/>
    <x v="1"/>
    <x v="2"/>
  </r>
  <r>
    <x v="680"/>
    <n v="20.52"/>
    <n v="5.45"/>
    <x v="1"/>
    <s v="No"/>
    <s v="No"/>
    <s v="No"/>
    <n v="1"/>
    <x v="0"/>
    <x v="2"/>
  </r>
  <r>
    <x v="681"/>
    <n v="51.72"/>
    <n v="5.76"/>
    <x v="1"/>
    <s v="No"/>
    <s v="No"/>
    <s v="No"/>
    <n v="0"/>
    <x v="1"/>
    <x v="2"/>
  </r>
  <r>
    <x v="682"/>
    <n v="50.2"/>
    <n v="5.4"/>
    <x v="1"/>
    <s v="No"/>
    <s v="No"/>
    <s v="No"/>
    <n v="0"/>
    <x v="1"/>
    <x v="2"/>
  </r>
  <r>
    <x v="683"/>
    <n v="25.52"/>
    <n v="6.35"/>
    <x v="1"/>
    <s v="No"/>
    <s v="No"/>
    <s v="Yes"/>
    <n v="1"/>
    <x v="1"/>
    <x v="2"/>
  </r>
  <r>
    <x v="684"/>
    <n v="35.200000000000003"/>
    <n v="6.26"/>
    <x v="1"/>
    <s v="yes"/>
    <s v="No"/>
    <s v="No"/>
    <n v="2"/>
    <x v="1"/>
    <x v="2"/>
  </r>
  <r>
    <x v="685"/>
    <n v="41.26"/>
    <n v="5.97"/>
    <x v="1"/>
    <s v="yes"/>
    <s v="No"/>
    <s v="No"/>
    <n v="0"/>
    <x v="1"/>
    <x v="2"/>
  </r>
  <r>
    <x v="686"/>
    <n v="17.195"/>
    <n v="5.29"/>
    <x v="1"/>
    <s v="yes"/>
    <s v="No"/>
    <s v="No"/>
    <n v="0"/>
    <x v="0"/>
    <x v="3"/>
  </r>
  <r>
    <x v="687"/>
    <n v="23.085000000000001"/>
    <n v="4.2699999999999996"/>
    <x v="1"/>
    <s v="yes"/>
    <s v="No"/>
    <s v="No"/>
    <n v="2"/>
    <x v="1"/>
    <x v="2"/>
  </r>
  <r>
    <x v="688"/>
    <n v="21.66"/>
    <n v="5.2"/>
    <x v="1"/>
    <s v="yes"/>
    <s v="No"/>
    <s v="No"/>
    <n v="2"/>
    <x v="1"/>
    <x v="2"/>
  </r>
  <r>
    <x v="689"/>
    <n v="36.47"/>
    <n v="8.23"/>
    <x v="0"/>
    <s v="yes"/>
    <s v="No"/>
    <s v="No"/>
    <n v="0"/>
    <x v="1"/>
    <x v="2"/>
  </r>
  <r>
    <x v="690"/>
    <n v="36.08"/>
    <n v="10.33"/>
    <x v="0"/>
    <s v="yes"/>
    <s v="No"/>
    <s v="No"/>
    <n v="0"/>
    <x v="1"/>
    <x v="2"/>
  </r>
  <r>
    <x v="691"/>
    <n v="23.18"/>
    <n v="6.13"/>
    <x v="1"/>
    <s v="No"/>
    <s v="No"/>
    <s v="No"/>
    <n v="0"/>
    <x v="1"/>
    <x v="2"/>
  </r>
  <r>
    <x v="692"/>
    <n v="39.159999999999997"/>
    <n v="8.08"/>
    <x v="0"/>
    <s v="No"/>
    <s v="No"/>
    <s v="No"/>
    <n v="3"/>
    <x v="1"/>
    <x v="2"/>
  </r>
  <r>
    <x v="693"/>
    <n v="38.19"/>
    <n v="10.49"/>
    <x v="0"/>
    <s v="No"/>
    <s v="No"/>
    <s v="No"/>
    <n v="3"/>
    <x v="1"/>
    <x v="2"/>
  </r>
  <r>
    <x v="694"/>
    <n v="26.41"/>
    <n v="8.11"/>
    <x v="0"/>
    <s v="No"/>
    <s v="No"/>
    <s v="No"/>
    <n v="3"/>
    <x v="1"/>
    <x v="2"/>
  </r>
  <r>
    <x v="695"/>
    <n v="28.785"/>
    <n v="6.6"/>
    <x v="1"/>
    <s v="No"/>
    <s v="No"/>
    <s v="No"/>
    <n v="0"/>
    <x v="1"/>
    <x v="2"/>
  </r>
  <r>
    <x v="696"/>
    <n v="26.695"/>
    <n v="10.14"/>
    <x v="0"/>
    <s v="yes"/>
    <s v="No"/>
    <s v="Yes"/>
    <n v="1"/>
    <x v="1"/>
    <x v="2"/>
  </r>
  <r>
    <x v="697"/>
    <n v="32.799999999999997"/>
    <n v="6.06"/>
    <x v="1"/>
    <s v="yes"/>
    <s v="No"/>
    <s v="No"/>
    <n v="1"/>
    <x v="1"/>
    <x v="2"/>
  </r>
  <r>
    <x v="698"/>
    <n v="35.869999999999997"/>
    <n v="9.91"/>
    <x v="0"/>
    <s v="yes"/>
    <s v="No"/>
    <s v="No"/>
    <n v="0"/>
    <x v="1"/>
    <x v="2"/>
  </r>
  <r>
    <x v="699"/>
    <n v="21.66"/>
    <n v="4.1399999999999997"/>
    <x v="1"/>
    <s v="yes"/>
    <s v="No"/>
    <s v="No"/>
    <n v="2"/>
    <x v="1"/>
    <x v="2"/>
  </r>
  <r>
    <x v="700"/>
    <n v="37.72"/>
    <n v="4.38"/>
    <x v="1"/>
    <s v="yes"/>
    <s v="No"/>
    <s v="Yes"/>
    <n v="1"/>
    <x v="1"/>
    <x v="2"/>
  </r>
  <r>
    <x v="701"/>
    <n v="39.700000000000003"/>
    <n v="9.83"/>
    <x v="0"/>
    <s v="No"/>
    <s v="No"/>
    <s v="No"/>
    <n v="3"/>
    <x v="1"/>
    <x v="2"/>
  </r>
  <r>
    <x v="702"/>
    <n v="35.97"/>
    <n v="11.08"/>
    <x v="0"/>
    <s v="No"/>
    <s v="No"/>
    <s v="No"/>
    <n v="3"/>
    <x v="1"/>
    <x v="2"/>
  </r>
  <r>
    <x v="703"/>
    <n v="37.85"/>
    <n v="11.01"/>
    <x v="0"/>
    <s v="No"/>
    <s v="No"/>
    <s v="No"/>
    <n v="0"/>
    <x v="1"/>
    <x v="2"/>
  </r>
  <r>
    <x v="704"/>
    <n v="21.66"/>
    <n v="4.37"/>
    <x v="1"/>
    <s v="No"/>
    <s v="yes"/>
    <s v="No"/>
    <n v="1"/>
    <x v="0"/>
    <x v="2"/>
  </r>
  <r>
    <x v="705"/>
    <n v="39.369999999999997"/>
    <n v="5.91"/>
    <x v="1"/>
    <s v="No"/>
    <s v="No"/>
    <s v="No"/>
    <n v="2"/>
    <x v="1"/>
    <x v="2"/>
  </r>
  <r>
    <x v="706"/>
    <n v="40.880000000000003"/>
    <n v="7.65"/>
    <x v="0"/>
    <s v="No"/>
    <s v="No"/>
    <s v="No"/>
    <n v="0"/>
    <x v="1"/>
    <x v="2"/>
  </r>
  <r>
    <x v="707"/>
    <n v="26.22"/>
    <n v="5.37"/>
    <x v="1"/>
    <s v="yes"/>
    <s v="No"/>
    <s v="No"/>
    <n v="2"/>
    <x v="1"/>
    <x v="2"/>
  </r>
  <r>
    <x v="708"/>
    <n v="25.08"/>
    <n v="5.75"/>
    <x v="1"/>
    <s v="yes"/>
    <s v="No"/>
    <s v="No"/>
    <n v="2"/>
    <x v="1"/>
    <x v="2"/>
  </r>
  <r>
    <x v="709"/>
    <n v="39.1"/>
    <n v="6.79"/>
    <x v="0"/>
    <s v="yes"/>
    <s v="No"/>
    <s v="No"/>
    <n v="2"/>
    <x v="1"/>
    <x v="2"/>
  </r>
  <r>
    <x v="710"/>
    <n v="37.905000000000001"/>
    <n v="7.03"/>
    <x v="0"/>
    <s v="No"/>
    <s v="No"/>
    <s v="No"/>
    <n v="3"/>
    <x v="1"/>
    <x v="2"/>
  </r>
  <r>
    <x v="711"/>
    <n v="43.35"/>
    <n v="5.41"/>
    <x v="1"/>
    <s v="yes"/>
    <s v="No"/>
    <s v="Yes"/>
    <n v="1"/>
    <x v="1"/>
    <x v="2"/>
  </r>
  <r>
    <x v="712"/>
    <n v="36.15"/>
    <n v="8.0500000000000007"/>
    <x v="0"/>
    <s v="No"/>
    <s v="No"/>
    <s v="No"/>
    <n v="0"/>
    <x v="1"/>
    <x v="2"/>
  </r>
  <r>
    <x v="713"/>
    <n v="44.98"/>
    <n v="5.94"/>
    <x v="1"/>
    <s v="No"/>
    <s v="No"/>
    <s v="No"/>
    <n v="1"/>
    <x v="1"/>
    <x v="2"/>
  </r>
  <r>
    <x v="714"/>
    <n v="38.28"/>
    <n v="5.51"/>
    <x v="1"/>
    <s v="No"/>
    <s v="yes"/>
    <s v="No"/>
    <n v="1"/>
    <x v="1"/>
    <x v="2"/>
  </r>
  <r>
    <x v="715"/>
    <n v="32.299999999999997"/>
    <n v="6.55"/>
    <x v="0"/>
    <s v="yes"/>
    <s v="No"/>
    <s v="No"/>
    <n v="2"/>
    <x v="1"/>
    <x v="2"/>
  </r>
  <r>
    <x v="716"/>
    <n v="39.51"/>
    <n v="5.79"/>
    <x v="1"/>
    <s v="yes"/>
    <s v="No"/>
    <s v="No"/>
    <n v="0"/>
    <x v="1"/>
    <x v="2"/>
  </r>
  <r>
    <x v="717"/>
    <n v="50.46"/>
    <n v="4.5599999999999996"/>
    <x v="1"/>
    <s v="No"/>
    <s v="No"/>
    <s v="No"/>
    <n v="0"/>
    <x v="1"/>
    <x v="2"/>
  </r>
  <r>
    <x v="718"/>
    <n v="31.73"/>
    <n v="7"/>
    <x v="0"/>
    <s v="No"/>
    <s v="No"/>
    <s v="No"/>
    <n v="0"/>
    <x v="1"/>
    <x v="2"/>
  </r>
  <r>
    <x v="719"/>
    <n v="32.1"/>
    <n v="6.57"/>
    <x v="0"/>
    <s v="yes"/>
    <s v="No"/>
    <s v="Yes"/>
    <n v="1"/>
    <x v="1"/>
    <x v="2"/>
  </r>
  <r>
    <x v="720"/>
    <n v="27.83"/>
    <n v="11.61"/>
    <x v="0"/>
    <s v="yes"/>
    <s v="No"/>
    <s v="Yes"/>
    <n v="1"/>
    <x v="1"/>
    <x v="2"/>
  </r>
  <r>
    <x v="721"/>
    <n v="27.72"/>
    <n v="8.16"/>
    <x v="0"/>
    <s v="yes"/>
    <s v="No"/>
    <s v="Yes"/>
    <n v="1"/>
    <x v="1"/>
    <x v="2"/>
  </r>
  <r>
    <x v="722"/>
    <n v="36.765000000000001"/>
    <n v="4.4800000000000004"/>
    <x v="1"/>
    <s v="yes"/>
    <s v="No"/>
    <s v="No"/>
    <n v="2"/>
    <x v="1"/>
    <x v="2"/>
  </r>
  <r>
    <x v="723"/>
    <n v="48.36"/>
    <n v="4.08"/>
    <x v="1"/>
    <s v="No"/>
    <s v="No"/>
    <s v="No"/>
    <n v="0"/>
    <x v="1"/>
    <x v="2"/>
  </r>
  <r>
    <x v="724"/>
    <n v="31.445"/>
    <n v="4.4000000000000004"/>
    <x v="1"/>
    <s v="yes"/>
    <s v="No"/>
    <s v="No"/>
    <n v="2"/>
    <x v="1"/>
    <x v="2"/>
  </r>
  <r>
    <x v="725"/>
    <n v="27.55"/>
    <n v="9.02"/>
    <x v="0"/>
    <s v="No"/>
    <s v="No"/>
    <s v="No"/>
    <n v="0"/>
    <x v="1"/>
    <x v="2"/>
  </r>
  <r>
    <x v="726"/>
    <n v="33.11"/>
    <n v="8.06"/>
    <x v="0"/>
    <s v="No"/>
    <s v="No"/>
    <s v="No"/>
    <n v="0"/>
    <x v="1"/>
    <x v="2"/>
  </r>
  <r>
    <x v="727"/>
    <n v="36.85"/>
    <n v="6.21"/>
    <x v="1"/>
    <s v="yes"/>
    <s v="No"/>
    <s v="No"/>
    <n v="2"/>
    <x v="1"/>
    <x v="2"/>
  </r>
  <r>
    <x v="728"/>
    <n v="36.299999999999997"/>
    <n v="5.79"/>
    <x v="1"/>
    <s v="yes"/>
    <s v="No"/>
    <s v="No"/>
    <n v="2"/>
    <x v="1"/>
    <x v="2"/>
  </r>
  <r>
    <x v="44"/>
    <n v="45.34"/>
    <n v="5.69"/>
    <x v="1"/>
    <s v="yes"/>
    <s v="No"/>
    <s v="No"/>
    <n v="0"/>
    <x v="1"/>
    <x v="2"/>
  </r>
  <r>
    <x v="729"/>
    <n v="31.8"/>
    <n v="5.36"/>
    <x v="1"/>
    <s v="yes"/>
    <s v="No"/>
    <s v="No"/>
    <n v="2"/>
    <x v="1"/>
    <x v="2"/>
  </r>
  <r>
    <x v="730"/>
    <n v="41.02"/>
    <n v="11.37"/>
    <x v="0"/>
    <s v="No"/>
    <s v="No"/>
    <s v="No"/>
    <n v="0"/>
    <x v="1"/>
    <x v="2"/>
  </r>
  <r>
    <x v="731"/>
    <n v="32.68"/>
    <n v="11.87"/>
    <x v="0"/>
    <s v="No"/>
    <s v="No"/>
    <s v="No"/>
    <n v="0"/>
    <x v="1"/>
    <x v="2"/>
  </r>
  <r>
    <x v="732"/>
    <n v="21.7"/>
    <n v="4.9000000000000004"/>
    <x v="1"/>
    <s v="No"/>
    <s v="No"/>
    <s v="Yes"/>
    <n v="1"/>
    <x v="0"/>
    <x v="2"/>
  </r>
  <r>
    <x v="733"/>
    <n v="40.479999999999997"/>
    <n v="6.7"/>
    <x v="0"/>
    <s v="No"/>
    <s v="No"/>
    <s v="No"/>
    <n v="3"/>
    <x v="1"/>
    <x v="2"/>
  </r>
  <r>
    <x v="734"/>
    <n v="34.5"/>
    <n v="10.3"/>
    <x v="0"/>
    <s v="No"/>
    <s v="No"/>
    <s v="No"/>
    <n v="3"/>
    <x v="1"/>
    <x v="2"/>
  </r>
  <r>
    <x v="735"/>
    <n v="45.9"/>
    <n v="11.14"/>
    <x v="0"/>
    <s v="yes"/>
    <s v="No"/>
    <s v="No"/>
    <n v="1"/>
    <x v="1"/>
    <x v="2"/>
  </r>
  <r>
    <x v="736"/>
    <n v="33.479999999999997"/>
    <n v="4.74"/>
    <x v="1"/>
    <s v="yes"/>
    <s v="No"/>
    <s v="No"/>
    <n v="2"/>
    <x v="1"/>
    <x v="2"/>
  </r>
  <r>
    <x v="737"/>
    <n v="28.31"/>
    <n v="5.96"/>
    <x v="1"/>
    <s v="yes"/>
    <s v="No"/>
    <s v="No"/>
    <n v="2"/>
    <x v="1"/>
    <x v="2"/>
  </r>
  <r>
    <x v="738"/>
    <n v="21.565000000000001"/>
    <n v="4.95"/>
    <x v="1"/>
    <s v="No"/>
    <s v="yes"/>
    <s v="No"/>
    <n v="1"/>
    <x v="0"/>
    <x v="2"/>
  </r>
  <r>
    <x v="739"/>
    <n v="35.590000000000003"/>
    <n v="5.21"/>
    <x v="1"/>
    <s v="yes"/>
    <s v="No"/>
    <s v="Yes"/>
    <n v="1"/>
    <x v="1"/>
    <x v="2"/>
  </r>
  <r>
    <x v="740"/>
    <n v="43.44"/>
    <n v="4.8600000000000003"/>
    <x v="1"/>
    <s v="yes"/>
    <s v="No"/>
    <s v="No"/>
    <n v="0"/>
    <x v="1"/>
    <x v="2"/>
  </r>
  <r>
    <x v="741"/>
    <n v="21.754999999999999"/>
    <n v="7.79"/>
    <x v="0"/>
    <s v="yes"/>
    <s v="No"/>
    <s v="No"/>
    <n v="0"/>
    <x v="1"/>
    <x v="2"/>
  </r>
  <r>
    <x v="742"/>
    <n v="44.55"/>
    <n v="7.12"/>
    <x v="0"/>
    <s v="yes"/>
    <s v="No"/>
    <s v="No"/>
    <n v="1"/>
    <x v="1"/>
    <x v="2"/>
  </r>
  <r>
    <x v="743"/>
    <n v="43.32"/>
    <n v="4.67"/>
    <x v="1"/>
    <s v="yes"/>
    <s v="No"/>
    <s v="No"/>
    <n v="0"/>
    <x v="1"/>
    <x v="2"/>
  </r>
  <r>
    <x v="744"/>
    <n v="31.23"/>
    <n v="9.1199999999999992"/>
    <x v="0"/>
    <s v="yes"/>
    <s v="No"/>
    <s v="Yes"/>
    <n v="1"/>
    <x v="1"/>
    <x v="2"/>
  </r>
  <r>
    <x v="745"/>
    <n v="42.81"/>
    <n v="4.1500000000000004"/>
    <x v="1"/>
    <s v="No"/>
    <s v="No"/>
    <s v="No"/>
    <n v="1"/>
    <x v="1"/>
    <x v="2"/>
  </r>
  <r>
    <x v="746"/>
    <n v="35.909999999999997"/>
    <n v="6.72"/>
    <x v="0"/>
    <s v="yes"/>
    <s v="No"/>
    <s v="No"/>
    <n v="2"/>
    <x v="1"/>
    <x v="2"/>
  </r>
  <r>
    <x v="747"/>
    <n v="36.65"/>
    <n v="5.01"/>
    <x v="1"/>
    <s v="yes"/>
    <s v="No"/>
    <s v="Yes"/>
    <n v="1"/>
    <x v="1"/>
    <x v="2"/>
  </r>
  <r>
    <x v="748"/>
    <n v="22.04"/>
    <n v="10.9"/>
    <x v="0"/>
    <s v="yes"/>
    <s v="No"/>
    <s v="No"/>
    <n v="2"/>
    <x v="1"/>
    <x v="2"/>
  </r>
  <r>
    <x v="749"/>
    <n v="31.824999999999999"/>
    <n v="5.52"/>
    <x v="1"/>
    <s v="yes"/>
    <s v="No"/>
    <s v="No"/>
    <n v="1"/>
    <x v="1"/>
    <x v="2"/>
  </r>
  <r>
    <x v="750"/>
    <n v="53.58"/>
    <n v="4.55"/>
    <x v="1"/>
    <s v="No"/>
    <s v="No"/>
    <s v="No"/>
    <n v="1"/>
    <x v="1"/>
    <x v="2"/>
  </r>
  <r>
    <x v="751"/>
    <n v="34.299999999999997"/>
    <n v="11.76"/>
    <x v="0"/>
    <s v="No"/>
    <s v="No"/>
    <s v="No"/>
    <n v="0"/>
    <x v="1"/>
    <x v="2"/>
  </r>
  <r>
    <x v="752"/>
    <n v="32.11"/>
    <n v="7.06"/>
    <x v="0"/>
    <s v="No"/>
    <s v="No"/>
    <s v="No"/>
    <n v="0"/>
    <x v="1"/>
    <x v="2"/>
  </r>
  <r>
    <x v="753"/>
    <n v="31.78"/>
    <n v="11.35"/>
    <x v="0"/>
    <s v="yes"/>
    <s v="No"/>
    <s v="Yes"/>
    <n v="1"/>
    <x v="1"/>
    <x v="2"/>
  </r>
  <r>
    <x v="754"/>
    <n v="46.89"/>
    <n v="5.52"/>
    <x v="1"/>
    <s v="No"/>
    <s v="No"/>
    <s v="No"/>
    <n v="0"/>
    <x v="1"/>
    <x v="2"/>
  </r>
  <r>
    <x v="755"/>
    <n v="39.35"/>
    <n v="7.86"/>
    <x v="0"/>
    <s v="yes"/>
    <s v="No"/>
    <s v="No"/>
    <n v="1"/>
    <x v="1"/>
    <x v="2"/>
  </r>
  <r>
    <x v="756"/>
    <n v="39.200000000000003"/>
    <n v="11.38"/>
    <x v="0"/>
    <s v="No"/>
    <s v="No"/>
    <s v="No"/>
    <n v="0"/>
    <x v="1"/>
    <x v="2"/>
  </r>
  <r>
    <x v="757"/>
    <n v="39.159999999999997"/>
    <n v="10.48"/>
    <x v="0"/>
    <s v="No"/>
    <s v="No"/>
    <s v="No"/>
    <n v="0"/>
    <x v="1"/>
    <x v="2"/>
  </r>
  <r>
    <x v="758"/>
    <n v="44.1"/>
    <n v="5.04"/>
    <x v="1"/>
    <s v="yes"/>
    <s v="No"/>
    <s v="No"/>
    <n v="0"/>
    <x v="1"/>
    <x v="2"/>
  </r>
  <r>
    <x v="759"/>
    <n v="33.200000000000003"/>
    <n v="9.06"/>
    <x v="0"/>
    <s v="No"/>
    <s v="No"/>
    <s v="No"/>
    <n v="0"/>
    <x v="1"/>
    <x v="2"/>
  </r>
  <r>
    <x v="760"/>
    <n v="29.92"/>
    <n v="11.07"/>
    <x v="0"/>
    <s v="No"/>
    <s v="No"/>
    <s v="No"/>
    <n v="0"/>
    <x v="1"/>
    <x v="2"/>
  </r>
  <r>
    <x v="761"/>
    <n v="25"/>
    <n v="10.45"/>
    <x v="0"/>
    <s v="No"/>
    <s v="No"/>
    <s v="No"/>
    <n v="0"/>
    <x v="1"/>
    <x v="2"/>
  </r>
  <r>
    <x v="762"/>
    <n v="38.869999999999997"/>
    <n v="8.6300000000000008"/>
    <x v="0"/>
    <s v="yes"/>
    <s v="No"/>
    <s v="No"/>
    <n v="1"/>
    <x v="1"/>
    <x v="2"/>
  </r>
  <r>
    <x v="763"/>
    <n v="32.299999999999997"/>
    <n v="5.28"/>
    <x v="1"/>
    <s v="yes"/>
    <s v="No"/>
    <s v="No"/>
    <n v="2"/>
    <x v="1"/>
    <x v="2"/>
  </r>
  <r>
    <x v="764"/>
    <n v="31.16"/>
    <n v="7.49"/>
    <x v="0"/>
    <s v="yes"/>
    <s v="No"/>
    <s v="No"/>
    <n v="2"/>
    <x v="1"/>
    <x v="2"/>
  </r>
  <r>
    <x v="765"/>
    <n v="54.59"/>
    <n v="4.2699999999999996"/>
    <x v="1"/>
    <s v="No"/>
    <s v="No"/>
    <s v="No"/>
    <n v="0"/>
    <x v="1"/>
    <x v="2"/>
  </r>
  <r>
    <x v="766"/>
    <n v="21.09"/>
    <n v="9.2200000000000006"/>
    <x v="0"/>
    <s v="yes"/>
    <s v="No"/>
    <s v="No"/>
    <n v="2"/>
    <x v="1"/>
    <x v="2"/>
  </r>
  <r>
    <x v="767"/>
    <n v="52.41"/>
    <n v="5.99"/>
    <x v="1"/>
    <s v="No"/>
    <s v="No"/>
    <s v="No"/>
    <n v="1"/>
    <x v="1"/>
    <x v="2"/>
  </r>
  <r>
    <x v="768"/>
    <n v="41.47"/>
    <n v="5.86"/>
    <x v="1"/>
    <s v="yes"/>
    <s v="No"/>
    <s v="No"/>
    <n v="2"/>
    <x v="1"/>
    <x v="2"/>
  </r>
  <r>
    <x v="769"/>
    <n v="33.1"/>
    <n v="5.19"/>
    <x v="1"/>
    <s v="yes"/>
    <s v="No"/>
    <s v="No"/>
    <n v="2"/>
    <x v="1"/>
    <x v="2"/>
  </r>
  <r>
    <x v="770"/>
    <n v="30.8"/>
    <n v="4.37"/>
    <x v="1"/>
    <s v="yes"/>
    <s v="No"/>
    <s v="No"/>
    <n v="2"/>
    <x v="1"/>
    <x v="2"/>
  </r>
  <r>
    <x v="771"/>
    <n v="42.06"/>
    <n v="5.32"/>
    <x v="1"/>
    <s v="No"/>
    <s v="No"/>
    <s v="No"/>
    <n v="1"/>
    <x v="1"/>
    <x v="2"/>
  </r>
  <r>
    <x v="772"/>
    <n v="39.270000000000003"/>
    <n v="5.64"/>
    <x v="1"/>
    <s v="No"/>
    <s v="No"/>
    <s v="Yes"/>
    <n v="1"/>
    <x v="1"/>
    <x v="2"/>
  </r>
  <r>
    <x v="773"/>
    <n v="30.71"/>
    <n v="5.59"/>
    <x v="1"/>
    <s v="yes"/>
    <s v="No"/>
    <s v="No"/>
    <n v="1"/>
    <x v="1"/>
    <x v="2"/>
  </r>
  <r>
    <x v="774"/>
    <n v="47.19"/>
    <n v="5.29"/>
    <x v="1"/>
    <s v="No"/>
    <s v="No"/>
    <s v="No"/>
    <n v="0"/>
    <x v="1"/>
    <x v="2"/>
  </r>
  <r>
    <x v="775"/>
    <n v="30.02"/>
    <n v="6.65"/>
    <x v="1"/>
    <s v="No"/>
    <s v="No"/>
    <s v="No"/>
    <n v="0"/>
    <x v="1"/>
    <x v="2"/>
  </r>
  <r>
    <x v="776"/>
    <n v="37.909999999999997"/>
    <n v="5.68"/>
    <x v="1"/>
    <s v="yes"/>
    <s v="No"/>
    <s v="No"/>
    <n v="0"/>
    <x v="1"/>
    <x v="2"/>
  </r>
  <r>
    <x v="777"/>
    <n v="54.61"/>
    <n v="4.49"/>
    <x v="1"/>
    <s v="No"/>
    <s v="No"/>
    <s v="No"/>
    <n v="0"/>
    <x v="1"/>
    <x v="2"/>
  </r>
  <r>
    <x v="778"/>
    <n v="36.005000000000003"/>
    <n v="6.9"/>
    <x v="1"/>
    <s v="No"/>
    <s v="No"/>
    <s v="No"/>
    <n v="0"/>
    <x v="1"/>
    <x v="2"/>
  </r>
  <r>
    <x v="779"/>
    <n v="28.7"/>
    <n v="11.52"/>
    <x v="0"/>
    <s v="No"/>
    <s v="No"/>
    <s v="No"/>
    <n v="0"/>
    <x v="1"/>
    <x v="2"/>
  </r>
  <r>
    <x v="780"/>
    <n v="34.295000000000002"/>
    <n v="11.24"/>
    <x v="0"/>
    <s v="No"/>
    <s v="No"/>
    <s v="No"/>
    <n v="0"/>
    <x v="1"/>
    <x v="2"/>
  </r>
  <r>
    <x v="781"/>
    <n v="27.55"/>
    <n v="10.98"/>
    <x v="0"/>
    <s v="No"/>
    <s v="No"/>
    <s v="No"/>
    <n v="0"/>
    <x v="1"/>
    <x v="2"/>
  </r>
  <r>
    <x v="782"/>
    <n v="40.700000000000003"/>
    <n v="5.42"/>
    <x v="1"/>
    <s v="No"/>
    <s v="No"/>
    <s v="No"/>
    <n v="0"/>
    <x v="1"/>
    <x v="2"/>
  </r>
  <r>
    <x v="783"/>
    <n v="18.335000000000001"/>
    <n v="10.97"/>
    <x v="0"/>
    <s v="No"/>
    <s v="No"/>
    <s v="No"/>
    <n v="0"/>
    <x v="1"/>
    <x v="3"/>
  </r>
  <r>
    <x v="784"/>
    <n v="33.914999999999999"/>
    <n v="9.56"/>
    <x v="0"/>
    <s v="yes"/>
    <s v="No"/>
    <s v="No"/>
    <n v="2"/>
    <x v="1"/>
    <x v="2"/>
  </r>
  <r>
    <x v="785"/>
    <n v="33.534999999999997"/>
    <n v="9.4"/>
    <x v="0"/>
    <s v="yes"/>
    <s v="No"/>
    <s v="No"/>
    <n v="2"/>
    <x v="1"/>
    <x v="2"/>
  </r>
  <r>
    <x v="786"/>
    <n v="23.655000000000001"/>
    <n v="8.48"/>
    <x v="0"/>
    <s v="yes"/>
    <s v="No"/>
    <s v="No"/>
    <n v="2"/>
    <x v="1"/>
    <x v="2"/>
  </r>
  <r>
    <x v="787"/>
    <n v="28"/>
    <n v="5.57"/>
    <x v="1"/>
    <s v="No"/>
    <s v="No"/>
    <s v="No"/>
    <n v="0"/>
    <x v="1"/>
    <x v="2"/>
  </r>
  <r>
    <x v="788"/>
    <n v="30.23"/>
    <n v="6.94"/>
    <x v="0"/>
    <s v="yes"/>
    <s v="No"/>
    <s v="Yes"/>
    <n v="1"/>
    <x v="1"/>
    <x v="2"/>
  </r>
  <r>
    <x v="789"/>
    <n v="51.14"/>
    <n v="4.05"/>
    <x v="1"/>
    <s v="No"/>
    <s v="No"/>
    <s v="No"/>
    <n v="1"/>
    <x v="1"/>
    <x v="2"/>
  </r>
  <r>
    <x v="790"/>
    <n v="24.32"/>
    <n v="10.220000000000001"/>
    <x v="0"/>
    <s v="No"/>
    <s v="No"/>
    <s v="No"/>
    <n v="0"/>
    <x v="1"/>
    <x v="2"/>
  </r>
  <r>
    <x v="791"/>
    <n v="38.06"/>
    <n v="9.24"/>
    <x v="0"/>
    <s v="No"/>
    <s v="No"/>
    <s v="No"/>
    <n v="0"/>
    <x v="1"/>
    <x v="2"/>
  </r>
  <r>
    <x v="792"/>
    <n v="37.700000000000003"/>
    <n v="8.6"/>
    <x v="0"/>
    <s v="No"/>
    <s v="No"/>
    <s v="No"/>
    <n v="0"/>
    <x v="1"/>
    <x v="2"/>
  </r>
  <r>
    <x v="793"/>
    <n v="44"/>
    <n v="9.32"/>
    <x v="0"/>
    <s v="yes"/>
    <s v="No"/>
    <s v="No"/>
    <n v="2"/>
    <x v="1"/>
    <x v="2"/>
  </r>
  <r>
    <x v="794"/>
    <n v="41.45"/>
    <n v="6.12"/>
    <x v="1"/>
    <s v="yes"/>
    <s v="No"/>
    <s v="No"/>
    <n v="0"/>
    <x v="1"/>
    <x v="2"/>
  </r>
  <r>
    <x v="795"/>
    <n v="25.364999999999998"/>
    <n v="9.19"/>
    <x v="0"/>
    <s v="yes"/>
    <s v="No"/>
    <s v="No"/>
    <n v="0"/>
    <x v="1"/>
    <x v="2"/>
  </r>
  <r>
    <x v="796"/>
    <n v="34.56"/>
    <n v="5.84"/>
    <x v="1"/>
    <s v="yes"/>
    <s v="No"/>
    <s v="Yes"/>
    <n v="1"/>
    <x v="1"/>
    <x v="2"/>
  </r>
  <r>
    <x v="797"/>
    <n v="28.2"/>
    <n v="7.19"/>
    <x v="0"/>
    <s v="yes"/>
    <s v="No"/>
    <s v="No"/>
    <n v="2"/>
    <x v="1"/>
    <x v="2"/>
  </r>
  <r>
    <x v="798"/>
    <n v="30.43"/>
    <n v="9.39"/>
    <x v="0"/>
    <s v="No"/>
    <s v="No"/>
    <s v="No"/>
    <n v="0"/>
    <x v="1"/>
    <x v="2"/>
  </r>
  <r>
    <x v="799"/>
    <n v="32.395000000000003"/>
    <n v="4.2699999999999996"/>
    <x v="1"/>
    <s v="yes"/>
    <s v="No"/>
    <s v="No"/>
    <n v="1"/>
    <x v="1"/>
    <x v="2"/>
  </r>
  <r>
    <x v="800"/>
    <n v="24.035"/>
    <n v="11.71"/>
    <x v="0"/>
    <s v="No"/>
    <s v="No"/>
    <s v="No"/>
    <n v="0"/>
    <x v="1"/>
    <x v="2"/>
  </r>
  <r>
    <x v="801"/>
    <n v="37.119999999999997"/>
    <n v="5.29"/>
    <x v="1"/>
    <s v="No"/>
    <s v="No"/>
    <s v="No"/>
    <n v="2"/>
    <x v="1"/>
    <x v="2"/>
  </r>
  <r>
    <x v="802"/>
    <n v="34.840000000000003"/>
    <n v="6"/>
    <x v="1"/>
    <s v="yes"/>
    <s v="No"/>
    <s v="Yes"/>
    <n v="1"/>
    <x v="1"/>
    <x v="2"/>
  </r>
  <r>
    <x v="803"/>
    <n v="29.53"/>
    <n v="10.64"/>
    <x v="0"/>
    <s v="No"/>
    <s v="No"/>
    <s v="No"/>
    <n v="0"/>
    <x v="1"/>
    <x v="2"/>
  </r>
  <r>
    <x v="804"/>
    <n v="42.51"/>
    <n v="8.2100000000000009"/>
    <x v="0"/>
    <s v="yes"/>
    <s v="No"/>
    <s v="No"/>
    <n v="0"/>
    <x v="1"/>
    <x v="2"/>
  </r>
  <r>
    <x v="805"/>
    <n v="38.14"/>
    <n v="5.58"/>
    <x v="1"/>
    <s v="No"/>
    <s v="No"/>
    <s v="Yes"/>
    <n v="1"/>
    <x v="1"/>
    <x v="2"/>
  </r>
  <r>
    <x v="806"/>
    <n v="39.93"/>
    <n v="8.75"/>
    <x v="0"/>
    <s v="No"/>
    <s v="No"/>
    <s v="No"/>
    <n v="0"/>
    <x v="1"/>
    <x v="2"/>
  </r>
  <r>
    <x v="807"/>
    <n v="38.83"/>
    <n v="11.86"/>
    <x v="0"/>
    <s v="No"/>
    <s v="No"/>
    <s v="No"/>
    <n v="0"/>
    <x v="1"/>
    <x v="2"/>
  </r>
  <r>
    <x v="808"/>
    <n v="37.4"/>
    <n v="11.46"/>
    <x v="0"/>
    <s v="No"/>
    <s v="No"/>
    <s v="No"/>
    <n v="0"/>
    <x v="1"/>
    <x v="2"/>
  </r>
  <r>
    <x v="809"/>
    <n v="21.4"/>
    <n v="9.0299999999999994"/>
    <x v="0"/>
    <s v="No"/>
    <s v="No"/>
    <s v="No"/>
    <n v="0"/>
    <x v="1"/>
    <x v="2"/>
  </r>
  <r>
    <x v="810"/>
    <n v="38.380000000000003"/>
    <n v="8.26"/>
    <x v="0"/>
    <s v="yes"/>
    <s v="No"/>
    <s v="No"/>
    <n v="2"/>
    <x v="1"/>
    <x v="2"/>
  </r>
  <r>
    <x v="811"/>
    <n v="33.659999999999997"/>
    <n v="5.42"/>
    <x v="1"/>
    <s v="yes"/>
    <s v="No"/>
    <s v="No"/>
    <n v="2"/>
    <x v="1"/>
    <x v="2"/>
  </r>
  <r>
    <x v="812"/>
    <n v="31.79"/>
    <n v="11.33"/>
    <x v="0"/>
    <s v="yes"/>
    <s v="No"/>
    <s v="Yes"/>
    <n v="1"/>
    <x v="1"/>
    <x v="2"/>
  </r>
  <r>
    <x v="813"/>
    <n v="29.7"/>
    <n v="7.69"/>
    <x v="0"/>
    <s v="yes"/>
    <s v="No"/>
    <s v="Yes"/>
    <n v="1"/>
    <x v="1"/>
    <x v="2"/>
  </r>
  <r>
    <x v="814"/>
    <n v="25.46"/>
    <n v="8.77"/>
    <x v="0"/>
    <s v="yes"/>
    <s v="No"/>
    <s v="Yes"/>
    <n v="1"/>
    <x v="1"/>
    <x v="2"/>
  </r>
  <r>
    <x v="815"/>
    <n v="39.14"/>
    <n v="4.91"/>
    <x v="1"/>
    <s v="No"/>
    <s v="yes"/>
    <s v="No"/>
    <n v="1"/>
    <x v="1"/>
    <x v="2"/>
  </r>
  <r>
    <x v="816"/>
    <n v="41.2"/>
    <n v="4.95"/>
    <x v="1"/>
    <s v="No"/>
    <s v="No"/>
    <s v="No"/>
    <n v="1"/>
    <x v="1"/>
    <x v="2"/>
  </r>
  <r>
    <x v="817"/>
    <n v="28.81"/>
    <n v="10.8"/>
    <x v="0"/>
    <s v="yes"/>
    <s v="No"/>
    <s v="Yes"/>
    <n v="1"/>
    <x v="1"/>
    <x v="2"/>
  </r>
  <r>
    <x v="818"/>
    <n v="37.409999999999997"/>
    <n v="7.21"/>
    <x v="0"/>
    <s v="No"/>
    <s v="No"/>
    <s v="No"/>
    <n v="2"/>
    <x v="1"/>
    <x v="2"/>
  </r>
  <r>
    <x v="819"/>
    <n v="52.54"/>
    <n v="5.12"/>
    <x v="1"/>
    <s v="No"/>
    <s v="No"/>
    <s v="Yes"/>
    <n v="1"/>
    <x v="1"/>
    <x v="2"/>
  </r>
  <r>
    <x v="820"/>
    <n v="17.29"/>
    <n v="4.62"/>
    <x v="1"/>
    <s v="No"/>
    <s v="yes"/>
    <s v="No"/>
    <n v="1"/>
    <x v="0"/>
    <x v="3"/>
  </r>
  <r>
    <x v="821"/>
    <n v="31.74"/>
    <n v="7.68"/>
    <x v="0"/>
    <s v="yes"/>
    <s v="No"/>
    <s v="No"/>
    <n v="0"/>
    <x v="1"/>
    <x v="2"/>
  </r>
  <r>
    <x v="822"/>
    <n v="26.504999999999999"/>
    <n v="6.79"/>
    <x v="0"/>
    <s v="yes"/>
    <s v="No"/>
    <s v="Yes"/>
    <n v="1"/>
    <x v="1"/>
    <x v="2"/>
  </r>
  <r>
    <x v="823"/>
    <n v="36.479999999999997"/>
    <n v="11.09"/>
    <x v="0"/>
    <s v="No"/>
    <s v="No"/>
    <s v="No"/>
    <n v="0"/>
    <x v="1"/>
    <x v="2"/>
  </r>
  <r>
    <x v="824"/>
    <n v="39.159999999999997"/>
    <n v="5.24"/>
    <x v="1"/>
    <s v="yes"/>
    <s v="No"/>
    <s v="Yes"/>
    <n v="1"/>
    <x v="1"/>
    <x v="2"/>
  </r>
  <r>
    <x v="825"/>
    <n v="28.22"/>
    <n v="7.51"/>
    <x v="0"/>
    <s v="yes"/>
    <s v="No"/>
    <s v="Yes"/>
    <n v="1"/>
    <x v="1"/>
    <x v="2"/>
  </r>
  <r>
    <x v="826"/>
    <n v="35"/>
    <n v="4.13"/>
    <x v="1"/>
    <s v="No"/>
    <s v="No"/>
    <s v="No"/>
    <n v="2"/>
    <x v="1"/>
    <x v="2"/>
  </r>
  <r>
    <x v="827"/>
    <n v="36.24"/>
    <n v="8.3800000000000008"/>
    <x v="0"/>
    <s v="yes"/>
    <s v="No"/>
    <s v="No"/>
    <n v="1"/>
    <x v="1"/>
    <x v="2"/>
  </r>
  <r>
    <x v="828"/>
    <n v="36.954999999999998"/>
    <n v="8.07"/>
    <x v="0"/>
    <s v="No"/>
    <s v="No"/>
    <s v="No"/>
    <n v="0"/>
    <x v="1"/>
    <x v="2"/>
  </r>
  <r>
    <x v="829"/>
    <n v="29.64"/>
    <n v="8.9499999999999993"/>
    <x v="0"/>
    <s v="No"/>
    <s v="No"/>
    <s v="No"/>
    <n v="0"/>
    <x v="1"/>
    <x v="2"/>
  </r>
  <r>
    <x v="830"/>
    <n v="42.74"/>
    <n v="6.31"/>
    <x v="1"/>
    <s v="yes"/>
    <s v="No"/>
    <s v="No"/>
    <n v="1"/>
    <x v="1"/>
    <x v="2"/>
  </r>
  <r>
    <x v="831"/>
    <n v="36.130000000000003"/>
    <n v="7.19"/>
    <x v="0"/>
    <s v="yes"/>
    <s v="No"/>
    <s v="No"/>
    <n v="2"/>
    <x v="1"/>
    <x v="2"/>
  </r>
  <r>
    <x v="832"/>
    <n v="31.55"/>
    <n v="6.11"/>
    <x v="1"/>
    <s v="yes"/>
    <s v="No"/>
    <s v="No"/>
    <n v="1"/>
    <x v="1"/>
    <x v="2"/>
  </r>
  <r>
    <x v="833"/>
    <n v="52.75"/>
    <n v="6.02"/>
    <x v="1"/>
    <s v="No"/>
    <s v="No"/>
    <s v="No"/>
    <n v="1"/>
    <x v="1"/>
    <x v="2"/>
  </r>
  <r>
    <x v="834"/>
    <n v="36.67"/>
    <n v="11.86"/>
    <x v="0"/>
    <s v="No"/>
    <s v="No"/>
    <s v="No"/>
    <n v="0"/>
    <x v="1"/>
    <x v="2"/>
  </r>
  <r>
    <x v="835"/>
    <n v="38.06"/>
    <n v="8.25"/>
    <x v="0"/>
    <s v="No"/>
    <s v="No"/>
    <s v="No"/>
    <n v="0"/>
    <x v="1"/>
    <x v="2"/>
  </r>
  <r>
    <x v="836"/>
    <n v="38"/>
    <n v="8.1300000000000008"/>
    <x v="0"/>
    <s v="No"/>
    <s v="No"/>
    <s v="No"/>
    <n v="0"/>
    <x v="1"/>
    <x v="2"/>
  </r>
  <r>
    <x v="837"/>
    <n v="35.1"/>
    <n v="10.1"/>
    <x v="0"/>
    <s v="No"/>
    <s v="No"/>
    <s v="No"/>
    <n v="0"/>
    <x v="1"/>
    <x v="2"/>
  </r>
  <r>
    <x v="838"/>
    <n v="33.82"/>
    <n v="5.89"/>
    <x v="1"/>
    <s v="yes"/>
    <s v="No"/>
    <s v="No"/>
    <n v="2"/>
    <x v="1"/>
    <x v="2"/>
  </r>
  <r>
    <x v="839"/>
    <n v="37.43"/>
    <n v="4.97"/>
    <x v="1"/>
    <s v="No"/>
    <s v="No"/>
    <s v="No"/>
    <n v="2"/>
    <x v="1"/>
    <x v="2"/>
  </r>
  <r>
    <x v="840"/>
    <n v="30.5"/>
    <n v="9.9"/>
    <x v="0"/>
    <s v="No"/>
    <s v="No"/>
    <s v="No"/>
    <n v="0"/>
    <x v="1"/>
    <x v="2"/>
  </r>
  <r>
    <x v="841"/>
    <n v="24.53"/>
    <n v="9.0500000000000007"/>
    <x v="0"/>
    <s v="No"/>
    <s v="No"/>
    <s v="No"/>
    <n v="0"/>
    <x v="1"/>
    <x v="2"/>
  </r>
  <r>
    <x v="842"/>
    <n v="25.74"/>
    <n v="10.93"/>
    <x v="0"/>
    <s v="No"/>
    <s v="No"/>
    <s v="No"/>
    <n v="0"/>
    <x v="1"/>
    <x v="2"/>
  </r>
  <r>
    <x v="843"/>
    <n v="34.08"/>
    <n v="7.58"/>
    <x v="0"/>
    <s v="yes"/>
    <s v="No"/>
    <s v="No"/>
    <n v="2"/>
    <x v="1"/>
    <x v="2"/>
  </r>
  <r>
    <x v="844"/>
    <n v="31.35"/>
    <n v="11"/>
    <x v="0"/>
    <s v="yes"/>
    <s v="No"/>
    <s v="Yes"/>
    <n v="1"/>
    <x v="1"/>
    <x v="2"/>
  </r>
  <r>
    <x v="845"/>
    <n v="26.79"/>
    <n v="5.0599999999999996"/>
    <x v="1"/>
    <s v="No"/>
    <s v="No"/>
    <s v="No"/>
    <n v="1"/>
    <x v="1"/>
    <x v="2"/>
  </r>
  <r>
    <x v="846"/>
    <n v="42.78"/>
    <n v="6.11"/>
    <x v="1"/>
    <s v="yes"/>
    <s v="No"/>
    <s v="No"/>
    <n v="1"/>
    <x v="1"/>
    <x v="2"/>
  </r>
  <r>
    <x v="847"/>
    <n v="46.75"/>
    <n v="6.66"/>
    <x v="0"/>
    <s v="yes"/>
    <s v="No"/>
    <s v="No"/>
    <n v="2"/>
    <x v="1"/>
    <x v="2"/>
  </r>
  <r>
    <x v="848"/>
    <n v="32.15"/>
    <n v="4.0199999999999996"/>
    <x v="1"/>
    <s v="yes"/>
    <s v="No"/>
    <s v="Yes"/>
    <n v="1"/>
    <x v="1"/>
    <x v="2"/>
  </r>
  <r>
    <x v="849"/>
    <n v="43.4"/>
    <n v="8.81"/>
    <x v="0"/>
    <s v="yes"/>
    <s v="No"/>
    <s v="No"/>
    <n v="2"/>
    <x v="1"/>
    <x v="2"/>
  </r>
  <r>
    <x v="850"/>
    <n v="31.57"/>
    <n v="7.92"/>
    <x v="0"/>
    <s v="yes"/>
    <s v="No"/>
    <s v="No"/>
    <n v="2"/>
    <x v="1"/>
    <x v="2"/>
  </r>
  <r>
    <x v="851"/>
    <n v="24.32"/>
    <n v="7.48"/>
    <x v="0"/>
    <s v="No"/>
    <s v="No"/>
    <s v="No"/>
    <n v="0"/>
    <x v="1"/>
    <x v="2"/>
  </r>
  <r>
    <x v="852"/>
    <n v="31.07"/>
    <n v="4.62"/>
    <x v="1"/>
    <s v="yes"/>
    <s v="No"/>
    <s v="No"/>
    <n v="2"/>
    <x v="1"/>
    <x v="2"/>
  </r>
  <r>
    <x v="853"/>
    <n v="35.814999999999998"/>
    <n v="8.4700000000000006"/>
    <x v="0"/>
    <s v="No"/>
    <s v="No"/>
    <s v="No"/>
    <n v="0"/>
    <x v="1"/>
    <x v="2"/>
  </r>
  <r>
    <x v="854"/>
    <n v="40.81"/>
    <n v="10.58"/>
    <x v="0"/>
    <s v="yes"/>
    <s v="No"/>
    <s v="No"/>
    <n v="0"/>
    <x v="1"/>
    <x v="2"/>
  </r>
  <r>
    <x v="855"/>
    <n v="24.605"/>
    <n v="7.48"/>
    <x v="0"/>
    <s v="No"/>
    <s v="No"/>
    <s v="No"/>
    <n v="0"/>
    <x v="1"/>
    <x v="2"/>
  </r>
  <r>
    <x v="856"/>
    <n v="21.47"/>
    <n v="7.82"/>
    <x v="0"/>
    <s v="No"/>
    <s v="No"/>
    <s v="No"/>
    <n v="0"/>
    <x v="1"/>
    <x v="2"/>
  </r>
  <r>
    <x v="857"/>
    <n v="52.89"/>
    <n v="4.96"/>
    <x v="1"/>
    <s v="yes"/>
    <s v="No"/>
    <s v="No"/>
    <n v="1"/>
    <x v="1"/>
    <x v="2"/>
  </r>
  <r>
    <x v="858"/>
    <n v="32.965000000000003"/>
    <n v="6.15"/>
    <x v="1"/>
    <s v="yes"/>
    <s v="No"/>
    <s v="No"/>
    <n v="1"/>
    <x v="1"/>
    <x v="2"/>
  </r>
  <r>
    <x v="859"/>
    <n v="36.799999999999997"/>
    <n v="4.62"/>
    <x v="1"/>
    <s v="No"/>
    <s v="No"/>
    <s v="Yes"/>
    <n v="1"/>
    <x v="1"/>
    <x v="2"/>
  </r>
  <r>
    <x v="860"/>
    <n v="34.299999999999997"/>
    <n v="4.87"/>
    <x v="1"/>
    <s v="No"/>
    <s v="No"/>
    <s v="No"/>
    <n v="2"/>
    <x v="1"/>
    <x v="2"/>
  </r>
  <r>
    <x v="861"/>
    <n v="35.244999999999997"/>
    <n v="4.63"/>
    <x v="1"/>
    <s v="No"/>
    <s v="No"/>
    <s v="No"/>
    <n v="0"/>
    <x v="1"/>
    <x v="2"/>
  </r>
  <r>
    <x v="862"/>
    <n v="26.23"/>
    <n v="11.93"/>
    <x v="0"/>
    <s v="No"/>
    <s v="No"/>
    <s v="No"/>
    <n v="0"/>
    <x v="1"/>
    <x v="2"/>
  </r>
  <r>
    <x v="863"/>
    <n v="36.1"/>
    <n v="5.65"/>
    <x v="1"/>
    <s v="yes"/>
    <s v="No"/>
    <s v="No"/>
    <n v="2"/>
    <x v="1"/>
    <x v="2"/>
  </r>
  <r>
    <x v="864"/>
    <n v="37.1"/>
    <n v="11.21"/>
    <x v="0"/>
    <s v="yes"/>
    <s v="No"/>
    <s v="Yes"/>
    <n v="1"/>
    <x v="1"/>
    <x v="2"/>
  </r>
  <r>
    <x v="865"/>
    <n v="27.5"/>
    <n v="10.62"/>
    <x v="0"/>
    <s v="yes"/>
    <s v="No"/>
    <s v="Yes"/>
    <n v="1"/>
    <x v="1"/>
    <x v="2"/>
  </r>
  <r>
    <x v="866"/>
    <n v="24.7"/>
    <n v="10.7"/>
    <x v="0"/>
    <s v="yes"/>
    <s v="No"/>
    <s v="Yes"/>
    <n v="1"/>
    <x v="1"/>
    <x v="2"/>
  </r>
  <r>
    <x v="867"/>
    <n v="26.78"/>
    <n v="10.02"/>
    <x v="0"/>
    <s v="yes"/>
    <s v="No"/>
    <s v="Yes"/>
    <n v="1"/>
    <x v="1"/>
    <x v="2"/>
  </r>
  <r>
    <x v="868"/>
    <n v="45.8"/>
    <n v="4.8499999999999996"/>
    <x v="1"/>
    <s v="No"/>
    <s v="No"/>
    <s v="No"/>
    <n v="0"/>
    <x v="1"/>
    <x v="2"/>
  </r>
  <r>
    <x v="869"/>
    <n v="29"/>
    <n v="4.3899999999999997"/>
    <x v="1"/>
    <s v="yes"/>
    <s v="No"/>
    <s v="No"/>
    <n v="2"/>
    <x v="1"/>
    <x v="2"/>
  </r>
  <r>
    <x v="870"/>
    <n v="33.534999999999997"/>
    <n v="8.24"/>
    <x v="0"/>
    <s v="yes"/>
    <s v="No"/>
    <s v="No"/>
    <n v="0"/>
    <x v="1"/>
    <x v="2"/>
  </r>
  <r>
    <x v="871"/>
    <n v="32.774999999999999"/>
    <n v="9.77"/>
    <x v="0"/>
    <s v="yes"/>
    <s v="No"/>
    <s v="No"/>
    <n v="0"/>
    <x v="1"/>
    <x v="2"/>
  </r>
  <r>
    <x v="872"/>
    <n v="37.51"/>
    <n v="5.5"/>
    <x v="1"/>
    <s v="yes"/>
    <s v="No"/>
    <s v="No"/>
    <n v="2"/>
    <x v="1"/>
    <x v="2"/>
  </r>
  <r>
    <x v="873"/>
    <n v="39.86"/>
    <n v="11.84"/>
    <x v="0"/>
    <s v="yes"/>
    <s v="No"/>
    <s v="No"/>
    <n v="1"/>
    <x v="1"/>
    <x v="2"/>
  </r>
  <r>
    <x v="874"/>
    <n v="42.13"/>
    <n v="4.66"/>
    <x v="1"/>
    <s v="No"/>
    <s v="No"/>
    <s v="No"/>
    <n v="0"/>
    <x v="1"/>
    <x v="2"/>
  </r>
  <r>
    <x v="875"/>
    <n v="35.99"/>
    <n v="11.11"/>
    <x v="0"/>
    <s v="No"/>
    <s v="No"/>
    <s v="No"/>
    <n v="0"/>
    <x v="1"/>
    <x v="2"/>
  </r>
  <r>
    <x v="876"/>
    <n v="35.200000000000003"/>
    <n v="7.72"/>
    <x v="0"/>
    <s v="yes"/>
    <s v="No"/>
    <s v="Yes"/>
    <n v="1"/>
    <x v="1"/>
    <x v="2"/>
  </r>
  <r>
    <x v="877"/>
    <n v="29.91"/>
    <n v="5.55"/>
    <x v="1"/>
    <s v="yes"/>
    <s v="No"/>
    <s v="No"/>
    <n v="2"/>
    <x v="1"/>
    <x v="2"/>
  </r>
  <r>
    <x v="878"/>
    <n v="36.479999999999997"/>
    <n v="5.05"/>
    <x v="1"/>
    <s v="yes"/>
    <s v="No"/>
    <s v="No"/>
    <n v="1"/>
    <x v="1"/>
    <x v="2"/>
  </r>
  <r>
    <x v="879"/>
    <n v="27.5"/>
    <n v="8.69"/>
    <x v="0"/>
    <s v="yes"/>
    <s v="No"/>
    <s v="Yes"/>
    <n v="1"/>
    <x v="1"/>
    <x v="2"/>
  </r>
  <r>
    <x v="880"/>
    <n v="33.44"/>
    <n v="5.9"/>
    <x v="1"/>
    <s v="yes"/>
    <s v="No"/>
    <s v="No"/>
    <n v="1"/>
    <x v="1"/>
    <x v="2"/>
  </r>
  <r>
    <x v="881"/>
    <n v="28.215"/>
    <n v="6.29"/>
    <x v="1"/>
    <s v="yes"/>
    <s v="No"/>
    <s v="No"/>
    <n v="1"/>
    <x v="1"/>
    <x v="2"/>
  </r>
  <r>
    <x v="882"/>
    <n v="27.17"/>
    <n v="5.84"/>
    <x v="1"/>
    <s v="yes"/>
    <s v="No"/>
    <s v="No"/>
    <n v="1"/>
    <x v="1"/>
    <x v="2"/>
  </r>
  <r>
    <x v="883"/>
    <n v="35.380000000000003"/>
    <n v="6.12"/>
    <x v="1"/>
    <s v="No"/>
    <s v="No"/>
    <s v="No"/>
    <n v="0"/>
    <x v="1"/>
    <x v="2"/>
  </r>
  <r>
    <x v="884"/>
    <n v="43.48"/>
    <n v="6.24"/>
    <x v="1"/>
    <s v="No"/>
    <s v="No"/>
    <s v="No"/>
    <n v="0"/>
    <x v="1"/>
    <x v="2"/>
  </r>
  <r>
    <x v="885"/>
    <n v="41.73"/>
    <n v="6.25"/>
    <x v="1"/>
    <s v="No"/>
    <s v="No"/>
    <s v="No"/>
    <n v="1"/>
    <x v="1"/>
    <x v="2"/>
  </r>
  <r>
    <x v="886"/>
    <n v="28.9"/>
    <n v="11.96"/>
    <x v="0"/>
    <s v="No"/>
    <s v="No"/>
    <s v="No"/>
    <n v="0"/>
    <x v="1"/>
    <x v="2"/>
  </r>
  <r>
    <x v="887"/>
    <n v="25.74"/>
    <n v="7.69"/>
    <x v="0"/>
    <s v="No"/>
    <s v="No"/>
    <s v="No"/>
    <n v="0"/>
    <x v="1"/>
    <x v="2"/>
  </r>
  <r>
    <x v="888"/>
    <n v="36.06"/>
    <n v="8.83"/>
    <x v="0"/>
    <s v="No"/>
    <s v="No"/>
    <s v="No"/>
    <n v="0"/>
    <x v="1"/>
    <x v="2"/>
  </r>
  <r>
    <x v="889"/>
    <n v="43.28"/>
    <n v="4.41"/>
    <x v="1"/>
    <s v="No"/>
    <s v="No"/>
    <s v="No"/>
    <n v="0"/>
    <x v="1"/>
    <x v="2"/>
  </r>
  <r>
    <x v="890"/>
    <n v="28.785"/>
    <n v="9.1"/>
    <x v="0"/>
    <s v="yes"/>
    <s v="No"/>
    <s v="Yes"/>
    <n v="1"/>
    <x v="1"/>
    <x v="2"/>
  </r>
  <r>
    <x v="891"/>
    <n v="25.46"/>
    <n v="11.52"/>
    <x v="0"/>
    <s v="yes"/>
    <s v="No"/>
    <s v="Yes"/>
    <n v="1"/>
    <x v="1"/>
    <x v="2"/>
  </r>
  <r>
    <x v="892"/>
    <n v="30.8"/>
    <n v="10.95"/>
    <x v="0"/>
    <s v="No"/>
    <s v="No"/>
    <s v="No"/>
    <n v="0"/>
    <x v="1"/>
    <x v="2"/>
  </r>
  <r>
    <x v="893"/>
    <n v="28.88"/>
    <n v="11.5"/>
    <x v="0"/>
    <s v="No"/>
    <s v="No"/>
    <s v="No"/>
    <n v="0"/>
    <x v="1"/>
    <x v="2"/>
  </r>
  <r>
    <x v="894"/>
    <n v="23"/>
    <n v="9.8800000000000008"/>
    <x v="0"/>
    <s v="No"/>
    <s v="No"/>
    <s v="No"/>
    <n v="0"/>
    <x v="1"/>
    <x v="2"/>
  </r>
  <r>
    <x v="895"/>
    <n v="38.25"/>
    <n v="6.2"/>
    <x v="1"/>
    <s v="No"/>
    <s v="No"/>
    <s v="No"/>
    <n v="1"/>
    <x v="1"/>
    <x v="2"/>
  </r>
  <r>
    <x v="896"/>
    <n v="39.25"/>
    <n v="8.41"/>
    <x v="0"/>
    <s v="yes"/>
    <s v="No"/>
    <s v="No"/>
    <n v="1"/>
    <x v="1"/>
    <x v="2"/>
  </r>
  <r>
    <x v="897"/>
    <n v="26.6"/>
    <n v="5.07"/>
    <x v="1"/>
    <s v="yes"/>
    <s v="No"/>
    <s v="No"/>
    <n v="2"/>
    <x v="1"/>
    <x v="2"/>
  </r>
  <r>
    <x v="898"/>
    <n v="35.700000000000003"/>
    <n v="4.0599999999999996"/>
    <x v="1"/>
    <s v="No"/>
    <s v="No"/>
    <s v="Yes"/>
    <n v="1"/>
    <x v="1"/>
    <x v="2"/>
  </r>
  <r>
    <x v="899"/>
    <n v="20.100000000000001"/>
    <n v="10.52"/>
    <x v="0"/>
    <s v="No"/>
    <s v="No"/>
    <s v="No"/>
    <n v="0"/>
    <x v="1"/>
    <x v="2"/>
  </r>
  <r>
    <x v="900"/>
    <n v="22.23"/>
    <n v="9.65"/>
    <x v="0"/>
    <s v="No"/>
    <s v="No"/>
    <s v="No"/>
    <n v="0"/>
    <x v="1"/>
    <x v="2"/>
  </r>
  <r>
    <x v="901"/>
    <n v="36.47"/>
    <n v="6.21"/>
    <x v="1"/>
    <s v="No"/>
    <s v="No"/>
    <s v="No"/>
    <n v="0"/>
    <x v="1"/>
    <x v="2"/>
  </r>
  <r>
    <x v="902"/>
    <n v="49.64"/>
    <n v="4.76"/>
    <x v="1"/>
    <s v="No"/>
    <s v="No"/>
    <s v="Yes"/>
    <n v="1"/>
    <x v="1"/>
    <x v="2"/>
  </r>
  <r>
    <x v="903"/>
    <n v="36.799999999999997"/>
    <n v="5.73"/>
    <x v="1"/>
    <s v="yes"/>
    <s v="No"/>
    <s v="Yes"/>
    <n v="1"/>
    <x v="1"/>
    <x v="2"/>
  </r>
  <r>
    <x v="904"/>
    <n v="33.880000000000003"/>
    <n v="10.78"/>
    <x v="0"/>
    <s v="yes"/>
    <s v="No"/>
    <s v="No"/>
    <n v="0"/>
    <x v="1"/>
    <x v="2"/>
  </r>
  <r>
    <x v="905"/>
    <n v="32.01"/>
    <n v="5.08"/>
    <x v="1"/>
    <s v="yes"/>
    <s v="No"/>
    <s v="No"/>
    <n v="1"/>
    <x v="1"/>
    <x v="2"/>
  </r>
  <r>
    <x v="906"/>
    <n v="33.630000000000003"/>
    <n v="11.39"/>
    <x v="0"/>
    <s v="No"/>
    <s v="No"/>
    <s v="No"/>
    <n v="0"/>
    <x v="1"/>
    <x v="2"/>
  </r>
  <r>
    <x v="907"/>
    <n v="34.865000000000002"/>
    <n v="5.35"/>
    <x v="1"/>
    <s v="yes"/>
    <s v="No"/>
    <s v="No"/>
    <n v="1"/>
    <x v="1"/>
    <x v="2"/>
  </r>
  <r>
    <x v="908"/>
    <n v="43.11"/>
    <n v="5.6"/>
    <x v="1"/>
    <s v="No"/>
    <s v="No"/>
    <s v="No"/>
    <n v="0"/>
    <x v="1"/>
    <x v="2"/>
  </r>
  <r>
    <x v="909"/>
    <n v="30.305"/>
    <n v="4.2699999999999996"/>
    <x v="1"/>
    <s v="yes"/>
    <s v="No"/>
    <s v="No"/>
    <n v="1"/>
    <x v="1"/>
    <x v="2"/>
  </r>
  <r>
    <x v="910"/>
    <n v="25.175000000000001"/>
    <n v="5.57"/>
    <x v="1"/>
    <s v="yes"/>
    <s v="No"/>
    <s v="No"/>
    <n v="1"/>
    <x v="1"/>
    <x v="2"/>
  </r>
  <r>
    <x v="911"/>
    <n v="26.8"/>
    <n v="5.68"/>
    <x v="1"/>
    <s v="yes"/>
    <s v="No"/>
    <s v="No"/>
    <n v="1"/>
    <x v="1"/>
    <x v="2"/>
  </r>
  <r>
    <x v="912"/>
    <n v="21.78"/>
    <n v="5.3"/>
    <x v="1"/>
    <s v="No"/>
    <s v="yes"/>
    <s v="No"/>
    <n v="1"/>
    <x v="1"/>
    <x v="2"/>
  </r>
  <r>
    <x v="913"/>
    <n v="30.14"/>
    <n v="9.4499999999999993"/>
    <x v="0"/>
    <s v="yes"/>
    <s v="No"/>
    <s v="No"/>
    <n v="0"/>
    <x v="1"/>
    <x v="2"/>
  </r>
  <r>
    <x v="914"/>
    <n v="29.7"/>
    <n v="6.79"/>
    <x v="0"/>
    <s v="yes"/>
    <s v="No"/>
    <s v="No"/>
    <n v="0"/>
    <x v="1"/>
    <x v="2"/>
  </r>
  <r>
    <x v="915"/>
    <n v="32.395000000000003"/>
    <n v="11.1"/>
    <x v="0"/>
    <s v="yes"/>
    <s v="No"/>
    <s v="No"/>
    <n v="0"/>
    <x v="1"/>
    <x v="2"/>
  </r>
  <r>
    <x v="916"/>
    <n v="36.64"/>
    <n v="7.26"/>
    <x v="0"/>
    <s v="No"/>
    <s v="No"/>
    <s v="No"/>
    <n v="0"/>
    <x v="1"/>
    <x v="2"/>
  </r>
  <r>
    <x v="917"/>
    <n v="39.049999999999997"/>
    <n v="5.27"/>
    <x v="1"/>
    <s v="yes"/>
    <s v="No"/>
    <s v="No"/>
    <n v="1"/>
    <x v="1"/>
    <x v="2"/>
  </r>
  <r>
    <x v="918"/>
    <n v="33.1"/>
    <n v="5.46"/>
    <x v="1"/>
    <s v="yes"/>
    <s v="No"/>
    <s v="No"/>
    <n v="1"/>
    <x v="1"/>
    <x v="2"/>
  </r>
  <r>
    <x v="919"/>
    <n v="31.824999999999999"/>
    <n v="8.1300000000000008"/>
    <x v="0"/>
    <s v="No"/>
    <s v="No"/>
    <s v="No"/>
    <n v="0"/>
    <x v="1"/>
    <x v="2"/>
  </r>
  <r>
    <x v="920"/>
    <n v="29"/>
    <n v="4.25"/>
    <x v="1"/>
    <s v="yes"/>
    <s v="No"/>
    <s v="No"/>
    <n v="1"/>
    <x v="1"/>
    <x v="2"/>
  </r>
  <r>
    <x v="921"/>
    <n v="30.495000000000001"/>
    <n v="8.68"/>
    <x v="0"/>
    <s v="No"/>
    <s v="No"/>
    <s v="No"/>
    <n v="0"/>
    <x v="1"/>
    <x v="2"/>
  </r>
  <r>
    <x v="922"/>
    <n v="25.2"/>
    <n v="6.25"/>
    <x v="1"/>
    <s v="yes"/>
    <s v="No"/>
    <s v="No"/>
    <n v="1"/>
    <x v="1"/>
    <x v="2"/>
  </r>
  <r>
    <x v="923"/>
    <n v="22.77"/>
    <n v="4.47"/>
    <x v="1"/>
    <s v="yes"/>
    <s v="No"/>
    <s v="No"/>
    <n v="1"/>
    <x v="1"/>
    <x v="2"/>
  </r>
  <r>
    <x v="924"/>
    <n v="23.18"/>
    <n v="8.31"/>
    <x v="0"/>
    <s v="No"/>
    <s v="No"/>
    <s v="No"/>
    <n v="0"/>
    <x v="1"/>
    <x v="2"/>
  </r>
  <r>
    <x v="925"/>
    <n v="35.409999999999997"/>
    <n v="5.68"/>
    <x v="1"/>
    <s v="No"/>
    <s v="No"/>
    <s v="No"/>
    <n v="0"/>
    <x v="1"/>
    <x v="2"/>
  </r>
  <r>
    <x v="926"/>
    <n v="32.11"/>
    <n v="4.75"/>
    <x v="1"/>
    <s v="yes"/>
    <s v="No"/>
    <s v="No"/>
    <n v="2"/>
    <x v="1"/>
    <x v="2"/>
  </r>
  <r>
    <x v="927"/>
    <n v="34.479999999999997"/>
    <n v="6.31"/>
    <x v="1"/>
    <s v="No"/>
    <s v="No"/>
    <s v="Yes"/>
    <n v="1"/>
    <x v="1"/>
    <x v="2"/>
  </r>
  <r>
    <x v="928"/>
    <n v="34.39"/>
    <n v="6.28"/>
    <x v="1"/>
    <s v="yes"/>
    <s v="No"/>
    <s v="No"/>
    <n v="1"/>
    <x v="1"/>
    <x v="2"/>
  </r>
  <r>
    <x v="929"/>
    <n v="26.4"/>
    <n v="9.2899999999999991"/>
    <x v="0"/>
    <s v="yes"/>
    <s v="No"/>
    <s v="Yes"/>
    <n v="1"/>
    <x v="1"/>
    <x v="2"/>
  </r>
  <r>
    <x v="930"/>
    <n v="28.1"/>
    <n v="5.79"/>
    <x v="1"/>
    <s v="yes"/>
    <s v="No"/>
    <s v="Yes"/>
    <n v="1"/>
    <x v="1"/>
    <x v="2"/>
  </r>
  <r>
    <x v="931"/>
    <n v="27"/>
    <n v="4.54"/>
    <x v="1"/>
    <s v="yes"/>
    <s v="No"/>
    <s v="No"/>
    <n v="1"/>
    <x v="1"/>
    <x v="2"/>
  </r>
  <r>
    <x v="932"/>
    <n v="28.594999999999999"/>
    <n v="4.68"/>
    <x v="1"/>
    <s v="yes"/>
    <s v="No"/>
    <s v="No"/>
    <n v="1"/>
    <x v="1"/>
    <x v="2"/>
  </r>
  <r>
    <x v="933"/>
    <n v="36.799999999999997"/>
    <n v="5.88"/>
    <x v="1"/>
    <s v="No"/>
    <s v="No"/>
    <s v="No"/>
    <n v="1"/>
    <x v="1"/>
    <x v="2"/>
  </r>
  <r>
    <x v="934"/>
    <n v="23.75"/>
    <n v="5.42"/>
    <x v="1"/>
    <s v="yes"/>
    <s v="No"/>
    <s v="Yes"/>
    <n v="1"/>
    <x v="1"/>
    <x v="2"/>
  </r>
  <r>
    <x v="935"/>
    <n v="35.619999999999997"/>
    <n v="4.16"/>
    <x v="1"/>
    <s v="No"/>
    <s v="No"/>
    <s v="No"/>
    <n v="0"/>
    <x v="1"/>
    <x v="2"/>
  </r>
  <r>
    <x v="936"/>
    <n v="30.69"/>
    <n v="7.05"/>
    <x v="0"/>
    <s v="yes"/>
    <s v="No"/>
    <s v="No"/>
    <n v="2"/>
    <x v="1"/>
    <x v="2"/>
  </r>
  <r>
    <x v="937"/>
    <n v="35.799999999999997"/>
    <n v="5.63"/>
    <x v="1"/>
    <s v="yes"/>
    <s v="No"/>
    <s v="No"/>
    <n v="2"/>
    <x v="1"/>
    <x v="2"/>
  </r>
  <r>
    <x v="938"/>
    <n v="28.785"/>
    <n v="4.24"/>
    <x v="1"/>
    <s v="yes"/>
    <s v="No"/>
    <s v="No"/>
    <n v="2"/>
    <x v="1"/>
    <x v="2"/>
  </r>
  <r>
    <x v="939"/>
    <n v="28.594999999999999"/>
    <n v="4.96"/>
    <x v="1"/>
    <s v="yes"/>
    <s v="No"/>
    <s v="No"/>
    <n v="2"/>
    <x v="1"/>
    <x v="2"/>
  </r>
  <r>
    <x v="940"/>
    <n v="48.75"/>
    <n v="4.34"/>
    <x v="1"/>
    <s v="No"/>
    <s v="No"/>
    <s v="No"/>
    <n v="0"/>
    <x v="1"/>
    <x v="2"/>
  </r>
  <r>
    <x v="941"/>
    <n v="28.31"/>
    <n v="5.43"/>
    <x v="1"/>
    <s v="yes"/>
    <s v="No"/>
    <s v="No"/>
    <n v="2"/>
    <x v="1"/>
    <x v="2"/>
  </r>
  <r>
    <x v="942"/>
    <n v="38.39"/>
    <n v="8.33"/>
    <x v="0"/>
    <s v="yes"/>
    <s v="No"/>
    <s v="No"/>
    <n v="1"/>
    <x v="1"/>
    <x v="2"/>
  </r>
  <r>
    <x v="943"/>
    <n v="25.87"/>
    <n v="5.63"/>
    <x v="1"/>
    <s v="yes"/>
    <s v="No"/>
    <s v="No"/>
    <n v="1"/>
    <x v="1"/>
    <x v="2"/>
  </r>
  <r>
    <x v="944"/>
    <n v="43.7"/>
    <n v="7.23"/>
    <x v="0"/>
    <s v="No"/>
    <s v="No"/>
    <s v="No"/>
    <n v="0"/>
    <x v="1"/>
    <x v="2"/>
  </r>
  <r>
    <x v="945"/>
    <n v="40.945"/>
    <n v="10.57"/>
    <x v="0"/>
    <s v="No"/>
    <s v="No"/>
    <s v="No"/>
    <n v="0"/>
    <x v="1"/>
    <x v="2"/>
  </r>
  <r>
    <x v="946"/>
    <n v="27.94"/>
    <n v="7.92"/>
    <x v="0"/>
    <s v="No"/>
    <s v="No"/>
    <s v="No"/>
    <n v="0"/>
    <x v="1"/>
    <x v="2"/>
  </r>
  <r>
    <x v="947"/>
    <n v="31.9"/>
    <n v="10.119999999999999"/>
    <x v="0"/>
    <s v="No"/>
    <s v="No"/>
    <s v="No"/>
    <n v="2"/>
    <x v="1"/>
    <x v="2"/>
  </r>
  <r>
    <x v="948"/>
    <n v="31.64"/>
    <n v="7.91"/>
    <x v="0"/>
    <s v="No"/>
    <s v="No"/>
    <s v="No"/>
    <n v="0"/>
    <x v="1"/>
    <x v="2"/>
  </r>
  <r>
    <x v="949"/>
    <n v="46.7"/>
    <n v="10.9"/>
    <x v="0"/>
    <s v="No"/>
    <s v="No"/>
    <s v="No"/>
    <n v="0"/>
    <x v="1"/>
    <x v="2"/>
  </r>
  <r>
    <x v="950"/>
    <n v="18.335000000000001"/>
    <n v="11.83"/>
    <x v="0"/>
    <s v="No"/>
    <s v="No"/>
    <s v="No"/>
    <n v="0"/>
    <x v="1"/>
    <x v="3"/>
  </r>
  <r>
    <x v="951"/>
    <n v="31.24"/>
    <n v="7.42"/>
    <x v="0"/>
    <s v="yes"/>
    <s v="No"/>
    <s v="No"/>
    <n v="2"/>
    <x v="1"/>
    <x v="2"/>
  </r>
  <r>
    <x v="952"/>
    <n v="39.22"/>
    <n v="5.62"/>
    <x v="1"/>
    <s v="yes"/>
    <s v="No"/>
    <s v="No"/>
    <n v="1"/>
    <x v="1"/>
    <x v="2"/>
  </r>
  <r>
    <x v="953"/>
    <n v="24.414999999999999"/>
    <n v="7.16"/>
    <x v="0"/>
    <s v="No"/>
    <s v="No"/>
    <s v="No"/>
    <n v="0"/>
    <x v="1"/>
    <x v="2"/>
  </r>
  <r>
    <x v="954"/>
    <n v="32.299999999999997"/>
    <n v="9.89"/>
    <x v="0"/>
    <s v="No"/>
    <s v="No"/>
    <s v="No"/>
    <n v="0"/>
    <x v="1"/>
    <x v="2"/>
  </r>
  <r>
    <x v="955"/>
    <n v="39.94"/>
    <n v="5.14"/>
    <x v="1"/>
    <s v="No"/>
    <s v="No"/>
    <s v="No"/>
    <n v="0"/>
    <x v="1"/>
    <x v="2"/>
  </r>
  <r>
    <x v="956"/>
    <n v="30"/>
    <n v="5.61"/>
    <x v="1"/>
    <s v="yes"/>
    <s v="No"/>
    <s v="Yes"/>
    <n v="1"/>
    <x v="1"/>
    <x v="2"/>
  </r>
  <r>
    <x v="957"/>
    <n v="35.340000000000003"/>
    <n v="5.51"/>
    <x v="1"/>
    <s v="yes"/>
    <s v="No"/>
    <s v="Yes"/>
    <n v="1"/>
    <x v="1"/>
    <x v="2"/>
  </r>
  <r>
    <x v="958"/>
    <n v="32.204999999999998"/>
    <n v="8.3800000000000008"/>
    <x v="0"/>
    <s v="yes"/>
    <s v="No"/>
    <s v="No"/>
    <n v="2"/>
    <x v="1"/>
    <x v="2"/>
  </r>
  <r>
    <x v="959"/>
    <n v="33.880000000000003"/>
    <n v="4.68"/>
    <x v="1"/>
    <s v="No"/>
    <s v="yes"/>
    <s v="No"/>
    <n v="1"/>
    <x v="1"/>
    <x v="2"/>
  </r>
  <r>
    <x v="960"/>
    <n v="26.63"/>
    <n v="4.3600000000000003"/>
    <x v="1"/>
    <s v="yes"/>
    <s v="No"/>
    <s v="No"/>
    <n v="2"/>
    <x v="1"/>
    <x v="2"/>
  </r>
  <r>
    <x v="961"/>
    <n v="28.7"/>
    <n v="7.74"/>
    <x v="0"/>
    <s v="No"/>
    <s v="No"/>
    <s v="No"/>
    <n v="0"/>
    <x v="1"/>
    <x v="2"/>
  </r>
  <r>
    <x v="962"/>
    <n v="25.65"/>
    <n v="4.05"/>
    <x v="1"/>
    <s v="yes"/>
    <s v="No"/>
    <s v="No"/>
    <n v="2"/>
    <x v="1"/>
    <x v="2"/>
  </r>
  <r>
    <x v="963"/>
    <n v="36.384999999999998"/>
    <n v="11.49"/>
    <x v="0"/>
    <s v="No"/>
    <s v="No"/>
    <s v="No"/>
    <n v="0"/>
    <x v="1"/>
    <x v="2"/>
  </r>
  <r>
    <x v="964"/>
    <n v="34.69"/>
    <n v="5.65"/>
    <x v="1"/>
    <s v="No"/>
    <s v="No"/>
    <s v="No"/>
    <n v="0"/>
    <x v="1"/>
    <x v="2"/>
  </r>
  <r>
    <x v="965"/>
    <n v="37.68"/>
    <n v="4.29"/>
    <x v="1"/>
    <s v="yes"/>
    <s v="No"/>
    <s v="No"/>
    <n v="0"/>
    <x v="1"/>
    <x v="2"/>
  </r>
  <r>
    <x v="966"/>
    <n v="35.49"/>
    <n v="4.74"/>
    <x v="1"/>
    <s v="yes"/>
    <s v="No"/>
    <s v="Yes"/>
    <n v="1"/>
    <x v="1"/>
    <x v="2"/>
  </r>
  <r>
    <x v="967"/>
    <n v="44.7"/>
    <n v="7.6"/>
    <x v="0"/>
    <s v="yes"/>
    <s v="No"/>
    <s v="No"/>
    <n v="2"/>
    <x v="1"/>
    <x v="2"/>
  </r>
  <r>
    <x v="968"/>
    <n v="38.380000000000003"/>
    <n v="8.5"/>
    <x v="0"/>
    <s v="yes"/>
    <s v="No"/>
    <s v="No"/>
    <n v="2"/>
    <x v="1"/>
    <x v="2"/>
  </r>
  <r>
    <x v="969"/>
    <n v="35.244999999999997"/>
    <n v="11.22"/>
    <x v="0"/>
    <s v="yes"/>
    <s v="No"/>
    <s v="No"/>
    <n v="0"/>
    <x v="1"/>
    <x v="2"/>
  </r>
  <r>
    <x v="970"/>
    <n v="49.84"/>
    <n v="5.0999999999999996"/>
    <x v="1"/>
    <s v="yes"/>
    <s v="No"/>
    <s v="Yes"/>
    <n v="1"/>
    <x v="1"/>
    <x v="2"/>
  </r>
  <r>
    <x v="971"/>
    <n v="49.06"/>
    <n v="5.43"/>
    <x v="1"/>
    <s v="yes"/>
    <s v="No"/>
    <s v="No"/>
    <n v="1"/>
    <x v="1"/>
    <x v="2"/>
  </r>
  <r>
    <x v="972"/>
    <n v="30.88"/>
    <n v="5.82"/>
    <x v="1"/>
    <s v="No"/>
    <s v="No"/>
    <s v="No"/>
    <n v="2"/>
    <x v="1"/>
    <x v="2"/>
  </r>
  <r>
    <x v="973"/>
    <n v="33.35"/>
    <n v="6.05"/>
    <x v="1"/>
    <s v="No"/>
    <s v="No"/>
    <s v="Yes"/>
    <n v="1"/>
    <x v="1"/>
    <x v="2"/>
  </r>
  <r>
    <x v="974"/>
    <n v="38"/>
    <n v="6.38"/>
    <x v="1"/>
    <s v="yes"/>
    <s v="No"/>
    <s v="No"/>
    <n v="1"/>
    <x v="1"/>
    <x v="2"/>
  </r>
  <r>
    <x v="975"/>
    <n v="36.08"/>
    <n v="5.73"/>
    <x v="1"/>
    <s v="yes"/>
    <s v="No"/>
    <s v="No"/>
    <n v="1"/>
    <x v="1"/>
    <x v="2"/>
  </r>
  <r>
    <x v="976"/>
    <n v="35.700000000000003"/>
    <n v="5.47"/>
    <x v="1"/>
    <s v="yes"/>
    <s v="No"/>
    <s v="No"/>
    <n v="1"/>
    <x v="1"/>
    <x v="2"/>
  </r>
  <r>
    <x v="977"/>
    <n v="34.01"/>
    <n v="11.3"/>
    <x v="0"/>
    <s v="No"/>
    <s v="No"/>
    <s v="No"/>
    <n v="0"/>
    <x v="1"/>
    <x v="2"/>
  </r>
  <r>
    <x v="978"/>
    <n v="31.54"/>
    <n v="6.72"/>
    <x v="0"/>
    <s v="No"/>
    <s v="No"/>
    <s v="No"/>
    <n v="0"/>
    <x v="1"/>
    <x v="2"/>
  </r>
  <r>
    <x v="979"/>
    <n v="23.3"/>
    <n v="5.36"/>
    <x v="1"/>
    <s v="yes"/>
    <s v="No"/>
    <s v="No"/>
    <n v="1"/>
    <x v="1"/>
    <x v="2"/>
  </r>
  <r>
    <x v="980"/>
    <n v="27.75"/>
    <n v="9.8800000000000008"/>
    <x v="0"/>
    <s v="No"/>
    <s v="No"/>
    <s v="No"/>
    <n v="0"/>
    <x v="1"/>
    <x v="2"/>
  </r>
  <r>
    <x v="981"/>
    <n v="42.46"/>
    <n v="4.1100000000000003"/>
    <x v="1"/>
    <s v="No"/>
    <s v="No"/>
    <s v="No"/>
    <n v="0"/>
    <x v="1"/>
    <x v="2"/>
  </r>
  <r>
    <x v="982"/>
    <n v="54.47"/>
    <n v="7.48"/>
    <x v="0"/>
    <s v="No"/>
    <s v="No"/>
    <s v="No"/>
    <n v="0"/>
    <x v="1"/>
    <x v="2"/>
  </r>
  <r>
    <x v="983"/>
    <n v="24.93"/>
    <n v="9.18"/>
    <x v="0"/>
    <s v="yes"/>
    <s v="No"/>
    <s v="Yes"/>
    <n v="1"/>
    <x v="1"/>
    <x v="2"/>
  </r>
  <r>
    <x v="984"/>
    <n v="48.12"/>
    <n v="4.51"/>
    <x v="1"/>
    <s v="yes"/>
    <s v="No"/>
    <s v="No"/>
    <n v="1"/>
    <x v="1"/>
    <x v="2"/>
  </r>
  <r>
    <x v="985"/>
    <n v="24.91"/>
    <n v="7.33"/>
    <x v="0"/>
    <s v="yes"/>
    <s v="No"/>
    <s v="Yes"/>
    <n v="1"/>
    <x v="1"/>
    <x v="2"/>
  </r>
  <r>
    <x v="986"/>
    <n v="27.645"/>
    <n v="10.56"/>
    <x v="0"/>
    <s v="No"/>
    <s v="No"/>
    <s v="No"/>
    <n v="0"/>
    <x v="1"/>
    <x v="2"/>
  </r>
  <r>
    <x v="987"/>
    <n v="33.700000000000003"/>
    <n v="4.01"/>
    <x v="1"/>
    <s v="No"/>
    <s v="No"/>
    <s v="No"/>
    <n v="2"/>
    <x v="1"/>
    <x v="2"/>
  </r>
  <r>
    <x v="988"/>
    <n v="38.93"/>
    <n v="5.64"/>
    <x v="1"/>
    <s v="yes"/>
    <s v="No"/>
    <s v="No"/>
    <n v="1"/>
    <x v="1"/>
    <x v="2"/>
  </r>
  <r>
    <x v="989"/>
    <n v="32.774999999999999"/>
    <n v="8.02"/>
    <x v="0"/>
    <s v="yes"/>
    <s v="No"/>
    <s v="No"/>
    <n v="2"/>
    <x v="1"/>
    <x v="2"/>
  </r>
  <r>
    <x v="990"/>
    <n v="29.83"/>
    <n v="7.2"/>
    <x v="0"/>
    <s v="yes"/>
    <s v="No"/>
    <s v="No"/>
    <n v="0"/>
    <x v="1"/>
    <x v="2"/>
  </r>
  <r>
    <x v="991"/>
    <n v="28.31"/>
    <n v="4.55"/>
    <x v="1"/>
    <s v="No"/>
    <s v="yes"/>
    <s v="No"/>
    <n v="1"/>
    <x v="1"/>
    <x v="2"/>
  </r>
  <r>
    <x v="992"/>
    <n v="29.79"/>
    <n v="9.0299999999999994"/>
    <x v="0"/>
    <s v="No"/>
    <s v="No"/>
    <s v="No"/>
    <n v="0"/>
    <x v="1"/>
    <x v="2"/>
  </r>
  <r>
    <x v="993"/>
    <n v="36.6"/>
    <n v="5.2"/>
    <x v="1"/>
    <s v="yes"/>
    <s v="No"/>
    <s v="Yes"/>
    <n v="1"/>
    <x v="1"/>
    <x v="2"/>
  </r>
  <r>
    <x v="994"/>
    <n v="35.93"/>
    <n v="8.3000000000000007"/>
    <x v="1"/>
    <s v="yes"/>
    <s v="No"/>
    <s v="No"/>
    <n v="0"/>
    <x v="1"/>
    <x v="2"/>
  </r>
  <r>
    <x v="995"/>
    <n v="28.6"/>
    <n v="5.56"/>
    <x v="1"/>
    <s v="yes"/>
    <s v="No"/>
    <s v="Yes"/>
    <n v="1"/>
    <x v="1"/>
    <x v="2"/>
  </r>
  <r>
    <x v="996"/>
    <n v="39.17"/>
    <n v="4.1500000000000004"/>
    <x v="1"/>
    <s v="No"/>
    <s v="No"/>
    <s v="No"/>
    <n v="0"/>
    <x v="1"/>
    <x v="2"/>
  </r>
  <r>
    <x v="997"/>
    <n v="26.41"/>
    <n v="5.99"/>
    <x v="1"/>
    <s v="yes"/>
    <s v="No"/>
    <s v="Yes"/>
    <n v="1"/>
    <x v="1"/>
    <x v="2"/>
  </r>
  <r>
    <x v="998"/>
    <n v="30.63"/>
    <n v="5.8"/>
    <x v="1"/>
    <s v="yes"/>
    <s v="No"/>
    <s v="No"/>
    <n v="0"/>
    <x v="1"/>
    <x v="2"/>
  </r>
  <r>
    <x v="999"/>
    <n v="31.73"/>
    <n v="7.32"/>
    <x v="0"/>
    <s v="yes"/>
    <s v="No"/>
    <s v="No"/>
    <n v="2"/>
    <x v="1"/>
    <x v="2"/>
  </r>
  <r>
    <x v="1000"/>
    <n v="30.7"/>
    <n v="5.16"/>
    <x v="1"/>
    <s v="No"/>
    <s v="No"/>
    <s v="No"/>
    <n v="2"/>
    <x v="1"/>
    <x v="2"/>
  </r>
  <r>
    <x v="1001"/>
    <n v="25.934999999999999"/>
    <n v="5.96"/>
    <x v="1"/>
    <s v="yes"/>
    <s v="No"/>
    <s v="No"/>
    <n v="2"/>
    <x v="1"/>
    <x v="2"/>
  </r>
  <r>
    <x v="1002"/>
    <n v="35.9"/>
    <n v="4.8499999999999996"/>
    <x v="1"/>
    <s v="yes"/>
    <s v="No"/>
    <s v="Yes"/>
    <n v="1"/>
    <x v="1"/>
    <x v="2"/>
  </r>
  <r>
    <x v="1003"/>
    <n v="26.7"/>
    <n v="5.09"/>
    <x v="1"/>
    <s v="yes"/>
    <s v="No"/>
    <s v="Yes"/>
    <n v="1"/>
    <x v="1"/>
    <x v="2"/>
  </r>
  <r>
    <x v="1004"/>
    <n v="33.71"/>
    <n v="4.9400000000000004"/>
    <x v="1"/>
    <s v="No"/>
    <s v="No"/>
    <s v="No"/>
    <n v="0"/>
    <x v="1"/>
    <x v="2"/>
  </r>
  <r>
    <x v="1005"/>
    <n v="41.91"/>
    <n v="4.92"/>
    <x v="1"/>
    <s v="yes"/>
    <s v="No"/>
    <s v="No"/>
    <n v="2"/>
    <x v="1"/>
    <x v="2"/>
  </r>
  <r>
    <x v="1006"/>
    <n v="39.82"/>
    <n v="6.05"/>
    <x v="1"/>
    <s v="yes"/>
    <s v="No"/>
    <s v="No"/>
    <n v="2"/>
    <x v="1"/>
    <x v="2"/>
  </r>
  <r>
    <x v="1007"/>
    <n v="28.12"/>
    <n v="4.67"/>
    <x v="1"/>
    <s v="No"/>
    <s v="No"/>
    <s v="No"/>
    <n v="2"/>
    <x v="1"/>
    <x v="2"/>
  </r>
  <r>
    <x v="1008"/>
    <n v="26.98"/>
    <n v="9.81"/>
    <x v="0"/>
    <s v="yes"/>
    <s v="No"/>
    <s v="No"/>
    <n v="0"/>
    <x v="1"/>
    <x v="2"/>
  </r>
  <r>
    <x v="1009"/>
    <n v="27.2"/>
    <n v="6.06"/>
    <x v="1"/>
    <s v="yes"/>
    <s v="No"/>
    <s v="No"/>
    <n v="2"/>
    <x v="1"/>
    <x v="2"/>
  </r>
  <r>
    <x v="1010"/>
    <n v="25.3"/>
    <n v="5.19"/>
    <x v="1"/>
    <s v="yes"/>
    <s v="No"/>
    <s v="No"/>
    <n v="2"/>
    <x v="1"/>
    <x v="2"/>
  </r>
  <r>
    <x v="1011"/>
    <n v="30.25"/>
    <n v="10.16"/>
    <x v="0"/>
    <s v="No"/>
    <s v="No"/>
    <s v="No"/>
    <n v="0"/>
    <x v="1"/>
    <x v="2"/>
  </r>
  <r>
    <x v="1012"/>
    <n v="54"/>
    <n v="4.68"/>
    <x v="1"/>
    <s v="yes"/>
    <s v="yes"/>
    <s v="No"/>
    <n v="2"/>
    <x v="1"/>
    <x v="2"/>
  </r>
  <r>
    <x v="1013"/>
    <n v="51.86"/>
    <n v="5.32"/>
    <x v="1"/>
    <s v="yes"/>
    <s v="No"/>
    <s v="No"/>
    <n v="0"/>
    <x v="1"/>
    <x v="2"/>
  </r>
  <r>
    <x v="1014"/>
    <n v="31.39"/>
    <n v="6.99"/>
    <x v="0"/>
    <s v="No"/>
    <s v="No"/>
    <s v="No"/>
    <n v="0"/>
    <x v="1"/>
    <x v="2"/>
  </r>
  <r>
    <x v="1015"/>
    <n v="39.97"/>
    <n v="5.55"/>
    <x v="1"/>
    <s v="No"/>
    <s v="No"/>
    <s v="No"/>
    <n v="0"/>
    <x v="1"/>
    <x v="2"/>
  </r>
  <r>
    <x v="1016"/>
    <n v="41.23"/>
    <n v="6.94"/>
    <x v="0"/>
    <s v="No"/>
    <s v="No"/>
    <s v="No"/>
    <n v="0"/>
    <x v="1"/>
    <x v="2"/>
  </r>
  <r>
    <x v="1017"/>
    <n v="49.45"/>
    <n v="4.2"/>
    <x v="1"/>
    <s v="yes"/>
    <s v="No"/>
    <s v="No"/>
    <n v="0"/>
    <x v="1"/>
    <x v="2"/>
  </r>
  <r>
    <x v="1018"/>
    <n v="41.04"/>
    <n v="5.59"/>
    <x v="1"/>
    <s v="No"/>
    <s v="No"/>
    <s v="No"/>
    <n v="0"/>
    <x v="1"/>
    <x v="2"/>
  </r>
  <r>
    <x v="1019"/>
    <n v="27.93"/>
    <n v="9.9600000000000009"/>
    <x v="0"/>
    <s v="No"/>
    <s v="No"/>
    <s v="No"/>
    <n v="0"/>
    <x v="1"/>
    <x v="2"/>
  </r>
  <r>
    <x v="1020"/>
    <n v="21.01"/>
    <n v="7.37"/>
    <x v="0"/>
    <s v="No"/>
    <s v="No"/>
    <s v="No"/>
    <n v="0"/>
    <x v="1"/>
    <x v="2"/>
  </r>
  <r>
    <x v="1021"/>
    <n v="52.37"/>
    <n v="5.0599999999999996"/>
    <x v="1"/>
    <s v="yes"/>
    <s v="yes"/>
    <s v="No"/>
    <n v="2"/>
    <x v="1"/>
    <x v="2"/>
  </r>
  <r>
    <x v="1022"/>
    <n v="40.369999999999997"/>
    <n v="8.2100000000000009"/>
    <x v="0"/>
    <s v="No"/>
    <s v="No"/>
    <s v="No"/>
    <n v="0"/>
    <x v="1"/>
    <x v="2"/>
  </r>
  <r>
    <x v="1023"/>
    <n v="41.47"/>
    <n v="10.34"/>
    <x v="0"/>
    <s v="No"/>
    <s v="No"/>
    <s v="No"/>
    <n v="2"/>
    <x v="1"/>
    <x v="2"/>
  </r>
  <r>
    <x v="1024"/>
    <n v="33.725000000000001"/>
    <n v="5.51"/>
    <x v="1"/>
    <s v="yes"/>
    <s v="No"/>
    <s v="No"/>
    <n v="2"/>
    <x v="1"/>
    <x v="2"/>
  </r>
  <r>
    <x v="1025"/>
    <n v="28.1"/>
    <n v="11.2"/>
    <x v="0"/>
    <s v="No"/>
    <s v="No"/>
    <s v="No"/>
    <n v="0"/>
    <x v="1"/>
    <x v="2"/>
  </r>
  <r>
    <x v="1026"/>
    <n v="37.43"/>
    <n v="4.3499999999999996"/>
    <x v="1"/>
    <s v="yes"/>
    <s v="No"/>
    <s v="Yes"/>
    <n v="1"/>
    <x v="1"/>
    <x v="2"/>
  </r>
  <r>
    <x v="1027"/>
    <n v="23.7"/>
    <n v="10.45"/>
    <x v="0"/>
    <s v="No"/>
    <s v="No"/>
    <s v="No"/>
    <n v="0"/>
    <x v="1"/>
    <x v="2"/>
  </r>
  <r>
    <x v="1028"/>
    <n v="24.795000000000002"/>
    <n v="4.07"/>
    <x v="1"/>
    <s v="yes"/>
    <s v="No"/>
    <s v="Yes"/>
    <n v="1"/>
    <x v="1"/>
    <x v="2"/>
  </r>
  <r>
    <x v="1029"/>
    <n v="31.9"/>
    <n v="8.34"/>
    <x v="0"/>
    <s v="No"/>
    <s v="No"/>
    <s v="No"/>
    <n v="0"/>
    <x v="1"/>
    <x v="2"/>
  </r>
  <r>
    <x v="1030"/>
    <n v="32.68"/>
    <n v="7.41"/>
    <x v="0"/>
    <s v="No"/>
    <s v="No"/>
    <s v="No"/>
    <n v="0"/>
    <x v="1"/>
    <x v="2"/>
  </r>
  <r>
    <x v="1031"/>
    <n v="47.13"/>
    <n v="4.3099999999999996"/>
    <x v="1"/>
    <s v="No"/>
    <s v="No"/>
    <s v="No"/>
    <n v="0"/>
    <x v="1"/>
    <x v="2"/>
  </r>
  <r>
    <x v="1032"/>
    <n v="36.67"/>
    <n v="10.83"/>
    <x v="0"/>
    <s v="No"/>
    <s v="No"/>
    <s v="No"/>
    <n v="0"/>
    <x v="1"/>
    <x v="2"/>
  </r>
  <r>
    <x v="1033"/>
    <n v="33.630000000000003"/>
    <n v="11.31"/>
    <x v="0"/>
    <s v="No"/>
    <s v="No"/>
    <s v="No"/>
    <n v="0"/>
    <x v="1"/>
    <x v="2"/>
  </r>
  <r>
    <x v="1034"/>
    <n v="32.67"/>
    <n v="11.81"/>
    <x v="0"/>
    <s v="yes"/>
    <s v="No"/>
    <s v="No"/>
    <n v="0"/>
    <x v="1"/>
    <x v="2"/>
  </r>
  <r>
    <x v="1035"/>
    <n v="33.299999999999997"/>
    <n v="8.26"/>
    <x v="0"/>
    <s v="yes"/>
    <s v="No"/>
    <s v="No"/>
    <n v="2"/>
    <x v="1"/>
    <x v="2"/>
  </r>
  <r>
    <x v="1036"/>
    <n v="30.78"/>
    <n v="10.74"/>
    <x v="0"/>
    <s v="yes"/>
    <s v="No"/>
    <s v="No"/>
    <n v="2"/>
    <x v="1"/>
    <x v="2"/>
  </r>
  <r>
    <x v="1037"/>
    <n v="28.975000000000001"/>
    <n v="7.69"/>
    <x v="0"/>
    <s v="yes"/>
    <s v="No"/>
    <s v="No"/>
    <n v="0"/>
    <x v="1"/>
    <x v="2"/>
  </r>
  <r>
    <x v="1038"/>
    <n v="33.4"/>
    <n v="4.84"/>
    <x v="1"/>
    <s v="No"/>
    <s v="No"/>
    <s v="No"/>
    <n v="0"/>
    <x v="1"/>
    <x v="2"/>
  </r>
  <r>
    <x v="1039"/>
    <n v="21.5"/>
    <n v="9.77"/>
    <x v="0"/>
    <s v="yes"/>
    <s v="No"/>
    <s v="No"/>
    <n v="0"/>
    <x v="1"/>
    <x v="2"/>
  </r>
  <r>
    <x v="1040"/>
    <n v="38.14"/>
    <n v="5.84"/>
    <x v="1"/>
    <s v="No"/>
    <s v="No"/>
    <s v="No"/>
    <n v="0"/>
    <x v="1"/>
    <x v="2"/>
  </r>
  <r>
    <x v="1041"/>
    <n v="35.42"/>
    <n v="8.6999999999999993"/>
    <x v="0"/>
    <s v="yes"/>
    <s v="No"/>
    <s v="No"/>
    <n v="1"/>
    <x v="1"/>
    <x v="2"/>
  </r>
  <r>
    <x v="1042"/>
    <n v="35.625"/>
    <n v="10.79"/>
    <x v="0"/>
    <s v="No"/>
    <s v="No"/>
    <s v="No"/>
    <n v="0"/>
    <x v="1"/>
    <x v="2"/>
  </r>
  <r>
    <x v="1043"/>
    <n v="45.51"/>
    <n v="4.32"/>
    <x v="1"/>
    <s v="No"/>
    <s v="No"/>
    <s v="No"/>
    <n v="1"/>
    <x v="1"/>
    <x v="2"/>
  </r>
  <r>
    <x v="1044"/>
    <n v="37.1"/>
    <n v="7.19"/>
    <x v="0"/>
    <s v="yes"/>
    <s v="No"/>
    <s v="No"/>
    <n v="0"/>
    <x v="1"/>
    <x v="2"/>
  </r>
  <r>
    <x v="1045"/>
    <n v="30.5"/>
    <n v="11.94"/>
    <x v="0"/>
    <s v="yes"/>
    <s v="No"/>
    <s v="No"/>
    <n v="0"/>
    <x v="1"/>
    <x v="2"/>
  </r>
  <r>
    <x v="1046"/>
    <n v="28.16"/>
    <n v="5.56"/>
    <x v="1"/>
    <s v="No"/>
    <s v="No"/>
    <s v="No"/>
    <n v="2"/>
    <x v="1"/>
    <x v="2"/>
  </r>
  <r>
    <x v="1047"/>
    <n v="29.1"/>
    <n v="5.64"/>
    <x v="1"/>
    <s v="yes"/>
    <s v="No"/>
    <s v="No"/>
    <n v="0"/>
    <x v="1"/>
    <x v="2"/>
  </r>
  <r>
    <x v="1048"/>
    <n v="30.22"/>
    <n v="4.6500000000000004"/>
    <x v="1"/>
    <s v="No"/>
    <s v="No"/>
    <s v="No"/>
    <n v="0"/>
    <x v="1"/>
    <x v="2"/>
  </r>
  <r>
    <x v="1049"/>
    <n v="24.29"/>
    <n v="9.0500000000000007"/>
    <x v="0"/>
    <s v="No"/>
    <s v="No"/>
    <s v="No"/>
    <n v="0"/>
    <x v="1"/>
    <x v="2"/>
  </r>
  <r>
    <x v="1050"/>
    <n v="29.39"/>
    <n v="4.5199999999999996"/>
    <x v="1"/>
    <s v="yes"/>
    <s v="No"/>
    <s v="No"/>
    <n v="0"/>
    <x v="1"/>
    <x v="2"/>
  </r>
  <r>
    <x v="1051"/>
    <n v="25.66"/>
    <n v="4.62"/>
    <x v="1"/>
    <s v="yes"/>
    <s v="No"/>
    <s v="No"/>
    <n v="1"/>
    <x v="1"/>
    <x v="2"/>
  </r>
  <r>
    <x v="1052"/>
    <n v="39.11"/>
    <n v="5.87"/>
    <x v="1"/>
    <s v="No"/>
    <s v="No"/>
    <s v="No"/>
    <n v="0"/>
    <x v="1"/>
    <x v="2"/>
  </r>
  <r>
    <x v="1053"/>
    <n v="43.78"/>
    <n v="5.71"/>
    <x v="1"/>
    <s v="No"/>
    <s v="No"/>
    <s v="No"/>
    <n v="1"/>
    <x v="1"/>
    <x v="2"/>
  </r>
  <r>
    <x v="1054"/>
    <n v="24.35"/>
    <n v="9.08"/>
    <x v="0"/>
    <s v="No"/>
    <s v="No"/>
    <s v="No"/>
    <n v="0"/>
    <x v="1"/>
    <x v="2"/>
  </r>
  <r>
    <x v="1055"/>
    <n v="40.299999999999997"/>
    <n v="5.3"/>
    <x v="1"/>
    <s v="yes"/>
    <s v="No"/>
    <s v="No"/>
    <n v="2"/>
    <x v="1"/>
    <x v="2"/>
  </r>
  <r>
    <x v="1056"/>
    <n v="32.774999999999999"/>
    <n v="11.76"/>
    <x v="0"/>
    <s v="yes"/>
    <s v="No"/>
    <s v="No"/>
    <n v="0"/>
    <x v="1"/>
    <x v="2"/>
  </r>
  <r>
    <x v="1057"/>
    <n v="39.6"/>
    <n v="5.1100000000000003"/>
    <x v="1"/>
    <s v="yes"/>
    <s v="No"/>
    <s v="No"/>
    <n v="2"/>
    <x v="1"/>
    <x v="2"/>
  </r>
  <r>
    <x v="1058"/>
    <n v="30.97"/>
    <n v="5.54"/>
    <x v="1"/>
    <s v="No"/>
    <s v="No"/>
    <s v="No"/>
    <n v="2"/>
    <x v="1"/>
    <x v="2"/>
  </r>
  <r>
    <x v="1059"/>
    <n v="27.645"/>
    <n v="8.8699999999999992"/>
    <x v="1"/>
    <s v="yes"/>
    <s v="No"/>
    <s v="No"/>
    <n v="0"/>
    <x v="1"/>
    <x v="2"/>
  </r>
  <r>
    <x v="1060"/>
    <n v="34.43"/>
    <n v="5.96"/>
    <x v="1"/>
    <s v="yes"/>
    <s v="No"/>
    <s v="No"/>
    <n v="2"/>
    <x v="1"/>
    <x v="2"/>
  </r>
  <r>
    <x v="1061"/>
    <n v="39.6"/>
    <n v="4.4400000000000004"/>
    <x v="1"/>
    <s v="yes"/>
    <s v="No"/>
    <s v="Yes"/>
    <n v="1"/>
    <x v="1"/>
    <x v="2"/>
  </r>
  <r>
    <x v="1062"/>
    <n v="22.1"/>
    <n v="4.6500000000000004"/>
    <x v="1"/>
    <s v="yes"/>
    <s v="No"/>
    <s v="No"/>
    <n v="2"/>
    <x v="1"/>
    <x v="2"/>
  </r>
  <r>
    <x v="1063"/>
    <n v="33.25"/>
    <n v="5.64"/>
    <x v="1"/>
    <s v="yes"/>
    <s v="No"/>
    <s v="Yes"/>
    <n v="1"/>
    <x v="1"/>
    <x v="2"/>
  </r>
  <r>
    <x v="1064"/>
    <n v="33.33"/>
    <n v="10.19"/>
    <x v="0"/>
    <s v="No"/>
    <s v="No"/>
    <s v="No"/>
    <n v="0"/>
    <x v="1"/>
    <x v="2"/>
  </r>
  <r>
    <x v="1065"/>
    <n v="30.5"/>
    <n v="10.79"/>
    <x v="0"/>
    <s v="No"/>
    <s v="No"/>
    <s v="No"/>
    <n v="0"/>
    <x v="1"/>
    <x v="2"/>
  </r>
  <r>
    <x v="1066"/>
    <n v="30.3"/>
    <n v="4.24"/>
    <x v="1"/>
    <s v="No"/>
    <s v="No"/>
    <s v="No"/>
    <n v="0"/>
    <x v="1"/>
    <x v="2"/>
  </r>
  <r>
    <x v="1067"/>
    <n v="26.22"/>
    <n v="5.83"/>
    <x v="1"/>
    <s v="No"/>
    <s v="No"/>
    <s v="No"/>
    <n v="2"/>
    <x v="1"/>
    <x v="2"/>
  </r>
  <r>
    <x v="1068"/>
    <n v="29.99"/>
    <n v="11.85"/>
    <x v="0"/>
    <s v="No"/>
    <s v="No"/>
    <s v="No"/>
    <n v="0"/>
    <x v="1"/>
    <x v="2"/>
  </r>
  <r>
    <x v="1069"/>
    <n v="36.380000000000003"/>
    <n v="5.98"/>
    <x v="1"/>
    <s v="No"/>
    <s v="No"/>
    <s v="No"/>
    <n v="1"/>
    <x v="1"/>
    <x v="2"/>
  </r>
  <r>
    <x v="1070"/>
    <n v="31.16"/>
    <n v="4.26"/>
    <x v="1"/>
    <s v="yes"/>
    <s v="No"/>
    <s v="Yes"/>
    <n v="1"/>
    <x v="1"/>
    <x v="2"/>
  </r>
  <r>
    <x v="1071"/>
    <n v="25.55"/>
    <n v="4.96"/>
    <x v="1"/>
    <s v="yes"/>
    <s v="No"/>
    <s v="No"/>
    <n v="1"/>
    <x v="1"/>
    <x v="2"/>
  </r>
  <r>
    <x v="1072"/>
    <n v="28.77"/>
    <n v="4"/>
    <x v="1"/>
    <s v="yes"/>
    <s v="No"/>
    <s v="No"/>
    <n v="0"/>
    <x v="1"/>
    <x v="2"/>
  </r>
  <r>
    <x v="1073"/>
    <n v="23.14"/>
    <n v="4.1500000000000004"/>
    <x v="1"/>
    <s v="yes"/>
    <s v="No"/>
    <s v="No"/>
    <n v="1"/>
    <x v="1"/>
    <x v="2"/>
  </r>
  <r>
    <x v="1074"/>
    <n v="39.6"/>
    <n v="11.36"/>
    <x v="0"/>
    <s v="No"/>
    <s v="No"/>
    <s v="No"/>
    <n v="0"/>
    <x v="1"/>
    <x v="2"/>
  </r>
  <r>
    <x v="1075"/>
    <n v="29.2"/>
    <n v="7.53"/>
    <x v="0"/>
    <s v="No"/>
    <s v="No"/>
    <s v="No"/>
    <n v="0"/>
    <x v="1"/>
    <x v="2"/>
  </r>
  <r>
    <x v="1076"/>
    <n v="32.774999999999999"/>
    <n v="7.95"/>
    <x v="0"/>
    <s v="No"/>
    <s v="No"/>
    <s v="No"/>
    <n v="0"/>
    <x v="1"/>
    <x v="2"/>
  </r>
  <r>
    <x v="1077"/>
    <n v="24.035"/>
    <n v="8.5"/>
    <x v="0"/>
    <s v="No"/>
    <s v="No"/>
    <s v="No"/>
    <n v="0"/>
    <x v="1"/>
    <x v="2"/>
  </r>
  <r>
    <x v="1078"/>
    <n v="30.55"/>
    <n v="5.89"/>
    <x v="1"/>
    <s v="No"/>
    <s v="No"/>
    <s v="Yes"/>
    <n v="1"/>
    <x v="1"/>
    <x v="2"/>
  </r>
  <r>
    <x v="1079"/>
    <n v="28.81"/>
    <n v="8.76"/>
    <x v="0"/>
    <s v="No"/>
    <s v="No"/>
    <s v="No"/>
    <n v="2"/>
    <x v="1"/>
    <x v="2"/>
  </r>
  <r>
    <x v="1080"/>
    <n v="31.66"/>
    <n v="4.1100000000000003"/>
    <x v="1"/>
    <s v="No"/>
    <s v="No"/>
    <s v="No"/>
    <n v="0"/>
    <x v="1"/>
    <x v="2"/>
  </r>
  <r>
    <x v="1081"/>
    <n v="28.215"/>
    <n v="7.56"/>
    <x v="0"/>
    <s v="yes"/>
    <s v="No"/>
    <s v="No"/>
    <n v="1"/>
    <x v="1"/>
    <x v="2"/>
  </r>
  <r>
    <x v="1082"/>
    <n v="26.12"/>
    <n v="4.17"/>
    <x v="1"/>
    <s v="yes"/>
    <s v="No"/>
    <s v="Yes"/>
    <n v="1"/>
    <x v="1"/>
    <x v="2"/>
  </r>
  <r>
    <x v="1083"/>
    <n v="36.630000000000003"/>
    <n v="11.42"/>
    <x v="0"/>
    <s v="No"/>
    <s v="No"/>
    <s v="No"/>
    <n v="2"/>
    <x v="1"/>
    <x v="2"/>
  </r>
  <r>
    <x v="1084"/>
    <n v="33.344999999999999"/>
    <n v="7.33"/>
    <x v="0"/>
    <s v="No"/>
    <s v="No"/>
    <s v="No"/>
    <n v="2"/>
    <x v="1"/>
    <x v="2"/>
  </r>
  <r>
    <x v="1085"/>
    <n v="27.11"/>
    <n v="6.7"/>
    <x v="0"/>
    <s v="No"/>
    <s v="No"/>
    <s v="No"/>
    <n v="0"/>
    <x v="1"/>
    <x v="2"/>
  </r>
  <r>
    <x v="1086"/>
    <n v="26.6"/>
    <n v="5.27"/>
    <x v="1"/>
    <s v="yes"/>
    <s v="No"/>
    <s v="Yes"/>
    <n v="1"/>
    <x v="1"/>
    <x v="2"/>
  </r>
  <r>
    <x v="1087"/>
    <n v="30.41"/>
    <n v="7.72"/>
    <x v="0"/>
    <s v="No"/>
    <s v="No"/>
    <s v="No"/>
    <n v="0"/>
    <x v="1"/>
    <x v="2"/>
  </r>
  <r>
    <x v="1088"/>
    <n v="28.98"/>
    <n v="8.68"/>
    <x v="0"/>
    <s v="No"/>
    <s v="No"/>
    <s v="No"/>
    <n v="2"/>
    <x v="1"/>
    <x v="2"/>
  </r>
  <r>
    <x v="1089"/>
    <n v="31.24"/>
    <n v="9.8000000000000007"/>
    <x v="0"/>
    <s v="No"/>
    <s v="No"/>
    <s v="No"/>
    <n v="0"/>
    <x v="1"/>
    <x v="2"/>
  </r>
  <r>
    <x v="1090"/>
    <n v="31.54"/>
    <n v="4.4400000000000004"/>
    <x v="1"/>
    <s v="No"/>
    <s v="No"/>
    <s v="No"/>
    <n v="0"/>
    <x v="1"/>
    <x v="2"/>
  </r>
  <r>
    <x v="1091"/>
    <n v="38.6"/>
    <n v="7.19"/>
    <x v="0"/>
    <s v="yes"/>
    <s v="No"/>
    <s v="No"/>
    <n v="2"/>
    <x v="1"/>
    <x v="2"/>
  </r>
  <r>
    <x v="1092"/>
    <n v="37.950000000000003"/>
    <n v="6.06"/>
    <x v="1"/>
    <s v="No"/>
    <s v="No"/>
    <s v="No"/>
    <n v="0"/>
    <x v="1"/>
    <x v="2"/>
  </r>
  <r>
    <x v="1093"/>
    <n v="38.97"/>
    <n v="5.12"/>
    <x v="1"/>
    <s v="No"/>
    <s v="No"/>
    <s v="No"/>
    <n v="0"/>
    <x v="1"/>
    <x v="2"/>
  </r>
  <r>
    <x v="1094"/>
    <n v="21.2"/>
    <n v="10.72"/>
    <x v="0"/>
    <s v="No"/>
    <s v="No"/>
    <s v="No"/>
    <n v="0"/>
    <x v="1"/>
    <x v="2"/>
  </r>
  <r>
    <x v="1095"/>
    <n v="23.96"/>
    <n v="9.58"/>
    <x v="0"/>
    <s v="yes"/>
    <s v="No"/>
    <s v="Yes"/>
    <n v="1"/>
    <x v="1"/>
    <x v="2"/>
  </r>
  <r>
    <x v="1096"/>
    <n v="35.93"/>
    <n v="6.4"/>
    <x v="1"/>
    <s v="yes"/>
    <s v="No"/>
    <s v="No"/>
    <n v="1"/>
    <x v="1"/>
    <x v="2"/>
  </r>
  <r>
    <x v="1097"/>
    <n v="26.11"/>
    <n v="6.8"/>
    <x v="0"/>
    <s v="yes"/>
    <s v="No"/>
    <s v="No"/>
    <n v="2"/>
    <x v="1"/>
    <x v="2"/>
  </r>
  <r>
    <x v="1098"/>
    <n v="32.299999999999997"/>
    <n v="9.48"/>
    <x v="0"/>
    <s v="No"/>
    <s v="No"/>
    <s v="No"/>
    <n v="2"/>
    <x v="1"/>
    <x v="2"/>
  </r>
  <r>
    <x v="1099"/>
    <n v="28.69"/>
    <n v="7.45"/>
    <x v="0"/>
    <s v="No"/>
    <s v="No"/>
    <s v="No"/>
    <n v="2"/>
    <x v="1"/>
    <x v="2"/>
  </r>
  <r>
    <x v="1100"/>
    <n v="31.28"/>
    <n v="6.94"/>
    <x v="0"/>
    <s v="yes"/>
    <s v="No"/>
    <s v="No"/>
    <n v="1"/>
    <x v="1"/>
    <x v="2"/>
  </r>
  <r>
    <x v="1101"/>
    <n v="30.21"/>
    <n v="7.83"/>
    <x v="0"/>
    <s v="No"/>
    <s v="No"/>
    <s v="No"/>
    <n v="0"/>
    <x v="1"/>
    <x v="2"/>
  </r>
  <r>
    <x v="1102"/>
    <n v="38.28"/>
    <n v="10.17"/>
    <x v="0"/>
    <s v="yes"/>
    <s v="No"/>
    <s v="No"/>
    <n v="0"/>
    <x v="1"/>
    <x v="2"/>
  </r>
  <r>
    <x v="1103"/>
    <n v="29.9"/>
    <n v="8.9600000000000009"/>
    <x v="0"/>
    <s v="yes"/>
    <s v="No"/>
    <s v="No"/>
    <n v="0"/>
    <x v="1"/>
    <x v="2"/>
  </r>
  <r>
    <x v="1104"/>
    <n v="23.18"/>
    <n v="6.96"/>
    <x v="0"/>
    <s v="yes"/>
    <s v="No"/>
    <s v="No"/>
    <n v="2"/>
    <x v="1"/>
    <x v="2"/>
  </r>
  <r>
    <x v="1105"/>
    <n v="33.020000000000003"/>
    <n v="5.07"/>
    <x v="1"/>
    <s v="yes"/>
    <s v="No"/>
    <s v="No"/>
    <n v="0"/>
    <x v="1"/>
    <x v="2"/>
  </r>
  <r>
    <x v="1106"/>
    <n v="27.29"/>
    <n v="5.85"/>
    <x v="1"/>
    <s v="No"/>
    <s v="No"/>
    <s v="No"/>
    <n v="2"/>
    <x v="1"/>
    <x v="2"/>
  </r>
  <r>
    <x v="1107"/>
    <n v="23.18"/>
    <n v="10.56"/>
    <x v="0"/>
    <s v="No"/>
    <s v="No"/>
    <s v="No"/>
    <n v="2"/>
    <x v="1"/>
    <x v="2"/>
  </r>
  <r>
    <x v="1108"/>
    <n v="32.659999999999997"/>
    <n v="8.92"/>
    <x v="0"/>
    <s v="yes"/>
    <s v="No"/>
    <s v="No"/>
    <n v="0"/>
    <x v="1"/>
    <x v="2"/>
  </r>
  <r>
    <x v="1109"/>
    <n v="30.78"/>
    <n v="8.6300000000000008"/>
    <x v="0"/>
    <s v="No"/>
    <s v="No"/>
    <s v="No"/>
    <n v="0"/>
    <x v="1"/>
    <x v="2"/>
  </r>
  <r>
    <x v="1110"/>
    <n v="47.2"/>
    <n v="6.29"/>
    <x v="1"/>
    <s v="yes"/>
    <s v="No"/>
    <s v="Yes"/>
    <n v="1"/>
    <x v="1"/>
    <x v="2"/>
  </r>
  <r>
    <x v="1111"/>
    <n v="31.6"/>
    <n v="5.75"/>
    <x v="1"/>
    <s v="No"/>
    <s v="No"/>
    <s v="No"/>
    <n v="2"/>
    <x v="1"/>
    <x v="2"/>
  </r>
  <r>
    <x v="1112"/>
    <n v="33.914999999999999"/>
    <n v="6.66"/>
    <x v="0"/>
    <s v="yes"/>
    <s v="No"/>
    <s v="No"/>
    <n v="1"/>
    <x v="1"/>
    <x v="2"/>
  </r>
  <r>
    <x v="1113"/>
    <n v="23.54"/>
    <n v="5.0999999999999996"/>
    <x v="1"/>
    <s v="No"/>
    <s v="No"/>
    <s v="No"/>
    <n v="2"/>
    <x v="1"/>
    <x v="2"/>
  </r>
  <r>
    <x v="1114"/>
    <n v="27.074999999999999"/>
    <n v="4.41"/>
    <x v="1"/>
    <s v="No"/>
    <s v="No"/>
    <s v="No"/>
    <n v="2"/>
    <x v="1"/>
    <x v="2"/>
  </r>
  <r>
    <x v="1115"/>
    <n v="25.8"/>
    <n v="5.52"/>
    <x v="1"/>
    <s v="yes"/>
    <s v="No"/>
    <s v="No"/>
    <n v="0"/>
    <x v="1"/>
    <x v="2"/>
  </r>
  <r>
    <x v="1116"/>
    <n v="36.1"/>
    <n v="4.62"/>
    <x v="1"/>
    <s v="yes"/>
    <s v="No"/>
    <s v="Yes"/>
    <n v="1"/>
    <x v="1"/>
    <x v="2"/>
  </r>
  <r>
    <x v="1117"/>
    <n v="30.495000000000001"/>
    <n v="5.74"/>
    <x v="1"/>
    <s v="yes"/>
    <s v="No"/>
    <s v="Yes"/>
    <n v="1"/>
    <x v="1"/>
    <x v="2"/>
  </r>
  <r>
    <x v="1118"/>
    <n v="21.4"/>
    <n v="6.3"/>
    <x v="1"/>
    <s v="yes"/>
    <s v="No"/>
    <s v="Yes"/>
    <n v="1"/>
    <x v="1"/>
    <x v="2"/>
  </r>
  <r>
    <x v="1119"/>
    <n v="32.299999999999997"/>
    <n v="10.27"/>
    <x v="0"/>
    <s v="No"/>
    <s v="No"/>
    <s v="No"/>
    <n v="0"/>
    <x v="1"/>
    <x v="2"/>
  </r>
  <r>
    <x v="1120"/>
    <n v="29.78"/>
    <n v="5.85"/>
    <x v="1"/>
    <s v="No"/>
    <s v="No"/>
    <s v="Yes"/>
    <n v="1"/>
    <x v="1"/>
    <x v="2"/>
  </r>
  <r>
    <x v="1121"/>
    <n v="34.76"/>
    <n v="5.92"/>
    <x v="1"/>
    <s v="yes"/>
    <s v="No"/>
    <s v="No"/>
    <n v="1"/>
    <x v="1"/>
    <x v="2"/>
  </r>
  <r>
    <x v="1122"/>
    <n v="18.335000000000001"/>
    <n v="10.01"/>
    <x v="0"/>
    <s v="yes"/>
    <s v="No"/>
    <s v="No"/>
    <n v="2"/>
    <x v="1"/>
    <x v="3"/>
  </r>
  <r>
    <x v="1123"/>
    <n v="32.299999999999997"/>
    <n v="9.59"/>
    <x v="0"/>
    <s v="No"/>
    <s v="No"/>
    <s v="No"/>
    <n v="0"/>
    <x v="1"/>
    <x v="2"/>
  </r>
  <r>
    <x v="1124"/>
    <n v="27.74"/>
    <n v="10.37"/>
    <x v="0"/>
    <s v="No"/>
    <s v="No"/>
    <s v="No"/>
    <n v="0"/>
    <x v="1"/>
    <x v="2"/>
  </r>
  <r>
    <x v="1125"/>
    <n v="24"/>
    <n v="4.01"/>
    <x v="1"/>
    <s v="yes"/>
    <s v="No"/>
    <s v="No"/>
    <n v="1"/>
    <x v="1"/>
    <x v="2"/>
  </r>
  <r>
    <x v="1126"/>
    <n v="31.78"/>
    <n v="4.24"/>
    <x v="1"/>
    <s v="yes"/>
    <s v="No"/>
    <s v="Yes"/>
    <n v="1"/>
    <x v="1"/>
    <x v="2"/>
  </r>
  <r>
    <x v="1127"/>
    <n v="32.25"/>
    <n v="5.36"/>
    <x v="1"/>
    <s v="yes"/>
    <s v="No"/>
    <s v="No"/>
    <n v="0"/>
    <x v="1"/>
    <x v="2"/>
  </r>
  <r>
    <x v="1128"/>
    <n v="30.114999999999998"/>
    <n v="4.99"/>
    <x v="1"/>
    <s v="No"/>
    <s v="No"/>
    <s v="No"/>
    <n v="2"/>
    <x v="1"/>
    <x v="2"/>
  </r>
  <r>
    <x v="1129"/>
    <n v="22.41"/>
    <n v="8.68"/>
    <x v="0"/>
    <s v="No"/>
    <s v="No"/>
    <s v="No"/>
    <n v="0"/>
    <x v="1"/>
    <x v="2"/>
  </r>
  <r>
    <x v="1130"/>
    <n v="45.72"/>
    <n v="4.2300000000000004"/>
    <x v="1"/>
    <s v="yes"/>
    <s v="No"/>
    <s v="No"/>
    <n v="0"/>
    <x v="1"/>
    <x v="2"/>
  </r>
  <r>
    <x v="1131"/>
    <n v="25"/>
    <n v="5.32"/>
    <x v="1"/>
    <s v="yes"/>
    <s v="No"/>
    <s v="No"/>
    <n v="2"/>
    <x v="1"/>
    <x v="2"/>
  </r>
  <r>
    <x v="1132"/>
    <n v="39.5"/>
    <n v="6.66"/>
    <x v="0"/>
    <s v="No"/>
    <s v="No"/>
    <s v="No"/>
    <n v="0"/>
    <x v="1"/>
    <x v="2"/>
  </r>
  <r>
    <x v="1133"/>
    <n v="37.729999999999997"/>
    <n v="7.4"/>
    <x v="0"/>
    <s v="No"/>
    <s v="No"/>
    <s v="No"/>
    <n v="0"/>
    <x v="1"/>
    <x v="2"/>
  </r>
  <r>
    <x v="1134"/>
    <n v="40.659999999999997"/>
    <n v="10.08"/>
    <x v="0"/>
    <s v="No"/>
    <s v="No"/>
    <s v="No"/>
    <n v="0"/>
    <x v="1"/>
    <x v="2"/>
  </r>
  <r>
    <x v="1135"/>
    <n v="34.200000000000003"/>
    <n v="8.58"/>
    <x v="0"/>
    <s v="No"/>
    <s v="No"/>
    <s v="No"/>
    <n v="0"/>
    <x v="1"/>
    <x v="2"/>
  </r>
  <r>
    <x v="1136"/>
    <n v="46.51"/>
    <n v="5.84"/>
    <x v="1"/>
    <s v="No"/>
    <s v="No"/>
    <s v="No"/>
    <n v="1"/>
    <x v="1"/>
    <x v="2"/>
  </r>
  <r>
    <x v="1137"/>
    <n v="28.88"/>
    <n v="4.8600000000000003"/>
    <x v="1"/>
    <s v="yes"/>
    <s v="No"/>
    <s v="Yes"/>
    <n v="1"/>
    <x v="1"/>
    <x v="2"/>
  </r>
  <r>
    <x v="1138"/>
    <n v="33.914999999999999"/>
    <n v="11.52"/>
    <x v="0"/>
    <s v="No"/>
    <s v="No"/>
    <s v="No"/>
    <n v="0"/>
    <x v="1"/>
    <x v="2"/>
  </r>
  <r>
    <x v="1139"/>
    <n v="24.32"/>
    <n v="6.15"/>
    <x v="1"/>
    <s v="yes"/>
    <s v="No"/>
    <s v="Yes"/>
    <n v="1"/>
    <x v="1"/>
    <x v="2"/>
  </r>
  <r>
    <x v="1140"/>
    <n v="25.8"/>
    <n v="9.94"/>
    <x v="0"/>
    <s v="No"/>
    <s v="No"/>
    <s v="No"/>
    <n v="0"/>
    <x v="1"/>
    <x v="2"/>
  </r>
  <r>
    <x v="1141"/>
    <n v="21.56"/>
    <n v="10.56"/>
    <x v="0"/>
    <s v="No"/>
    <s v="No"/>
    <s v="No"/>
    <n v="0"/>
    <x v="1"/>
    <x v="2"/>
  </r>
  <r>
    <x v="1142"/>
    <n v="31.6"/>
    <n v="6.79"/>
    <x v="0"/>
    <s v="No"/>
    <s v="No"/>
    <s v="No"/>
    <n v="0"/>
    <x v="1"/>
    <x v="2"/>
  </r>
  <r>
    <x v="1143"/>
    <n v="42.93"/>
    <n v="4.8"/>
    <x v="1"/>
    <s v="No"/>
    <s v="No"/>
    <s v="No"/>
    <n v="1"/>
    <x v="1"/>
    <x v="2"/>
  </r>
  <r>
    <x v="1144"/>
    <n v="26.72"/>
    <n v="5.75"/>
    <x v="1"/>
    <s v="No"/>
    <s v="No"/>
    <s v="No"/>
    <n v="2"/>
    <x v="1"/>
    <x v="2"/>
  </r>
  <r>
    <x v="1145"/>
    <n v="26.67"/>
    <n v="5.81"/>
    <x v="1"/>
    <s v="No"/>
    <s v="No"/>
    <s v="No"/>
    <n v="2"/>
    <x v="1"/>
    <x v="2"/>
  </r>
  <r>
    <x v="1146"/>
    <n v="42.68"/>
    <n v="9.2799999999999994"/>
    <x v="0"/>
    <s v="No"/>
    <s v="No"/>
    <s v="No"/>
    <n v="2"/>
    <x v="1"/>
    <x v="2"/>
  </r>
  <r>
    <x v="1147"/>
    <n v="24.31"/>
    <n v="6.37"/>
    <x v="1"/>
    <s v="No"/>
    <s v="No"/>
    <s v="No"/>
    <n v="0"/>
    <x v="1"/>
    <x v="2"/>
  </r>
  <r>
    <x v="1148"/>
    <n v="44.75"/>
    <n v="5.09"/>
    <x v="1"/>
    <s v="yes"/>
    <s v="No"/>
    <s v="No"/>
    <n v="0"/>
    <x v="1"/>
    <x v="2"/>
  </r>
  <r>
    <x v="1149"/>
    <n v="30.78"/>
    <n v="7.94"/>
    <x v="0"/>
    <s v="No"/>
    <s v="No"/>
    <s v="No"/>
    <n v="2"/>
    <x v="1"/>
    <x v="2"/>
  </r>
  <r>
    <x v="1150"/>
    <n v="21.86"/>
    <n v="10.95"/>
    <x v="0"/>
    <s v="No"/>
    <s v="No"/>
    <s v="No"/>
    <n v="0"/>
    <x v="1"/>
    <x v="2"/>
  </r>
  <r>
    <x v="1151"/>
    <n v="49.09"/>
    <n v="6.3"/>
    <x v="1"/>
    <s v="yes"/>
    <s v="No"/>
    <s v="No"/>
    <n v="0"/>
    <x v="1"/>
    <x v="2"/>
  </r>
  <r>
    <x v="1152"/>
    <n v="47.74"/>
    <n v="8.0500000000000007"/>
    <x v="0"/>
    <s v="yes"/>
    <s v="No"/>
    <s v="No"/>
    <n v="2"/>
    <x v="1"/>
    <x v="2"/>
  </r>
  <r>
    <x v="1153"/>
    <n v="30.2"/>
    <n v="9.8800000000000008"/>
    <x v="0"/>
    <s v="yes"/>
    <s v="No"/>
    <s v="No"/>
    <n v="2"/>
    <x v="1"/>
    <x v="2"/>
  </r>
  <r>
    <x v="1154"/>
    <n v="33.25"/>
    <n v="7.42"/>
    <x v="0"/>
    <s v="yes"/>
    <s v="No"/>
    <s v="No"/>
    <n v="2"/>
    <x v="1"/>
    <x v="2"/>
  </r>
  <r>
    <x v="1155"/>
    <n v="26.6"/>
    <n v="8.4499999999999993"/>
    <x v="0"/>
    <s v="yes"/>
    <s v="No"/>
    <s v="No"/>
    <n v="1"/>
    <x v="1"/>
    <x v="2"/>
  </r>
  <r>
    <x v="1156"/>
    <n v="26.35"/>
    <n v="6.21"/>
    <x v="1"/>
    <s v="No"/>
    <s v="No"/>
    <s v="No"/>
    <n v="2"/>
    <x v="1"/>
    <x v="2"/>
  </r>
  <r>
    <x v="1157"/>
    <n v="39.994999999999997"/>
    <n v="4.6500000000000004"/>
    <x v="1"/>
    <s v="No"/>
    <s v="No"/>
    <s v="No"/>
    <n v="0"/>
    <x v="1"/>
    <x v="2"/>
  </r>
  <r>
    <x v="1158"/>
    <n v="22.92"/>
    <n v="5.87"/>
    <x v="1"/>
    <s v="yes"/>
    <s v="No"/>
    <s v="No"/>
    <n v="1"/>
    <x v="1"/>
    <x v="2"/>
  </r>
  <r>
    <x v="1159"/>
    <n v="24.78"/>
    <n v="4.24"/>
    <x v="1"/>
    <s v="yes"/>
    <s v="No"/>
    <s v="No"/>
    <n v="2"/>
    <x v="1"/>
    <x v="2"/>
  </r>
  <r>
    <x v="1160"/>
    <n v="34.07"/>
    <n v="7.81"/>
    <x v="1"/>
    <s v="yes"/>
    <s v="No"/>
    <s v="No"/>
    <n v="0"/>
    <x v="1"/>
    <x v="2"/>
  </r>
  <r>
    <x v="1161"/>
    <n v="30.14"/>
    <n v="9.85"/>
    <x v="0"/>
    <s v="No"/>
    <s v="No"/>
    <s v="No"/>
    <n v="0"/>
    <x v="1"/>
    <x v="2"/>
  </r>
  <r>
    <x v="1162"/>
    <n v="18.05"/>
    <n v="6.94"/>
    <x v="0"/>
    <s v="No"/>
    <s v="No"/>
    <s v="No"/>
    <n v="0"/>
    <x v="1"/>
    <x v="3"/>
  </r>
  <r>
    <x v="1163"/>
    <n v="37.4"/>
    <n v="11.3"/>
    <x v="0"/>
    <s v="yes"/>
    <s v="No"/>
    <s v="No"/>
    <n v="2"/>
    <x v="1"/>
    <x v="2"/>
  </r>
  <r>
    <x v="1164"/>
    <n v="25.75"/>
    <n v="9.23"/>
    <x v="0"/>
    <s v="No"/>
    <s v="No"/>
    <s v="No"/>
    <n v="0"/>
    <x v="1"/>
    <x v="2"/>
  </r>
  <r>
    <x v="1165"/>
    <n v="32.299999999999997"/>
    <n v="4.37"/>
    <x v="1"/>
    <s v="No"/>
    <s v="No"/>
    <s v="No"/>
    <n v="2"/>
    <x v="1"/>
    <x v="2"/>
  </r>
  <r>
    <x v="1166"/>
    <n v="28.61"/>
    <n v="5.76"/>
    <x v="1"/>
    <s v="No"/>
    <s v="No"/>
    <s v="Yes"/>
    <n v="1"/>
    <x v="1"/>
    <x v="2"/>
  </r>
  <r>
    <x v="1167"/>
    <n v="45.41"/>
    <n v="4.96"/>
    <x v="1"/>
    <s v="No"/>
    <s v="No"/>
    <s v="No"/>
    <n v="1"/>
    <x v="1"/>
    <x v="2"/>
  </r>
  <r>
    <x v="1168"/>
    <n v="31.2"/>
    <n v="11.04"/>
    <x v="0"/>
    <s v="yes"/>
    <s v="No"/>
    <s v="No"/>
    <n v="2"/>
    <x v="1"/>
    <x v="2"/>
  </r>
  <r>
    <x v="1169"/>
    <n v="29.83"/>
    <n v="7.81"/>
    <x v="0"/>
    <s v="yes"/>
    <s v="No"/>
    <s v="No"/>
    <n v="1"/>
    <x v="1"/>
    <x v="2"/>
  </r>
  <r>
    <x v="1170"/>
    <n v="29.06"/>
    <n v="4.55"/>
    <x v="1"/>
    <s v="No"/>
    <s v="No"/>
    <s v="No"/>
    <n v="0"/>
    <x v="1"/>
    <x v="2"/>
  </r>
  <r>
    <x v="1171"/>
    <n v="27.454999999999998"/>
    <n v="6.13"/>
    <x v="1"/>
    <s v="No"/>
    <s v="No"/>
    <s v="No"/>
    <n v="2"/>
    <x v="1"/>
    <x v="2"/>
  </r>
  <r>
    <x v="1172"/>
    <n v="23.01"/>
    <n v="6.04"/>
    <x v="1"/>
    <s v="yes"/>
    <s v="No"/>
    <s v="No"/>
    <n v="1"/>
    <x v="1"/>
    <x v="2"/>
  </r>
  <r>
    <x v="1173"/>
    <n v="31.39"/>
    <n v="8.85"/>
    <x v="0"/>
    <s v="yes"/>
    <s v="No"/>
    <s v="No"/>
    <n v="0"/>
    <x v="1"/>
    <x v="2"/>
  </r>
  <r>
    <x v="1174"/>
    <n v="34.770000000000003"/>
    <n v="10.54"/>
    <x v="0"/>
    <s v="No"/>
    <s v="No"/>
    <s v="No"/>
    <n v="2"/>
    <x v="1"/>
    <x v="2"/>
  </r>
  <r>
    <x v="1175"/>
    <n v="24.48"/>
    <n v="4.37"/>
    <x v="1"/>
    <s v="yes"/>
    <s v="No"/>
    <s v="No"/>
    <n v="2"/>
    <x v="1"/>
    <x v="2"/>
  </r>
  <r>
    <x v="1176"/>
    <n v="22.61"/>
    <n v="9.6300000000000008"/>
    <x v="0"/>
    <s v="No"/>
    <s v="No"/>
    <s v="No"/>
    <n v="2"/>
    <x v="1"/>
    <x v="2"/>
  </r>
  <r>
    <x v="1177"/>
    <n v="34.299999999999997"/>
    <n v="10.37"/>
    <x v="0"/>
    <s v="No"/>
    <s v="No"/>
    <s v="No"/>
    <n v="0"/>
    <x v="1"/>
    <x v="2"/>
  </r>
  <r>
    <x v="1178"/>
    <n v="46.09"/>
    <n v="5.44"/>
    <x v="1"/>
    <s v="No"/>
    <s v="No"/>
    <s v="No"/>
    <n v="2"/>
    <x v="1"/>
    <x v="2"/>
  </r>
  <r>
    <x v="1179"/>
    <n v="44.744999999999997"/>
    <n v="5.19"/>
    <x v="1"/>
    <s v="No"/>
    <s v="No"/>
    <s v="No"/>
    <n v="2"/>
    <x v="1"/>
    <x v="2"/>
  </r>
  <r>
    <x v="1180"/>
    <n v="26.33"/>
    <n v="11.8"/>
    <x v="0"/>
    <s v="yes"/>
    <s v="No"/>
    <s v="No"/>
    <n v="1"/>
    <x v="1"/>
    <x v="2"/>
  </r>
  <r>
    <x v="1181"/>
    <n v="26.6"/>
    <n v="8.3800000000000008"/>
    <x v="0"/>
    <s v="No"/>
    <s v="No"/>
    <s v="No"/>
    <n v="2"/>
    <x v="1"/>
    <x v="2"/>
  </r>
  <r>
    <x v="1182"/>
    <n v="27.5"/>
    <n v="7.58"/>
    <x v="0"/>
    <s v="No"/>
    <s v="No"/>
    <s v="No"/>
    <n v="0"/>
    <x v="1"/>
    <x v="2"/>
  </r>
  <r>
    <x v="1183"/>
    <n v="41.55"/>
    <n v="4.6100000000000003"/>
    <x v="1"/>
    <s v="No"/>
    <s v="No"/>
    <s v="No"/>
    <n v="1"/>
    <x v="1"/>
    <x v="2"/>
  </r>
  <r>
    <x v="1184"/>
    <n v="41.47"/>
    <n v="4.7"/>
    <x v="1"/>
    <s v="yes"/>
    <s v="No"/>
    <s v="Yes"/>
    <n v="1"/>
    <x v="1"/>
    <x v="2"/>
  </r>
  <r>
    <x v="1185"/>
    <n v="24.795000000000002"/>
    <n v="6.05"/>
    <x v="1"/>
    <s v="yes"/>
    <s v="No"/>
    <s v="No"/>
    <n v="0"/>
    <x v="1"/>
    <x v="2"/>
  </r>
  <r>
    <x v="1186"/>
    <n v="29.48"/>
    <n v="5.63"/>
    <x v="1"/>
    <s v="yes"/>
    <s v="No"/>
    <s v="Yes"/>
    <n v="1"/>
    <x v="1"/>
    <x v="2"/>
  </r>
  <r>
    <x v="1187"/>
    <n v="28.09"/>
    <n v="6.06"/>
    <x v="1"/>
    <s v="No"/>
    <s v="No"/>
    <s v="Yes"/>
    <n v="1"/>
    <x v="1"/>
    <x v="2"/>
  </r>
  <r>
    <x v="1188"/>
    <n v="32.729999999999997"/>
    <n v="5.19"/>
    <x v="1"/>
    <s v="No"/>
    <s v="No"/>
    <s v="No"/>
    <n v="1"/>
    <x v="1"/>
    <x v="2"/>
  </r>
  <r>
    <x v="1189"/>
    <n v="27.36"/>
    <n v="8.9600000000000009"/>
    <x v="0"/>
    <s v="No"/>
    <s v="No"/>
    <s v="No"/>
    <n v="0"/>
    <x v="1"/>
    <x v="2"/>
  </r>
  <r>
    <x v="1190"/>
    <n v="27.265000000000001"/>
    <n v="11.39"/>
    <x v="0"/>
    <s v="No"/>
    <s v="No"/>
    <s v="No"/>
    <n v="0"/>
    <x v="1"/>
    <x v="2"/>
  </r>
  <r>
    <x v="1191"/>
    <n v="48.07"/>
    <n v="4.0599999999999996"/>
    <x v="1"/>
    <s v="yes"/>
    <s v="No"/>
    <s v="No"/>
    <n v="0"/>
    <x v="1"/>
    <x v="2"/>
  </r>
  <r>
    <x v="1192"/>
    <n v="30.8"/>
    <n v="5.23"/>
    <x v="1"/>
    <s v="yes"/>
    <s v="No"/>
    <s v="No"/>
    <n v="0"/>
    <x v="1"/>
    <x v="2"/>
  </r>
  <r>
    <x v="1193"/>
    <n v="32.299999999999997"/>
    <n v="5.05"/>
    <x v="1"/>
    <s v="yes"/>
    <s v="No"/>
    <s v="No"/>
    <n v="0"/>
    <x v="1"/>
    <x v="2"/>
  </r>
  <r>
    <x v="1194"/>
    <n v="39.700000000000003"/>
    <n v="7.34"/>
    <x v="0"/>
    <s v="No"/>
    <s v="No"/>
    <s v="No"/>
    <n v="0"/>
    <x v="1"/>
    <x v="2"/>
  </r>
  <r>
    <x v="1195"/>
    <n v="35.97"/>
    <n v="8.1300000000000008"/>
    <x v="0"/>
    <s v="No"/>
    <s v="No"/>
    <s v="No"/>
    <n v="0"/>
    <x v="1"/>
    <x v="2"/>
  </r>
  <r>
    <x v="1196"/>
    <n v="25.86"/>
    <n v="6.68"/>
    <x v="0"/>
    <s v="yes"/>
    <s v="No"/>
    <s v="No"/>
    <n v="1"/>
    <x v="1"/>
    <x v="2"/>
  </r>
  <r>
    <x v="1197"/>
    <n v="30.03"/>
    <n v="11.51"/>
    <x v="0"/>
    <s v="No"/>
    <s v="No"/>
    <s v="No"/>
    <n v="0"/>
    <x v="1"/>
    <x v="2"/>
  </r>
  <r>
    <x v="1198"/>
    <n v="25.76"/>
    <n v="6.02"/>
    <x v="1"/>
    <s v="yes"/>
    <s v="No"/>
    <s v="Yes"/>
    <n v="1"/>
    <x v="1"/>
    <x v="2"/>
  </r>
  <r>
    <x v="1199"/>
    <n v="22.42"/>
    <n v="7.96"/>
    <x v="0"/>
    <s v="No"/>
    <s v="No"/>
    <s v="No"/>
    <n v="0"/>
    <x v="1"/>
    <x v="2"/>
  </r>
  <r>
    <x v="1200"/>
    <n v="33.18"/>
    <n v="6.01"/>
    <x v="1"/>
    <s v="yes"/>
    <s v="No"/>
    <s v="No"/>
    <n v="1"/>
    <x v="1"/>
    <x v="2"/>
  </r>
  <r>
    <x v="1201"/>
    <n v="43.04"/>
    <n v="5.9"/>
    <x v="1"/>
    <s v="yes"/>
    <s v="No"/>
    <s v="No"/>
    <n v="0"/>
    <x v="1"/>
    <x v="2"/>
  </r>
  <r>
    <x v="1202"/>
    <n v="34.15"/>
    <n v="4.49"/>
    <x v="1"/>
    <s v="yes"/>
    <s v="No"/>
    <s v="No"/>
    <n v="1"/>
    <x v="1"/>
    <x v="2"/>
  </r>
  <r>
    <x v="1203"/>
    <n v="25.78"/>
    <n v="6.25"/>
    <x v="1"/>
    <s v="No"/>
    <s v="No"/>
    <s v="No"/>
    <n v="0"/>
    <x v="1"/>
    <x v="2"/>
  </r>
  <r>
    <x v="1204"/>
    <n v="21.02"/>
    <n v="9.6199999999999992"/>
    <x v="0"/>
    <s v="yes"/>
    <s v="No"/>
    <s v="Yes"/>
    <n v="1"/>
    <x v="1"/>
    <x v="2"/>
  </r>
  <r>
    <x v="1205"/>
    <n v="37.51"/>
    <n v="11.06"/>
    <x v="0"/>
    <s v="No"/>
    <s v="No"/>
    <s v="No"/>
    <n v="2"/>
    <x v="1"/>
    <x v="2"/>
  </r>
  <r>
    <x v="1206"/>
    <n v="25.745000000000001"/>
    <n v="6.11"/>
    <x v="1"/>
    <s v="yes"/>
    <s v="No"/>
    <s v="No"/>
    <n v="0"/>
    <x v="1"/>
    <x v="2"/>
  </r>
  <r>
    <x v="1207"/>
    <n v="31.35"/>
    <n v="11.49"/>
    <x v="0"/>
    <s v="No"/>
    <s v="No"/>
    <s v="No"/>
    <n v="2"/>
    <x v="1"/>
    <x v="2"/>
  </r>
  <r>
    <x v="1208"/>
    <n v="29.83"/>
    <n v="8.68"/>
    <x v="0"/>
    <s v="No"/>
    <s v="No"/>
    <s v="No"/>
    <n v="2"/>
    <x v="1"/>
    <x v="2"/>
  </r>
  <r>
    <x v="1209"/>
    <n v="25.49"/>
    <n v="5.68"/>
    <x v="1"/>
    <s v="yes"/>
    <s v="No"/>
    <s v="Yes"/>
    <n v="1"/>
    <x v="1"/>
    <x v="2"/>
  </r>
  <r>
    <x v="1210"/>
    <n v="34.1"/>
    <n v="8.4499999999999993"/>
    <x v="0"/>
    <s v="No"/>
    <s v="No"/>
    <s v="No"/>
    <n v="0"/>
    <x v="1"/>
    <x v="2"/>
  </r>
  <r>
    <x v="1211"/>
    <n v="25.84"/>
    <n v="8.51"/>
    <x v="0"/>
    <s v="No"/>
    <s v="No"/>
    <s v="No"/>
    <n v="2"/>
    <x v="1"/>
    <x v="2"/>
  </r>
  <r>
    <x v="1212"/>
    <n v="20.6"/>
    <n v="7.62"/>
    <x v="0"/>
    <s v="No"/>
    <s v="No"/>
    <s v="No"/>
    <n v="0"/>
    <x v="1"/>
    <x v="2"/>
  </r>
  <r>
    <x v="1213"/>
    <n v="28.88"/>
    <n v="10.18"/>
    <x v="0"/>
    <s v="No"/>
    <s v="No"/>
    <s v="No"/>
    <n v="0"/>
    <x v="1"/>
    <x v="2"/>
  </r>
  <r>
    <x v="1214"/>
    <n v="28.24"/>
    <n v="5.36"/>
    <x v="1"/>
    <s v="No"/>
    <s v="No"/>
    <s v="No"/>
    <n v="0"/>
    <x v="1"/>
    <x v="2"/>
  </r>
  <r>
    <x v="1215"/>
    <n v="25.46"/>
    <n v="11.78"/>
    <x v="0"/>
    <s v="yes"/>
    <s v="No"/>
    <s v="No"/>
    <n v="1"/>
    <x v="1"/>
    <x v="2"/>
  </r>
  <r>
    <x v="1216"/>
    <n v="29.64"/>
    <n v="10.82"/>
    <x v="0"/>
    <s v="yes"/>
    <s v="No"/>
    <s v="No"/>
    <n v="0"/>
    <x v="1"/>
    <x v="2"/>
  </r>
  <r>
    <x v="1217"/>
    <n v="31.27"/>
    <n v="7.73"/>
    <x v="0"/>
    <s v="yes"/>
    <s v="No"/>
    <s v="No"/>
    <n v="1"/>
    <x v="1"/>
    <x v="2"/>
  </r>
  <r>
    <x v="1218"/>
    <n v="19.95"/>
    <n v="6.24"/>
    <x v="0"/>
    <s v="yes"/>
    <s v="No"/>
    <s v="No"/>
    <n v="0"/>
    <x v="1"/>
    <x v="2"/>
  </r>
  <r>
    <x v="1219"/>
    <n v="21.3"/>
    <n v="10.42"/>
    <x v="0"/>
    <s v="No"/>
    <s v="No"/>
    <s v="No"/>
    <n v="2"/>
    <x v="1"/>
    <x v="2"/>
  </r>
  <r>
    <x v="1220"/>
    <n v="31.635000000000002"/>
    <n v="11.11"/>
    <x v="0"/>
    <s v="No"/>
    <s v="No"/>
    <s v="No"/>
    <n v="0"/>
    <x v="1"/>
    <x v="2"/>
  </r>
  <r>
    <x v="1221"/>
    <n v="23.9"/>
    <n v="7.67"/>
    <x v="0"/>
    <s v="yes"/>
    <s v="No"/>
    <s v="No"/>
    <n v="2"/>
    <x v="1"/>
    <x v="2"/>
  </r>
  <r>
    <x v="1222"/>
    <n v="34.15"/>
    <n v="6.15"/>
    <x v="1"/>
    <s v="No"/>
    <s v="No"/>
    <s v="No"/>
    <n v="0"/>
    <x v="1"/>
    <x v="2"/>
  </r>
  <r>
    <x v="1223"/>
    <n v="28.71"/>
    <n v="5.71"/>
    <x v="1"/>
    <s v="No"/>
    <s v="No"/>
    <s v="No"/>
    <n v="0"/>
    <x v="1"/>
    <x v="2"/>
  </r>
  <r>
    <x v="1224"/>
    <n v="36.700000000000003"/>
    <n v="8.6999999999999993"/>
    <x v="0"/>
    <s v="yes"/>
    <s v="No"/>
    <s v="No"/>
    <n v="2"/>
    <x v="1"/>
    <x v="2"/>
  </r>
  <r>
    <x v="1225"/>
    <n v="34.1"/>
    <n v="9.0399999999999991"/>
    <x v="0"/>
    <s v="yes"/>
    <s v="No"/>
    <s v="No"/>
    <n v="2"/>
    <x v="1"/>
    <x v="2"/>
  </r>
  <r>
    <x v="1226"/>
    <n v="25.7"/>
    <n v="5.61"/>
    <x v="1"/>
    <s v="No"/>
    <s v="No"/>
    <s v="No"/>
    <n v="0"/>
    <x v="1"/>
    <x v="2"/>
  </r>
  <r>
    <x v="1227"/>
    <n v="21.68"/>
    <n v="8.1199999999999992"/>
    <x v="0"/>
    <s v="No"/>
    <s v="No"/>
    <s v="No"/>
    <n v="0"/>
    <x v="1"/>
    <x v="2"/>
  </r>
  <r>
    <x v="1228"/>
    <n v="25.175000000000001"/>
    <n v="4.74"/>
    <x v="1"/>
    <s v="No"/>
    <s v="No"/>
    <s v="No"/>
    <n v="0"/>
    <x v="1"/>
    <x v="2"/>
  </r>
  <r>
    <x v="1229"/>
    <n v="44.77"/>
    <n v="4.0599999999999996"/>
    <x v="1"/>
    <s v="No"/>
    <s v="No"/>
    <s v="No"/>
    <n v="2"/>
    <x v="1"/>
    <x v="2"/>
  </r>
  <r>
    <x v="1230"/>
    <n v="37.07"/>
    <n v="5.69"/>
    <x v="1"/>
    <s v="No"/>
    <s v="No"/>
    <s v="No"/>
    <n v="2"/>
    <x v="1"/>
    <x v="2"/>
  </r>
  <r>
    <x v="1231"/>
    <n v="39.799999999999997"/>
    <n v="5.66"/>
    <x v="1"/>
    <s v="No"/>
    <s v="No"/>
    <s v="Yes"/>
    <n v="1"/>
    <x v="1"/>
    <x v="2"/>
  </r>
  <r>
    <x v="1232"/>
    <n v="26.36"/>
    <n v="4.32"/>
    <x v="1"/>
    <s v="No"/>
    <s v="No"/>
    <s v="Yes"/>
    <n v="1"/>
    <x v="1"/>
    <x v="2"/>
  </r>
  <r>
    <x v="1233"/>
    <n v="29.925000000000001"/>
    <n v="8.2899999999999991"/>
    <x v="0"/>
    <s v="No"/>
    <s v="No"/>
    <s v="No"/>
    <n v="2"/>
    <x v="1"/>
    <x v="2"/>
  </r>
  <r>
    <x v="1234"/>
    <n v="37.29"/>
    <n v="10.46"/>
    <x v="0"/>
    <s v="No"/>
    <s v="No"/>
    <s v="No"/>
    <n v="0"/>
    <x v="1"/>
    <x v="2"/>
  </r>
  <r>
    <x v="1235"/>
    <n v="30.2"/>
    <n v="11.96"/>
    <x v="0"/>
    <s v="No"/>
    <s v="No"/>
    <s v="No"/>
    <n v="0"/>
    <x v="1"/>
    <x v="2"/>
  </r>
  <r>
    <x v="1236"/>
    <n v="24.225000000000001"/>
    <n v="4.25"/>
    <x v="1"/>
    <s v="yes"/>
    <s v="No"/>
    <s v="Yes"/>
    <n v="1"/>
    <x v="1"/>
    <x v="2"/>
  </r>
  <r>
    <x v="1237"/>
    <n v="31.445"/>
    <n v="8.33"/>
    <x v="0"/>
    <s v="No"/>
    <s v="No"/>
    <s v="No"/>
    <n v="0"/>
    <x v="1"/>
    <x v="2"/>
  </r>
  <r>
    <x v="1238"/>
    <n v="38.880000000000003"/>
    <n v="4.29"/>
    <x v="1"/>
    <s v="No"/>
    <s v="No"/>
    <s v="No"/>
    <n v="1"/>
    <x v="1"/>
    <x v="2"/>
  </r>
  <r>
    <x v="1239"/>
    <n v="43.89"/>
    <n v="6.32"/>
    <x v="1"/>
    <s v="yes"/>
    <s v="No"/>
    <s v="No"/>
    <n v="0"/>
    <x v="1"/>
    <x v="2"/>
  </r>
  <r>
    <x v="1240"/>
    <n v="25.6"/>
    <n v="5.65"/>
    <x v="1"/>
    <s v="No"/>
    <s v="No"/>
    <s v="No"/>
    <n v="2"/>
    <x v="1"/>
    <x v="2"/>
  </r>
  <r>
    <x v="1241"/>
    <n v="29.545000000000002"/>
    <n v="8.41"/>
    <x v="0"/>
    <s v="yes"/>
    <s v="No"/>
    <s v="No"/>
    <n v="1"/>
    <x v="1"/>
    <x v="2"/>
  </r>
  <r>
    <x v="1242"/>
    <n v="23.25"/>
    <n v="11.96"/>
    <x v="0"/>
    <s v="yes"/>
    <s v="No"/>
    <s v="No"/>
    <n v="0"/>
    <x v="1"/>
    <x v="2"/>
  </r>
  <r>
    <x v="1243"/>
    <n v="43.95"/>
    <n v="5.17"/>
    <x v="1"/>
    <s v="yes"/>
    <s v="No"/>
    <s v="Yes"/>
    <n v="1"/>
    <x v="1"/>
    <x v="2"/>
  </r>
  <r>
    <x v="1244"/>
    <n v="21.85"/>
    <n v="8.76"/>
    <x v="0"/>
    <s v="No"/>
    <s v="No"/>
    <s v="No"/>
    <n v="0"/>
    <x v="1"/>
    <x v="2"/>
  </r>
  <r>
    <x v="1245"/>
    <n v="25.73"/>
    <n v="7.99"/>
    <x v="0"/>
    <s v="No"/>
    <s v="No"/>
    <s v="No"/>
    <n v="2"/>
    <x v="1"/>
    <x v="2"/>
  </r>
  <r>
    <x v="1246"/>
    <n v="32.229999999999997"/>
    <n v="8.59"/>
    <x v="0"/>
    <s v="No"/>
    <s v="No"/>
    <s v="No"/>
    <n v="0"/>
    <x v="1"/>
    <x v="2"/>
  </r>
  <r>
    <x v="1247"/>
    <n v="32.204999999999998"/>
    <n v="6.14"/>
    <x v="1"/>
    <s v="No"/>
    <s v="No"/>
    <s v="No"/>
    <n v="2"/>
    <x v="1"/>
    <x v="2"/>
  </r>
  <r>
    <x v="1248"/>
    <n v="26.41"/>
    <n v="4.08"/>
    <x v="1"/>
    <s v="No"/>
    <s v="No"/>
    <s v="No"/>
    <n v="2"/>
    <x v="1"/>
    <x v="2"/>
  </r>
  <r>
    <x v="1249"/>
    <n v="30.2"/>
    <n v="6.25"/>
    <x v="1"/>
    <s v="yes"/>
    <s v="No"/>
    <s v="No"/>
    <n v="0"/>
    <x v="1"/>
    <x v="2"/>
  </r>
  <r>
    <x v="1250"/>
    <n v="31.26"/>
    <n v="5.94"/>
    <x v="1"/>
    <s v="yes"/>
    <s v="No"/>
    <s v="No"/>
    <n v="1"/>
    <x v="1"/>
    <x v="2"/>
  </r>
  <r>
    <x v="1251"/>
    <n v="33.725000000000001"/>
    <n v="6.45"/>
    <x v="1"/>
    <s v="yes"/>
    <s v="No"/>
    <s v="No"/>
    <n v="0"/>
    <x v="1"/>
    <x v="2"/>
  </r>
  <r>
    <x v="1252"/>
    <n v="28.9"/>
    <n v="5.74"/>
    <x v="1"/>
    <s v="yes"/>
    <s v="No"/>
    <s v="No"/>
    <n v="0"/>
    <x v="1"/>
    <x v="2"/>
  </r>
  <r>
    <x v="1253"/>
    <n v="45.69"/>
    <n v="4.43"/>
    <x v="1"/>
    <s v="yes"/>
    <s v="No"/>
    <s v="No"/>
    <n v="0"/>
    <x v="1"/>
    <x v="2"/>
  </r>
  <r>
    <x v="1254"/>
    <n v="21.03"/>
    <n v="6.5"/>
    <x v="1"/>
    <s v="No"/>
    <s v="No"/>
    <s v="No"/>
    <n v="0"/>
    <x v="1"/>
    <x v="2"/>
  </r>
  <r>
    <x v="1255"/>
    <n v="37"/>
    <n v="8.75"/>
    <x v="0"/>
    <s v="No"/>
    <s v="No"/>
    <s v="No"/>
    <n v="0"/>
    <x v="1"/>
    <x v="2"/>
  </r>
  <r>
    <x v="1256"/>
    <n v="25.4"/>
    <n v="11.96"/>
    <x v="0"/>
    <s v="No"/>
    <s v="No"/>
    <s v="No"/>
    <n v="0"/>
    <x v="1"/>
    <x v="2"/>
  </r>
  <r>
    <x v="1257"/>
    <n v="32.299999999999997"/>
    <n v="10.54"/>
    <x v="0"/>
    <s v="No"/>
    <s v="No"/>
    <s v="No"/>
    <n v="0"/>
    <x v="1"/>
    <x v="2"/>
  </r>
  <r>
    <x v="1258"/>
    <n v="23.94"/>
    <n v="4.54"/>
    <x v="1"/>
    <s v="yes"/>
    <s v="No"/>
    <s v="Yes"/>
    <n v="1"/>
    <x v="1"/>
    <x v="2"/>
  </r>
  <r>
    <x v="1259"/>
    <n v="46.4"/>
    <n v="5.71"/>
    <x v="1"/>
    <s v="No"/>
    <s v="No"/>
    <s v="No"/>
    <n v="0"/>
    <x v="1"/>
    <x v="2"/>
  </r>
  <r>
    <x v="1260"/>
    <n v="40.375"/>
    <n v="6.25"/>
    <x v="1"/>
    <s v="yes"/>
    <s v="No"/>
    <s v="No"/>
    <n v="0"/>
    <x v="1"/>
    <x v="2"/>
  </r>
  <r>
    <x v="1261"/>
    <n v="28.7"/>
    <n v="9.4700000000000006"/>
    <x v="0"/>
    <s v="No"/>
    <s v="No"/>
    <s v="No"/>
    <n v="2"/>
    <x v="1"/>
    <x v="2"/>
  </r>
  <r>
    <x v="1262"/>
    <n v="26.63"/>
    <n v="5.7"/>
    <x v="1"/>
    <s v="No"/>
    <s v="No"/>
    <s v="No"/>
    <n v="0"/>
    <x v="1"/>
    <x v="2"/>
  </r>
  <r>
    <x v="1263"/>
    <n v="22.515000000000001"/>
    <n v="11.18"/>
    <x v="0"/>
    <s v="No"/>
    <s v="No"/>
    <s v="No"/>
    <n v="2"/>
    <x v="1"/>
    <x v="2"/>
  </r>
  <r>
    <x v="1264"/>
    <n v="36.575000000000003"/>
    <n v="10.98"/>
    <x v="0"/>
    <s v="No"/>
    <s v="No"/>
    <s v="No"/>
    <n v="0"/>
    <x v="1"/>
    <x v="2"/>
  </r>
  <r>
    <x v="1265"/>
    <n v="23.66"/>
    <n v="5.1100000000000003"/>
    <x v="1"/>
    <s v="yes"/>
    <s v="No"/>
    <s v="Yes"/>
    <n v="1"/>
    <x v="1"/>
    <x v="2"/>
  </r>
  <r>
    <x v="1266"/>
    <n v="18.62"/>
    <n v="10.24"/>
    <x v="0"/>
    <s v="No"/>
    <s v="No"/>
    <s v="No"/>
    <n v="0"/>
    <x v="1"/>
    <x v="2"/>
  </r>
  <r>
    <x v="1267"/>
    <n v="19.190000000000001"/>
    <n v="7.71"/>
    <x v="0"/>
    <s v="yes"/>
    <s v="No"/>
    <s v="No"/>
    <n v="1"/>
    <x v="1"/>
    <x v="2"/>
  </r>
  <r>
    <x v="1268"/>
    <n v="27.5"/>
    <n v="6.03"/>
    <x v="1"/>
    <s v="No"/>
    <s v="No"/>
    <s v="No"/>
    <n v="0"/>
    <x v="1"/>
    <x v="2"/>
  </r>
  <r>
    <x v="1269"/>
    <n v="27.36"/>
    <n v="5.96"/>
    <x v="1"/>
    <s v="No"/>
    <s v="No"/>
    <s v="Yes"/>
    <n v="1"/>
    <x v="1"/>
    <x v="2"/>
  </r>
  <r>
    <x v="1270"/>
    <n v="20.350000000000001"/>
    <n v="4.16"/>
    <x v="1"/>
    <s v="No"/>
    <s v="No"/>
    <s v="No"/>
    <n v="0"/>
    <x v="1"/>
    <x v="2"/>
  </r>
  <r>
    <x v="1271"/>
    <n v="24.035"/>
    <n v="6.11"/>
    <x v="1"/>
    <s v="No"/>
    <s v="No"/>
    <s v="No"/>
    <n v="0"/>
    <x v="1"/>
    <x v="2"/>
  </r>
  <r>
    <x v="1272"/>
    <n v="23.56"/>
    <n v="5.97"/>
    <x v="1"/>
    <s v="No"/>
    <s v="No"/>
    <s v="No"/>
    <n v="0"/>
    <x v="1"/>
    <x v="2"/>
  </r>
  <r>
    <x v="1273"/>
    <n v="27.17"/>
    <n v="10.81"/>
    <x v="0"/>
    <s v="No"/>
    <s v="No"/>
    <s v="No"/>
    <n v="2"/>
    <x v="1"/>
    <x v="2"/>
  </r>
  <r>
    <x v="1274"/>
    <n v="34.32"/>
    <n v="5.7"/>
    <x v="1"/>
    <s v="yes"/>
    <s v="No"/>
    <s v="Yes"/>
    <n v="1"/>
    <x v="1"/>
    <x v="2"/>
  </r>
  <r>
    <x v="1275"/>
    <n v="23.87"/>
    <n v="4.7699999999999996"/>
    <x v="1"/>
    <s v="yes"/>
    <s v="No"/>
    <s v="Yes"/>
    <n v="1"/>
    <x v="1"/>
    <x v="2"/>
  </r>
  <r>
    <x v="1276"/>
    <n v="30.15"/>
    <n v="4.25"/>
    <x v="1"/>
    <s v="No"/>
    <s v="No"/>
    <s v="No"/>
    <n v="1"/>
    <x v="1"/>
    <x v="2"/>
  </r>
  <r>
    <x v="1277"/>
    <n v="26.36"/>
    <n v="5.52"/>
    <x v="1"/>
    <s v="No"/>
    <s v="No"/>
    <s v="No"/>
    <n v="0"/>
    <x v="1"/>
    <x v="2"/>
  </r>
  <r>
    <x v="1278"/>
    <n v="45.32"/>
    <n v="6.53"/>
    <x v="1"/>
    <s v="yes"/>
    <s v="No"/>
    <s v="No"/>
    <n v="1"/>
    <x v="1"/>
    <x v="2"/>
  </r>
  <r>
    <x v="1279"/>
    <n v="31.93"/>
    <n v="4.82"/>
    <x v="1"/>
    <s v="yes"/>
    <s v="No"/>
    <s v="No"/>
    <n v="1"/>
    <x v="1"/>
    <x v="2"/>
  </r>
  <r>
    <x v="1280"/>
    <n v="36"/>
    <n v="11.94"/>
    <x v="0"/>
    <s v="yes"/>
    <s v="No"/>
    <s v="No"/>
    <n v="1"/>
    <x v="1"/>
    <x v="2"/>
  </r>
  <r>
    <x v="1281"/>
    <n v="32"/>
    <n v="7.85"/>
    <x v="0"/>
    <s v="yes"/>
    <s v="No"/>
    <s v="No"/>
    <n v="1"/>
    <x v="1"/>
    <x v="2"/>
  </r>
  <r>
    <x v="1282"/>
    <n v="29.37"/>
    <n v="8.01"/>
    <x v="0"/>
    <s v="yes"/>
    <s v="No"/>
    <s v="No"/>
    <n v="1"/>
    <x v="1"/>
    <x v="2"/>
  </r>
  <r>
    <x v="1283"/>
    <n v="23.6"/>
    <n v="7.4"/>
    <x v="0"/>
    <s v="yes"/>
    <s v="No"/>
    <s v="No"/>
    <n v="1"/>
    <x v="1"/>
    <x v="2"/>
  </r>
  <r>
    <x v="1284"/>
    <n v="33.155000000000001"/>
    <n v="8.3800000000000008"/>
    <x v="0"/>
    <s v="yes"/>
    <s v="No"/>
    <s v="No"/>
    <n v="0"/>
    <x v="1"/>
    <x v="2"/>
  </r>
  <r>
    <x v="1285"/>
    <n v="24.32"/>
    <n v="11.56"/>
    <x v="0"/>
    <s v="yes"/>
    <s v="No"/>
    <s v="No"/>
    <n v="1"/>
    <x v="1"/>
    <x v="2"/>
  </r>
  <r>
    <x v="1286"/>
    <n v="36.299999999999997"/>
    <n v="4.6100000000000003"/>
    <x v="1"/>
    <s v="No"/>
    <s v="No"/>
    <s v="No"/>
    <n v="0"/>
    <x v="1"/>
    <x v="2"/>
  </r>
  <r>
    <x v="1287"/>
    <n v="34.4"/>
    <n v="4.95"/>
    <x v="1"/>
    <s v="No"/>
    <s v="No"/>
    <s v="Yes"/>
    <n v="1"/>
    <x v="1"/>
    <x v="2"/>
  </r>
  <r>
    <x v="1288"/>
    <n v="30.9"/>
    <n v="5.04"/>
    <x v="1"/>
    <s v="No"/>
    <s v="No"/>
    <s v="No"/>
    <n v="0"/>
    <x v="1"/>
    <x v="2"/>
  </r>
  <r>
    <x v="1289"/>
    <n v="28.6"/>
    <n v="5.42"/>
    <x v="1"/>
    <s v="No"/>
    <s v="No"/>
    <s v="No"/>
    <n v="0"/>
    <x v="1"/>
    <x v="2"/>
  </r>
  <r>
    <x v="1290"/>
    <n v="27.83"/>
    <n v="5.39"/>
    <x v="1"/>
    <s v="No"/>
    <s v="No"/>
    <s v="No"/>
    <n v="0"/>
    <x v="1"/>
    <x v="2"/>
  </r>
  <r>
    <x v="1291"/>
    <n v="39.64"/>
    <n v="6"/>
    <x v="1"/>
    <s v="No"/>
    <s v="No"/>
    <s v="Yes"/>
    <n v="1"/>
    <x v="1"/>
    <x v="2"/>
  </r>
  <r>
    <x v="1292"/>
    <n v="38.479999999999997"/>
    <n v="6.02"/>
    <x v="1"/>
    <s v="No"/>
    <s v="No"/>
    <s v="No"/>
    <n v="1"/>
    <x v="1"/>
    <x v="2"/>
  </r>
  <r>
    <x v="1293"/>
    <n v="36.200000000000003"/>
    <n v="4.62"/>
    <x v="1"/>
    <s v="No"/>
    <s v="No"/>
    <s v="No"/>
    <n v="2"/>
    <x v="1"/>
    <x v="2"/>
  </r>
  <r>
    <x v="1294"/>
    <n v="27.13"/>
    <n v="5.59"/>
    <x v="1"/>
    <s v="No"/>
    <s v="No"/>
    <s v="No"/>
    <n v="1"/>
    <x v="1"/>
    <x v="2"/>
  </r>
  <r>
    <x v="1295"/>
    <n v="20.75"/>
    <n v="5.18"/>
    <x v="1"/>
    <s v="yes"/>
    <s v="No"/>
    <s v="No"/>
    <n v="2"/>
    <x v="1"/>
    <x v="2"/>
  </r>
  <r>
    <x v="1296"/>
    <n v="26.6"/>
    <n v="6.29"/>
    <x v="1"/>
    <s v="No"/>
    <s v="No"/>
    <s v="No"/>
    <n v="2"/>
    <x v="1"/>
    <x v="2"/>
  </r>
  <r>
    <x v="1297"/>
    <n v="25.3"/>
    <n v="4.49"/>
    <x v="1"/>
    <s v="No"/>
    <s v="No"/>
    <s v="No"/>
    <n v="2"/>
    <x v="1"/>
    <x v="2"/>
  </r>
  <r>
    <x v="1298"/>
    <n v="18.84"/>
    <n v="11.82"/>
    <x v="0"/>
    <s v="yes"/>
    <s v="No"/>
    <s v="Yes"/>
    <n v="1"/>
    <x v="1"/>
    <x v="2"/>
  </r>
  <r>
    <x v="1299"/>
    <n v="19.57"/>
    <n v="7.41"/>
    <x v="0"/>
    <s v="yes"/>
    <s v="No"/>
    <s v="No"/>
    <n v="1"/>
    <x v="1"/>
    <x v="2"/>
  </r>
  <r>
    <x v="1300"/>
    <n v="30.495000000000001"/>
    <n v="5.97"/>
    <x v="1"/>
    <s v="No"/>
    <s v="No"/>
    <s v="No"/>
    <n v="0"/>
    <x v="1"/>
    <x v="2"/>
  </r>
  <r>
    <x v="1301"/>
    <n v="30.114999999999998"/>
    <n v="5.74"/>
    <x v="1"/>
    <s v="No"/>
    <s v="No"/>
    <s v="Yes"/>
    <n v="1"/>
    <x v="1"/>
    <x v="2"/>
  </r>
  <r>
    <x v="1302"/>
    <n v="24.78"/>
    <n v="9.85"/>
    <x v="0"/>
    <s v="No"/>
    <s v="No"/>
    <s v="No"/>
    <n v="0"/>
    <x v="1"/>
    <x v="2"/>
  </r>
  <r>
    <x v="1303"/>
    <n v="24.77"/>
    <n v="7.59"/>
    <x v="0"/>
    <s v="No"/>
    <s v="No"/>
    <s v="No"/>
    <n v="0"/>
    <x v="1"/>
    <x v="2"/>
  </r>
  <r>
    <x v="1304"/>
    <n v="16.579999999999998"/>
    <n v="6.98"/>
    <x v="0"/>
    <s v="yes"/>
    <s v="No"/>
    <s v="Yes"/>
    <n v="1"/>
    <x v="1"/>
    <x v="3"/>
  </r>
  <r>
    <x v="1305"/>
    <n v="38.17"/>
    <n v="4.7300000000000004"/>
    <x v="1"/>
    <s v="yes"/>
    <s v="No"/>
    <s v="No"/>
    <n v="0"/>
    <x v="1"/>
    <x v="2"/>
  </r>
  <r>
    <x v="1306"/>
    <n v="39.424999999999997"/>
    <n v="4.76"/>
    <x v="1"/>
    <s v="yes"/>
    <s v="No"/>
    <s v="No"/>
    <n v="0"/>
    <x v="1"/>
    <x v="2"/>
  </r>
  <r>
    <x v="1307"/>
    <n v="33.44"/>
    <n v="6.24"/>
    <x v="1"/>
    <s v="yes"/>
    <s v="No"/>
    <s v="No"/>
    <n v="0"/>
    <x v="1"/>
    <x v="2"/>
  </r>
  <r>
    <x v="1308"/>
    <n v="33.344999999999999"/>
    <n v="5.44"/>
    <x v="1"/>
    <s v="yes"/>
    <s v="No"/>
    <s v="No"/>
    <n v="0"/>
    <x v="1"/>
    <x v="2"/>
  </r>
  <r>
    <x v="1309"/>
    <n v="38.79"/>
    <n v="5.08"/>
    <x v="1"/>
    <s v="No"/>
    <s v="No"/>
    <s v="Yes"/>
    <n v="1"/>
    <x v="1"/>
    <x v="2"/>
  </r>
  <r>
    <x v="1310"/>
    <n v="30.684999999999999"/>
    <n v="4.87"/>
    <x v="1"/>
    <s v="No"/>
    <s v="No"/>
    <s v="Yes"/>
    <n v="1"/>
    <x v="1"/>
    <x v="2"/>
  </r>
  <r>
    <x v="1311"/>
    <n v="22.135000000000002"/>
    <n v="8.17"/>
    <x v="0"/>
    <s v="No"/>
    <s v="No"/>
    <s v="No"/>
    <n v="0"/>
    <x v="1"/>
    <x v="2"/>
  </r>
  <r>
    <x v="1312"/>
    <n v="33.33"/>
    <n v="7.61"/>
    <x v="0"/>
    <s v="No"/>
    <s v="No"/>
    <s v="No"/>
    <n v="0"/>
    <x v="1"/>
    <x v="2"/>
  </r>
  <r>
    <x v="1313"/>
    <n v="31.13"/>
    <n v="10.1"/>
    <x v="0"/>
    <s v="No"/>
    <s v="No"/>
    <s v="No"/>
    <n v="0"/>
    <x v="1"/>
    <x v="2"/>
  </r>
  <r>
    <x v="1314"/>
    <n v="28.9"/>
    <n v="11.24"/>
    <x v="0"/>
    <s v="No"/>
    <s v="No"/>
    <s v="No"/>
    <n v="0"/>
    <x v="1"/>
    <x v="2"/>
  </r>
  <r>
    <x v="1315"/>
    <n v="43.31"/>
    <n v="6.1"/>
    <x v="1"/>
    <s v="yes"/>
    <s v="yes"/>
    <s v="No"/>
    <n v="1"/>
    <x v="1"/>
    <x v="2"/>
  </r>
  <r>
    <x v="1316"/>
    <n v="22.8"/>
    <n v="6.98"/>
    <x v="0"/>
    <s v="No"/>
    <s v="No"/>
    <s v="No"/>
    <n v="0"/>
    <x v="1"/>
    <x v="2"/>
  </r>
  <r>
    <x v="1317"/>
    <n v="19.09"/>
    <n v="4"/>
    <x v="1"/>
    <s v="yes"/>
    <s v="No"/>
    <s v="No"/>
    <n v="1"/>
    <x v="1"/>
    <x v="2"/>
  </r>
  <r>
    <x v="1318"/>
    <n v="23.37"/>
    <n v="4.2300000000000004"/>
    <x v="1"/>
    <s v="No"/>
    <s v="No"/>
    <s v="No"/>
    <n v="0"/>
    <x v="1"/>
    <x v="2"/>
  </r>
  <r>
    <x v="1319"/>
    <n v="33.44"/>
    <n v="4.72"/>
    <x v="1"/>
    <s v="yes"/>
    <s v="No"/>
    <s v="No"/>
    <n v="0"/>
    <x v="1"/>
    <x v="2"/>
  </r>
  <r>
    <x v="1320"/>
    <n v="28.05"/>
    <n v="5.63"/>
    <x v="1"/>
    <s v="yes"/>
    <s v="No"/>
    <s v="No"/>
    <n v="0"/>
    <x v="1"/>
    <x v="2"/>
  </r>
  <r>
    <x v="1321"/>
    <n v="27.72"/>
    <n v="5.83"/>
    <x v="1"/>
    <s v="yes"/>
    <s v="No"/>
    <s v="No"/>
    <n v="0"/>
    <x v="1"/>
    <x v="2"/>
  </r>
  <r>
    <x v="1322"/>
    <n v="29.81"/>
    <n v="9.23"/>
    <x v="0"/>
    <s v="No"/>
    <s v="No"/>
    <s v="No"/>
    <n v="0"/>
    <x v="1"/>
    <x v="2"/>
  </r>
  <r>
    <x v="1323"/>
    <n v="23.98"/>
    <n v="9.89"/>
    <x v="0"/>
    <s v="No"/>
    <s v="No"/>
    <s v="No"/>
    <n v="0"/>
    <x v="1"/>
    <x v="2"/>
  </r>
  <r>
    <x v="1324"/>
    <n v="17.34"/>
    <n v="12"/>
    <x v="0"/>
    <s v="No"/>
    <s v="No"/>
    <s v="No"/>
    <n v="0"/>
    <x v="1"/>
    <x v="3"/>
  </r>
  <r>
    <x v="1325"/>
    <n v="40.39"/>
    <n v="4.24"/>
    <x v="1"/>
    <s v="yes"/>
    <s v="No"/>
    <s v="Yes"/>
    <n v="1"/>
    <x v="1"/>
    <x v="2"/>
  </r>
  <r>
    <x v="1326"/>
    <n v="25.96"/>
    <n v="4.68"/>
    <x v="1"/>
    <s v="yes"/>
    <s v="No"/>
    <s v="Yes"/>
    <n v="1"/>
    <x v="1"/>
    <x v="2"/>
  </r>
  <r>
    <x v="1327"/>
    <n v="17.68"/>
    <n v="8.57"/>
    <x v="0"/>
    <s v="yes"/>
    <s v="No"/>
    <s v="Yes"/>
    <n v="1"/>
    <x v="1"/>
    <x v="3"/>
  </r>
  <r>
    <x v="1328"/>
    <n v="30.875"/>
    <n v="4.0999999999999996"/>
    <x v="1"/>
    <s v="No"/>
    <s v="No"/>
    <s v="No"/>
    <n v="0"/>
    <x v="1"/>
    <x v="2"/>
  </r>
  <r>
    <x v="1329"/>
    <n v="30.81"/>
    <n v="4.49"/>
    <x v="1"/>
    <s v="No"/>
    <s v="No"/>
    <s v="No"/>
    <n v="0"/>
    <x v="1"/>
    <x v="2"/>
  </r>
  <r>
    <x v="1330"/>
    <n v="36.85"/>
    <n v="8.8000000000000007"/>
    <x v="0"/>
    <s v="No"/>
    <s v="No"/>
    <s v="No"/>
    <n v="2"/>
    <x v="1"/>
    <x v="2"/>
  </r>
  <r>
    <x v="1331"/>
    <n v="35.86"/>
    <n v="7.93"/>
    <x v="0"/>
    <s v="No"/>
    <s v="No"/>
    <s v="No"/>
    <n v="2"/>
    <x v="1"/>
    <x v="2"/>
  </r>
  <r>
    <x v="1332"/>
    <n v="30.3"/>
    <n v="9.4499999999999993"/>
    <x v="0"/>
    <s v="No"/>
    <s v="No"/>
    <s v="No"/>
    <n v="2"/>
    <x v="1"/>
    <x v="2"/>
  </r>
  <r>
    <x v="1333"/>
    <n v="32.015000000000001"/>
    <n v="7.67"/>
    <x v="0"/>
    <s v="No"/>
    <s v="No"/>
    <s v="No"/>
    <n v="0"/>
    <x v="1"/>
    <x v="2"/>
  </r>
  <r>
    <x v="1334"/>
    <n v="25.06"/>
    <n v="10.53"/>
    <x v="0"/>
    <s v="No"/>
    <s v="No"/>
    <s v="No"/>
    <n v="2"/>
    <x v="1"/>
    <x v="2"/>
  </r>
  <r>
    <x v="1335"/>
    <n v="18.829999999999998"/>
    <n v="10.08"/>
    <x v="0"/>
    <s v="yes"/>
    <s v="No"/>
    <s v="No"/>
    <n v="0"/>
    <x v="1"/>
    <x v="2"/>
  </r>
  <r>
    <x v="1336"/>
    <n v="47.52"/>
    <n v="11.39"/>
    <x v="0"/>
    <s v="yes"/>
    <s v="No"/>
    <s v="No"/>
    <n v="1"/>
    <x v="1"/>
    <x v="2"/>
  </r>
  <r>
    <x v="1337"/>
    <n v="37.82"/>
    <n v="6.36"/>
    <x v="1"/>
    <s v="No"/>
    <s v="No"/>
    <s v="No"/>
    <n v="0"/>
    <x v="1"/>
    <x v="2"/>
  </r>
  <r>
    <x v="1338"/>
    <n v="44.16"/>
    <n v="5.31"/>
    <x v="1"/>
    <s v="yes"/>
    <s v="No"/>
    <s v="No"/>
    <n v="0"/>
    <x v="1"/>
    <x v="2"/>
  </r>
  <r>
    <x v="1339"/>
    <n v="37.049999999999997"/>
    <n v="4.74"/>
    <x v="1"/>
    <s v="No"/>
    <s v="No"/>
    <s v="Yes"/>
    <n v="1"/>
    <x v="1"/>
    <x v="2"/>
  </r>
  <r>
    <x v="1340"/>
    <n v="18.66"/>
    <n v="11.35"/>
    <x v="0"/>
    <s v="No"/>
    <s v="No"/>
    <s v="No"/>
    <n v="0"/>
    <x v="1"/>
    <x v="2"/>
  </r>
  <r>
    <x v="1341"/>
    <n v="36.200000000000003"/>
    <n v="6.81"/>
    <x v="0"/>
    <s v="yes"/>
    <s v="No"/>
    <s v="No"/>
    <n v="1"/>
    <x v="1"/>
    <x v="2"/>
  </r>
  <r>
    <x v="1342"/>
    <n v="18.87"/>
    <n v="8.06"/>
    <x v="0"/>
    <s v="No"/>
    <s v="No"/>
    <s v="No"/>
    <n v="0"/>
    <x v="1"/>
    <x v="2"/>
  </r>
  <r>
    <x v="1343"/>
    <n v="32.299999999999997"/>
    <n v="6.74"/>
    <x v="0"/>
    <s v="yes"/>
    <s v="No"/>
    <s v="No"/>
    <n v="1"/>
    <x v="1"/>
    <x v="2"/>
  </r>
  <r>
    <x v="1344"/>
    <n v="22.64"/>
    <n v="6.54"/>
    <x v="1"/>
    <s v="yes"/>
    <s v="No"/>
    <s v="No"/>
    <n v="2"/>
    <x v="1"/>
    <x v="2"/>
  </r>
  <r>
    <x v="1345"/>
    <n v="28.69"/>
    <n v="5.4"/>
    <x v="1"/>
    <s v="No"/>
    <s v="No"/>
    <s v="No"/>
    <n v="0"/>
    <x v="1"/>
    <x v="2"/>
  </r>
  <r>
    <x v="1346"/>
    <n v="28.16"/>
    <n v="5.58"/>
    <x v="1"/>
    <s v="yes"/>
    <s v="No"/>
    <s v="No"/>
    <n v="0"/>
    <x v="1"/>
    <x v="2"/>
  </r>
  <r>
    <x v="1347"/>
    <n v="45.54"/>
    <n v="5.84"/>
    <x v="1"/>
    <s v="No"/>
    <s v="No"/>
    <s v="Yes"/>
    <n v="1"/>
    <x v="1"/>
    <x v="2"/>
  </r>
  <r>
    <x v="1348"/>
    <n v="28.7"/>
    <n v="4.2"/>
    <x v="1"/>
    <s v="No"/>
    <s v="No"/>
    <s v="No"/>
    <n v="0"/>
    <x v="1"/>
    <x v="2"/>
  </r>
  <r>
    <x v="1349"/>
    <n v="27.74"/>
    <n v="6.06"/>
    <x v="1"/>
    <s v="yes"/>
    <s v="No"/>
    <s v="No"/>
    <n v="0"/>
    <x v="1"/>
    <x v="2"/>
  </r>
  <r>
    <x v="1350"/>
    <n v="36.954999999999998"/>
    <n v="7.57"/>
    <x v="0"/>
    <s v="No"/>
    <s v="No"/>
    <s v="No"/>
    <n v="0"/>
    <x v="1"/>
    <x v="2"/>
  </r>
  <r>
    <x v="1351"/>
    <n v="30.69"/>
    <n v="6.15"/>
    <x v="1"/>
    <s v="No"/>
    <s v="No"/>
    <s v="No"/>
    <n v="0"/>
    <x v="1"/>
    <x v="2"/>
  </r>
  <r>
    <x v="1352"/>
    <n v="24.984999999999999"/>
    <n v="4.5599999999999996"/>
    <x v="1"/>
    <s v="No"/>
    <s v="No"/>
    <s v="No"/>
    <n v="0"/>
    <x v="1"/>
    <x v="2"/>
  </r>
  <r>
    <x v="1353"/>
    <n v="39.42"/>
    <n v="4.72"/>
    <x v="1"/>
    <s v="yes"/>
    <s v="No"/>
    <s v="No"/>
    <n v="1"/>
    <x v="1"/>
    <x v="2"/>
  </r>
  <r>
    <x v="1354"/>
    <n v="16.8"/>
    <n v="7.98"/>
    <x v="0"/>
    <s v="No"/>
    <s v="No"/>
    <s v="No"/>
    <n v="0"/>
    <x v="1"/>
    <x v="3"/>
  </r>
  <r>
    <x v="1355"/>
    <n v="23.274999999999999"/>
    <n v="6.26"/>
    <x v="1"/>
    <s v="yes"/>
    <s v="No"/>
    <s v="Yes"/>
    <n v="1"/>
    <x v="1"/>
    <x v="2"/>
  </r>
  <r>
    <x v="1356"/>
    <n v="22.8"/>
    <n v="4.29"/>
    <x v="1"/>
    <s v="yes"/>
    <s v="No"/>
    <s v="Yes"/>
    <n v="1"/>
    <x v="1"/>
    <x v="2"/>
  </r>
  <r>
    <x v="1357"/>
    <n v="24.3"/>
    <n v="5.43"/>
    <x v="1"/>
    <s v="No"/>
    <s v="No"/>
    <s v="No"/>
    <n v="2"/>
    <x v="1"/>
    <x v="2"/>
  </r>
  <r>
    <x v="1358"/>
    <n v="25.13"/>
    <n v="8"/>
    <x v="0"/>
    <s v="yes"/>
    <s v="No"/>
    <s v="No"/>
    <n v="1"/>
    <x v="1"/>
    <x v="2"/>
  </r>
  <r>
    <x v="1359"/>
    <n v="22.72"/>
    <n v="9.9600000000000009"/>
    <x v="0"/>
    <s v="yes"/>
    <s v="No"/>
    <s v="No"/>
    <n v="2"/>
    <x v="1"/>
    <x v="2"/>
  </r>
  <r>
    <x v="1360"/>
    <n v="32.6"/>
    <n v="6.8"/>
    <x v="1"/>
    <s v="yes"/>
    <s v="No"/>
    <s v="No"/>
    <n v="0"/>
    <x v="1"/>
    <x v="2"/>
  </r>
  <r>
    <x v="1361"/>
    <n v="17.28"/>
    <n v="6.22"/>
    <x v="1"/>
    <s v="yes"/>
    <s v="No"/>
    <s v="No"/>
    <n v="2"/>
    <x v="1"/>
    <x v="3"/>
  </r>
  <r>
    <x v="1362"/>
    <n v="27.92"/>
    <n v="5.79"/>
    <x v="1"/>
    <s v="No"/>
    <s v="No"/>
    <s v="No"/>
    <n v="1"/>
    <x v="1"/>
    <x v="2"/>
  </r>
  <r>
    <x v="1363"/>
    <n v="38.284999999999997"/>
    <n v="5.41"/>
    <x v="1"/>
    <s v="No"/>
    <s v="No"/>
    <s v="No"/>
    <n v="0"/>
    <x v="1"/>
    <x v="2"/>
  </r>
  <r>
    <x v="1364"/>
    <n v="16.48"/>
    <n v="11.05"/>
    <x v="0"/>
    <s v="No"/>
    <s v="No"/>
    <s v="No"/>
    <n v="0"/>
    <x v="1"/>
    <x v="3"/>
  </r>
  <r>
    <x v="1365"/>
    <n v="38.57"/>
    <n v="6.27"/>
    <x v="1"/>
    <s v="No"/>
    <s v="No"/>
    <s v="No"/>
    <n v="0"/>
    <x v="1"/>
    <x v="2"/>
  </r>
  <r>
    <x v="1366"/>
    <n v="43.85"/>
    <n v="4.7699999999999996"/>
    <x v="1"/>
    <s v="yes"/>
    <s v="No"/>
    <s v="No"/>
    <n v="0"/>
    <x v="1"/>
    <x v="2"/>
  </r>
  <r>
    <x v="1367"/>
    <n v="30.11"/>
    <n v="4.08"/>
    <x v="1"/>
    <s v="No"/>
    <s v="No"/>
    <s v="No"/>
    <n v="0"/>
    <x v="1"/>
    <x v="2"/>
  </r>
  <r>
    <x v="1368"/>
    <n v="31.59"/>
    <n v="6.01"/>
    <x v="1"/>
    <s v="No"/>
    <s v="No"/>
    <s v="No"/>
    <n v="0"/>
    <x v="1"/>
    <x v="2"/>
  </r>
  <r>
    <x v="1369"/>
    <n v="40.15"/>
    <n v="11.84"/>
    <x v="0"/>
    <s v="No"/>
    <s v="No"/>
    <s v="No"/>
    <n v="0"/>
    <x v="1"/>
    <x v="2"/>
  </r>
  <r>
    <x v="1370"/>
    <n v="40.700000000000003"/>
    <n v="6.27"/>
    <x v="1"/>
    <s v="yes"/>
    <s v="No"/>
    <s v="Yes"/>
    <n v="1"/>
    <x v="1"/>
    <x v="2"/>
  </r>
  <r>
    <x v="1371"/>
    <n v="40.76"/>
    <n v="5.28"/>
    <x v="1"/>
    <s v="No"/>
    <s v="No"/>
    <s v="No"/>
    <n v="0"/>
    <x v="1"/>
    <x v="2"/>
  </r>
  <r>
    <x v="1372"/>
    <n v="29.7"/>
    <n v="7.03"/>
    <x v="0"/>
    <s v="No"/>
    <s v="No"/>
    <s v="No"/>
    <n v="0"/>
    <x v="1"/>
    <x v="2"/>
  </r>
  <r>
    <x v="1373"/>
    <n v="40.58"/>
    <n v="5.32"/>
    <x v="1"/>
    <s v="yes"/>
    <s v="No"/>
    <s v="Yes"/>
    <n v="1"/>
    <x v="1"/>
    <x v="2"/>
  </r>
  <r>
    <x v="1374"/>
    <n v="33.06"/>
    <n v="9.59"/>
    <x v="0"/>
    <s v="yes"/>
    <s v="No"/>
    <s v="No"/>
    <n v="0"/>
    <x v="1"/>
    <x v="2"/>
  </r>
  <r>
    <x v="1375"/>
    <n v="26.62"/>
    <n v="6.15"/>
    <x v="1"/>
    <s v="yes"/>
    <s v="No"/>
    <s v="No"/>
    <n v="0"/>
    <x v="1"/>
    <x v="2"/>
  </r>
  <r>
    <x v="1376"/>
    <n v="37.1"/>
    <n v="11.08"/>
    <x v="0"/>
    <s v="No"/>
    <s v="No"/>
    <s v="No"/>
    <n v="0"/>
    <x v="1"/>
    <x v="2"/>
  </r>
  <r>
    <x v="1377"/>
    <n v="18.28"/>
    <n v="7.95"/>
    <x v="0"/>
    <s v="No"/>
    <s v="No"/>
    <s v="No"/>
    <n v="0"/>
    <x v="1"/>
    <x v="3"/>
  </r>
  <r>
    <x v="1378"/>
    <n v="35.814999999999998"/>
    <n v="6.23"/>
    <x v="1"/>
    <s v="No"/>
    <s v="No"/>
    <s v="No"/>
    <n v="0"/>
    <x v="1"/>
    <x v="2"/>
  </r>
  <r>
    <x v="1379"/>
    <n v="30.69"/>
    <n v="6.5"/>
    <x v="1"/>
    <s v="No"/>
    <s v="No"/>
    <s v="No"/>
    <n v="0"/>
    <x v="1"/>
    <x v="2"/>
  </r>
  <r>
    <x v="1380"/>
    <n v="26.125"/>
    <n v="5.22"/>
    <x v="1"/>
    <s v="No"/>
    <s v="No"/>
    <s v="No"/>
    <n v="0"/>
    <x v="1"/>
    <x v="2"/>
  </r>
  <r>
    <x v="1381"/>
    <n v="34.58"/>
    <n v="6.3"/>
    <x v="1"/>
    <s v="No"/>
    <s v="No"/>
    <s v="Yes"/>
    <n v="1"/>
    <x v="1"/>
    <x v="2"/>
  </r>
  <r>
    <x v="1382"/>
    <n v="27.4"/>
    <n v="8.84"/>
    <x v="0"/>
    <s v="No"/>
    <s v="No"/>
    <s v="No"/>
    <n v="0"/>
    <x v="1"/>
    <x v="2"/>
  </r>
  <r>
    <x v="1383"/>
    <n v="27.53"/>
    <n v="4.1100000000000003"/>
    <x v="1"/>
    <s v="No"/>
    <s v="No"/>
    <s v="No"/>
    <n v="1"/>
    <x v="1"/>
    <x v="2"/>
  </r>
  <r>
    <x v="1384"/>
    <n v="33"/>
    <n v="4.57"/>
    <x v="1"/>
    <s v="No"/>
    <s v="No"/>
    <s v="No"/>
    <n v="0"/>
    <x v="1"/>
    <x v="2"/>
  </r>
  <r>
    <x v="1385"/>
    <n v="25.78"/>
    <n v="11.06"/>
    <x v="0"/>
    <s v="yes"/>
    <s v="No"/>
    <s v="No"/>
    <n v="0"/>
    <x v="1"/>
    <x v="2"/>
  </r>
  <r>
    <x v="1386"/>
    <n v="22.66"/>
    <n v="10.68"/>
    <x v="0"/>
    <s v="No"/>
    <s v="No"/>
    <s v="No"/>
    <n v="0"/>
    <x v="1"/>
    <x v="2"/>
  </r>
  <r>
    <x v="1387"/>
    <n v="38.81"/>
    <n v="6.14"/>
    <x v="1"/>
    <s v="yes"/>
    <s v="No"/>
    <s v="No"/>
    <n v="1"/>
    <x v="1"/>
    <x v="2"/>
  </r>
  <r>
    <x v="1388"/>
    <n v="38.51"/>
    <n v="5.45"/>
    <x v="1"/>
    <s v="yes"/>
    <s v="No"/>
    <s v="No"/>
    <n v="0"/>
    <x v="1"/>
    <x v="2"/>
  </r>
  <r>
    <x v="1389"/>
    <n v="22.98"/>
    <n v="6.14"/>
    <x v="1"/>
    <s v="yes"/>
    <s v="No"/>
    <s v="No"/>
    <n v="0"/>
    <x v="1"/>
    <x v="2"/>
  </r>
  <r>
    <x v="1390"/>
    <n v="15.65"/>
    <n v="7.85"/>
    <x v="0"/>
    <s v="No"/>
    <s v="No"/>
    <s v="No"/>
    <n v="0"/>
    <x v="1"/>
    <x v="3"/>
  </r>
  <r>
    <x v="1391"/>
    <n v="39.97"/>
    <n v="4.09"/>
    <x v="1"/>
    <s v="No"/>
    <s v="No"/>
    <s v="No"/>
    <n v="1"/>
    <x v="1"/>
    <x v="2"/>
  </r>
  <r>
    <x v="1392"/>
    <n v="37.22"/>
    <n v="4.62"/>
    <x v="1"/>
    <s v="No"/>
    <s v="No"/>
    <s v="Yes"/>
    <n v="1"/>
    <x v="1"/>
    <x v="2"/>
  </r>
  <r>
    <x v="1393"/>
    <n v="41.325000000000003"/>
    <n v="5.77"/>
    <x v="1"/>
    <s v="No"/>
    <s v="No"/>
    <s v="No"/>
    <n v="0"/>
    <x v="1"/>
    <x v="2"/>
  </r>
  <r>
    <x v="1394"/>
    <n v="40.31"/>
    <n v="5.84"/>
    <x v="1"/>
    <s v="No"/>
    <s v="No"/>
    <s v="No"/>
    <n v="0"/>
    <x v="1"/>
    <x v="2"/>
  </r>
  <r>
    <x v="1395"/>
    <n v="29.48"/>
    <n v="4.91"/>
    <x v="1"/>
    <s v="No"/>
    <s v="No"/>
    <s v="No"/>
    <n v="0"/>
    <x v="1"/>
    <x v="2"/>
  </r>
  <r>
    <x v="1396"/>
    <n v="33.155000000000001"/>
    <n v="5.07"/>
    <x v="1"/>
    <s v="No"/>
    <s v="No"/>
    <s v="No"/>
    <n v="0"/>
    <x v="1"/>
    <x v="2"/>
  </r>
  <r>
    <x v="1397"/>
    <n v="42.85"/>
    <n v="5.81"/>
    <x v="1"/>
    <s v="yes"/>
    <s v="No"/>
    <s v="No"/>
    <n v="0"/>
    <x v="1"/>
    <x v="2"/>
  </r>
  <r>
    <x v="1398"/>
    <n v="32.340000000000003"/>
    <n v="11.2"/>
    <x v="0"/>
    <s v="No"/>
    <s v="No"/>
    <s v="No"/>
    <n v="0"/>
    <x v="1"/>
    <x v="2"/>
  </r>
  <r>
    <x v="1399"/>
    <n v="27.5"/>
    <n v="10.75"/>
    <x v="0"/>
    <s v="No"/>
    <s v="No"/>
    <s v="No"/>
    <n v="0"/>
    <x v="1"/>
    <x v="2"/>
  </r>
  <r>
    <x v="1400"/>
    <n v="25.8"/>
    <n v="7.8"/>
    <x v="0"/>
    <s v="No"/>
    <s v="No"/>
    <s v="No"/>
    <n v="0"/>
    <x v="1"/>
    <x v="2"/>
  </r>
  <r>
    <x v="1401"/>
    <n v="25"/>
    <n v="7.04"/>
    <x v="0"/>
    <s v="No"/>
    <s v="No"/>
    <s v="No"/>
    <n v="0"/>
    <x v="1"/>
    <x v="2"/>
  </r>
  <r>
    <x v="1402"/>
    <n v="41.2"/>
    <n v="4.18"/>
    <x v="1"/>
    <s v="yes"/>
    <s v="No"/>
    <s v="No"/>
    <n v="0"/>
    <x v="1"/>
    <x v="2"/>
  </r>
  <r>
    <x v="1403"/>
    <n v="17.78"/>
    <n v="8.19"/>
    <x v="0"/>
    <s v="No"/>
    <s v="No"/>
    <s v="No"/>
    <n v="0"/>
    <x v="1"/>
    <x v="3"/>
  </r>
  <r>
    <x v="1404"/>
    <n v="40.119999999999997"/>
    <n v="6.22"/>
    <x v="1"/>
    <s v="yes"/>
    <s v="No"/>
    <s v="Yes"/>
    <n v="1"/>
    <x v="1"/>
    <x v="2"/>
  </r>
  <r>
    <x v="1405"/>
    <n v="19.350000000000001"/>
    <n v="8.2200000000000006"/>
    <x v="0"/>
    <s v="yes"/>
    <s v="No"/>
    <s v="No"/>
    <n v="0"/>
    <x v="1"/>
    <x v="2"/>
  </r>
  <r>
    <x v="1406"/>
    <n v="36.69"/>
    <n v="6.15"/>
    <x v="1"/>
    <s v="No"/>
    <s v="No"/>
    <s v="No"/>
    <n v="0"/>
    <x v="1"/>
    <x v="2"/>
  </r>
  <r>
    <x v="1407"/>
    <n v="28.51"/>
    <n v="5.65"/>
    <x v="1"/>
    <s v="yes"/>
    <s v="No"/>
    <s v="No"/>
    <n v="1"/>
    <x v="1"/>
    <x v="2"/>
  </r>
  <r>
    <x v="1408"/>
    <n v="30.21"/>
    <n v="5.5"/>
    <x v="1"/>
    <s v="No"/>
    <s v="No"/>
    <s v="No"/>
    <n v="1"/>
    <x v="1"/>
    <x v="2"/>
  </r>
  <r>
    <x v="1409"/>
    <n v="24.33"/>
    <n v="8"/>
    <x v="0"/>
    <s v="No"/>
    <s v="No"/>
    <s v="No"/>
    <n v="0"/>
    <x v="1"/>
    <x v="2"/>
  </r>
  <r>
    <x v="1410"/>
    <n v="19.855"/>
    <n v="5.71"/>
    <x v="1"/>
    <s v="yes"/>
    <s v="No"/>
    <s v="No"/>
    <n v="0"/>
    <x v="1"/>
    <x v="2"/>
  </r>
  <r>
    <x v="1411"/>
    <n v="25.364999999999998"/>
    <n v="11.71"/>
    <x v="0"/>
    <s v="No"/>
    <s v="No"/>
    <s v="No"/>
    <n v="0"/>
    <x v="1"/>
    <x v="2"/>
  </r>
  <r>
    <x v="1412"/>
    <n v="29.6"/>
    <n v="6.17"/>
    <x v="1"/>
    <s v="yes"/>
    <s v="No"/>
    <s v="Yes"/>
    <n v="1"/>
    <x v="1"/>
    <x v="2"/>
  </r>
  <r>
    <x v="1413"/>
    <n v="39.43"/>
    <n v="6.1"/>
    <x v="1"/>
    <s v="yes"/>
    <s v="No"/>
    <s v="Yes"/>
    <n v="1"/>
    <x v="1"/>
    <x v="2"/>
  </r>
  <r>
    <x v="1414"/>
    <n v="27.34"/>
    <n v="5.19"/>
    <x v="1"/>
    <s v="yes"/>
    <s v="No"/>
    <s v="No"/>
    <n v="1"/>
    <x v="1"/>
    <x v="2"/>
  </r>
  <r>
    <x v="1415"/>
    <n v="39.01"/>
    <n v="5.37"/>
    <x v="1"/>
    <s v="yes"/>
    <s v="No"/>
    <s v="No"/>
    <n v="0"/>
    <x v="1"/>
    <x v="2"/>
  </r>
  <r>
    <x v="1416"/>
    <n v="18.989999999999998"/>
    <n v="10.82"/>
    <x v="0"/>
    <s v="yes"/>
    <s v="No"/>
    <s v="No"/>
    <n v="0"/>
    <x v="1"/>
    <x v="2"/>
  </r>
  <r>
    <x v="1417"/>
    <n v="42.3"/>
    <n v="6.06"/>
    <x v="1"/>
    <s v="yes"/>
    <s v="No"/>
    <s v="No"/>
    <n v="0"/>
    <x v="1"/>
    <x v="2"/>
  </r>
  <r>
    <x v="1418"/>
    <n v="39.805"/>
    <n v="5.91"/>
    <x v="1"/>
    <s v="No"/>
    <s v="No"/>
    <s v="No"/>
    <n v="0"/>
    <x v="1"/>
    <x v="2"/>
  </r>
  <r>
    <x v="1419"/>
    <n v="33.700000000000003"/>
    <n v="5.87"/>
    <x v="1"/>
    <s v="No"/>
    <s v="No"/>
    <s v="No"/>
    <n v="0"/>
    <x v="1"/>
    <x v="2"/>
  </r>
  <r>
    <x v="1420"/>
    <n v="36.195"/>
    <n v="6.22"/>
    <x v="1"/>
    <s v="No"/>
    <s v="No"/>
    <s v="No"/>
    <n v="0"/>
    <x v="1"/>
    <x v="2"/>
  </r>
  <r>
    <x v="1421"/>
    <n v="32.6"/>
    <n v="5.73"/>
    <x v="1"/>
    <s v="No"/>
    <s v="No"/>
    <s v="Yes"/>
    <n v="1"/>
    <x v="1"/>
    <x v="2"/>
  </r>
  <r>
    <x v="1422"/>
    <n v="30.2"/>
    <n v="5.7"/>
    <x v="1"/>
    <s v="No"/>
    <s v="No"/>
    <s v="No"/>
    <n v="0"/>
    <x v="1"/>
    <x v="2"/>
  </r>
  <r>
    <x v="1423"/>
    <n v="27.645"/>
    <n v="9.91"/>
    <x v="0"/>
    <s v="No"/>
    <s v="No"/>
    <s v="No"/>
    <n v="0"/>
    <x v="1"/>
    <x v="2"/>
  </r>
  <r>
    <x v="1424"/>
    <n v="26.41"/>
    <n v="11.4"/>
    <x v="0"/>
    <s v="No"/>
    <s v="No"/>
    <s v="No"/>
    <n v="0"/>
    <x v="1"/>
    <x v="2"/>
  </r>
  <r>
    <x v="1425"/>
    <n v="34.1"/>
    <n v="6.29"/>
    <x v="1"/>
    <s v="yes"/>
    <s v="No"/>
    <s v="Yes"/>
    <n v="1"/>
    <x v="1"/>
    <x v="2"/>
  </r>
  <r>
    <x v="1426"/>
    <n v="17.3"/>
    <n v="9.2799999999999994"/>
    <x v="0"/>
    <s v="No"/>
    <s v="No"/>
    <s v="No"/>
    <n v="0"/>
    <x v="1"/>
    <x v="3"/>
  </r>
  <r>
    <x v="1427"/>
    <n v="35.020000000000003"/>
    <n v="4.78"/>
    <x v="1"/>
    <s v="No"/>
    <s v="No"/>
    <s v="Yes"/>
    <n v="1"/>
    <x v="1"/>
    <x v="2"/>
  </r>
  <r>
    <x v="1428"/>
    <n v="37.1"/>
    <n v="8.8699999999999992"/>
    <x v="0"/>
    <s v="yes"/>
    <s v="No"/>
    <s v="No"/>
    <n v="0"/>
    <x v="1"/>
    <x v="2"/>
  </r>
  <r>
    <x v="1429"/>
    <n v="16.79"/>
    <n v="11.4"/>
    <x v="0"/>
    <s v="No"/>
    <s v="No"/>
    <s v="No"/>
    <n v="0"/>
    <x v="1"/>
    <x v="3"/>
  </r>
  <r>
    <x v="1430"/>
    <n v="31.635000000000002"/>
    <n v="9.1300000000000008"/>
    <x v="0"/>
    <s v="yes"/>
    <s v="No"/>
    <s v="No"/>
    <n v="0"/>
    <x v="1"/>
    <x v="2"/>
  </r>
  <r>
    <x v="1431"/>
    <n v="24.19"/>
    <n v="6.22"/>
    <x v="1"/>
    <s v="yes"/>
    <s v="No"/>
    <s v="Yes"/>
    <n v="1"/>
    <x v="1"/>
    <x v="2"/>
  </r>
  <r>
    <x v="1432"/>
    <n v="35.29"/>
    <n v="5.9"/>
    <x v="1"/>
    <s v="No"/>
    <s v="No"/>
    <s v="Yes"/>
    <n v="1"/>
    <x v="1"/>
    <x v="2"/>
  </r>
  <r>
    <x v="1433"/>
    <n v="35.299999999999997"/>
    <n v="4.45"/>
    <x v="1"/>
    <s v="No"/>
    <s v="No"/>
    <s v="No"/>
    <n v="0"/>
    <x v="1"/>
    <x v="2"/>
  </r>
  <r>
    <x v="1434"/>
    <n v="35.64"/>
    <n v="6.17"/>
    <x v="1"/>
    <s v="No"/>
    <s v="No"/>
    <s v="Yes"/>
    <n v="1"/>
    <x v="1"/>
    <x v="2"/>
  </r>
  <r>
    <x v="1435"/>
    <n v="33.1"/>
    <n v="4.93"/>
    <x v="1"/>
    <s v="No"/>
    <s v="No"/>
    <s v="No"/>
    <n v="0"/>
    <x v="1"/>
    <x v="2"/>
  </r>
  <r>
    <x v="1436"/>
    <n v="26.41"/>
    <n v="7.32"/>
    <x v="0"/>
    <s v="yes"/>
    <s v="No"/>
    <s v="No"/>
    <n v="1"/>
    <x v="1"/>
    <x v="2"/>
  </r>
  <r>
    <x v="1437"/>
    <n v="29.9"/>
    <n v="5.27"/>
    <x v="1"/>
    <s v="No"/>
    <s v="No"/>
    <s v="Yes"/>
    <n v="1"/>
    <x v="1"/>
    <x v="2"/>
  </r>
  <r>
    <x v="1438"/>
    <n v="25.24"/>
    <n v="5.82"/>
    <x v="1"/>
    <s v="No"/>
    <s v="No"/>
    <s v="No"/>
    <n v="1"/>
    <x v="1"/>
    <x v="2"/>
  </r>
  <r>
    <x v="1439"/>
    <n v="25.08"/>
    <n v="5.8"/>
    <x v="1"/>
    <s v="No"/>
    <s v="No"/>
    <s v="Yes"/>
    <n v="1"/>
    <x v="1"/>
    <x v="2"/>
  </r>
  <r>
    <x v="1440"/>
    <n v="29.164999999999999"/>
    <n v="4.87"/>
    <x v="1"/>
    <s v="No"/>
    <s v="yes"/>
    <s v="No"/>
    <n v="1"/>
    <x v="1"/>
    <x v="2"/>
  </r>
  <r>
    <x v="1441"/>
    <n v="15.05"/>
    <n v="8.1199999999999992"/>
    <x v="0"/>
    <s v="No"/>
    <s v="No"/>
    <s v="No"/>
    <n v="0"/>
    <x v="1"/>
    <x v="3"/>
  </r>
  <r>
    <x v="1442"/>
    <n v="19.95"/>
    <n v="4.3600000000000003"/>
    <x v="1"/>
    <s v="No"/>
    <s v="No"/>
    <s v="No"/>
    <n v="2"/>
    <x v="1"/>
    <x v="2"/>
  </r>
  <r>
    <x v="1443"/>
    <n v="16.66"/>
    <n v="9.16"/>
    <x v="0"/>
    <s v="No"/>
    <s v="No"/>
    <s v="No"/>
    <n v="0"/>
    <x v="1"/>
    <x v="3"/>
  </r>
  <r>
    <x v="1444"/>
    <n v="16.62"/>
    <n v="9.14"/>
    <x v="0"/>
    <s v="No"/>
    <s v="No"/>
    <s v="No"/>
    <n v="0"/>
    <x v="1"/>
    <x v="3"/>
  </r>
  <r>
    <x v="1445"/>
    <n v="15.36"/>
    <n v="5.49"/>
    <x v="1"/>
    <s v="yes"/>
    <s v="No"/>
    <s v="No"/>
    <n v="2"/>
    <x v="1"/>
    <x v="3"/>
  </r>
  <r>
    <x v="1446"/>
    <n v="27.74"/>
    <n v="5.96"/>
    <x v="1"/>
    <s v="yes"/>
    <s v="No"/>
    <s v="No"/>
    <n v="0"/>
    <x v="1"/>
    <x v="2"/>
  </r>
  <r>
    <x v="1447"/>
    <n v="22.44"/>
    <n v="4.62"/>
    <x v="1"/>
    <s v="yes"/>
    <s v="No"/>
    <s v="No"/>
    <n v="0"/>
    <x v="1"/>
    <x v="2"/>
  </r>
  <r>
    <x v="1448"/>
    <n v="37.049999999999997"/>
    <n v="9.9600000000000009"/>
    <x v="0"/>
    <s v="yes"/>
    <s v="No"/>
    <s v="No"/>
    <n v="0"/>
    <x v="1"/>
    <x v="2"/>
  </r>
  <r>
    <x v="1449"/>
    <n v="22.95"/>
    <n v="10.53"/>
    <x v="0"/>
    <s v="No"/>
    <s v="No"/>
    <s v="No"/>
    <n v="2"/>
    <x v="1"/>
    <x v="2"/>
  </r>
  <r>
    <x v="1450"/>
    <n v="34.200000000000003"/>
    <n v="6.69"/>
    <x v="0"/>
    <s v="yes"/>
    <s v="No"/>
    <s v="No"/>
    <n v="0"/>
    <x v="1"/>
    <x v="2"/>
  </r>
  <r>
    <x v="1451"/>
    <n v="30.59"/>
    <n v="9.5500000000000007"/>
    <x v="0"/>
    <s v="yes"/>
    <s v="No"/>
    <s v="No"/>
    <n v="0"/>
    <x v="1"/>
    <x v="2"/>
  </r>
  <r>
    <x v="1452"/>
    <n v="25.51"/>
    <n v="6.05"/>
    <x v="1"/>
    <s v="No"/>
    <s v="No"/>
    <s v="No"/>
    <n v="0"/>
    <x v="1"/>
    <x v="2"/>
  </r>
  <r>
    <x v="1453"/>
    <n v="29.04"/>
    <n v="10.56"/>
    <x v="0"/>
    <s v="yes"/>
    <s v="No"/>
    <s v="No"/>
    <n v="1"/>
    <x v="1"/>
    <x v="2"/>
  </r>
  <r>
    <x v="1454"/>
    <n v="22.135000000000002"/>
    <n v="10.81"/>
    <x v="0"/>
    <s v="yes"/>
    <s v="No"/>
    <s v="No"/>
    <n v="1"/>
    <x v="1"/>
    <x v="2"/>
  </r>
  <r>
    <x v="1455"/>
    <n v="21.375"/>
    <n v="4.32"/>
    <x v="1"/>
    <s v="No"/>
    <s v="No"/>
    <s v="No"/>
    <n v="0"/>
    <x v="1"/>
    <x v="2"/>
  </r>
  <r>
    <x v="1456"/>
    <n v="29.19"/>
    <n v="4.37"/>
    <x v="1"/>
    <s v="No"/>
    <s v="No"/>
    <s v="No"/>
    <n v="0"/>
    <x v="1"/>
    <x v="2"/>
  </r>
  <r>
    <x v="1457"/>
    <n v="31.92"/>
    <n v="4.8099999999999996"/>
    <x v="1"/>
    <s v="yes"/>
    <s v="No"/>
    <s v="Yes"/>
    <n v="1"/>
    <x v="1"/>
    <x v="2"/>
  </r>
  <r>
    <x v="1458"/>
    <n v="26.315000000000001"/>
    <n v="4.5599999999999996"/>
    <x v="1"/>
    <s v="yes"/>
    <s v="No"/>
    <s v="Yes"/>
    <n v="1"/>
    <x v="1"/>
    <x v="2"/>
  </r>
  <r>
    <x v="1459"/>
    <n v="35.299999999999997"/>
    <n v="4.3899999999999997"/>
    <x v="1"/>
    <s v="No"/>
    <s v="No"/>
    <s v="No"/>
    <n v="0"/>
    <x v="1"/>
    <x v="2"/>
  </r>
  <r>
    <x v="1460"/>
    <n v="18.91"/>
    <n v="11.44"/>
    <x v="0"/>
    <s v="No"/>
    <s v="No"/>
    <s v="No"/>
    <n v="0"/>
    <x v="1"/>
    <x v="2"/>
  </r>
  <r>
    <x v="1461"/>
    <n v="22.41"/>
    <n v="11.37"/>
    <x v="0"/>
    <s v="yes"/>
    <s v="No"/>
    <s v="No"/>
    <n v="1"/>
    <x v="1"/>
    <x v="2"/>
  </r>
  <r>
    <x v="1462"/>
    <n v="22.704999999999998"/>
    <n v="6.14"/>
    <x v="1"/>
    <s v="No"/>
    <s v="No"/>
    <s v="No"/>
    <n v="0"/>
    <x v="1"/>
    <x v="2"/>
  </r>
  <r>
    <x v="1463"/>
    <n v="37.18"/>
    <n v="4.8899999999999997"/>
    <x v="1"/>
    <s v="No"/>
    <s v="No"/>
    <s v="No"/>
    <n v="0"/>
    <x v="1"/>
    <x v="2"/>
  </r>
  <r>
    <x v="1464"/>
    <n v="35.97"/>
    <n v="4.5999999999999996"/>
    <x v="1"/>
    <s v="No"/>
    <s v="No"/>
    <s v="No"/>
    <n v="0"/>
    <x v="1"/>
    <x v="2"/>
  </r>
  <r>
    <x v="1465"/>
    <n v="35.799999999999997"/>
    <n v="4.42"/>
    <x v="1"/>
    <s v="No"/>
    <s v="No"/>
    <s v="No"/>
    <n v="0"/>
    <x v="1"/>
    <x v="2"/>
  </r>
  <r>
    <x v="1466"/>
    <n v="28.31"/>
    <n v="7.48"/>
    <x v="0"/>
    <s v="yes"/>
    <s v="No"/>
    <s v="No"/>
    <n v="0"/>
    <x v="1"/>
    <x v="2"/>
  </r>
  <r>
    <x v="1467"/>
    <n v="38.06"/>
    <n v="10.74"/>
    <x v="0"/>
    <s v="No"/>
    <s v="No"/>
    <s v="No"/>
    <n v="0"/>
    <x v="1"/>
    <x v="2"/>
  </r>
  <r>
    <x v="1468"/>
    <n v="28"/>
    <n v="5.19"/>
    <x v="1"/>
    <s v="No"/>
    <s v="No"/>
    <s v="No"/>
    <n v="1"/>
    <x v="1"/>
    <x v="2"/>
  </r>
  <r>
    <x v="1469"/>
    <n v="34.32"/>
    <n v="9.17"/>
    <x v="0"/>
    <s v="No"/>
    <s v="No"/>
    <s v="No"/>
    <n v="0"/>
    <x v="1"/>
    <x v="2"/>
  </r>
  <r>
    <x v="1470"/>
    <n v="22.3"/>
    <n v="4.95"/>
    <x v="1"/>
    <s v="yes"/>
    <s v="No"/>
    <s v="No"/>
    <n v="0"/>
    <x v="1"/>
    <x v="2"/>
  </r>
  <r>
    <x v="1471"/>
    <n v="27.835000000000001"/>
    <n v="6.03"/>
    <x v="1"/>
    <s v="No"/>
    <s v="No"/>
    <s v="No"/>
    <n v="1"/>
    <x v="1"/>
    <x v="2"/>
  </r>
  <r>
    <x v="1472"/>
    <n v="39.229999999999997"/>
    <n v="5.36"/>
    <x v="1"/>
    <s v="No"/>
    <s v="No"/>
    <s v="No"/>
    <n v="0"/>
    <x v="1"/>
    <x v="2"/>
  </r>
  <r>
    <x v="1473"/>
    <n v="19.95"/>
    <n v="6.11"/>
    <x v="1"/>
    <s v="No"/>
    <s v="No"/>
    <s v="No"/>
    <n v="1"/>
    <x v="1"/>
    <x v="2"/>
  </r>
  <r>
    <x v="1474"/>
    <n v="34.64"/>
    <n v="4.88"/>
    <x v="1"/>
    <s v="No"/>
    <s v="No"/>
    <s v="Yes"/>
    <n v="1"/>
    <x v="1"/>
    <x v="2"/>
  </r>
  <r>
    <x v="1475"/>
    <n v="18.75"/>
    <n v="6.72"/>
    <x v="0"/>
    <s v="No"/>
    <s v="No"/>
    <s v="No"/>
    <n v="0"/>
    <x v="1"/>
    <x v="2"/>
  </r>
  <r>
    <x v="1476"/>
    <n v="26.48"/>
    <n v="4.2"/>
    <x v="1"/>
    <s v="No"/>
    <s v="No"/>
    <s v="No"/>
    <n v="1"/>
    <x v="1"/>
    <x v="2"/>
  </r>
  <r>
    <x v="1477"/>
    <n v="34.83"/>
    <n v="5.79"/>
    <x v="1"/>
    <s v="No"/>
    <s v="No"/>
    <s v="No"/>
    <n v="1"/>
    <x v="1"/>
    <x v="2"/>
  </r>
  <r>
    <x v="1478"/>
    <n v="25.46"/>
    <n v="4.29"/>
    <x v="1"/>
    <s v="No"/>
    <s v="No"/>
    <s v="No"/>
    <n v="0"/>
    <x v="1"/>
    <x v="2"/>
  </r>
  <r>
    <x v="1479"/>
    <n v="23.31"/>
    <n v="8.27"/>
    <x v="0"/>
    <s v="No"/>
    <s v="No"/>
    <s v="No"/>
    <n v="0"/>
    <x v="1"/>
    <x v="2"/>
  </r>
  <r>
    <x v="1480"/>
    <n v="29"/>
    <n v="4.5599999999999996"/>
    <x v="1"/>
    <s v="No"/>
    <s v="No"/>
    <s v="No"/>
    <n v="0"/>
    <x v="1"/>
    <x v="2"/>
  </r>
  <r>
    <x v="1481"/>
    <n v="32.869999999999997"/>
    <n v="5.33"/>
    <x v="1"/>
    <s v="No"/>
    <s v="No"/>
    <s v="No"/>
    <n v="0"/>
    <x v="1"/>
    <x v="2"/>
  </r>
  <r>
    <x v="1482"/>
    <n v="26.18"/>
    <n v="5.63"/>
    <x v="1"/>
    <s v="No"/>
    <s v="No"/>
    <s v="No"/>
    <n v="0"/>
    <x v="1"/>
    <x v="2"/>
  </r>
  <r>
    <x v="1483"/>
    <n v="25.3"/>
    <n v="5.12"/>
    <x v="1"/>
    <s v="No"/>
    <s v="No"/>
    <s v="No"/>
    <n v="0"/>
    <x v="1"/>
    <x v="2"/>
  </r>
  <r>
    <x v="1484"/>
    <n v="36.94"/>
    <n v="5.15"/>
    <x v="1"/>
    <s v="yes"/>
    <s v="No"/>
    <s v="No"/>
    <n v="1"/>
    <x v="1"/>
    <x v="2"/>
  </r>
  <r>
    <x v="1485"/>
    <n v="22.86"/>
    <n v="7.5"/>
    <x v="0"/>
    <s v="No"/>
    <s v="No"/>
    <s v="No"/>
    <n v="0"/>
    <x v="1"/>
    <x v="2"/>
  </r>
  <r>
    <x v="1486"/>
    <n v="18.760000000000002"/>
    <n v="4.88"/>
    <x v="1"/>
    <s v="yes"/>
    <s v="No"/>
    <s v="Yes"/>
    <n v="1"/>
    <x v="1"/>
    <x v="2"/>
  </r>
  <r>
    <x v="1487"/>
    <n v="24.36"/>
    <n v="5.57"/>
    <x v="1"/>
    <s v="No"/>
    <s v="No"/>
    <s v="No"/>
    <n v="0"/>
    <x v="1"/>
    <x v="2"/>
  </r>
  <r>
    <x v="1488"/>
    <n v="32.299999999999997"/>
    <n v="5.31"/>
    <x v="1"/>
    <s v="No"/>
    <s v="No"/>
    <s v="No"/>
    <n v="0"/>
    <x v="1"/>
    <x v="2"/>
  </r>
  <r>
    <x v="1489"/>
    <n v="22.704999999999998"/>
    <n v="4.57"/>
    <x v="1"/>
    <s v="yes"/>
    <s v="No"/>
    <s v="No"/>
    <n v="0"/>
    <x v="1"/>
    <x v="2"/>
  </r>
  <r>
    <x v="1490"/>
    <n v="21.79"/>
    <n v="8.6999999999999993"/>
    <x v="0"/>
    <s v="yes"/>
    <s v="No"/>
    <s v="No"/>
    <n v="1"/>
    <x v="1"/>
    <x v="2"/>
  </r>
  <r>
    <x v="1491"/>
    <n v="24.52"/>
    <n v="4.76"/>
    <x v="1"/>
    <s v="No"/>
    <s v="No"/>
    <s v="No"/>
    <n v="0"/>
    <x v="1"/>
    <x v="2"/>
  </r>
  <r>
    <x v="1492"/>
    <n v="39.520000000000003"/>
    <n v="11.81"/>
    <x v="0"/>
    <s v="No"/>
    <s v="No"/>
    <s v="No"/>
    <n v="0"/>
    <x v="1"/>
    <x v="2"/>
  </r>
  <r>
    <x v="1493"/>
    <n v="24.49"/>
    <n v="4.67"/>
    <x v="1"/>
    <s v="No"/>
    <s v="No"/>
    <s v="No"/>
    <n v="0"/>
    <x v="1"/>
    <x v="2"/>
  </r>
  <r>
    <x v="1494"/>
    <n v="26.315000000000001"/>
    <n v="6.02"/>
    <x v="1"/>
    <s v="No"/>
    <s v="No"/>
    <s v="No"/>
    <n v="0"/>
    <x v="1"/>
    <x v="2"/>
  </r>
  <r>
    <x v="1495"/>
    <n v="22.58"/>
    <n v="7.46"/>
    <x v="0"/>
    <s v="No"/>
    <s v="No"/>
    <s v="No"/>
    <n v="0"/>
    <x v="1"/>
    <x v="2"/>
  </r>
  <r>
    <x v="1496"/>
    <n v="19.475000000000001"/>
    <n v="4.74"/>
    <x v="1"/>
    <s v="No"/>
    <s v="No"/>
    <s v="No"/>
    <n v="1"/>
    <x v="1"/>
    <x v="2"/>
  </r>
  <r>
    <x v="1497"/>
    <n v="26.33"/>
    <n v="4.79"/>
    <x v="1"/>
    <s v="No"/>
    <s v="No"/>
    <s v="No"/>
    <n v="0"/>
    <x v="1"/>
    <x v="2"/>
  </r>
  <r>
    <x v="1498"/>
    <n v="17.29"/>
    <n v="5.35"/>
    <x v="1"/>
    <s v="yes"/>
    <s v="No"/>
    <s v="No"/>
    <n v="0"/>
    <x v="1"/>
    <x v="3"/>
  </r>
  <r>
    <x v="1499"/>
    <n v="42.88"/>
    <n v="4.87"/>
    <x v="1"/>
    <s v="No"/>
    <s v="yes"/>
    <s v="No"/>
    <n v="1"/>
    <x v="1"/>
    <x v="2"/>
  </r>
  <r>
    <x v="1500"/>
    <n v="32.200000000000003"/>
    <n v="10.09"/>
    <x v="0"/>
    <s v="yes"/>
    <s v="No"/>
    <s v="No"/>
    <n v="0"/>
    <x v="1"/>
    <x v="2"/>
  </r>
  <r>
    <x v="1501"/>
    <n v="18.75"/>
    <n v="5.47"/>
    <x v="1"/>
    <s v="yes"/>
    <s v="No"/>
    <s v="Yes"/>
    <n v="1"/>
    <x v="1"/>
    <x v="2"/>
  </r>
  <r>
    <x v="1502"/>
    <n v="22.36"/>
    <n v="8.6"/>
    <x v="0"/>
    <s v="No"/>
    <s v="No"/>
    <s v="No"/>
    <n v="0"/>
    <x v="1"/>
    <x v="2"/>
  </r>
  <r>
    <x v="1503"/>
    <n v="23.94"/>
    <n v="10.74"/>
    <x v="0"/>
    <s v="yes"/>
    <s v="No"/>
    <s v="No"/>
    <n v="0"/>
    <x v="1"/>
    <x v="2"/>
  </r>
  <r>
    <x v="1504"/>
    <n v="30.1"/>
    <n v="4.3899999999999997"/>
    <x v="1"/>
    <s v="No"/>
    <s v="No"/>
    <s v="Yes"/>
    <n v="1"/>
    <x v="1"/>
    <x v="2"/>
  </r>
  <r>
    <x v="1505"/>
    <n v="21.93"/>
    <n v="6.3"/>
    <x v="1"/>
    <s v="No"/>
    <s v="No"/>
    <s v="No"/>
    <n v="0"/>
    <x v="1"/>
    <x v="2"/>
  </r>
  <r>
    <x v="1506"/>
    <n v="39.75"/>
    <n v="5.41"/>
    <x v="1"/>
    <s v="No"/>
    <s v="yes"/>
    <s v="No"/>
    <n v="1"/>
    <x v="1"/>
    <x v="2"/>
  </r>
  <r>
    <x v="1507"/>
    <n v="26.03"/>
    <n v="4.47"/>
    <x v="1"/>
    <s v="No"/>
    <s v="No"/>
    <s v="Yes"/>
    <n v="1"/>
    <x v="1"/>
    <x v="2"/>
  </r>
  <r>
    <x v="1508"/>
    <n v="34.51"/>
    <n v="6.26"/>
    <x v="1"/>
    <s v="No"/>
    <s v="No"/>
    <s v="No"/>
    <n v="0"/>
    <x v="1"/>
    <x v="2"/>
  </r>
  <r>
    <x v="1509"/>
    <n v="19.32"/>
    <n v="11.58"/>
    <x v="0"/>
    <s v="yes"/>
    <s v="No"/>
    <s v="No"/>
    <n v="1"/>
    <x v="1"/>
    <x v="2"/>
  </r>
  <r>
    <x v="1510"/>
    <n v="28.5"/>
    <n v="4.3600000000000003"/>
    <x v="1"/>
    <s v="No"/>
    <s v="No"/>
    <s v="No"/>
    <n v="0"/>
    <x v="1"/>
    <x v="2"/>
  </r>
  <r>
    <x v="1511"/>
    <n v="30.875"/>
    <n v="4.1399999999999997"/>
    <x v="1"/>
    <s v="yes"/>
    <s v="No"/>
    <s v="No"/>
    <n v="0"/>
    <x v="1"/>
    <x v="2"/>
  </r>
  <r>
    <x v="1512"/>
    <n v="24.02"/>
    <n v="4.38"/>
    <x v="1"/>
    <s v="No"/>
    <s v="No"/>
    <s v="No"/>
    <n v="0"/>
    <x v="1"/>
    <x v="2"/>
  </r>
  <r>
    <x v="1513"/>
    <n v="36.08"/>
    <n v="11.61"/>
    <x v="0"/>
    <s v="yes"/>
    <s v="No"/>
    <s v="No"/>
    <n v="0"/>
    <x v="1"/>
    <x v="2"/>
  </r>
  <r>
    <x v="1514"/>
    <n v="32.200000000000003"/>
    <n v="10.59"/>
    <x v="0"/>
    <s v="yes"/>
    <s v="No"/>
    <s v="No"/>
    <n v="0"/>
    <x v="1"/>
    <x v="2"/>
  </r>
  <r>
    <x v="1515"/>
    <n v="28.05"/>
    <n v="11.85"/>
    <x v="0"/>
    <s v="yes"/>
    <s v="No"/>
    <s v="No"/>
    <n v="0"/>
    <x v="1"/>
    <x v="2"/>
  </r>
  <r>
    <x v="1516"/>
    <n v="19"/>
    <n v="5.46"/>
    <x v="1"/>
    <s v="yes"/>
    <s v="No"/>
    <s v="No"/>
    <n v="1"/>
    <x v="1"/>
    <x v="2"/>
  </r>
  <r>
    <x v="1517"/>
    <n v="16.13"/>
    <n v="4.54"/>
    <x v="1"/>
    <s v="yes"/>
    <s v="No"/>
    <s v="No"/>
    <n v="2"/>
    <x v="1"/>
    <x v="3"/>
  </r>
  <r>
    <x v="1518"/>
    <n v="18.77"/>
    <n v="11.98"/>
    <x v="0"/>
    <s v="yes"/>
    <s v="No"/>
    <s v="No"/>
    <n v="2"/>
    <x v="1"/>
    <x v="2"/>
  </r>
  <r>
    <x v="1519"/>
    <n v="28.88"/>
    <n v="6.59"/>
    <x v="0"/>
    <s v="yes"/>
    <s v="No"/>
    <s v="No"/>
    <n v="1"/>
    <x v="1"/>
    <x v="2"/>
  </r>
  <r>
    <x v="1520"/>
    <n v="27.55"/>
    <n v="10.83"/>
    <x v="0"/>
    <s v="yes"/>
    <s v="No"/>
    <s v="No"/>
    <n v="1"/>
    <x v="1"/>
    <x v="2"/>
  </r>
  <r>
    <x v="1521"/>
    <n v="15.6"/>
    <n v="8.6"/>
    <x v="0"/>
    <s v="No"/>
    <s v="No"/>
    <s v="No"/>
    <n v="0"/>
    <x v="1"/>
    <x v="3"/>
  </r>
  <r>
    <x v="1522"/>
    <n v="21.99"/>
    <n v="11.17"/>
    <x v="0"/>
    <s v="No"/>
    <s v="No"/>
    <s v="No"/>
    <n v="0"/>
    <x v="1"/>
    <x v="2"/>
  </r>
  <r>
    <x v="1523"/>
    <n v="34.85"/>
    <n v="5.75"/>
    <x v="1"/>
    <s v="No"/>
    <s v="No"/>
    <s v="No"/>
    <n v="0"/>
    <x v="1"/>
    <x v="2"/>
  </r>
  <r>
    <x v="1524"/>
    <n v="24.51"/>
    <n v="4.83"/>
    <x v="1"/>
    <s v="yes"/>
    <s v="No"/>
    <s v="Yes"/>
    <n v="1"/>
    <x v="1"/>
    <x v="2"/>
  </r>
  <r>
    <x v="1525"/>
    <n v="19.399999999999999"/>
    <n v="11.93"/>
    <x v="0"/>
    <s v="No"/>
    <s v="No"/>
    <s v="No"/>
    <n v="0"/>
    <x v="1"/>
    <x v="2"/>
  </r>
  <r>
    <x v="1526"/>
    <n v="15.1"/>
    <n v="8.41"/>
    <x v="0"/>
    <s v="No"/>
    <s v="No"/>
    <s v="No"/>
    <n v="0"/>
    <x v="1"/>
    <x v="3"/>
  </r>
  <r>
    <x v="1527"/>
    <n v="23.37"/>
    <n v="5.59"/>
    <x v="1"/>
    <s v="yes"/>
    <s v="No"/>
    <s v="No"/>
    <n v="0"/>
    <x v="1"/>
    <x v="2"/>
  </r>
  <r>
    <x v="1528"/>
    <n v="42.4"/>
    <n v="4.0599999999999996"/>
    <x v="1"/>
    <s v="No"/>
    <s v="No"/>
    <s v="No"/>
    <n v="0"/>
    <x v="1"/>
    <x v="2"/>
  </r>
  <r>
    <x v="1529"/>
    <n v="28.405000000000001"/>
    <n v="7.02"/>
    <x v="0"/>
    <s v="yes"/>
    <s v="No"/>
    <s v="No"/>
    <n v="0"/>
    <x v="1"/>
    <x v="2"/>
  </r>
  <r>
    <x v="1530"/>
    <n v="23.4"/>
    <n v="4.47"/>
    <x v="1"/>
    <s v="No"/>
    <s v="No"/>
    <s v="No"/>
    <n v="0"/>
    <x v="1"/>
    <x v="2"/>
  </r>
  <r>
    <x v="1531"/>
    <n v="33.44"/>
    <n v="4.54"/>
    <x v="1"/>
    <s v="No"/>
    <s v="No"/>
    <s v="No"/>
    <n v="0"/>
    <x v="1"/>
    <x v="2"/>
  </r>
  <r>
    <x v="1532"/>
    <n v="21.12"/>
    <n v="4.99"/>
    <x v="1"/>
    <s v="No"/>
    <s v="No"/>
    <s v="No"/>
    <n v="1"/>
    <x v="1"/>
    <x v="2"/>
  </r>
  <r>
    <x v="1533"/>
    <n v="18.48"/>
    <n v="10.84"/>
    <x v="0"/>
    <s v="yes"/>
    <s v="No"/>
    <s v="No"/>
    <n v="2"/>
    <x v="1"/>
    <x v="3"/>
  </r>
  <r>
    <x v="1534"/>
    <n v="16.815000000000001"/>
    <n v="5.63"/>
    <x v="1"/>
    <s v="No"/>
    <s v="No"/>
    <s v="No"/>
    <n v="1"/>
    <x v="1"/>
    <x v="3"/>
  </r>
  <r>
    <x v="1535"/>
    <n v="26.72"/>
    <n v="4.1399999999999997"/>
    <x v="1"/>
    <s v="No"/>
    <s v="No"/>
    <s v="No"/>
    <n v="0"/>
    <x v="1"/>
    <x v="2"/>
  </r>
  <r>
    <x v="1536"/>
    <n v="41.42"/>
    <n v="5.17"/>
    <x v="1"/>
    <s v="No"/>
    <s v="No"/>
    <s v="Yes"/>
    <n v="1"/>
    <x v="1"/>
    <x v="2"/>
  </r>
  <r>
    <x v="1537"/>
    <n v="20.69"/>
    <n v="6.93"/>
    <x v="0"/>
    <s v="No"/>
    <s v="No"/>
    <s v="No"/>
    <n v="2"/>
    <x v="1"/>
    <x v="2"/>
  </r>
  <r>
    <x v="1538"/>
    <n v="41.23"/>
    <n v="4.24"/>
    <x v="1"/>
    <s v="No"/>
    <s v="No"/>
    <s v="No"/>
    <n v="0"/>
    <x v="1"/>
    <x v="2"/>
  </r>
  <r>
    <x v="1539"/>
    <n v="29.9"/>
    <n v="5.91"/>
    <x v="1"/>
    <s v="No"/>
    <s v="No"/>
    <s v="No"/>
    <n v="0"/>
    <x v="1"/>
    <x v="2"/>
  </r>
  <r>
    <x v="1540"/>
    <n v="34.104999999999997"/>
    <n v="5.93"/>
    <x v="1"/>
    <s v="No"/>
    <s v="No"/>
    <s v="No"/>
    <n v="0"/>
    <x v="1"/>
    <x v="2"/>
  </r>
  <r>
    <x v="1541"/>
    <n v="24.97"/>
    <n v="5.66"/>
    <x v="1"/>
    <s v="No"/>
    <s v="No"/>
    <s v="No"/>
    <n v="0"/>
    <x v="1"/>
    <x v="2"/>
  </r>
  <r>
    <x v="1542"/>
    <n v="34.799999999999997"/>
    <n v="4.1900000000000004"/>
    <x v="1"/>
    <s v="No"/>
    <s v="No"/>
    <s v="No"/>
    <n v="1"/>
    <x v="1"/>
    <x v="2"/>
  </r>
  <r>
    <x v="1543"/>
    <n v="32.965000000000003"/>
    <n v="9.2100000000000009"/>
    <x v="0"/>
    <s v="yes"/>
    <s v="No"/>
    <s v="No"/>
    <n v="0"/>
    <x v="1"/>
    <x v="2"/>
  </r>
  <r>
    <x v="1544"/>
    <n v="27.265000000000001"/>
    <n v="5.51"/>
    <x v="1"/>
    <s v="No"/>
    <s v="No"/>
    <s v="No"/>
    <n v="1"/>
    <x v="1"/>
    <x v="2"/>
  </r>
  <r>
    <x v="1545"/>
    <n v="17.059999999999999"/>
    <n v="8.5"/>
    <x v="0"/>
    <s v="No"/>
    <s v="No"/>
    <s v="No"/>
    <n v="0"/>
    <x v="1"/>
    <x v="3"/>
  </r>
  <r>
    <x v="1546"/>
    <n v="36.29"/>
    <n v="6.23"/>
    <x v="1"/>
    <s v="No"/>
    <s v="No"/>
    <s v="No"/>
    <n v="0"/>
    <x v="1"/>
    <x v="2"/>
  </r>
  <r>
    <x v="1547"/>
    <n v="28.594999999999999"/>
    <n v="8.5299999999999994"/>
    <x v="0"/>
    <s v="yes"/>
    <s v="No"/>
    <s v="No"/>
    <n v="1"/>
    <x v="1"/>
    <x v="2"/>
  </r>
  <r>
    <x v="1548"/>
    <n v="17.8"/>
    <n v="5.75"/>
    <x v="1"/>
    <s v="yes"/>
    <s v="No"/>
    <s v="Yes"/>
    <n v="1"/>
    <x v="1"/>
    <x v="3"/>
  </r>
  <r>
    <x v="1549"/>
    <n v="21.4"/>
    <n v="5.6"/>
    <x v="1"/>
    <s v="No"/>
    <s v="No"/>
    <s v="No"/>
    <n v="0"/>
    <x v="1"/>
    <x v="2"/>
  </r>
  <r>
    <x v="1550"/>
    <n v="23.01"/>
    <n v="4.68"/>
    <x v="1"/>
    <s v="No"/>
    <s v="No"/>
    <s v="No"/>
    <n v="0"/>
    <x v="1"/>
    <x v="2"/>
  </r>
  <r>
    <x v="1551"/>
    <n v="19.86"/>
    <n v="5.62"/>
    <x v="1"/>
    <s v="yes"/>
    <s v="No"/>
    <s v="No"/>
    <n v="0"/>
    <x v="1"/>
    <x v="2"/>
  </r>
  <r>
    <x v="1552"/>
    <n v="33.58"/>
    <n v="5.08"/>
    <x v="1"/>
    <s v="No"/>
    <s v="No"/>
    <s v="No"/>
    <n v="0"/>
    <x v="1"/>
    <x v="2"/>
  </r>
  <r>
    <x v="1553"/>
    <n v="29.81"/>
    <n v="5.28"/>
    <x v="1"/>
    <s v="No"/>
    <s v="No"/>
    <s v="No"/>
    <n v="0"/>
    <x v="1"/>
    <x v="2"/>
  </r>
  <r>
    <x v="1554"/>
    <n v="27.4"/>
    <n v="4.6100000000000003"/>
    <x v="1"/>
    <s v="No"/>
    <s v="No"/>
    <s v="No"/>
    <n v="0"/>
    <x v="1"/>
    <x v="2"/>
  </r>
  <r>
    <x v="1555"/>
    <n v="17.98"/>
    <n v="6.57"/>
    <x v="0"/>
    <s v="yes"/>
    <s v="No"/>
    <s v="No"/>
    <n v="2"/>
    <x v="1"/>
    <x v="3"/>
  </r>
  <r>
    <x v="1556"/>
    <n v="37.9"/>
    <n v="5.83"/>
    <x v="1"/>
    <s v="No"/>
    <s v="No"/>
    <s v="No"/>
    <n v="0"/>
    <x v="1"/>
    <x v="2"/>
  </r>
  <r>
    <x v="1557"/>
    <n v="25.27"/>
    <n v="6.98"/>
    <x v="0"/>
    <s v="yes"/>
    <s v="No"/>
    <s v="No"/>
    <n v="0"/>
    <x v="1"/>
    <x v="2"/>
  </r>
  <r>
    <x v="1558"/>
    <n v="29.26"/>
    <n v="4.03"/>
    <x v="1"/>
    <s v="No"/>
    <s v="No"/>
    <s v="No"/>
    <n v="1"/>
    <x v="1"/>
    <x v="2"/>
  </r>
  <r>
    <x v="1559"/>
    <n v="27.835000000000001"/>
    <n v="4.5599999999999996"/>
    <x v="1"/>
    <s v="No"/>
    <s v="No"/>
    <s v="No"/>
    <n v="1"/>
    <x v="1"/>
    <x v="2"/>
  </r>
  <r>
    <x v="1560"/>
    <n v="46.53"/>
    <n v="5.38"/>
    <x v="1"/>
    <s v="yes"/>
    <s v="No"/>
    <s v="No"/>
    <n v="0"/>
    <x v="1"/>
    <x v="2"/>
  </r>
  <r>
    <x v="1561"/>
    <n v="20.58"/>
    <n v="11.04"/>
    <x v="0"/>
    <s v="yes"/>
    <s v="No"/>
    <s v="No"/>
    <n v="1"/>
    <x v="1"/>
    <x v="2"/>
  </r>
  <r>
    <x v="1562"/>
    <n v="19.53"/>
    <n v="6.09"/>
    <x v="1"/>
    <s v="yes"/>
    <s v="No"/>
    <s v="No"/>
    <n v="0"/>
    <x v="1"/>
    <x v="2"/>
  </r>
  <r>
    <x v="1563"/>
    <n v="27.7"/>
    <n v="4.71"/>
    <x v="1"/>
    <s v="No"/>
    <s v="No"/>
    <s v="No"/>
    <n v="1"/>
    <x v="1"/>
    <x v="2"/>
  </r>
  <r>
    <x v="1564"/>
    <n v="18.920000000000002"/>
    <n v="8.18"/>
    <x v="0"/>
    <s v="No"/>
    <s v="No"/>
    <s v="No"/>
    <n v="0"/>
    <x v="1"/>
    <x v="2"/>
  </r>
  <r>
    <x v="1565"/>
    <n v="17.760000000000002"/>
    <n v="11.18"/>
    <x v="0"/>
    <s v="yes"/>
    <s v="No"/>
    <s v="No"/>
    <n v="2"/>
    <x v="1"/>
    <x v="3"/>
  </r>
  <r>
    <x v="1566"/>
    <n v="29.83"/>
    <n v="5.03"/>
    <x v="1"/>
    <s v="yes"/>
    <s v="No"/>
    <s v="No"/>
    <n v="0"/>
    <x v="1"/>
    <x v="2"/>
  </r>
  <r>
    <x v="1567"/>
    <n v="23.465"/>
    <n v="5.56"/>
    <x v="1"/>
    <s v="No"/>
    <s v="No"/>
    <s v="No"/>
    <n v="1"/>
    <x v="1"/>
    <x v="2"/>
  </r>
  <r>
    <x v="1568"/>
    <n v="29.355"/>
    <n v="4.33"/>
    <x v="1"/>
    <s v="No"/>
    <s v="No"/>
    <s v="No"/>
    <n v="0"/>
    <x v="1"/>
    <x v="2"/>
  </r>
  <r>
    <x v="1569"/>
    <n v="35.49"/>
    <n v="5.21"/>
    <x v="1"/>
    <s v="yes"/>
    <s v="No"/>
    <s v="Yes"/>
    <n v="1"/>
    <x v="1"/>
    <x v="2"/>
  </r>
  <r>
    <x v="1570"/>
    <n v="26.315000000000001"/>
    <n v="5.89"/>
    <x v="1"/>
    <s v="No"/>
    <s v="No"/>
    <s v="No"/>
    <n v="0"/>
    <x v="1"/>
    <x v="2"/>
  </r>
  <r>
    <x v="1571"/>
    <n v="19.79"/>
    <n v="4.8099999999999996"/>
    <x v="1"/>
    <s v="yes"/>
    <s v="No"/>
    <s v="No"/>
    <n v="0"/>
    <x v="1"/>
    <x v="2"/>
  </r>
  <r>
    <x v="1572"/>
    <n v="40.564999999999998"/>
    <n v="5.66"/>
    <x v="1"/>
    <s v="No"/>
    <s v="No"/>
    <s v="No"/>
    <n v="1"/>
    <x v="1"/>
    <x v="2"/>
  </r>
  <r>
    <x v="1573"/>
    <n v="18.03"/>
    <n v="10.66"/>
    <x v="0"/>
    <s v="yes"/>
    <s v="No"/>
    <s v="No"/>
    <n v="2"/>
    <x v="1"/>
    <x v="3"/>
  </r>
  <r>
    <x v="1574"/>
    <n v="34.65"/>
    <n v="5.98"/>
    <x v="1"/>
    <s v="yes"/>
    <s v="No"/>
    <s v="No"/>
    <n v="0"/>
    <x v="1"/>
    <x v="2"/>
  </r>
  <r>
    <x v="1575"/>
    <n v="42.94"/>
    <n v="4.34"/>
    <x v="1"/>
    <s v="No"/>
    <s v="No"/>
    <s v="No"/>
    <n v="0"/>
    <x v="1"/>
    <x v="2"/>
  </r>
  <r>
    <x v="1576"/>
    <n v="31.254999999999999"/>
    <n v="5.17"/>
    <x v="1"/>
    <s v="No"/>
    <s v="No"/>
    <s v="No"/>
    <n v="0"/>
    <x v="1"/>
    <x v="2"/>
  </r>
  <r>
    <x v="1577"/>
    <n v="45.43"/>
    <n v="4.2300000000000004"/>
    <x v="1"/>
    <s v="yes"/>
    <s v="No"/>
    <s v="Yes"/>
    <n v="1"/>
    <x v="1"/>
    <x v="2"/>
  </r>
  <r>
    <x v="1578"/>
    <n v="32.340000000000003"/>
    <n v="4.88"/>
    <x v="1"/>
    <s v="yes"/>
    <s v="No"/>
    <s v="Yes"/>
    <n v="1"/>
    <x v="1"/>
    <x v="2"/>
  </r>
  <r>
    <x v="1579"/>
    <n v="25.46"/>
    <n v="9.7100000000000009"/>
    <x v="0"/>
    <s v="yes"/>
    <s v="No"/>
    <s v="No"/>
    <n v="1"/>
    <x v="1"/>
    <x v="2"/>
  </r>
  <r>
    <x v="1580"/>
    <n v="37.145000000000003"/>
    <n v="5.32"/>
    <x v="1"/>
    <s v="No"/>
    <s v="No"/>
    <s v="No"/>
    <n v="0"/>
    <x v="1"/>
    <x v="2"/>
  </r>
  <r>
    <x v="1581"/>
    <n v="30.8"/>
    <n v="5.83"/>
    <x v="1"/>
    <s v="yes"/>
    <s v="No"/>
    <s v="No"/>
    <n v="0"/>
    <x v="1"/>
    <x v="2"/>
  </r>
  <r>
    <x v="1582"/>
    <n v="29.5"/>
    <n v="5.54"/>
    <x v="1"/>
    <s v="yes"/>
    <s v="No"/>
    <s v="No"/>
    <n v="0"/>
    <x v="1"/>
    <x v="2"/>
  </r>
  <r>
    <x v="1583"/>
    <n v="43.39"/>
    <n v="5.85"/>
    <x v="1"/>
    <s v="No"/>
    <s v="yes"/>
    <s v="No"/>
    <n v="1"/>
    <x v="1"/>
    <x v="2"/>
  </r>
  <r>
    <x v="1584"/>
    <n v="15.08"/>
    <n v="4.8499999999999996"/>
    <x v="1"/>
    <s v="yes"/>
    <s v="No"/>
    <s v="Yes"/>
    <n v="1"/>
    <x v="1"/>
    <x v="3"/>
  </r>
  <r>
    <x v="1585"/>
    <n v="20.48"/>
    <n v="11.09"/>
    <x v="0"/>
    <s v="No"/>
    <s v="No"/>
    <s v="No"/>
    <n v="0"/>
    <x v="1"/>
    <x v="2"/>
  </r>
  <r>
    <x v="1586"/>
    <n v="34.450000000000003"/>
    <n v="5.58"/>
    <x v="1"/>
    <s v="yes"/>
    <s v="No"/>
    <s v="No"/>
    <n v="0"/>
    <x v="1"/>
    <x v="2"/>
  </r>
  <r>
    <x v="1587"/>
    <n v="34.21"/>
    <n v="9.7200000000000006"/>
    <x v="0"/>
    <s v="yes"/>
    <s v="No"/>
    <s v="No"/>
    <n v="0"/>
    <x v="1"/>
    <x v="2"/>
  </r>
  <r>
    <x v="1588"/>
    <n v="28.8"/>
    <n v="11.41"/>
    <x v="0"/>
    <s v="yes"/>
    <s v="No"/>
    <s v="No"/>
    <n v="0"/>
    <x v="1"/>
    <x v="2"/>
  </r>
  <r>
    <x v="1589"/>
    <n v="31.74"/>
    <n v="4.46"/>
    <x v="1"/>
    <s v="No"/>
    <s v="No"/>
    <s v="Yes"/>
    <n v="1"/>
    <x v="1"/>
    <x v="2"/>
  </r>
  <r>
    <x v="1590"/>
    <n v="21.78"/>
    <n v="9.31"/>
    <x v="0"/>
    <s v="yes"/>
    <s v="No"/>
    <s v="No"/>
    <n v="0"/>
    <x v="1"/>
    <x v="2"/>
  </r>
  <r>
    <x v="1591"/>
    <n v="23.75"/>
    <n v="5.03"/>
    <x v="1"/>
    <s v="No"/>
    <s v="No"/>
    <s v="No"/>
    <n v="1"/>
    <x v="1"/>
    <x v="2"/>
  </r>
  <r>
    <x v="1592"/>
    <n v="33.21"/>
    <n v="5.07"/>
    <x v="1"/>
    <s v="yes"/>
    <s v="No"/>
    <s v="No"/>
    <n v="1"/>
    <x v="1"/>
    <x v="2"/>
  </r>
  <r>
    <x v="1593"/>
    <n v="17.7"/>
    <n v="10.42"/>
    <x v="0"/>
    <s v="yes"/>
    <s v="No"/>
    <s v="No"/>
    <n v="2"/>
    <x v="1"/>
    <x v="3"/>
  </r>
  <r>
    <x v="1594"/>
    <n v="17.2"/>
    <n v="6.45"/>
    <x v="1"/>
    <s v="No"/>
    <s v="No"/>
    <s v="No"/>
    <n v="2"/>
    <x v="1"/>
    <x v="3"/>
  </r>
  <r>
    <x v="1595"/>
    <n v="19.21"/>
    <n v="5.52"/>
    <x v="1"/>
    <s v="No"/>
    <s v="No"/>
    <s v="No"/>
    <n v="2"/>
    <x v="1"/>
    <x v="2"/>
  </r>
  <r>
    <x v="1596"/>
    <n v="23.2"/>
    <n v="4.41"/>
    <x v="1"/>
    <s v="No"/>
    <s v="No"/>
    <s v="Yes"/>
    <n v="1"/>
    <x v="1"/>
    <x v="2"/>
  </r>
  <r>
    <x v="1597"/>
    <n v="32.5"/>
    <n v="4.6900000000000004"/>
    <x v="1"/>
    <s v="yes"/>
    <s v="No"/>
    <s v="Yes"/>
    <n v="1"/>
    <x v="1"/>
    <x v="2"/>
  </r>
  <r>
    <x v="1598"/>
    <n v="20.9"/>
    <n v="6.94"/>
    <x v="0"/>
    <s v="No"/>
    <s v="No"/>
    <s v="No"/>
    <n v="0"/>
    <x v="1"/>
    <x v="2"/>
  </r>
  <r>
    <x v="1599"/>
    <n v="19.11"/>
    <n v="4.3499999999999996"/>
    <x v="1"/>
    <s v="No"/>
    <s v="No"/>
    <s v="No"/>
    <n v="2"/>
    <x v="1"/>
    <x v="2"/>
  </r>
  <r>
    <x v="1600"/>
    <n v="31.17"/>
    <n v="5.28"/>
    <x v="1"/>
    <s v="No"/>
    <s v="No"/>
    <s v="No"/>
    <n v="1"/>
    <x v="1"/>
    <x v="2"/>
  </r>
  <r>
    <x v="1601"/>
    <n v="36.08"/>
    <n v="4.29"/>
    <x v="1"/>
    <s v="No"/>
    <s v="No"/>
    <s v="No"/>
    <n v="0"/>
    <x v="1"/>
    <x v="2"/>
  </r>
  <r>
    <x v="1602"/>
    <n v="28.024999999999999"/>
    <n v="5.69"/>
    <x v="1"/>
    <s v="yes"/>
    <s v="No"/>
    <s v="No"/>
    <n v="0"/>
    <x v="1"/>
    <x v="2"/>
  </r>
  <r>
    <x v="1603"/>
    <n v="24.32"/>
    <n v="5.56"/>
    <x v="1"/>
    <s v="yes"/>
    <s v="No"/>
    <s v="No"/>
    <n v="0"/>
    <x v="1"/>
    <x v="2"/>
  </r>
  <r>
    <x v="1604"/>
    <n v="38"/>
    <n v="5.41"/>
    <x v="1"/>
    <s v="yes"/>
    <s v="No"/>
    <s v="No"/>
    <n v="1"/>
    <x v="1"/>
    <x v="2"/>
  </r>
  <r>
    <x v="1605"/>
    <n v="31.6"/>
    <n v="10.85"/>
    <x v="0"/>
    <s v="yes"/>
    <s v="No"/>
    <s v="No"/>
    <n v="0"/>
    <x v="1"/>
    <x v="2"/>
  </r>
  <r>
    <x v="1606"/>
    <n v="31.02"/>
    <n v="11.63"/>
    <x v="0"/>
    <s v="yes"/>
    <s v="No"/>
    <s v="No"/>
    <n v="0"/>
    <x v="1"/>
    <x v="2"/>
  </r>
  <r>
    <x v="1607"/>
    <n v="29.26"/>
    <n v="5.68"/>
    <x v="1"/>
    <s v="yes"/>
    <s v="No"/>
    <s v="No"/>
    <n v="1"/>
    <x v="1"/>
    <x v="2"/>
  </r>
  <r>
    <x v="1608"/>
    <n v="15.09"/>
    <n v="7.59"/>
    <x v="1"/>
    <s v="yes"/>
    <s v="No"/>
    <s v="No"/>
    <n v="2"/>
    <x v="1"/>
    <x v="3"/>
  </r>
  <r>
    <x v="1609"/>
    <n v="22.63"/>
    <n v="5.09"/>
    <x v="1"/>
    <s v="yes"/>
    <s v="No"/>
    <s v="No"/>
    <n v="0"/>
    <x v="1"/>
    <x v="2"/>
  </r>
  <r>
    <x v="1610"/>
    <n v="23.46"/>
    <n v="4.21"/>
    <x v="1"/>
    <s v="No"/>
    <s v="No"/>
    <s v="No"/>
    <n v="1"/>
    <x v="1"/>
    <x v="2"/>
  </r>
  <r>
    <x v="1611"/>
    <n v="22.56"/>
    <n v="4.34"/>
    <x v="1"/>
    <s v="yes"/>
    <s v="No"/>
    <s v="No"/>
    <n v="0"/>
    <x v="1"/>
    <x v="2"/>
  </r>
  <r>
    <x v="1612"/>
    <n v="19.28"/>
    <n v="11.85"/>
    <x v="0"/>
    <s v="No"/>
    <s v="No"/>
    <s v="No"/>
    <n v="2"/>
    <x v="1"/>
    <x v="2"/>
  </r>
  <r>
    <x v="1613"/>
    <n v="15.37"/>
    <n v="9.61"/>
    <x v="0"/>
    <s v="yes"/>
    <s v="No"/>
    <s v="No"/>
    <n v="2"/>
    <x v="1"/>
    <x v="3"/>
  </r>
  <r>
    <x v="1614"/>
    <n v="18.71"/>
    <n v="5.29"/>
    <x v="1"/>
    <s v="yes"/>
    <s v="No"/>
    <s v="No"/>
    <n v="0"/>
    <x v="1"/>
    <x v="2"/>
  </r>
  <r>
    <x v="1615"/>
    <n v="20.61"/>
    <n v="6.89"/>
    <x v="0"/>
    <s v="No"/>
    <s v="No"/>
    <s v="No"/>
    <n v="0"/>
    <x v="1"/>
    <x v="2"/>
  </r>
  <r>
    <x v="1616"/>
    <n v="15.99"/>
    <n v="4.57"/>
    <x v="1"/>
    <s v="yes"/>
    <s v="No"/>
    <s v="Yes"/>
    <n v="1"/>
    <x v="1"/>
    <x v="3"/>
  </r>
  <r>
    <x v="1617"/>
    <n v="33.155000000000001"/>
    <n v="4.32"/>
    <x v="1"/>
    <s v="No"/>
    <s v="No"/>
    <s v="No"/>
    <n v="0"/>
    <x v="1"/>
    <x v="2"/>
  </r>
  <r>
    <x v="1618"/>
    <n v="26.22"/>
    <n v="5.57"/>
    <x v="1"/>
    <s v="yes"/>
    <s v="No"/>
    <s v="Yes"/>
    <n v="1"/>
    <x v="1"/>
    <x v="2"/>
  </r>
  <r>
    <x v="1619"/>
    <n v="21.85"/>
    <n v="5.26"/>
    <x v="1"/>
    <s v="yes"/>
    <s v="No"/>
    <s v="Yes"/>
    <n v="1"/>
    <x v="1"/>
    <x v="2"/>
  </r>
  <r>
    <x v="1620"/>
    <n v="30.495000000000001"/>
    <n v="6.25"/>
    <x v="1"/>
    <s v="No"/>
    <s v="No"/>
    <s v="No"/>
    <n v="0"/>
    <x v="1"/>
    <x v="2"/>
  </r>
  <r>
    <x v="1621"/>
    <n v="34.104999999999997"/>
    <n v="5.67"/>
    <x v="1"/>
    <s v="yes"/>
    <s v="No"/>
    <s v="No"/>
    <n v="0"/>
    <x v="1"/>
    <x v="2"/>
  </r>
  <r>
    <x v="1622"/>
    <n v="32.770000000000003"/>
    <n v="4.42"/>
    <x v="1"/>
    <s v="yes"/>
    <s v="No"/>
    <s v="No"/>
    <n v="1"/>
    <x v="1"/>
    <x v="2"/>
  </r>
  <r>
    <x v="1623"/>
    <n v="16.850000000000001"/>
    <n v="11.75"/>
    <x v="0"/>
    <s v="yes"/>
    <s v="No"/>
    <s v="No"/>
    <n v="2"/>
    <x v="1"/>
    <x v="3"/>
  </r>
  <r>
    <x v="1624"/>
    <n v="34.700000000000003"/>
    <n v="6.06"/>
    <x v="1"/>
    <s v="No"/>
    <s v="No"/>
    <s v="No"/>
    <n v="1"/>
    <x v="1"/>
    <x v="2"/>
  </r>
  <r>
    <x v="1625"/>
    <n v="37.049999999999997"/>
    <n v="5.48"/>
    <x v="1"/>
    <s v="No"/>
    <s v="No"/>
    <s v="No"/>
    <n v="1"/>
    <x v="1"/>
    <x v="2"/>
  </r>
  <r>
    <x v="1626"/>
    <n v="18.78"/>
    <n v="4.45"/>
    <x v="1"/>
    <s v="No"/>
    <s v="No"/>
    <s v="Yes"/>
    <n v="1"/>
    <x v="1"/>
    <x v="2"/>
  </r>
  <r>
    <x v="1627"/>
    <n v="28.024999999999999"/>
    <n v="5"/>
    <x v="1"/>
    <s v="No"/>
    <s v="No"/>
    <s v="No"/>
    <n v="1"/>
    <x v="1"/>
    <x v="2"/>
  </r>
  <r>
    <x v="1628"/>
    <n v="35.090000000000003"/>
    <n v="5.84"/>
    <x v="1"/>
    <s v="No"/>
    <s v="No"/>
    <s v="No"/>
    <n v="0"/>
    <x v="1"/>
    <x v="2"/>
  </r>
  <r>
    <x v="1629"/>
    <n v="34.42"/>
    <n v="5.21"/>
    <x v="1"/>
    <s v="yes"/>
    <s v="No"/>
    <s v="No"/>
    <n v="0"/>
    <x v="1"/>
    <x v="2"/>
  </r>
  <r>
    <x v="1630"/>
    <n v="29.4"/>
    <n v="4.26"/>
    <x v="1"/>
    <s v="No"/>
    <s v="No"/>
    <s v="No"/>
    <n v="0"/>
    <x v="1"/>
    <x v="2"/>
  </r>
  <r>
    <x v="1631"/>
    <n v="21.31"/>
    <n v="4.17"/>
    <x v="1"/>
    <s v="No"/>
    <s v="No"/>
    <s v="No"/>
    <n v="0"/>
    <x v="1"/>
    <x v="2"/>
  </r>
  <r>
    <x v="1632"/>
    <n v="19.559999999999999"/>
    <n v="11.96"/>
    <x v="0"/>
    <s v="No"/>
    <s v="No"/>
    <s v="No"/>
    <n v="0"/>
    <x v="1"/>
    <x v="2"/>
  </r>
  <r>
    <x v="1633"/>
    <n v="37.335000000000001"/>
    <n v="6.26"/>
    <x v="1"/>
    <s v="yes"/>
    <s v="No"/>
    <s v="No"/>
    <n v="1"/>
    <x v="1"/>
    <x v="2"/>
  </r>
  <r>
    <x v="1634"/>
    <n v="19.53"/>
    <n v="11.68"/>
    <x v="0"/>
    <s v="No"/>
    <s v="No"/>
    <s v="No"/>
    <n v="0"/>
    <x v="1"/>
    <x v="2"/>
  </r>
  <r>
    <x v="1635"/>
    <n v="34.1"/>
    <n v="5.16"/>
    <x v="1"/>
    <s v="No"/>
    <s v="No"/>
    <s v="No"/>
    <n v="0"/>
    <x v="1"/>
    <x v="2"/>
  </r>
  <r>
    <x v="1636"/>
    <n v="16.5"/>
    <n v="6.9"/>
    <x v="1"/>
    <s v="yes"/>
    <s v="No"/>
    <s v="No"/>
    <n v="2"/>
    <x v="1"/>
    <x v="3"/>
  </r>
  <r>
    <x v="1637"/>
    <n v="30.69"/>
    <n v="4.83"/>
    <x v="1"/>
    <s v="No"/>
    <s v="No"/>
    <s v="No"/>
    <n v="1"/>
    <x v="1"/>
    <x v="2"/>
  </r>
  <r>
    <x v="1638"/>
    <n v="28.93"/>
    <n v="4.87"/>
    <x v="1"/>
    <s v="No"/>
    <s v="No"/>
    <s v="No"/>
    <n v="1"/>
    <x v="1"/>
    <x v="2"/>
  </r>
  <r>
    <x v="1639"/>
    <n v="38.9"/>
    <n v="4.28"/>
    <x v="1"/>
    <s v="No"/>
    <s v="No"/>
    <s v="No"/>
    <n v="0"/>
    <x v="1"/>
    <x v="2"/>
  </r>
  <r>
    <x v="1640"/>
    <n v="26.9"/>
    <n v="4.07"/>
    <x v="1"/>
    <s v="No"/>
    <s v="No"/>
    <s v="No"/>
    <n v="0"/>
    <x v="1"/>
    <x v="2"/>
  </r>
  <r>
    <x v="1641"/>
    <n v="24.86"/>
    <n v="6.23"/>
    <x v="1"/>
    <s v="No"/>
    <s v="No"/>
    <s v="No"/>
    <n v="0"/>
    <x v="1"/>
    <x v="2"/>
  </r>
  <r>
    <x v="1642"/>
    <n v="39.14"/>
    <n v="6.24"/>
    <x v="1"/>
    <s v="No"/>
    <s v="yes"/>
    <s v="No"/>
    <n v="1"/>
    <x v="1"/>
    <x v="2"/>
  </r>
  <r>
    <x v="1643"/>
    <n v="39.799999999999997"/>
    <n v="6.17"/>
    <x v="1"/>
    <s v="No"/>
    <s v="No"/>
    <s v="Yes"/>
    <n v="1"/>
    <x v="1"/>
    <x v="2"/>
  </r>
  <r>
    <x v="1644"/>
    <n v="34.32"/>
    <n v="5.16"/>
    <x v="1"/>
    <s v="No"/>
    <s v="No"/>
    <s v="No"/>
    <n v="1"/>
    <x v="1"/>
    <x v="2"/>
  </r>
  <r>
    <x v="1645"/>
    <n v="32.51"/>
    <n v="4.3"/>
    <x v="1"/>
    <s v="No"/>
    <s v="No"/>
    <s v="No"/>
    <n v="0"/>
    <x v="1"/>
    <x v="2"/>
  </r>
  <r>
    <x v="1646"/>
    <n v="30.71"/>
    <n v="6.14"/>
    <x v="1"/>
    <s v="No"/>
    <s v="No"/>
    <s v="Yes"/>
    <n v="1"/>
    <x v="1"/>
    <x v="2"/>
  </r>
  <r>
    <x v="1647"/>
    <n v="28.9"/>
    <n v="5.36"/>
    <x v="1"/>
    <s v="No"/>
    <s v="No"/>
    <s v="No"/>
    <n v="1"/>
    <x v="1"/>
    <x v="2"/>
  </r>
  <r>
    <x v="1648"/>
    <n v="36.19"/>
    <n v="4.3"/>
    <x v="1"/>
    <s v="No"/>
    <s v="No"/>
    <s v="No"/>
    <n v="0"/>
    <x v="1"/>
    <x v="2"/>
  </r>
  <r>
    <x v="1649"/>
    <n v="29.6"/>
    <n v="4.09"/>
    <x v="1"/>
    <s v="No"/>
    <s v="No"/>
    <s v="No"/>
    <n v="0"/>
    <x v="1"/>
    <x v="2"/>
  </r>
  <r>
    <x v="1650"/>
    <n v="30.95"/>
    <n v="6.27"/>
    <x v="1"/>
    <s v="No"/>
    <s v="No"/>
    <s v="Yes"/>
    <n v="1"/>
    <x v="1"/>
    <x v="2"/>
  </r>
  <r>
    <x v="1651"/>
    <n v="19.95"/>
    <n v="5.39"/>
    <x v="1"/>
    <s v="No"/>
    <s v="No"/>
    <s v="No"/>
    <n v="1"/>
    <x v="1"/>
    <x v="2"/>
  </r>
  <r>
    <x v="1652"/>
    <n v="23.65"/>
    <n v="5.75"/>
    <x v="1"/>
    <s v="yes"/>
    <s v="No"/>
    <s v="No"/>
    <n v="0"/>
    <x v="1"/>
    <x v="2"/>
  </r>
  <r>
    <x v="1653"/>
    <n v="43.34"/>
    <n v="4.91"/>
    <x v="1"/>
    <s v="No"/>
    <s v="No"/>
    <s v="No"/>
    <n v="1"/>
    <x v="1"/>
    <x v="2"/>
  </r>
  <r>
    <x v="1654"/>
    <n v="31.98"/>
    <n v="4.46"/>
    <x v="1"/>
    <s v="yes"/>
    <s v="No"/>
    <s v="No"/>
    <n v="1"/>
    <x v="1"/>
    <x v="2"/>
  </r>
  <r>
    <x v="1655"/>
    <n v="35.86"/>
    <n v="6.22"/>
    <x v="1"/>
    <s v="No"/>
    <s v="No"/>
    <s v="No"/>
    <n v="1"/>
    <x v="1"/>
    <x v="2"/>
  </r>
  <r>
    <x v="1656"/>
    <n v="15.2"/>
    <n v="8.82"/>
    <x v="0"/>
    <s v="No"/>
    <s v="No"/>
    <s v="No"/>
    <n v="0"/>
    <x v="1"/>
    <x v="3"/>
  </r>
  <r>
    <x v="1657"/>
    <n v="37.200000000000003"/>
    <n v="10.14"/>
    <x v="0"/>
    <s v="No"/>
    <s v="No"/>
    <s v="No"/>
    <n v="0"/>
    <x v="1"/>
    <x v="2"/>
  </r>
  <r>
    <x v="1658"/>
    <n v="17.91"/>
    <n v="4.66"/>
    <x v="1"/>
    <s v="No"/>
    <s v="No"/>
    <s v="No"/>
    <n v="2"/>
    <x v="1"/>
    <x v="3"/>
  </r>
  <r>
    <x v="1659"/>
    <n v="20.76"/>
    <n v="6.26"/>
    <x v="1"/>
    <s v="No"/>
    <s v="No"/>
    <s v="No"/>
    <n v="0"/>
    <x v="1"/>
    <x v="2"/>
  </r>
  <r>
    <x v="1660"/>
    <n v="38.99"/>
    <n v="5.21"/>
    <x v="1"/>
    <s v="No"/>
    <s v="yes"/>
    <s v="No"/>
    <n v="1"/>
    <x v="1"/>
    <x v="2"/>
  </r>
  <r>
    <x v="1661"/>
    <n v="42.655000000000001"/>
    <n v="5.94"/>
    <x v="1"/>
    <s v="yes"/>
    <s v="No"/>
    <s v="Yes"/>
    <n v="1"/>
    <x v="1"/>
    <x v="2"/>
  </r>
  <r>
    <x v="1662"/>
    <n v="30.57"/>
    <n v="5.34"/>
    <x v="1"/>
    <s v="No"/>
    <s v="No"/>
    <s v="Yes"/>
    <n v="1"/>
    <x v="1"/>
    <x v="2"/>
  </r>
  <r>
    <x v="1663"/>
    <n v="17.7"/>
    <n v="6.38"/>
    <x v="1"/>
    <s v="No"/>
    <s v="No"/>
    <s v="No"/>
    <n v="2"/>
    <x v="1"/>
    <x v="3"/>
  </r>
  <r>
    <x v="1664"/>
    <n v="34.770000000000003"/>
    <n v="4.47"/>
    <x v="1"/>
    <s v="No"/>
    <s v="No"/>
    <s v="No"/>
    <n v="1"/>
    <x v="1"/>
    <x v="2"/>
  </r>
  <r>
    <x v="1665"/>
    <n v="16.88"/>
    <n v="9.9600000000000009"/>
    <x v="0"/>
    <s v="No"/>
    <s v="No"/>
    <s v="No"/>
    <n v="0"/>
    <x v="1"/>
    <x v="3"/>
  </r>
  <r>
    <x v="1666"/>
    <n v="40.26"/>
    <n v="9.92"/>
    <x v="0"/>
    <s v="yes"/>
    <s v="No"/>
    <s v="No"/>
    <n v="0"/>
    <x v="1"/>
    <x v="2"/>
  </r>
  <r>
    <x v="1667"/>
    <n v="25.6"/>
    <n v="6.03"/>
    <x v="1"/>
    <s v="No"/>
    <s v="No"/>
    <s v="Yes"/>
    <n v="1"/>
    <x v="1"/>
    <x v="2"/>
  </r>
  <r>
    <x v="1668"/>
    <n v="33.549999999999997"/>
    <n v="10.9"/>
    <x v="0"/>
    <s v="yes"/>
    <s v="No"/>
    <s v="No"/>
    <n v="0"/>
    <x v="1"/>
    <x v="2"/>
  </r>
  <r>
    <x v="1669"/>
    <n v="16.690000000000001"/>
    <n v="10.66"/>
    <x v="0"/>
    <s v="No"/>
    <s v="No"/>
    <s v="No"/>
    <n v="0"/>
    <x v="1"/>
    <x v="3"/>
  </r>
  <r>
    <x v="1670"/>
    <n v="19.95"/>
    <n v="4.05"/>
    <x v="1"/>
    <s v="No"/>
    <s v="No"/>
    <s v="No"/>
    <n v="1"/>
    <x v="1"/>
    <x v="2"/>
  </r>
  <r>
    <x v="1671"/>
    <n v="17.55"/>
    <n v="4.2300000000000004"/>
    <x v="1"/>
    <s v="No"/>
    <s v="No"/>
    <s v="No"/>
    <n v="2"/>
    <x v="1"/>
    <x v="3"/>
  </r>
  <r>
    <x v="1672"/>
    <n v="22.01"/>
    <n v="5.01"/>
    <x v="1"/>
    <s v="No"/>
    <s v="No"/>
    <s v="No"/>
    <n v="1"/>
    <x v="1"/>
    <x v="2"/>
  </r>
  <r>
    <x v="1673"/>
    <n v="41.8"/>
    <n v="5.82"/>
    <x v="1"/>
    <s v="yes"/>
    <s v="No"/>
    <s v="Yes"/>
    <n v="1"/>
    <x v="1"/>
    <x v="2"/>
  </r>
  <r>
    <x v="1674"/>
    <n v="19.170000000000002"/>
    <n v="7.94"/>
    <x v="0"/>
    <s v="No"/>
    <s v="No"/>
    <s v="No"/>
    <n v="0"/>
    <x v="1"/>
    <x v="2"/>
  </r>
  <r>
    <x v="1675"/>
    <n v="32.799999999999997"/>
    <n v="6.16"/>
    <x v="1"/>
    <s v="yes"/>
    <s v="No"/>
    <s v="Yes"/>
    <n v="1"/>
    <x v="1"/>
    <x v="2"/>
  </r>
  <r>
    <x v="1676"/>
    <n v="35.814999999999998"/>
    <n v="4.1500000000000004"/>
    <x v="1"/>
    <s v="No"/>
    <s v="No"/>
    <s v="No"/>
    <n v="1"/>
    <x v="1"/>
    <x v="2"/>
  </r>
  <r>
    <x v="1677"/>
    <n v="24.3"/>
    <n v="6.23"/>
    <x v="1"/>
    <s v="No"/>
    <s v="No"/>
    <s v="No"/>
    <n v="0"/>
    <x v="1"/>
    <x v="2"/>
  </r>
  <r>
    <x v="1678"/>
    <n v="19.059999999999999"/>
    <n v="7.41"/>
    <x v="0"/>
    <s v="No"/>
    <s v="No"/>
    <s v="No"/>
    <n v="0"/>
    <x v="1"/>
    <x v="2"/>
  </r>
  <r>
    <x v="1679"/>
    <n v="33.25"/>
    <n v="5.62"/>
    <x v="1"/>
    <s v="yes"/>
    <s v="No"/>
    <s v="No"/>
    <n v="1"/>
    <x v="1"/>
    <x v="2"/>
  </r>
  <r>
    <x v="1680"/>
    <n v="21.37"/>
    <n v="4.54"/>
    <x v="1"/>
    <s v="yes"/>
    <s v="No"/>
    <s v="Yes"/>
    <n v="1"/>
    <x v="1"/>
    <x v="2"/>
  </r>
  <r>
    <x v="1681"/>
    <n v="34.43"/>
    <n v="8.6199999999999992"/>
    <x v="0"/>
    <s v="yes"/>
    <s v="No"/>
    <s v="No"/>
    <n v="1"/>
    <x v="1"/>
    <x v="2"/>
  </r>
  <r>
    <x v="1682"/>
    <n v="20.86"/>
    <n v="4.3600000000000003"/>
    <x v="1"/>
    <s v="yes"/>
    <s v="No"/>
    <s v="No"/>
    <n v="0"/>
    <x v="1"/>
    <x v="2"/>
  </r>
  <r>
    <x v="1683"/>
    <n v="18.34"/>
    <n v="10.01"/>
    <x v="0"/>
    <s v="No"/>
    <s v="No"/>
    <s v="No"/>
    <n v="0"/>
    <x v="1"/>
    <x v="3"/>
  </r>
  <r>
    <x v="1684"/>
    <n v="34.15"/>
    <n v="5.42"/>
    <x v="1"/>
    <s v="No"/>
    <s v="No"/>
    <s v="No"/>
    <n v="0"/>
    <x v="1"/>
    <x v="2"/>
  </r>
  <r>
    <x v="1685"/>
    <n v="18.350000000000001"/>
    <n v="5.12"/>
    <x v="1"/>
    <s v="No"/>
    <s v="No"/>
    <s v="No"/>
    <n v="0"/>
    <x v="1"/>
    <x v="3"/>
  </r>
  <r>
    <x v="1686"/>
    <n v="22.13"/>
    <n v="9.1999999999999993"/>
    <x v="0"/>
    <s v="yes"/>
    <s v="No"/>
    <s v="No"/>
    <n v="0"/>
    <x v="1"/>
    <x v="2"/>
  </r>
  <r>
    <x v="1687"/>
    <n v="22.51"/>
    <n v="6.08"/>
    <x v="1"/>
    <s v="yes"/>
    <s v="No"/>
    <s v="No"/>
    <n v="1"/>
    <x v="1"/>
    <x v="2"/>
  </r>
  <r>
    <x v="1688"/>
    <n v="31"/>
    <n v="4.7699999999999996"/>
    <x v="1"/>
    <s v="No"/>
    <s v="No"/>
    <s v="No"/>
    <n v="1"/>
    <x v="1"/>
    <x v="2"/>
  </r>
  <r>
    <x v="1689"/>
    <n v="28.27"/>
    <n v="4.62"/>
    <x v="1"/>
    <s v="No"/>
    <s v="No"/>
    <s v="No"/>
    <n v="1"/>
    <x v="1"/>
    <x v="2"/>
  </r>
  <r>
    <x v="1690"/>
    <n v="29.92"/>
    <n v="9.07"/>
    <x v="0"/>
    <s v="yes"/>
    <s v="No"/>
    <s v="No"/>
    <n v="1"/>
    <x v="1"/>
    <x v="2"/>
  </r>
  <r>
    <x v="1691"/>
    <n v="25.9"/>
    <n v="9.1199999999999992"/>
    <x v="0"/>
    <s v="yes"/>
    <s v="No"/>
    <s v="No"/>
    <n v="1"/>
    <x v="1"/>
    <x v="2"/>
  </r>
  <r>
    <x v="1692"/>
    <n v="27.74"/>
    <n v="7.32"/>
    <x v="0"/>
    <s v="yes"/>
    <s v="No"/>
    <s v="No"/>
    <n v="1"/>
    <x v="1"/>
    <x v="2"/>
  </r>
  <r>
    <x v="1693"/>
    <n v="17.260000000000002"/>
    <n v="11.73"/>
    <x v="0"/>
    <s v="No"/>
    <s v="No"/>
    <s v="No"/>
    <n v="2"/>
    <x v="1"/>
    <x v="3"/>
  </r>
  <r>
    <x v="1694"/>
    <n v="19.855"/>
    <n v="6.64"/>
    <x v="0"/>
    <s v="yes"/>
    <s v="No"/>
    <s v="No"/>
    <n v="1"/>
    <x v="1"/>
    <x v="2"/>
  </r>
  <r>
    <x v="1695"/>
    <n v="41.69"/>
    <n v="5.78"/>
    <x v="1"/>
    <s v="No"/>
    <s v="No"/>
    <s v="No"/>
    <n v="0"/>
    <x v="1"/>
    <x v="2"/>
  </r>
  <r>
    <x v="1696"/>
    <n v="16.12"/>
    <n v="10.45"/>
    <x v="0"/>
    <s v="No"/>
    <s v="No"/>
    <s v="No"/>
    <n v="0"/>
    <x v="1"/>
    <x v="3"/>
  </r>
  <r>
    <x v="1697"/>
    <n v="37.43"/>
    <n v="4.5199999999999996"/>
    <x v="1"/>
    <s v="No"/>
    <s v="No"/>
    <s v="No"/>
    <n v="1"/>
    <x v="1"/>
    <x v="2"/>
  </r>
  <r>
    <x v="1698"/>
    <n v="31.065000000000001"/>
    <n v="5.71"/>
    <x v="1"/>
    <s v="No"/>
    <s v="No"/>
    <s v="No"/>
    <n v="0"/>
    <x v="1"/>
    <x v="2"/>
  </r>
  <r>
    <x v="1699"/>
    <n v="25.08"/>
    <n v="4.7699999999999996"/>
    <x v="1"/>
    <s v="No"/>
    <s v="No"/>
    <s v="No"/>
    <n v="0"/>
    <x v="1"/>
    <x v="2"/>
  </r>
  <r>
    <x v="1700"/>
    <n v="15.2"/>
    <n v="7.81"/>
    <x v="0"/>
    <s v="yes"/>
    <s v="No"/>
    <s v="No"/>
    <n v="1"/>
    <x v="1"/>
    <x v="3"/>
  </r>
  <r>
    <x v="1701"/>
    <n v="22.34"/>
    <n v="5.19"/>
    <x v="1"/>
    <s v="yes"/>
    <s v="No"/>
    <s v="No"/>
    <n v="0"/>
    <x v="1"/>
    <x v="2"/>
  </r>
  <r>
    <x v="1702"/>
    <n v="40.15"/>
    <n v="5.93"/>
    <x v="1"/>
    <s v="No"/>
    <s v="No"/>
    <s v="No"/>
    <n v="1"/>
    <x v="1"/>
    <x v="2"/>
  </r>
  <r>
    <x v="1703"/>
    <n v="37.729999999999997"/>
    <n v="6.29"/>
    <x v="1"/>
    <s v="No"/>
    <s v="No"/>
    <s v="No"/>
    <n v="1"/>
    <x v="1"/>
    <x v="2"/>
  </r>
  <r>
    <x v="1704"/>
    <n v="25.35"/>
    <n v="4.9000000000000004"/>
    <x v="1"/>
    <s v="No"/>
    <s v="No"/>
    <s v="No"/>
    <n v="0"/>
    <x v="1"/>
    <x v="2"/>
  </r>
  <r>
    <x v="1705"/>
    <n v="26.41"/>
    <n v="5.07"/>
    <x v="1"/>
    <s v="yes"/>
    <s v="No"/>
    <s v="No"/>
    <n v="1"/>
    <x v="1"/>
    <x v="2"/>
  </r>
  <r>
    <x v="1706"/>
    <n v="27.6"/>
    <n v="5.33"/>
    <x v="1"/>
    <s v="No"/>
    <s v="No"/>
    <s v="No"/>
    <n v="1"/>
    <x v="1"/>
    <x v="2"/>
  </r>
  <r>
    <x v="1707"/>
    <n v="33.82"/>
    <n v="8.93"/>
    <x v="0"/>
    <s v="yes"/>
    <s v="No"/>
    <s v="No"/>
    <n v="1"/>
    <x v="1"/>
    <x v="2"/>
  </r>
  <r>
    <x v="1708"/>
    <n v="32.9"/>
    <n v="4.3499999999999996"/>
    <x v="1"/>
    <s v="No"/>
    <s v="No"/>
    <s v="No"/>
    <n v="0"/>
    <x v="1"/>
    <x v="2"/>
  </r>
  <r>
    <x v="1709"/>
    <n v="30.875"/>
    <n v="9.5399999999999991"/>
    <x v="0"/>
    <s v="yes"/>
    <s v="No"/>
    <s v="No"/>
    <n v="1"/>
    <x v="1"/>
    <x v="2"/>
  </r>
  <r>
    <x v="1710"/>
    <n v="32.64"/>
    <n v="5.91"/>
    <x v="1"/>
    <s v="No"/>
    <s v="No"/>
    <s v="No"/>
    <n v="0"/>
    <x v="1"/>
    <x v="2"/>
  </r>
  <r>
    <x v="1711"/>
    <n v="22.135000000000002"/>
    <n v="5.0999999999999996"/>
    <x v="1"/>
    <s v="No"/>
    <s v="No"/>
    <s v="No"/>
    <n v="0"/>
    <x v="1"/>
    <x v="2"/>
  </r>
  <r>
    <x v="1712"/>
    <n v="16.53"/>
    <n v="5.08"/>
    <x v="1"/>
    <s v="No"/>
    <s v="No"/>
    <s v="No"/>
    <n v="2"/>
    <x v="1"/>
    <x v="3"/>
  </r>
  <r>
    <x v="1713"/>
    <n v="32.774999999999999"/>
    <n v="4.75"/>
    <x v="1"/>
    <s v="No"/>
    <s v="No"/>
    <s v="No"/>
    <n v="0"/>
    <x v="1"/>
    <x v="2"/>
  </r>
  <r>
    <x v="1714"/>
    <n v="30.9"/>
    <n v="6.05"/>
    <x v="1"/>
    <s v="No"/>
    <s v="No"/>
    <s v="No"/>
    <n v="1"/>
    <x v="1"/>
    <x v="2"/>
  </r>
  <r>
    <x v="1715"/>
    <n v="15.58"/>
    <n v="11.56"/>
    <x v="0"/>
    <s v="No"/>
    <s v="No"/>
    <s v="No"/>
    <n v="0"/>
    <x v="1"/>
    <x v="3"/>
  </r>
  <r>
    <x v="1716"/>
    <n v="26.315000000000001"/>
    <n v="5.76"/>
    <x v="1"/>
    <s v="No"/>
    <s v="No"/>
    <s v="No"/>
    <n v="0"/>
    <x v="1"/>
    <x v="2"/>
  </r>
  <r>
    <x v="1717"/>
    <n v="35.61"/>
    <n v="5.65"/>
    <x v="1"/>
    <s v="No"/>
    <s v="yes"/>
    <s v="No"/>
    <n v="1"/>
    <x v="1"/>
    <x v="2"/>
  </r>
  <r>
    <x v="1718"/>
    <n v="37.56"/>
    <n v="5.88"/>
    <x v="1"/>
    <s v="No"/>
    <s v="yes"/>
    <s v="No"/>
    <n v="1"/>
    <x v="1"/>
    <x v="2"/>
  </r>
  <r>
    <x v="1719"/>
    <n v="15.49"/>
    <n v="9.6"/>
    <x v="0"/>
    <s v="No"/>
    <s v="No"/>
    <s v="No"/>
    <n v="0"/>
    <x v="1"/>
    <x v="3"/>
  </r>
  <r>
    <x v="1720"/>
    <n v="23.48"/>
    <n v="6.24"/>
    <x v="1"/>
    <s v="No"/>
    <s v="No"/>
    <s v="No"/>
    <n v="1"/>
    <x v="1"/>
    <x v="2"/>
  </r>
  <r>
    <x v="1721"/>
    <n v="30.02"/>
    <n v="7.63"/>
    <x v="0"/>
    <s v="yes"/>
    <s v="No"/>
    <s v="No"/>
    <n v="1"/>
    <x v="1"/>
    <x v="2"/>
  </r>
  <r>
    <x v="1722"/>
    <n v="26.885000000000002"/>
    <n v="8.66"/>
    <x v="0"/>
    <s v="yes"/>
    <s v="No"/>
    <s v="No"/>
    <n v="1"/>
    <x v="1"/>
    <x v="2"/>
  </r>
  <r>
    <x v="1723"/>
    <n v="25.84"/>
    <n v="8.5500000000000007"/>
    <x v="0"/>
    <s v="yes"/>
    <s v="No"/>
    <s v="No"/>
    <n v="1"/>
    <x v="1"/>
    <x v="2"/>
  </r>
  <r>
    <x v="1724"/>
    <n v="27.454999999999998"/>
    <n v="4.54"/>
    <x v="1"/>
    <s v="No"/>
    <s v="No"/>
    <s v="No"/>
    <n v="0"/>
    <x v="1"/>
    <x v="2"/>
  </r>
  <r>
    <x v="1725"/>
    <n v="24.605"/>
    <n v="5.7"/>
    <x v="1"/>
    <s v="No"/>
    <s v="No"/>
    <s v="No"/>
    <n v="0"/>
    <x v="1"/>
    <x v="2"/>
  </r>
  <r>
    <x v="1726"/>
    <n v="30.8"/>
    <n v="5.07"/>
    <x v="1"/>
    <s v="No"/>
    <s v="No"/>
    <s v="No"/>
    <n v="0"/>
    <x v="1"/>
    <x v="2"/>
  </r>
  <r>
    <x v="1727"/>
    <n v="34.799999999999997"/>
    <n v="4.38"/>
    <x v="1"/>
    <s v="No"/>
    <s v="No"/>
    <s v="No"/>
    <n v="1"/>
    <x v="1"/>
    <x v="2"/>
  </r>
  <r>
    <x v="1728"/>
    <n v="34.21"/>
    <n v="4.54"/>
    <x v="1"/>
    <s v="No"/>
    <s v="No"/>
    <s v="No"/>
    <n v="1"/>
    <x v="1"/>
    <x v="2"/>
  </r>
  <r>
    <x v="1729"/>
    <n v="31"/>
    <n v="5.38"/>
    <x v="1"/>
    <s v="No"/>
    <s v="No"/>
    <s v="No"/>
    <n v="1"/>
    <x v="1"/>
    <x v="2"/>
  </r>
  <r>
    <x v="1730"/>
    <n v="26.125"/>
    <n v="5.55"/>
    <x v="1"/>
    <s v="No"/>
    <s v="No"/>
    <s v="No"/>
    <n v="1"/>
    <x v="1"/>
    <x v="2"/>
  </r>
  <r>
    <x v="1731"/>
    <n v="30.13"/>
    <n v="4.03"/>
    <x v="1"/>
    <s v="yes"/>
    <s v="No"/>
    <s v="No"/>
    <n v="1"/>
    <x v="1"/>
    <x v="2"/>
  </r>
  <r>
    <x v="1732"/>
    <n v="34.19"/>
    <n v="4.1900000000000004"/>
    <x v="1"/>
    <s v="No"/>
    <s v="No"/>
    <s v="No"/>
    <n v="0"/>
    <x v="1"/>
    <x v="2"/>
  </r>
  <r>
    <x v="1733"/>
    <n v="22.515000000000001"/>
    <n v="4.37"/>
    <x v="1"/>
    <s v="No"/>
    <s v="No"/>
    <s v="Yes"/>
    <n v="1"/>
    <x v="1"/>
    <x v="2"/>
  </r>
  <r>
    <x v="1734"/>
    <n v="18.239999999999998"/>
    <n v="5.31"/>
    <x v="1"/>
    <s v="yes"/>
    <s v="No"/>
    <s v="Yes"/>
    <n v="1"/>
    <x v="1"/>
    <x v="3"/>
  </r>
  <r>
    <x v="1735"/>
    <n v="37.28"/>
    <n v="4.66"/>
    <x v="1"/>
    <s v="No"/>
    <s v="yes"/>
    <s v="No"/>
    <n v="1"/>
    <x v="1"/>
    <x v="2"/>
  </r>
  <r>
    <x v="1736"/>
    <n v="18.2"/>
    <n v="6.19"/>
    <x v="1"/>
    <s v="No"/>
    <s v="No"/>
    <s v="Yes"/>
    <n v="1"/>
    <x v="1"/>
    <x v="3"/>
  </r>
  <r>
    <x v="1737"/>
    <n v="20.53"/>
    <n v="4.8600000000000003"/>
    <x v="1"/>
    <s v="No"/>
    <s v="No"/>
    <s v="No"/>
    <n v="1"/>
    <x v="1"/>
    <x v="2"/>
  </r>
  <r>
    <x v="1738"/>
    <n v="23.79"/>
    <n v="4.74"/>
    <x v="1"/>
    <s v="No"/>
    <s v="No"/>
    <s v="No"/>
    <n v="0"/>
    <x v="1"/>
    <x v="2"/>
  </r>
  <r>
    <x v="1739"/>
    <n v="29.8"/>
    <n v="6.03"/>
    <x v="1"/>
    <s v="No"/>
    <s v="No"/>
    <s v="No"/>
    <n v="0"/>
    <x v="1"/>
    <x v="2"/>
  </r>
  <r>
    <x v="1740"/>
    <n v="31.54"/>
    <n v="4.71"/>
    <x v="1"/>
    <s v="No"/>
    <s v="No"/>
    <s v="No"/>
    <n v="0"/>
    <x v="1"/>
    <x v="2"/>
  </r>
  <r>
    <x v="1741"/>
    <n v="20.82"/>
    <n v="5.55"/>
    <x v="1"/>
    <s v="No"/>
    <s v="No"/>
    <s v="No"/>
    <n v="1"/>
    <x v="1"/>
    <x v="2"/>
  </r>
  <r>
    <x v="1742"/>
    <n v="38.83"/>
    <n v="4.78"/>
    <x v="1"/>
    <s v="No"/>
    <s v="No"/>
    <s v="Yes"/>
    <n v="1"/>
    <x v="1"/>
    <x v="2"/>
  </r>
  <r>
    <x v="1743"/>
    <n v="23.44"/>
    <n v="4.6500000000000004"/>
    <x v="1"/>
    <s v="yes"/>
    <s v="No"/>
    <s v="No"/>
    <n v="1"/>
    <x v="1"/>
    <x v="2"/>
  </r>
  <r>
    <x v="1744"/>
    <n v="24.13"/>
    <n v="5.2"/>
    <x v="1"/>
    <s v="No"/>
    <s v="No"/>
    <s v="No"/>
    <n v="1"/>
    <x v="1"/>
    <x v="2"/>
  </r>
  <r>
    <x v="1745"/>
    <n v="42.13"/>
    <n v="4.54"/>
    <x v="1"/>
    <s v="yes"/>
    <s v="No"/>
    <s v="No"/>
    <n v="1"/>
    <x v="1"/>
    <x v="2"/>
  </r>
  <r>
    <x v="1746"/>
    <n v="17.86"/>
    <n v="4.1100000000000003"/>
    <x v="1"/>
    <s v="No"/>
    <s v="No"/>
    <s v="No"/>
    <n v="1"/>
    <x v="1"/>
    <x v="3"/>
  </r>
  <r>
    <x v="1747"/>
    <n v="32.78"/>
    <n v="4.63"/>
    <x v="1"/>
    <s v="No"/>
    <s v="No"/>
    <s v="No"/>
    <n v="0"/>
    <x v="1"/>
    <x v="2"/>
  </r>
  <r>
    <x v="1748"/>
    <n v="23.9"/>
    <n v="6.06"/>
    <x v="1"/>
    <s v="yes"/>
    <s v="No"/>
    <s v="Yes"/>
    <n v="1"/>
    <x v="1"/>
    <x v="2"/>
  </r>
  <r>
    <x v="1749"/>
    <n v="15.47"/>
    <n v="8.43"/>
    <x v="0"/>
    <s v="No"/>
    <s v="No"/>
    <s v="No"/>
    <n v="0"/>
    <x v="1"/>
    <x v="3"/>
  </r>
  <r>
    <x v="1750"/>
    <n v="28.54"/>
    <n v="5.51"/>
    <x v="1"/>
    <s v="No"/>
    <s v="No"/>
    <s v="Yes"/>
    <n v="1"/>
    <x v="1"/>
    <x v="2"/>
  </r>
  <r>
    <x v="1751"/>
    <n v="18.54"/>
    <n v="4.95"/>
    <x v="1"/>
    <s v="No"/>
    <s v="No"/>
    <s v="No"/>
    <n v="0"/>
    <x v="1"/>
    <x v="2"/>
  </r>
  <r>
    <x v="1752"/>
    <n v="32.18"/>
    <n v="6.44"/>
    <x v="1"/>
    <s v="yes"/>
    <s v="No"/>
    <s v="Yes"/>
    <n v="1"/>
    <x v="1"/>
    <x v="2"/>
  </r>
  <r>
    <x v="1753"/>
    <n v="37.380000000000003"/>
    <n v="6.05"/>
    <x v="1"/>
    <s v="yes"/>
    <s v="No"/>
    <s v="No"/>
    <n v="0"/>
    <x v="1"/>
    <x v="2"/>
  </r>
  <r>
    <x v="1754"/>
    <n v="31.12"/>
    <n v="4.76"/>
    <x v="1"/>
    <s v="yes"/>
    <s v="No"/>
    <s v="Yes"/>
    <n v="1"/>
    <x v="1"/>
    <x v="2"/>
  </r>
  <r>
    <x v="1755"/>
    <n v="22.01"/>
    <n v="6.72"/>
    <x v="0"/>
    <s v="yes"/>
    <s v="No"/>
    <s v="No"/>
    <n v="1"/>
    <x v="1"/>
    <x v="2"/>
  </r>
  <r>
    <x v="1756"/>
    <n v="27.645"/>
    <n v="5.7"/>
    <x v="1"/>
    <s v="No"/>
    <s v="No"/>
    <s v="No"/>
    <n v="0"/>
    <x v="1"/>
    <x v="2"/>
  </r>
  <r>
    <x v="1757"/>
    <n v="29.64"/>
    <n v="5.31"/>
    <x v="1"/>
    <s v="yes"/>
    <s v="No"/>
    <s v="No"/>
    <n v="0"/>
    <x v="1"/>
    <x v="2"/>
  </r>
  <r>
    <x v="1758"/>
    <n v="33.700000000000003"/>
    <n v="4.32"/>
    <x v="1"/>
    <s v="yes"/>
    <s v="No"/>
    <s v="No"/>
    <n v="1"/>
    <x v="1"/>
    <x v="2"/>
  </r>
  <r>
    <x v="1759"/>
    <n v="27.5"/>
    <n v="4.2300000000000004"/>
    <x v="1"/>
    <s v="yes"/>
    <s v="No"/>
    <s v="No"/>
    <n v="1"/>
    <x v="1"/>
    <x v="2"/>
  </r>
  <r>
    <x v="1760"/>
    <n v="16.12"/>
    <n v="6.09"/>
    <x v="1"/>
    <s v="No"/>
    <s v="No"/>
    <s v="No"/>
    <n v="0"/>
    <x v="1"/>
    <x v="3"/>
  </r>
  <r>
    <x v="1761"/>
    <n v="26.73"/>
    <n v="4.74"/>
    <x v="1"/>
    <s v="yes"/>
    <s v="No"/>
    <s v="No"/>
    <n v="1"/>
    <x v="1"/>
    <x v="2"/>
  </r>
  <r>
    <x v="1762"/>
    <n v="37.25"/>
    <n v="6.23"/>
    <x v="1"/>
    <s v="yes"/>
    <s v="No"/>
    <s v="No"/>
    <n v="0"/>
    <x v="1"/>
    <x v="2"/>
  </r>
  <r>
    <x v="1763"/>
    <n v="23.56"/>
    <n v="5.45"/>
    <x v="1"/>
    <s v="yes"/>
    <s v="No"/>
    <s v="No"/>
    <n v="1"/>
    <x v="1"/>
    <x v="2"/>
  </r>
  <r>
    <x v="1764"/>
    <n v="15.84"/>
    <n v="10.34"/>
    <x v="0"/>
    <s v="No"/>
    <s v="No"/>
    <s v="No"/>
    <n v="2"/>
    <x v="1"/>
    <x v="3"/>
  </r>
  <r>
    <x v="1765"/>
    <n v="36.630000000000003"/>
    <n v="5.15"/>
    <x v="1"/>
    <s v="No"/>
    <s v="No"/>
    <s v="No"/>
    <n v="0"/>
    <x v="1"/>
    <x v="2"/>
  </r>
  <r>
    <x v="1766"/>
    <n v="16.47"/>
    <n v="11.72"/>
    <x v="0"/>
    <s v="No"/>
    <s v="No"/>
    <s v="No"/>
    <n v="0"/>
    <x v="1"/>
    <x v="3"/>
  </r>
  <r>
    <x v="1767"/>
    <n v="25.8"/>
    <n v="5.29"/>
    <x v="1"/>
    <s v="No"/>
    <s v="No"/>
    <s v="No"/>
    <n v="0"/>
    <x v="1"/>
    <x v="2"/>
  </r>
  <r>
    <x v="1768"/>
    <n v="23.6"/>
    <n v="4.33"/>
    <x v="1"/>
    <s v="No"/>
    <s v="No"/>
    <s v="No"/>
    <n v="0"/>
    <x v="1"/>
    <x v="2"/>
  </r>
  <r>
    <x v="1769"/>
    <n v="32.11"/>
    <n v="6.24"/>
    <x v="1"/>
    <s v="No"/>
    <s v="No"/>
    <s v="Yes"/>
    <n v="1"/>
    <x v="1"/>
    <x v="2"/>
  </r>
  <r>
    <x v="1770"/>
    <n v="30.114999999999998"/>
    <n v="11.61"/>
    <x v="0"/>
    <s v="No"/>
    <s v="No"/>
    <s v="No"/>
    <n v="0"/>
    <x v="1"/>
    <x v="2"/>
  </r>
  <r>
    <x v="1771"/>
    <n v="20.28"/>
    <n v="11.07"/>
    <x v="0"/>
    <s v="yes"/>
    <s v="No"/>
    <s v="No"/>
    <n v="0"/>
    <x v="1"/>
    <x v="2"/>
  </r>
  <r>
    <x v="1772"/>
    <n v="20.234999999999999"/>
    <n v="5.19"/>
    <x v="1"/>
    <s v="No"/>
    <s v="No"/>
    <s v="Yes"/>
    <n v="1"/>
    <x v="1"/>
    <x v="2"/>
  </r>
  <r>
    <x v="1773"/>
    <n v="25.27"/>
    <n v="5.7"/>
    <x v="1"/>
    <s v="yes"/>
    <s v="No"/>
    <s v="No"/>
    <n v="1"/>
    <x v="1"/>
    <x v="2"/>
  </r>
  <r>
    <x v="1774"/>
    <n v="24.24"/>
    <n v="6.15"/>
    <x v="1"/>
    <s v="No"/>
    <s v="No"/>
    <s v="No"/>
    <n v="0"/>
    <x v="1"/>
    <x v="2"/>
  </r>
  <r>
    <x v="1775"/>
    <n v="35.75"/>
    <n v="5.07"/>
    <x v="1"/>
    <s v="No"/>
    <s v="No"/>
    <s v="No"/>
    <n v="0"/>
    <x v="1"/>
    <x v="2"/>
  </r>
  <r>
    <x v="1776"/>
    <n v="29.92"/>
    <n v="10.97"/>
    <x v="0"/>
    <s v="yes"/>
    <s v="No"/>
    <s v="No"/>
    <n v="1"/>
    <x v="1"/>
    <x v="2"/>
  </r>
  <r>
    <x v="1777"/>
    <n v="26.2"/>
    <n v="10.93"/>
    <x v="0"/>
    <s v="yes"/>
    <s v="No"/>
    <s v="No"/>
    <n v="1"/>
    <x v="1"/>
    <x v="2"/>
  </r>
  <r>
    <x v="1778"/>
    <n v="26.695"/>
    <n v="4.21"/>
    <x v="1"/>
    <s v="yes"/>
    <s v="No"/>
    <s v="Yes"/>
    <n v="1"/>
    <x v="1"/>
    <x v="2"/>
  </r>
  <r>
    <x v="1779"/>
    <n v="23.16"/>
    <n v="5.5"/>
    <x v="1"/>
    <s v="No"/>
    <s v="No"/>
    <s v="No"/>
    <n v="0"/>
    <x v="1"/>
    <x v="2"/>
  </r>
  <r>
    <x v="1780"/>
    <n v="32.585000000000001"/>
    <n v="4.93"/>
    <x v="1"/>
    <s v="yes"/>
    <s v="No"/>
    <s v="No"/>
    <n v="1"/>
    <x v="1"/>
    <x v="2"/>
  </r>
  <r>
    <x v="1781"/>
    <n v="33.97"/>
    <n v="5.6"/>
    <x v="1"/>
    <s v="yes"/>
    <s v="No"/>
    <s v="No"/>
    <n v="0"/>
    <x v="1"/>
    <x v="2"/>
  </r>
  <r>
    <x v="1782"/>
    <n v="16.57"/>
    <n v="9.99"/>
    <x v="0"/>
    <s v="No"/>
    <s v="No"/>
    <s v="No"/>
    <n v="0"/>
    <x v="1"/>
    <x v="3"/>
  </r>
  <r>
    <x v="1783"/>
    <n v="17.55"/>
    <n v="5.93"/>
    <x v="1"/>
    <s v="No"/>
    <s v="No"/>
    <s v="Yes"/>
    <n v="1"/>
    <x v="1"/>
    <x v="3"/>
  </r>
  <r>
    <x v="1784"/>
    <n v="29.41"/>
    <n v="6.29"/>
    <x v="1"/>
    <s v="yes"/>
    <s v="No"/>
    <s v="No"/>
    <n v="1"/>
    <x v="1"/>
    <x v="2"/>
  </r>
  <r>
    <x v="1785"/>
    <n v="17.91"/>
    <n v="5.65"/>
    <x v="1"/>
    <s v="No"/>
    <s v="No"/>
    <s v="No"/>
    <n v="1"/>
    <x v="1"/>
    <x v="3"/>
  </r>
  <r>
    <x v="1786"/>
    <n v="31.57"/>
    <n v="6.15"/>
    <x v="1"/>
    <s v="No"/>
    <s v="No"/>
    <s v="No"/>
    <n v="1"/>
    <x v="1"/>
    <x v="2"/>
  </r>
  <r>
    <x v="1787"/>
    <n v="33.18"/>
    <n v="5.22"/>
    <x v="1"/>
    <s v="No"/>
    <s v="yes"/>
    <s v="No"/>
    <n v="1"/>
    <x v="1"/>
    <x v="2"/>
  </r>
  <r>
    <x v="1788"/>
    <n v="37"/>
    <n v="11.66"/>
    <x v="0"/>
    <s v="No"/>
    <s v="No"/>
    <s v="No"/>
    <n v="0"/>
    <x v="1"/>
    <x v="2"/>
  </r>
  <r>
    <x v="1789"/>
    <n v="18.905000000000001"/>
    <n v="4.91"/>
    <x v="1"/>
    <s v="yes"/>
    <s v="No"/>
    <s v="No"/>
    <n v="1"/>
    <x v="1"/>
    <x v="2"/>
  </r>
  <r>
    <x v="1790"/>
    <n v="20.03"/>
    <n v="9.25"/>
    <x v="0"/>
    <s v="yes"/>
    <s v="No"/>
    <s v="No"/>
    <n v="0"/>
    <x v="1"/>
    <x v="2"/>
  </r>
  <r>
    <x v="1791"/>
    <n v="16.7"/>
    <n v="11.48"/>
    <x v="0"/>
    <s v="No"/>
    <s v="No"/>
    <s v="No"/>
    <n v="0"/>
    <x v="1"/>
    <x v="3"/>
  </r>
  <r>
    <x v="1792"/>
    <n v="39.82"/>
    <n v="6.06"/>
    <x v="1"/>
    <s v="No"/>
    <s v="No"/>
    <s v="No"/>
    <n v="0"/>
    <x v="1"/>
    <x v="2"/>
  </r>
  <r>
    <x v="1793"/>
    <n v="22.04"/>
    <n v="5.86"/>
    <x v="1"/>
    <s v="No"/>
    <s v="No"/>
    <s v="No"/>
    <n v="1"/>
    <x v="1"/>
    <x v="2"/>
  </r>
  <r>
    <x v="1794"/>
    <n v="28.27"/>
    <n v="5.33"/>
    <x v="2"/>
    <s v="No"/>
    <s v="No"/>
    <s v="No"/>
    <n v="0"/>
    <x v="1"/>
    <x v="2"/>
  </r>
  <r>
    <x v="1795"/>
    <n v="18.5"/>
    <n v="5.33"/>
    <x v="2"/>
    <s v="No"/>
    <s v="No"/>
    <s v="No"/>
    <n v="0"/>
    <x v="1"/>
    <x v="3"/>
  </r>
  <r>
    <x v="1796"/>
    <n v="38.6"/>
    <n v="6.02"/>
    <x v="1"/>
    <s v="No"/>
    <s v="No"/>
    <s v="No"/>
    <n v="1"/>
    <x v="1"/>
    <x v="2"/>
  </r>
  <r>
    <x v="1797"/>
    <n v="43.12"/>
    <n v="6.25"/>
    <x v="1"/>
    <s v="No"/>
    <s v="No"/>
    <s v="No"/>
    <n v="1"/>
    <x v="1"/>
    <x v="2"/>
  </r>
  <r>
    <x v="1798"/>
    <n v="30.5"/>
    <n v="4.8099999999999996"/>
    <x v="2"/>
    <s v="No"/>
    <s v="No"/>
    <s v="No"/>
    <n v="1"/>
    <x v="1"/>
    <x v="2"/>
  </r>
  <r>
    <x v="1799"/>
    <n v="27.61"/>
    <n v="4.5999999999999996"/>
    <x v="2"/>
    <s v="No"/>
    <s v="No"/>
    <s v="No"/>
    <n v="1"/>
    <x v="1"/>
    <x v="2"/>
  </r>
  <r>
    <x v="1800"/>
    <n v="27.1"/>
    <n v="5.08"/>
    <x v="2"/>
    <s v="No"/>
    <s v="No"/>
    <s v="No"/>
    <n v="1"/>
    <x v="1"/>
    <x v="2"/>
  </r>
  <r>
    <x v="1801"/>
    <n v="35.93"/>
    <n v="5.43"/>
    <x v="2"/>
    <s v="No"/>
    <s v="yes"/>
    <s v="No"/>
    <n v="1"/>
    <x v="1"/>
    <x v="2"/>
  </r>
  <r>
    <x v="1802"/>
    <n v="32.68"/>
    <n v="5.44"/>
    <x v="2"/>
    <s v="No"/>
    <s v="No"/>
    <s v="No"/>
    <n v="0"/>
    <x v="1"/>
    <x v="2"/>
  </r>
  <r>
    <x v="1803"/>
    <n v="20.74"/>
    <n v="11.69"/>
    <x v="0"/>
    <s v="yes"/>
    <s v="No"/>
    <s v="No"/>
    <n v="1"/>
    <x v="1"/>
    <x v="2"/>
  </r>
  <r>
    <x v="1804"/>
    <n v="15.57"/>
    <n v="6.07"/>
    <x v="1"/>
    <s v="No"/>
    <s v="No"/>
    <s v="No"/>
    <n v="0"/>
    <x v="1"/>
    <x v="3"/>
  </r>
  <r>
    <x v="1805"/>
    <n v="23.844999999999999"/>
    <n v="4.3600000000000003"/>
    <x v="2"/>
    <s v="No"/>
    <s v="No"/>
    <s v="No"/>
    <n v="0"/>
    <x v="1"/>
    <x v="2"/>
  </r>
  <r>
    <x v="1806"/>
    <n v="22.895"/>
    <n v="5.24"/>
    <x v="2"/>
    <s v="No"/>
    <s v="No"/>
    <s v="No"/>
    <n v="1"/>
    <x v="1"/>
    <x v="2"/>
  </r>
  <r>
    <x v="1807"/>
    <n v="21.945"/>
    <n v="5.37"/>
    <x v="2"/>
    <s v="No"/>
    <s v="No"/>
    <s v="No"/>
    <n v="1"/>
    <x v="1"/>
    <x v="2"/>
  </r>
  <r>
    <x v="1808"/>
    <n v="19.47"/>
    <n v="6.6"/>
    <x v="1"/>
    <s v="yes"/>
    <s v="No"/>
    <s v="No"/>
    <n v="0"/>
    <x v="1"/>
    <x v="2"/>
  </r>
  <r>
    <x v="1809"/>
    <n v="15.61"/>
    <n v="5.77"/>
    <x v="1"/>
    <s v="No"/>
    <s v="No"/>
    <s v="No"/>
    <n v="0"/>
    <x v="1"/>
    <x v="3"/>
  </r>
  <r>
    <x v="1810"/>
    <n v="28.6"/>
    <n v="6.08"/>
    <x v="1"/>
    <s v="No"/>
    <s v="No"/>
    <s v="Yes"/>
    <n v="1"/>
    <x v="1"/>
    <x v="2"/>
  </r>
  <r>
    <x v="1811"/>
    <n v="46.53"/>
    <n v="4.16"/>
    <x v="2"/>
    <s v="No"/>
    <s v="No"/>
    <s v="No"/>
    <n v="0"/>
    <x v="1"/>
    <x v="2"/>
  </r>
  <r>
    <x v="1812"/>
    <n v="34.99"/>
    <n v="5.0999999999999996"/>
    <x v="2"/>
    <s v="No"/>
    <s v="No"/>
    <s v="Yes"/>
    <n v="1"/>
    <x v="1"/>
    <x v="2"/>
  </r>
  <r>
    <x v="1813"/>
    <n v="17.05"/>
    <n v="5.3"/>
    <x v="2"/>
    <s v="No"/>
    <s v="No"/>
    <s v="Yes"/>
    <n v="1"/>
    <x v="1"/>
    <x v="3"/>
  </r>
  <r>
    <x v="1814"/>
    <n v="37.18"/>
    <n v="4.9000000000000004"/>
    <x v="2"/>
    <s v="No"/>
    <s v="No"/>
    <s v="No"/>
    <n v="0"/>
    <x v="1"/>
    <x v="2"/>
  </r>
  <r>
    <x v="1815"/>
    <n v="35.200000000000003"/>
    <n v="5.55"/>
    <x v="2"/>
    <s v="No"/>
    <s v="No"/>
    <s v="No"/>
    <n v="0"/>
    <x v="1"/>
    <x v="2"/>
  </r>
  <r>
    <x v="1816"/>
    <n v="37.335000000000001"/>
    <n v="4.95"/>
    <x v="2"/>
    <s v="No"/>
    <s v="No"/>
    <s v="No"/>
    <n v="0"/>
    <x v="1"/>
    <x v="2"/>
  </r>
  <r>
    <x v="1817"/>
    <n v="27.265000000000001"/>
    <n v="6.46"/>
    <x v="1"/>
    <s v="yes"/>
    <s v="No"/>
    <s v="No"/>
    <n v="0"/>
    <x v="1"/>
    <x v="2"/>
  </r>
  <r>
    <x v="1818"/>
    <n v="30.8"/>
    <n v="4.9000000000000004"/>
    <x v="2"/>
    <s v="yes"/>
    <s v="No"/>
    <s v="No"/>
    <n v="0"/>
    <x v="1"/>
    <x v="2"/>
  </r>
  <r>
    <x v="1819"/>
    <n v="30.21"/>
    <n v="5.21"/>
    <x v="2"/>
    <s v="No"/>
    <s v="No"/>
    <s v="No"/>
    <n v="1"/>
    <x v="1"/>
    <x v="2"/>
  </r>
  <r>
    <x v="1820"/>
    <n v="35.340000000000003"/>
    <n v="4.13"/>
    <x v="2"/>
    <s v="No"/>
    <s v="yes"/>
    <s v="No"/>
    <n v="1"/>
    <x v="1"/>
    <x v="2"/>
  </r>
  <r>
    <x v="1821"/>
    <n v="26.695"/>
    <n v="5.28"/>
    <x v="2"/>
    <s v="No"/>
    <s v="No"/>
    <s v="No"/>
    <n v="0"/>
    <x v="1"/>
    <x v="2"/>
  </r>
  <r>
    <x v="1822"/>
    <n v="29.355"/>
    <n v="4.68"/>
    <x v="2"/>
    <s v="yes"/>
    <s v="No"/>
    <s v="No"/>
    <n v="0"/>
    <x v="1"/>
    <x v="2"/>
  </r>
  <r>
    <x v="1823"/>
    <n v="29.59"/>
    <n v="4.0599999999999996"/>
    <x v="2"/>
    <s v="No"/>
    <s v="No"/>
    <s v="No"/>
    <n v="0"/>
    <x v="1"/>
    <x v="2"/>
  </r>
  <r>
    <x v="1824"/>
    <n v="31.35"/>
    <n v="4.2"/>
    <x v="2"/>
    <s v="No"/>
    <s v="yes"/>
    <s v="No"/>
    <n v="1"/>
    <x v="1"/>
    <x v="2"/>
  </r>
  <r>
    <x v="1825"/>
    <n v="20.52"/>
    <n v="4.83"/>
    <x v="2"/>
    <s v="No"/>
    <s v="No"/>
    <s v="No"/>
    <n v="0"/>
    <x v="1"/>
    <x v="2"/>
  </r>
  <r>
    <x v="1826"/>
    <n v="42.9"/>
    <n v="4.87"/>
    <x v="2"/>
    <s v="yes"/>
    <s v="No"/>
    <s v="No"/>
    <n v="1"/>
    <x v="1"/>
    <x v="2"/>
  </r>
  <r>
    <x v="1827"/>
    <n v="24.6"/>
    <n v="5.86"/>
    <x v="1"/>
    <s v="No"/>
    <s v="No"/>
    <s v="Yes"/>
    <n v="1"/>
    <x v="1"/>
    <x v="2"/>
  </r>
  <r>
    <x v="1828"/>
    <n v="28.405000000000001"/>
    <n v="4.12"/>
    <x v="2"/>
    <s v="No"/>
    <s v="No"/>
    <s v="No"/>
    <n v="1"/>
    <x v="1"/>
    <x v="2"/>
  </r>
  <r>
    <x v="1829"/>
    <n v="34.674999999999997"/>
    <n v="5.71"/>
    <x v="1"/>
    <s v="yes"/>
    <s v="No"/>
    <s v="No"/>
    <n v="1"/>
    <x v="1"/>
    <x v="2"/>
  </r>
  <r>
    <x v="1830"/>
    <n v="18.850000000000001"/>
    <n v="6.03"/>
    <x v="1"/>
    <s v="No"/>
    <s v="No"/>
    <s v="No"/>
    <n v="1"/>
    <x v="1"/>
    <x v="2"/>
  </r>
  <r>
    <x v="1831"/>
    <n v="34.130000000000003"/>
    <n v="5.65"/>
    <x v="1"/>
    <s v="No"/>
    <s v="No"/>
    <s v="Yes"/>
    <n v="1"/>
    <x v="1"/>
    <x v="2"/>
  </r>
  <r>
    <x v="1832"/>
    <n v="17.34"/>
    <n v="5.05"/>
    <x v="2"/>
    <s v="No"/>
    <s v="No"/>
    <s v="No"/>
    <n v="0"/>
    <x v="1"/>
    <x v="3"/>
  </r>
  <r>
    <x v="1833"/>
    <n v="17.440000000000001"/>
    <n v="6.26"/>
    <x v="1"/>
    <s v="No"/>
    <s v="No"/>
    <s v="No"/>
    <n v="0"/>
    <x v="1"/>
    <x v="3"/>
  </r>
  <r>
    <x v="1834"/>
    <n v="33.659999999999997"/>
    <n v="4.08"/>
    <x v="2"/>
    <s v="yes"/>
    <s v="No"/>
    <s v="Yes"/>
    <n v="1"/>
    <x v="1"/>
    <x v="2"/>
  </r>
  <r>
    <x v="1835"/>
    <n v="21.375"/>
    <n v="6.19"/>
    <x v="1"/>
    <s v="yes"/>
    <s v="No"/>
    <s v="No"/>
    <n v="1"/>
    <x v="1"/>
    <x v="2"/>
  </r>
  <r>
    <x v="1836"/>
    <n v="27.14"/>
    <n v="6.01"/>
    <x v="1"/>
    <s v="No"/>
    <s v="No"/>
    <s v="No"/>
    <n v="1"/>
    <x v="1"/>
    <x v="2"/>
  </r>
  <r>
    <x v="1837"/>
    <n v="35.78"/>
    <n v="6.07"/>
    <x v="1"/>
    <s v="No"/>
    <s v="yes"/>
    <s v="No"/>
    <n v="1"/>
    <x v="1"/>
    <x v="2"/>
  </r>
  <r>
    <x v="1838"/>
    <n v="34.96"/>
    <n v="5.63"/>
    <x v="1"/>
    <s v="No"/>
    <s v="No"/>
    <s v="No"/>
    <n v="0"/>
    <x v="1"/>
    <x v="2"/>
  </r>
  <r>
    <x v="1839"/>
    <n v="38.39"/>
    <n v="6.05"/>
    <x v="1"/>
    <s v="No"/>
    <s v="No"/>
    <s v="No"/>
    <n v="0"/>
    <x v="1"/>
    <x v="2"/>
  </r>
  <r>
    <x v="1840"/>
    <n v="33.82"/>
    <n v="4.6500000000000004"/>
    <x v="2"/>
    <s v="No"/>
    <s v="No"/>
    <s v="No"/>
    <n v="0"/>
    <x v="1"/>
    <x v="2"/>
  </r>
  <r>
    <x v="1841"/>
    <n v="27.835000000000001"/>
    <n v="5.37"/>
    <x v="2"/>
    <s v="No"/>
    <s v="No"/>
    <s v="No"/>
    <n v="0"/>
    <x v="1"/>
    <x v="2"/>
  </r>
  <r>
    <x v="1842"/>
    <n v="33"/>
    <n v="5.39"/>
    <x v="1"/>
    <s v="No"/>
    <s v="No"/>
    <s v="No"/>
    <n v="0"/>
    <x v="1"/>
    <x v="2"/>
  </r>
  <r>
    <x v="1843"/>
    <n v="26.885000000000002"/>
    <n v="5.86"/>
    <x v="1"/>
    <s v="No"/>
    <s v="No"/>
    <s v="No"/>
    <n v="0"/>
    <x v="1"/>
    <x v="2"/>
  </r>
  <r>
    <x v="1844"/>
    <n v="29.26"/>
    <n v="4.4400000000000004"/>
    <x v="2"/>
    <s v="No"/>
    <s v="No"/>
    <s v="No"/>
    <n v="0"/>
    <x v="1"/>
    <x v="2"/>
  </r>
  <r>
    <x v="1845"/>
    <n v="26.98"/>
    <n v="4.41"/>
    <x v="2"/>
    <s v="No"/>
    <s v="No"/>
    <s v="No"/>
    <n v="0"/>
    <x v="1"/>
    <x v="2"/>
  </r>
  <r>
    <x v="1846"/>
    <n v="32.11"/>
    <n v="5.19"/>
    <x v="2"/>
    <s v="No"/>
    <s v="No"/>
    <s v="Yes"/>
    <n v="1"/>
    <x v="1"/>
    <x v="2"/>
  </r>
  <r>
    <x v="1847"/>
    <n v="31.73"/>
    <n v="5.16"/>
    <x v="2"/>
    <s v="No"/>
    <s v="No"/>
    <s v="Yes"/>
    <n v="1"/>
    <x v="1"/>
    <x v="2"/>
  </r>
  <r>
    <x v="1848"/>
    <n v="22.515000000000001"/>
    <n v="4.24"/>
    <x v="2"/>
    <s v="No"/>
    <s v="No"/>
    <s v="No"/>
    <n v="0"/>
    <x v="1"/>
    <x v="2"/>
  </r>
  <r>
    <x v="1849"/>
    <n v="25.9"/>
    <n v="5.45"/>
    <x v="2"/>
    <s v="No"/>
    <s v="No"/>
    <s v="No"/>
    <n v="1"/>
    <x v="1"/>
    <x v="2"/>
  </r>
  <r>
    <x v="1850"/>
    <n v="27.72"/>
    <n v="5.03"/>
    <x v="2"/>
    <s v="yes"/>
    <s v="No"/>
    <s v="No"/>
    <n v="1"/>
    <x v="1"/>
    <x v="2"/>
  </r>
  <r>
    <x v="1851"/>
    <n v="31.5"/>
    <n v="9.6199999999999992"/>
    <x v="0"/>
    <s v="yes"/>
    <s v="No"/>
    <s v="No"/>
    <n v="1"/>
    <x v="1"/>
    <x v="2"/>
  </r>
  <r>
    <x v="1852"/>
    <n v="29.7"/>
    <n v="6.77"/>
    <x v="0"/>
    <s v="yes"/>
    <s v="No"/>
    <s v="No"/>
    <n v="1"/>
    <x v="1"/>
    <x v="2"/>
  </r>
  <r>
    <x v="1853"/>
    <n v="21.26"/>
    <n v="5.36"/>
    <x v="2"/>
    <s v="yes"/>
    <s v="No"/>
    <s v="No"/>
    <n v="1"/>
    <x v="1"/>
    <x v="2"/>
  </r>
  <r>
    <x v="1854"/>
    <n v="17.09"/>
    <n v="5.69"/>
    <x v="1"/>
    <s v="No"/>
    <s v="No"/>
    <s v="No"/>
    <n v="0"/>
    <x v="1"/>
    <x v="3"/>
  </r>
  <r>
    <x v="1855"/>
    <n v="24.3"/>
    <n v="4.9000000000000004"/>
    <x v="2"/>
    <s v="yes"/>
    <s v="No"/>
    <s v="Yes"/>
    <n v="1"/>
    <x v="1"/>
    <x v="2"/>
  </r>
  <r>
    <x v="1856"/>
    <n v="29.734999999999999"/>
    <n v="5.78"/>
    <x v="1"/>
    <s v="No"/>
    <s v="No"/>
    <s v="No"/>
    <n v="0"/>
    <x v="1"/>
    <x v="2"/>
  </r>
  <r>
    <x v="1857"/>
    <n v="29.26"/>
    <n v="4.7"/>
    <x v="2"/>
    <s v="No"/>
    <s v="No"/>
    <s v="No"/>
    <n v="0"/>
    <x v="1"/>
    <x v="2"/>
  </r>
  <r>
    <x v="1858"/>
    <n v="33"/>
    <n v="6.28"/>
    <x v="1"/>
    <s v="No"/>
    <s v="No"/>
    <s v="No"/>
    <n v="0"/>
    <x v="1"/>
    <x v="2"/>
  </r>
  <r>
    <x v="1859"/>
    <n v="31.065000000000001"/>
    <n v="4.2300000000000004"/>
    <x v="2"/>
    <s v="No"/>
    <s v="No"/>
    <s v="No"/>
    <n v="0"/>
    <x v="1"/>
    <x v="2"/>
  </r>
  <r>
    <x v="1860"/>
    <n v="26.51"/>
    <n v="6.17"/>
    <x v="1"/>
    <s v="No"/>
    <s v="No"/>
    <s v="No"/>
    <n v="0"/>
    <x v="1"/>
    <x v="2"/>
  </r>
  <r>
    <x v="1861"/>
    <n v="28.88"/>
    <n v="4.96"/>
    <x v="1"/>
    <s v="No"/>
    <s v="No"/>
    <s v="No"/>
    <n v="0"/>
    <x v="1"/>
    <x v="2"/>
  </r>
  <r>
    <x v="1862"/>
    <n v="35.814999999999998"/>
    <n v="5.1100000000000003"/>
    <x v="2"/>
    <s v="yes"/>
    <s v="No"/>
    <s v="No"/>
    <n v="1"/>
    <x v="1"/>
    <x v="2"/>
  </r>
  <r>
    <x v="1863"/>
    <n v="21.28"/>
    <n v="4.05"/>
    <x v="2"/>
    <s v="No"/>
    <s v="yes"/>
    <s v="No"/>
    <n v="1"/>
    <x v="1"/>
    <x v="2"/>
  </r>
  <r>
    <x v="1864"/>
    <n v="33.81"/>
    <n v="6.49"/>
    <x v="1"/>
    <s v="No"/>
    <s v="No"/>
    <s v="Yes"/>
    <n v="1"/>
    <x v="1"/>
    <x v="2"/>
  </r>
  <r>
    <x v="1865"/>
    <n v="44.22"/>
    <n v="4.1900000000000004"/>
    <x v="2"/>
    <s v="No"/>
    <s v="No"/>
    <s v="No"/>
    <n v="1"/>
    <x v="1"/>
    <x v="2"/>
  </r>
  <r>
    <x v="1866"/>
    <n v="15.46"/>
    <n v="4.99"/>
    <x v="2"/>
    <s v="yes"/>
    <s v="No"/>
    <s v="Yes"/>
    <n v="1"/>
    <x v="1"/>
    <x v="3"/>
  </r>
  <r>
    <x v="1867"/>
    <n v="30.3"/>
    <n v="4.7699999999999996"/>
    <x v="2"/>
    <s v="yes"/>
    <s v="No"/>
    <s v="No"/>
    <n v="1"/>
    <x v="1"/>
    <x v="2"/>
  </r>
  <r>
    <x v="1868"/>
    <n v="16.670000000000002"/>
    <n v="5.46"/>
    <x v="2"/>
    <s v="No"/>
    <s v="No"/>
    <s v="No"/>
    <n v="0"/>
    <x v="1"/>
    <x v="3"/>
  </r>
  <r>
    <x v="1869"/>
    <n v="28.594999999999999"/>
    <n v="5.43"/>
    <x v="2"/>
    <s v="No"/>
    <s v="No"/>
    <s v="No"/>
    <n v="0"/>
    <x v="1"/>
    <x v="2"/>
  </r>
  <r>
    <x v="1870"/>
    <n v="25.934999999999999"/>
    <n v="4.29"/>
    <x v="2"/>
    <s v="No"/>
    <s v="No"/>
    <s v="No"/>
    <n v="0"/>
    <x v="1"/>
    <x v="2"/>
  </r>
  <r>
    <x v="1871"/>
    <n v="27.645"/>
    <n v="5.25"/>
    <x v="2"/>
    <s v="No"/>
    <s v="No"/>
    <s v="No"/>
    <n v="1"/>
    <x v="1"/>
    <x v="2"/>
  </r>
  <r>
    <x v="1872"/>
    <n v="30.1"/>
    <n v="4.04"/>
    <x v="2"/>
    <s v="No"/>
    <s v="No"/>
    <s v="No"/>
    <n v="1"/>
    <x v="1"/>
    <x v="2"/>
  </r>
  <r>
    <x v="1873"/>
    <n v="26.79"/>
    <n v="5"/>
    <x v="2"/>
    <s v="yes"/>
    <s v="No"/>
    <s v="Yes"/>
    <n v="1"/>
    <x v="1"/>
    <x v="2"/>
  </r>
  <r>
    <x v="1874"/>
    <n v="27.1"/>
    <n v="4.01"/>
    <x v="2"/>
    <s v="yes"/>
    <s v="No"/>
    <s v="No"/>
    <n v="1"/>
    <x v="1"/>
    <x v="2"/>
  </r>
  <r>
    <x v="1875"/>
    <n v="24.31"/>
    <n v="5.4"/>
    <x v="2"/>
    <s v="No"/>
    <s v="No"/>
    <s v="No"/>
    <n v="0"/>
    <x v="1"/>
    <x v="2"/>
  </r>
  <r>
    <x v="1876"/>
    <n v="15.53"/>
    <n v="5.81"/>
    <x v="1"/>
    <s v="No"/>
    <s v="No"/>
    <s v="No"/>
    <n v="1"/>
    <x v="1"/>
    <x v="3"/>
  </r>
  <r>
    <x v="1877"/>
    <n v="30.7"/>
    <n v="5.82"/>
    <x v="1"/>
    <s v="No"/>
    <s v="No"/>
    <s v="No"/>
    <n v="1"/>
    <x v="1"/>
    <x v="2"/>
  </r>
  <r>
    <x v="1878"/>
    <n v="33.33"/>
    <n v="4.82"/>
    <x v="2"/>
    <s v="No"/>
    <s v="No"/>
    <s v="No"/>
    <n v="1"/>
    <x v="1"/>
    <x v="2"/>
  </r>
  <r>
    <x v="1879"/>
    <n v="32.4"/>
    <n v="5.08"/>
    <x v="2"/>
    <s v="No"/>
    <s v="No"/>
    <s v="No"/>
    <n v="1"/>
    <x v="1"/>
    <x v="2"/>
  </r>
  <r>
    <x v="1880"/>
    <n v="27.93"/>
    <n v="5.59"/>
    <x v="1"/>
    <s v="No"/>
    <s v="No"/>
    <s v="No"/>
    <n v="1"/>
    <x v="1"/>
    <x v="2"/>
  </r>
  <r>
    <x v="1881"/>
    <n v="21.754999999999999"/>
    <n v="5.12"/>
    <x v="2"/>
    <s v="No"/>
    <s v="No"/>
    <s v="No"/>
    <n v="0"/>
    <x v="1"/>
    <x v="2"/>
  </r>
  <r>
    <x v="1882"/>
    <n v="25.934999999999999"/>
    <n v="4.95"/>
    <x v="2"/>
    <s v="No"/>
    <s v="No"/>
    <s v="No"/>
    <n v="0"/>
    <x v="1"/>
    <x v="2"/>
  </r>
  <r>
    <x v="1883"/>
    <n v="31.5"/>
    <n v="6.16"/>
    <x v="1"/>
    <s v="No"/>
    <s v="No"/>
    <s v="No"/>
    <n v="0"/>
    <x v="1"/>
    <x v="2"/>
  </r>
  <r>
    <x v="1884"/>
    <n v="30.03"/>
    <n v="6.41"/>
    <x v="1"/>
    <s v="No"/>
    <s v="No"/>
    <s v="No"/>
    <n v="0"/>
    <x v="1"/>
    <x v="2"/>
  </r>
  <r>
    <x v="1885"/>
    <n v="33.479999999999997"/>
    <n v="8.94"/>
    <x v="0"/>
    <s v="No"/>
    <s v="No"/>
    <s v="No"/>
    <n v="0"/>
    <x v="1"/>
    <x v="2"/>
  </r>
  <r>
    <x v="1886"/>
    <n v="16.510000000000002"/>
    <n v="4.42"/>
    <x v="2"/>
    <s v="yes"/>
    <s v="No"/>
    <s v="Yes"/>
    <n v="1"/>
    <x v="1"/>
    <x v="3"/>
  </r>
  <r>
    <x v="1887"/>
    <n v="33.155000000000001"/>
    <n v="5.3"/>
    <x v="2"/>
    <s v="yes"/>
    <s v="No"/>
    <s v="No"/>
    <n v="1"/>
    <x v="1"/>
    <x v="2"/>
  </r>
  <r>
    <x v="1888"/>
    <n v="37.29"/>
    <n v="4.6399999999999997"/>
    <x v="2"/>
    <s v="No"/>
    <s v="No"/>
    <s v="Yes"/>
    <n v="1"/>
    <x v="1"/>
    <x v="2"/>
  </r>
  <r>
    <x v="1889"/>
    <n v="20.23"/>
    <n v="6.16"/>
    <x v="1"/>
    <s v="yes"/>
    <s v="No"/>
    <s v="No"/>
    <n v="1"/>
    <x v="1"/>
    <x v="2"/>
  </r>
  <r>
    <x v="1890"/>
    <n v="28.975000000000001"/>
    <n v="4.12"/>
    <x v="2"/>
    <s v="No"/>
    <s v="No"/>
    <s v="Yes"/>
    <n v="1"/>
    <x v="1"/>
    <x v="2"/>
  </r>
  <r>
    <x v="1891"/>
    <n v="16.420000000000002"/>
    <n v="5.77"/>
    <x v="1"/>
    <s v="yes"/>
    <s v="No"/>
    <s v="Yes"/>
    <n v="1"/>
    <x v="1"/>
    <x v="3"/>
  </r>
  <r>
    <x v="1892"/>
    <n v="17.559999999999999"/>
    <n v="6.2"/>
    <x v="1"/>
    <s v="No"/>
    <s v="No"/>
    <s v="No"/>
    <n v="1"/>
    <x v="1"/>
    <x v="3"/>
  </r>
  <r>
    <x v="1893"/>
    <n v="24.13"/>
    <n v="4.3899999999999997"/>
    <x v="2"/>
    <s v="No"/>
    <s v="No"/>
    <s v="No"/>
    <n v="1"/>
    <x v="1"/>
    <x v="2"/>
  </r>
  <r>
    <x v="1894"/>
    <n v="19.95"/>
    <n v="5.13"/>
    <x v="2"/>
    <s v="No"/>
    <s v="yes"/>
    <s v="No"/>
    <n v="2"/>
    <x v="1"/>
    <x v="2"/>
  </r>
  <r>
    <x v="1895"/>
    <n v="21.24"/>
    <n v="4.49"/>
    <x v="2"/>
    <s v="No"/>
    <s v="No"/>
    <s v="No"/>
    <n v="0"/>
    <x v="1"/>
    <x v="2"/>
  </r>
  <r>
    <x v="1896"/>
    <n v="44.22"/>
    <n v="6.35"/>
    <x v="1"/>
    <s v="No"/>
    <s v="No"/>
    <s v="No"/>
    <n v="0"/>
    <x v="1"/>
    <x v="2"/>
  </r>
  <r>
    <x v="1897"/>
    <n v="41.1"/>
    <n v="5.79"/>
    <x v="1"/>
    <s v="No"/>
    <s v="No"/>
    <s v="No"/>
    <n v="0"/>
    <x v="1"/>
    <x v="2"/>
  </r>
  <r>
    <x v="1898"/>
    <n v="34.200000000000003"/>
    <n v="4.78"/>
    <x v="2"/>
    <s v="yes"/>
    <s v="No"/>
    <s v="No"/>
    <n v="0"/>
    <x v="1"/>
    <x v="2"/>
  </r>
  <r>
    <x v="1899"/>
    <n v="29.92"/>
    <n v="6.02"/>
    <x v="1"/>
    <s v="yes"/>
    <s v="No"/>
    <s v="No"/>
    <n v="0"/>
    <x v="1"/>
    <x v="2"/>
  </r>
  <r>
    <x v="1900"/>
    <n v="28.93"/>
    <n v="4.4400000000000004"/>
    <x v="2"/>
    <s v="No"/>
    <s v="No"/>
    <s v="No"/>
    <n v="0"/>
    <x v="1"/>
    <x v="2"/>
  </r>
  <r>
    <x v="1901"/>
    <n v="31.254999999999999"/>
    <n v="5.84"/>
    <x v="1"/>
    <s v="yes"/>
    <s v="No"/>
    <s v="No"/>
    <n v="1"/>
    <x v="1"/>
    <x v="2"/>
  </r>
  <r>
    <x v="1902"/>
    <n v="29.83"/>
    <n v="5.39"/>
    <x v="2"/>
    <s v="No"/>
    <s v="No"/>
    <s v="No"/>
    <n v="0"/>
    <x v="1"/>
    <x v="2"/>
  </r>
  <r>
    <x v="1903"/>
    <n v="29.59"/>
    <n v="6.16"/>
    <x v="1"/>
    <s v="No"/>
    <s v="No"/>
    <s v="Yes"/>
    <n v="1"/>
    <x v="1"/>
    <x v="2"/>
  </r>
  <r>
    <x v="1904"/>
    <n v="31.16"/>
    <n v="4.49"/>
    <x v="2"/>
    <s v="No"/>
    <s v="No"/>
    <s v="Yes"/>
    <n v="1"/>
    <x v="1"/>
    <x v="2"/>
  </r>
  <r>
    <x v="1905"/>
    <n v="34.21"/>
    <n v="4.4800000000000004"/>
    <x v="2"/>
    <s v="yes"/>
    <s v="No"/>
    <s v="No"/>
    <n v="1"/>
    <x v="1"/>
    <x v="2"/>
  </r>
  <r>
    <x v="1906"/>
    <n v="34.86"/>
    <n v="10.97"/>
    <x v="0"/>
    <s v="No"/>
    <s v="No"/>
    <s v="No"/>
    <n v="0"/>
    <x v="1"/>
    <x v="2"/>
  </r>
  <r>
    <x v="1907"/>
    <n v="34.58"/>
    <n v="5.14"/>
    <x v="2"/>
    <s v="No"/>
    <s v="yes"/>
    <s v="No"/>
    <n v="2"/>
    <x v="1"/>
    <x v="2"/>
  </r>
  <r>
    <x v="1908"/>
    <n v="17.940000000000001"/>
    <n v="5.17"/>
    <x v="2"/>
    <s v="yes"/>
    <s v="No"/>
    <s v="No"/>
    <n v="0"/>
    <x v="1"/>
    <x v="3"/>
  </r>
  <r>
    <x v="1909"/>
    <n v="26.8"/>
    <n v="6.18"/>
    <x v="1"/>
    <s v="yes"/>
    <s v="No"/>
    <s v="Yes"/>
    <n v="1"/>
    <x v="1"/>
    <x v="2"/>
  </r>
  <r>
    <x v="1910"/>
    <n v="17.690000000000001"/>
    <n v="9.07"/>
    <x v="0"/>
    <s v="yes"/>
    <s v="No"/>
    <s v="No"/>
    <n v="0"/>
    <x v="1"/>
    <x v="3"/>
  </r>
  <r>
    <x v="1911"/>
    <n v="25.77"/>
    <n v="4.43"/>
    <x v="2"/>
    <s v="No"/>
    <s v="No"/>
    <s v="Yes"/>
    <n v="1"/>
    <x v="1"/>
    <x v="2"/>
  </r>
  <r>
    <x v="1912"/>
    <n v="34.46"/>
    <n v="4.17"/>
    <x v="2"/>
    <s v="No"/>
    <s v="yes"/>
    <s v="No"/>
    <n v="1"/>
    <x v="1"/>
    <x v="2"/>
  </r>
  <r>
    <x v="1913"/>
    <n v="30.875"/>
    <n v="4.95"/>
    <x v="2"/>
    <s v="yes"/>
    <s v="No"/>
    <s v="No"/>
    <n v="0"/>
    <x v="1"/>
    <x v="2"/>
  </r>
  <r>
    <x v="1914"/>
    <n v="39.49"/>
    <n v="5.13"/>
    <x v="2"/>
    <s v="No"/>
    <s v="No"/>
    <s v="No"/>
    <n v="0"/>
    <x v="1"/>
    <x v="2"/>
  </r>
  <r>
    <x v="1915"/>
    <n v="28.88"/>
    <n v="4.0999999999999996"/>
    <x v="2"/>
    <s v="No"/>
    <s v="No"/>
    <s v="No"/>
    <n v="0"/>
    <x v="1"/>
    <x v="2"/>
  </r>
  <r>
    <x v="1916"/>
    <n v="20.234999999999999"/>
    <n v="5.01"/>
    <x v="2"/>
    <s v="yes"/>
    <s v="No"/>
    <s v="No"/>
    <n v="0"/>
    <x v="1"/>
    <x v="2"/>
  </r>
  <r>
    <x v="1917"/>
    <n v="30.67"/>
    <n v="5.09"/>
    <x v="2"/>
    <s v="yes"/>
    <s v="No"/>
    <s v="No"/>
    <n v="0"/>
    <x v="1"/>
    <x v="2"/>
  </r>
  <r>
    <x v="1918"/>
    <n v="30.875"/>
    <n v="6.49"/>
    <x v="1"/>
    <s v="No"/>
    <s v="No"/>
    <s v="No"/>
    <n v="0"/>
    <x v="1"/>
    <x v="2"/>
  </r>
  <r>
    <x v="1919"/>
    <n v="23.8"/>
    <n v="4.08"/>
    <x v="2"/>
    <s v="No"/>
    <s v="No"/>
    <s v="No"/>
    <n v="0"/>
    <x v="1"/>
    <x v="2"/>
  </r>
  <r>
    <x v="1920"/>
    <n v="15.37"/>
    <n v="8.6300000000000008"/>
    <x v="0"/>
    <s v="yes"/>
    <s v="No"/>
    <s v="No"/>
    <n v="0"/>
    <x v="1"/>
    <x v="3"/>
  </r>
  <r>
    <x v="1921"/>
    <n v="30.4"/>
    <n v="5.28"/>
    <x v="2"/>
    <s v="No"/>
    <s v="No"/>
    <s v="No"/>
    <n v="0"/>
    <x v="1"/>
    <x v="2"/>
  </r>
  <r>
    <x v="1922"/>
    <n v="19.48"/>
    <n v="5.63"/>
    <x v="1"/>
    <s v="yes"/>
    <s v="No"/>
    <s v="No"/>
    <n v="1"/>
    <x v="1"/>
    <x v="2"/>
  </r>
  <r>
    <x v="1923"/>
    <n v="16.96"/>
    <n v="11.47"/>
    <x v="0"/>
    <s v="yes"/>
    <s v="No"/>
    <s v="No"/>
    <n v="0"/>
    <x v="1"/>
    <x v="3"/>
  </r>
  <r>
    <x v="1924"/>
    <n v="19.05"/>
    <n v="4.92"/>
    <x v="2"/>
    <s v="No"/>
    <s v="No"/>
    <s v="No"/>
    <n v="1"/>
    <x v="1"/>
    <x v="2"/>
  </r>
  <r>
    <x v="1925"/>
    <n v="37.619999999999997"/>
    <n v="4.18"/>
    <x v="2"/>
    <s v="No"/>
    <s v="No"/>
    <s v="No"/>
    <n v="0"/>
    <x v="1"/>
    <x v="2"/>
  </r>
  <r>
    <x v="1926"/>
    <n v="29.1"/>
    <n v="4.67"/>
    <x v="2"/>
    <s v="No"/>
    <s v="No"/>
    <s v="No"/>
    <n v="0"/>
    <x v="1"/>
    <x v="2"/>
  </r>
  <r>
    <x v="1927"/>
    <n v="26.62"/>
    <n v="6.24"/>
    <x v="1"/>
    <s v="No"/>
    <s v="No"/>
    <s v="No"/>
    <n v="0"/>
    <x v="1"/>
    <x v="2"/>
  </r>
  <r>
    <x v="1928"/>
    <n v="25.74"/>
    <n v="5.99"/>
    <x v="1"/>
    <s v="No"/>
    <s v="No"/>
    <s v="No"/>
    <n v="0"/>
    <x v="1"/>
    <x v="2"/>
  </r>
  <r>
    <x v="1929"/>
    <n v="18.22"/>
    <n v="10.27"/>
    <x v="0"/>
    <s v="yes"/>
    <s v="No"/>
    <s v="No"/>
    <n v="1"/>
    <x v="1"/>
    <x v="3"/>
  </r>
  <r>
    <x v="1930"/>
    <n v="26.03"/>
    <n v="5.97"/>
    <x v="1"/>
    <s v="No"/>
    <s v="No"/>
    <s v="Yes"/>
    <n v="1"/>
    <x v="1"/>
    <x v="2"/>
  </r>
  <r>
    <x v="1931"/>
    <n v="17.29"/>
    <n v="4.9800000000000004"/>
    <x v="2"/>
    <s v="No"/>
    <s v="No"/>
    <s v="No"/>
    <n v="0"/>
    <x v="1"/>
    <x v="3"/>
  </r>
  <r>
    <x v="1932"/>
    <n v="18.170000000000002"/>
    <n v="6.91"/>
    <x v="0"/>
    <s v="yes"/>
    <s v="No"/>
    <s v="No"/>
    <n v="1"/>
    <x v="1"/>
    <x v="3"/>
  </r>
  <r>
    <x v="1933"/>
    <n v="32.54"/>
    <n v="6.38"/>
    <x v="1"/>
    <s v="No"/>
    <s v="yes"/>
    <s v="No"/>
    <n v="1"/>
    <x v="1"/>
    <x v="2"/>
  </r>
  <r>
    <x v="1934"/>
    <n v="30.25"/>
    <n v="4.7699999999999996"/>
    <x v="2"/>
    <s v="No"/>
    <s v="No"/>
    <s v="No"/>
    <n v="0"/>
    <x v="1"/>
    <x v="2"/>
  </r>
  <r>
    <x v="1935"/>
    <n v="19.59"/>
    <n v="6.04"/>
    <x v="1"/>
    <s v="yes"/>
    <s v="No"/>
    <s v="No"/>
    <n v="1"/>
    <x v="1"/>
    <x v="2"/>
  </r>
  <r>
    <x v="1936"/>
    <n v="45.9"/>
    <n v="4.3"/>
    <x v="2"/>
    <s v="yes"/>
    <s v="No"/>
    <s v="No"/>
    <n v="1"/>
    <x v="1"/>
    <x v="2"/>
  </r>
  <r>
    <x v="1937"/>
    <n v="17.059999999999999"/>
    <n v="8.75"/>
    <x v="0"/>
    <s v="yes"/>
    <s v="No"/>
    <s v="No"/>
    <n v="0"/>
    <x v="1"/>
    <x v="3"/>
  </r>
  <r>
    <x v="1938"/>
    <n v="32.07"/>
    <n v="5.25"/>
    <x v="2"/>
    <s v="No"/>
    <s v="No"/>
    <s v="Yes"/>
    <n v="1"/>
    <x v="1"/>
    <x v="2"/>
  </r>
  <r>
    <x v="1939"/>
    <n v="16.5"/>
    <n v="5.03"/>
    <x v="2"/>
    <s v="No"/>
    <s v="No"/>
    <s v="No"/>
    <n v="1"/>
    <x v="1"/>
    <x v="3"/>
  </r>
  <r>
    <x v="1940"/>
    <n v="31.4"/>
    <n v="5.88"/>
    <x v="1"/>
    <s v="No"/>
    <s v="No"/>
    <s v="No"/>
    <n v="1"/>
    <x v="1"/>
    <x v="2"/>
  </r>
  <r>
    <x v="1941"/>
    <n v="20.36"/>
    <n v="4.49"/>
    <x v="2"/>
    <s v="No"/>
    <s v="No"/>
    <s v="No"/>
    <n v="0"/>
    <x v="1"/>
    <x v="2"/>
  </r>
  <r>
    <x v="1942"/>
    <n v="25.46"/>
    <n v="4.1399999999999997"/>
    <x v="2"/>
    <s v="No"/>
    <s v="No"/>
    <s v="No"/>
    <n v="1"/>
    <x v="1"/>
    <x v="2"/>
  </r>
  <r>
    <x v="1943"/>
    <n v="17.09"/>
    <n v="5.8"/>
    <x v="1"/>
    <s v="yes"/>
    <s v="No"/>
    <s v="No"/>
    <n v="0"/>
    <x v="1"/>
    <x v="3"/>
  </r>
  <r>
    <x v="1944"/>
    <n v="20.83"/>
    <n v="5.12"/>
    <x v="2"/>
    <s v="No"/>
    <s v="No"/>
    <s v="No"/>
    <n v="0"/>
    <x v="1"/>
    <x v="2"/>
  </r>
  <r>
    <x v="1945"/>
    <n v="18.920000000000002"/>
    <n v="5.98"/>
    <x v="1"/>
    <s v="yes"/>
    <s v="No"/>
    <s v="No"/>
    <n v="1"/>
    <x v="1"/>
    <x v="2"/>
  </r>
  <r>
    <x v="1946"/>
    <n v="37.1"/>
    <n v="5.46"/>
    <x v="2"/>
    <s v="No"/>
    <s v="No"/>
    <s v="No"/>
    <n v="0"/>
    <x v="1"/>
    <x v="2"/>
  </r>
  <r>
    <x v="1947"/>
    <n v="22.515000000000001"/>
    <n v="4.91"/>
    <x v="2"/>
    <s v="yes"/>
    <s v="No"/>
    <s v="Yes"/>
    <n v="1"/>
    <x v="1"/>
    <x v="2"/>
  </r>
  <r>
    <x v="1948"/>
    <n v="32.700000000000003"/>
    <n v="4.66"/>
    <x v="2"/>
    <s v="No"/>
    <s v="No"/>
    <s v="No"/>
    <n v="0"/>
    <x v="1"/>
    <x v="2"/>
  </r>
  <r>
    <x v="1949"/>
    <n v="17.75"/>
    <n v="6.8"/>
    <x v="0"/>
    <s v="yes"/>
    <s v="No"/>
    <s v="No"/>
    <n v="1"/>
    <x v="1"/>
    <x v="3"/>
  </r>
  <r>
    <x v="1950"/>
    <n v="33.630000000000003"/>
    <n v="4.47"/>
    <x v="2"/>
    <s v="yes"/>
    <s v="No"/>
    <s v="No"/>
    <n v="0"/>
    <x v="1"/>
    <x v="2"/>
  </r>
  <r>
    <x v="1951"/>
    <n v="34.799999999999997"/>
    <n v="4.08"/>
    <x v="2"/>
    <s v="yes"/>
    <s v="No"/>
    <s v="No"/>
    <n v="1"/>
    <x v="1"/>
    <x v="2"/>
  </r>
  <r>
    <x v="1952"/>
    <n v="16.809999999999999"/>
    <n v="5.51"/>
    <x v="2"/>
    <s v="yes"/>
    <s v="No"/>
    <s v="No"/>
    <n v="1"/>
    <x v="1"/>
    <x v="3"/>
  </r>
  <r>
    <x v="1953"/>
    <n v="16.690000000000001"/>
    <n v="8.4"/>
    <x v="0"/>
    <s v="yes"/>
    <s v="No"/>
    <s v="No"/>
    <n v="0"/>
    <x v="1"/>
    <x v="3"/>
  </r>
  <r>
    <x v="1954"/>
    <n v="23.21"/>
    <n v="5.14"/>
    <x v="2"/>
    <s v="yes"/>
    <s v="No"/>
    <s v="No"/>
    <n v="1"/>
    <x v="1"/>
    <x v="2"/>
  </r>
  <r>
    <x v="1955"/>
    <n v="25.175000000000001"/>
    <n v="5.21"/>
    <x v="2"/>
    <s v="yes"/>
    <s v="No"/>
    <s v="No"/>
    <n v="1"/>
    <x v="1"/>
    <x v="2"/>
  </r>
  <r>
    <x v="1956"/>
    <n v="34.770000000000003"/>
    <n v="6.23"/>
    <x v="1"/>
    <s v="No"/>
    <s v="No"/>
    <s v="No"/>
    <n v="0"/>
    <x v="1"/>
    <x v="2"/>
  </r>
  <r>
    <x v="1957"/>
    <n v="27.7"/>
    <n v="5.6"/>
    <x v="1"/>
    <s v="No"/>
    <s v="No"/>
    <s v="No"/>
    <n v="1"/>
    <x v="1"/>
    <x v="2"/>
  </r>
  <r>
    <x v="1958"/>
    <n v="19.12"/>
    <n v="4.72"/>
    <x v="2"/>
    <s v="yes"/>
    <s v="No"/>
    <s v="No"/>
    <n v="1"/>
    <x v="1"/>
    <x v="2"/>
  </r>
  <r>
    <x v="1959"/>
    <n v="32.67"/>
    <n v="4.67"/>
    <x v="2"/>
    <s v="No"/>
    <s v="No"/>
    <s v="Yes"/>
    <n v="1"/>
    <x v="1"/>
    <x v="2"/>
  </r>
  <r>
    <x v="1960"/>
    <n v="28.5"/>
    <n v="6.11"/>
    <x v="1"/>
    <s v="No"/>
    <s v="No"/>
    <s v="No"/>
    <n v="1"/>
    <x v="1"/>
    <x v="2"/>
  </r>
  <r>
    <x v="1961"/>
    <n v="39.270000000000003"/>
    <n v="6.25"/>
    <x v="1"/>
    <s v="No"/>
    <s v="No"/>
    <s v="No"/>
    <n v="0"/>
    <x v="1"/>
    <x v="2"/>
  </r>
  <r>
    <x v="1962"/>
    <n v="32.49"/>
    <n v="4"/>
    <x v="2"/>
    <s v="yes"/>
    <s v="No"/>
    <s v="No"/>
    <n v="0"/>
    <x v="1"/>
    <x v="2"/>
  </r>
  <r>
    <x v="1963"/>
    <n v="23.7"/>
    <n v="5.55"/>
    <x v="2"/>
    <s v="yes"/>
    <s v="No"/>
    <s v="No"/>
    <n v="0"/>
    <x v="1"/>
    <x v="2"/>
  </r>
  <r>
    <x v="1964"/>
    <n v="30.4"/>
    <n v="5.95"/>
    <x v="1"/>
    <s v="No"/>
    <s v="yes"/>
    <s v="No"/>
    <n v="1"/>
    <x v="1"/>
    <x v="2"/>
  </r>
  <r>
    <x v="1965"/>
    <n v="38.94"/>
    <n v="4.3600000000000003"/>
    <x v="2"/>
    <s v="No"/>
    <s v="No"/>
    <s v="Yes"/>
    <n v="1"/>
    <x v="1"/>
    <x v="2"/>
  </r>
  <r>
    <x v="1966"/>
    <n v="31.02"/>
    <n v="4.84"/>
    <x v="2"/>
    <s v="No"/>
    <s v="No"/>
    <s v="Yes"/>
    <n v="1"/>
    <x v="1"/>
    <x v="2"/>
  </r>
  <r>
    <x v="1967"/>
    <n v="17.5"/>
    <n v="4.5599999999999996"/>
    <x v="2"/>
    <s v="No"/>
    <s v="No"/>
    <s v="No"/>
    <n v="1"/>
    <x v="1"/>
    <x v="3"/>
  </r>
  <r>
    <x v="1968"/>
    <n v="34.799999999999997"/>
    <n v="4.42"/>
    <x v="2"/>
    <s v="yes"/>
    <s v="yes"/>
    <s v="No"/>
    <n v="2"/>
    <x v="1"/>
    <x v="2"/>
  </r>
  <r>
    <x v="1969"/>
    <n v="17.3"/>
    <n v="7.66"/>
    <x v="2"/>
    <s v="yes"/>
    <s v="No"/>
    <s v="No"/>
    <n v="1"/>
    <x v="1"/>
    <x v="3"/>
  </r>
  <r>
    <x v="1970"/>
    <n v="32.25"/>
    <n v="5.2"/>
    <x v="2"/>
    <s v="yes"/>
    <s v="No"/>
    <s v="No"/>
    <n v="0"/>
    <x v="1"/>
    <x v="2"/>
  </r>
  <r>
    <x v="1971"/>
    <n v="42.4"/>
    <n v="5.53"/>
    <x v="2"/>
    <s v="yes"/>
    <s v="No"/>
    <s v="No"/>
    <n v="0"/>
    <x v="1"/>
    <x v="2"/>
  </r>
  <r>
    <x v="1972"/>
    <n v="38.664999999999999"/>
    <n v="4.8600000000000003"/>
    <x v="2"/>
    <s v="No"/>
    <s v="yes"/>
    <s v="No"/>
    <n v="1"/>
    <x v="1"/>
    <x v="2"/>
  </r>
  <r>
    <x v="1973"/>
    <n v="29.92"/>
    <n v="5.49"/>
    <x v="2"/>
    <s v="yes"/>
    <s v="No"/>
    <s v="No"/>
    <n v="0"/>
    <x v="1"/>
    <x v="2"/>
  </r>
  <r>
    <x v="1974"/>
    <n v="29.48"/>
    <n v="4.09"/>
    <x v="2"/>
    <s v="yes"/>
    <s v="No"/>
    <s v="No"/>
    <n v="0"/>
    <x v="1"/>
    <x v="2"/>
  </r>
  <r>
    <x v="1975"/>
    <n v="28.785"/>
    <n v="4.3099999999999996"/>
    <x v="2"/>
    <s v="yes"/>
    <s v="No"/>
    <s v="No"/>
    <n v="0"/>
    <x v="1"/>
    <x v="2"/>
  </r>
  <r>
    <x v="1976"/>
    <n v="19.8"/>
    <n v="4"/>
    <x v="2"/>
    <s v="yes"/>
    <s v="No"/>
    <s v="No"/>
    <n v="0"/>
    <x v="1"/>
    <x v="2"/>
  </r>
  <r>
    <x v="1977"/>
    <n v="35.53"/>
    <n v="4.68"/>
    <x v="2"/>
    <s v="No"/>
    <s v="No"/>
    <s v="Yes"/>
    <n v="1"/>
    <x v="1"/>
    <x v="2"/>
  </r>
  <r>
    <x v="1978"/>
    <n v="21.47"/>
    <n v="4.0199999999999996"/>
    <x v="2"/>
    <s v="yes"/>
    <s v="No"/>
    <s v="No"/>
    <n v="1"/>
    <x v="1"/>
    <x v="2"/>
  </r>
  <r>
    <x v="1979"/>
    <n v="25.9"/>
    <n v="5.12"/>
    <x v="2"/>
    <s v="No"/>
    <s v="No"/>
    <s v="Yes"/>
    <n v="1"/>
    <x v="1"/>
    <x v="2"/>
  </r>
  <r>
    <x v="1980"/>
    <n v="20.81"/>
    <n v="5.52"/>
    <x v="2"/>
    <s v="No"/>
    <s v="No"/>
    <s v="No"/>
    <n v="0"/>
    <x v="1"/>
    <x v="2"/>
  </r>
  <r>
    <x v="1981"/>
    <n v="25.84"/>
    <n v="5.81"/>
    <x v="1"/>
    <s v="yes"/>
    <s v="No"/>
    <s v="Yes"/>
    <n v="1"/>
    <x v="1"/>
    <x v="2"/>
  </r>
  <r>
    <x v="1982"/>
    <n v="30.95"/>
    <n v="5.16"/>
    <x v="2"/>
    <s v="No"/>
    <s v="No"/>
    <s v="Yes"/>
    <n v="1"/>
    <x v="1"/>
    <x v="2"/>
  </r>
  <r>
    <x v="1983"/>
    <n v="30.54"/>
    <n v="5"/>
    <x v="2"/>
    <s v="No"/>
    <s v="No"/>
    <s v="Yes"/>
    <n v="1"/>
    <x v="1"/>
    <x v="2"/>
  </r>
  <r>
    <x v="1984"/>
    <n v="33.914999999999999"/>
    <n v="5.84"/>
    <x v="1"/>
    <s v="yes"/>
    <s v="No"/>
    <s v="No"/>
    <n v="0"/>
    <x v="1"/>
    <x v="2"/>
  </r>
  <r>
    <x v="1985"/>
    <n v="33.31"/>
    <n v="4.1900000000000004"/>
    <x v="2"/>
    <s v="No"/>
    <s v="No"/>
    <s v="Yes"/>
    <n v="1"/>
    <x v="1"/>
    <x v="2"/>
  </r>
  <r>
    <x v="1986"/>
    <n v="25.745000000000001"/>
    <n v="4.62"/>
    <x v="2"/>
    <s v="yes"/>
    <s v="No"/>
    <s v="No"/>
    <n v="0"/>
    <x v="1"/>
    <x v="2"/>
  </r>
  <r>
    <x v="1987"/>
    <n v="37.1"/>
    <n v="6.24"/>
    <x v="1"/>
    <s v="No"/>
    <s v="No"/>
    <s v="No"/>
    <n v="0"/>
    <x v="1"/>
    <x v="2"/>
  </r>
  <r>
    <x v="1988"/>
    <n v="35.435000000000002"/>
    <n v="5.81"/>
    <x v="1"/>
    <s v="No"/>
    <s v="No"/>
    <s v="No"/>
    <n v="0"/>
    <x v="1"/>
    <x v="2"/>
  </r>
  <r>
    <x v="1989"/>
    <n v="20.399999999999999"/>
    <n v="4.83"/>
    <x v="2"/>
    <s v="No"/>
    <s v="No"/>
    <s v="No"/>
    <n v="0"/>
    <x v="1"/>
    <x v="2"/>
  </r>
  <r>
    <x v="1990"/>
    <n v="42.13"/>
    <n v="5.72"/>
    <x v="1"/>
    <s v="yes"/>
    <s v="No"/>
    <s v="Yes"/>
    <n v="1"/>
    <x v="1"/>
    <x v="2"/>
  </r>
  <r>
    <x v="1991"/>
    <n v="33.99"/>
    <n v="4.83"/>
    <x v="2"/>
    <s v="yes"/>
    <s v="No"/>
    <s v="Yes"/>
    <n v="1"/>
    <x v="1"/>
    <x v="2"/>
  </r>
  <r>
    <x v="1992"/>
    <n v="28.594999999999999"/>
    <n v="4.1399999999999997"/>
    <x v="2"/>
    <s v="yes"/>
    <s v="No"/>
    <s v="Yes"/>
    <n v="1"/>
    <x v="1"/>
    <x v="2"/>
  </r>
  <r>
    <x v="1993"/>
    <n v="20.8"/>
    <n v="4.07"/>
    <x v="2"/>
    <s v="yes"/>
    <s v="No"/>
    <s v="Yes"/>
    <n v="1"/>
    <x v="1"/>
    <x v="2"/>
  </r>
  <r>
    <x v="1994"/>
    <n v="23.465"/>
    <n v="6.26"/>
    <x v="1"/>
    <s v="yes"/>
    <s v="No"/>
    <s v="Yes"/>
    <n v="1"/>
    <x v="1"/>
    <x v="2"/>
  </r>
  <r>
    <x v="1995"/>
    <n v="40.185000000000002"/>
    <n v="5.88"/>
    <x v="1"/>
    <s v="yes"/>
    <s v="No"/>
    <s v="No"/>
    <n v="0"/>
    <x v="1"/>
    <x v="2"/>
  </r>
  <r>
    <x v="1996"/>
    <n v="21.89"/>
    <n v="5.72"/>
    <x v="1"/>
    <s v="yes"/>
    <s v="No"/>
    <s v="No"/>
    <n v="0"/>
    <x v="1"/>
    <x v="2"/>
  </r>
  <r>
    <x v="1997"/>
    <n v="29.34"/>
    <n v="6.09"/>
    <x v="1"/>
    <s v="yes"/>
    <s v="yes"/>
    <s v="No"/>
    <n v="2"/>
    <x v="1"/>
    <x v="2"/>
  </r>
  <r>
    <x v="1998"/>
    <n v="22.61"/>
    <n v="4.25"/>
    <x v="2"/>
    <s v="yes"/>
    <s v="No"/>
    <s v="No"/>
    <n v="0"/>
    <x v="1"/>
    <x v="2"/>
  </r>
  <r>
    <x v="1999"/>
    <n v="22.23"/>
    <n v="6.09"/>
    <x v="1"/>
    <s v="yes"/>
    <s v="No"/>
    <s v="No"/>
    <n v="0"/>
    <x v="1"/>
    <x v="2"/>
  </r>
  <r>
    <x v="2000"/>
    <n v="33.4"/>
    <n v="5.51"/>
    <x v="2"/>
    <s v="No"/>
    <s v="No"/>
    <s v="No"/>
    <n v="0"/>
    <x v="1"/>
    <x v="2"/>
  </r>
  <r>
    <x v="2001"/>
    <n v="33.11"/>
    <n v="5.63"/>
    <x v="1"/>
    <s v="No"/>
    <s v="No"/>
    <s v="No"/>
    <n v="0"/>
    <x v="1"/>
    <x v="2"/>
  </r>
  <r>
    <x v="2002"/>
    <n v="16.815000000000001"/>
    <n v="5.29"/>
    <x v="2"/>
    <s v="yes"/>
    <s v="No"/>
    <s v="No"/>
    <n v="0"/>
    <x v="1"/>
    <x v="3"/>
  </r>
  <r>
    <x v="2003"/>
    <n v="25.61"/>
    <n v="4"/>
    <x v="2"/>
    <s v="No"/>
    <s v="No"/>
    <s v="Yes"/>
    <n v="1"/>
    <x v="1"/>
    <x v="2"/>
  </r>
  <r>
    <x v="2004"/>
    <n v="25.8"/>
    <n v="5.49"/>
    <x v="2"/>
    <s v="No"/>
    <s v="No"/>
    <s v="No"/>
    <n v="0"/>
    <x v="1"/>
    <x v="2"/>
  </r>
  <r>
    <x v="2005"/>
    <n v="27.39"/>
    <n v="5.34"/>
    <x v="2"/>
    <s v="No"/>
    <s v="No"/>
    <s v="No"/>
    <n v="0"/>
    <x v="1"/>
    <x v="2"/>
  </r>
  <r>
    <x v="2006"/>
    <n v="17.03"/>
    <n v="4.12"/>
    <x v="2"/>
    <s v="No"/>
    <s v="No"/>
    <s v="No"/>
    <n v="1"/>
    <x v="1"/>
    <x v="3"/>
  </r>
  <r>
    <x v="2007"/>
    <n v="23.75"/>
    <n v="5.49"/>
    <x v="2"/>
    <s v="yes"/>
    <s v="No"/>
    <s v="No"/>
    <n v="0"/>
    <x v="1"/>
    <x v="2"/>
  </r>
  <r>
    <x v="2008"/>
    <n v="26.03"/>
    <n v="5.1100000000000003"/>
    <x v="2"/>
    <s v="yes"/>
    <s v="No"/>
    <s v="No"/>
    <n v="1"/>
    <x v="1"/>
    <x v="2"/>
  </r>
  <r>
    <x v="2009"/>
    <n v="16.079999999999998"/>
    <n v="5.94"/>
    <x v="1"/>
    <s v="No"/>
    <s v="No"/>
    <s v="No"/>
    <n v="0"/>
    <x v="1"/>
    <x v="3"/>
  </r>
  <r>
    <x v="2010"/>
    <n v="30.875"/>
    <n v="5.54"/>
    <x v="2"/>
    <s v="No"/>
    <s v="No"/>
    <s v="No"/>
    <n v="0"/>
    <x v="1"/>
    <x v="2"/>
  </r>
  <r>
    <x v="2011"/>
    <n v="31.79"/>
    <n v="7.09"/>
    <x v="1"/>
    <s v="No"/>
    <s v="No"/>
    <s v="No"/>
    <n v="0"/>
    <x v="1"/>
    <x v="2"/>
  </r>
  <r>
    <x v="2012"/>
    <n v="28.48"/>
    <n v="6.22"/>
    <x v="1"/>
    <s v="yes"/>
    <s v="No"/>
    <s v="Yes"/>
    <n v="1"/>
    <x v="1"/>
    <x v="2"/>
  </r>
  <r>
    <x v="2013"/>
    <n v="26.6"/>
    <n v="4.33"/>
    <x v="2"/>
    <s v="No"/>
    <s v="No"/>
    <s v="No"/>
    <n v="1"/>
    <x v="1"/>
    <x v="2"/>
  </r>
  <r>
    <x v="2014"/>
    <n v="25.27"/>
    <n v="5.83"/>
    <x v="1"/>
    <s v="No"/>
    <s v="No"/>
    <s v="No"/>
    <n v="1"/>
    <x v="1"/>
    <x v="2"/>
  </r>
  <r>
    <x v="2015"/>
    <n v="34.484999999999999"/>
    <n v="4.7"/>
    <x v="2"/>
    <s v="yes"/>
    <s v="No"/>
    <s v="Yes"/>
    <n v="1"/>
    <x v="1"/>
    <x v="2"/>
  </r>
  <r>
    <x v="2016"/>
    <n v="15.57"/>
    <n v="4.07"/>
    <x v="2"/>
    <s v="yes"/>
    <s v="No"/>
    <s v="No"/>
    <n v="1"/>
    <x v="1"/>
    <x v="3"/>
  </r>
  <r>
    <x v="2017"/>
    <n v="30.36"/>
    <n v="9.39"/>
    <x v="0"/>
    <s v="No"/>
    <s v="No"/>
    <s v="No"/>
    <n v="0"/>
    <x v="1"/>
    <x v="2"/>
  </r>
  <r>
    <x v="2018"/>
    <n v="19.37"/>
    <n v="4.18"/>
    <x v="2"/>
    <s v="No"/>
    <s v="No"/>
    <s v="No"/>
    <n v="0"/>
    <x v="1"/>
    <x v="2"/>
  </r>
  <r>
    <x v="2019"/>
    <n v="16.71"/>
    <n v="4.18"/>
    <x v="2"/>
    <s v="No"/>
    <s v="No"/>
    <s v="No"/>
    <n v="1"/>
    <x v="1"/>
    <x v="3"/>
  </r>
  <r>
    <x v="2020"/>
    <n v="24.1"/>
    <n v="4.4000000000000004"/>
    <x v="2"/>
    <s v="yes"/>
    <s v="No"/>
    <s v="No"/>
    <n v="1"/>
    <x v="1"/>
    <x v="2"/>
  </r>
  <r>
    <x v="2021"/>
    <n v="29.77"/>
    <n v="9.9"/>
    <x v="0"/>
    <s v="No"/>
    <s v="No"/>
    <s v="No"/>
    <n v="0"/>
    <x v="1"/>
    <x v="2"/>
  </r>
  <r>
    <x v="2022"/>
    <n v="46.53"/>
    <n v="4.84"/>
    <x v="2"/>
    <s v="yes"/>
    <s v="No"/>
    <s v="No"/>
    <n v="0"/>
    <x v="1"/>
    <x v="2"/>
  </r>
  <r>
    <x v="2023"/>
    <n v="23.4"/>
    <n v="5.53"/>
    <x v="2"/>
    <s v="No"/>
    <s v="No"/>
    <s v="Yes"/>
    <n v="1"/>
    <x v="1"/>
    <x v="2"/>
  </r>
  <r>
    <x v="2024"/>
    <n v="30"/>
    <n v="4.33"/>
    <x v="2"/>
    <s v="yes"/>
    <s v="No"/>
    <s v="No"/>
    <n v="0"/>
    <x v="1"/>
    <x v="2"/>
  </r>
  <r>
    <x v="2025"/>
    <n v="29.15"/>
    <n v="4.91"/>
    <x v="2"/>
    <s v="yes"/>
    <s v="No"/>
    <s v="No"/>
    <n v="0"/>
    <x v="1"/>
    <x v="2"/>
  </r>
  <r>
    <x v="2026"/>
    <n v="34.865000000000002"/>
    <n v="4.8"/>
    <x v="2"/>
    <s v="No"/>
    <s v="No"/>
    <s v="No"/>
    <n v="0"/>
    <x v="1"/>
    <x v="2"/>
  </r>
  <r>
    <x v="2027"/>
    <n v="28.12"/>
    <n v="5.55"/>
    <x v="2"/>
    <s v="yes"/>
    <s v="yes"/>
    <s v="No"/>
    <n v="2"/>
    <x v="1"/>
    <x v="2"/>
  </r>
  <r>
    <x v="2028"/>
    <n v="29.45"/>
    <n v="5.24"/>
    <x v="2"/>
    <s v="yes"/>
    <s v="No"/>
    <s v="No"/>
    <n v="0"/>
    <x v="1"/>
    <x v="2"/>
  </r>
  <r>
    <x v="2029"/>
    <n v="27.94"/>
    <n v="6.08"/>
    <x v="1"/>
    <s v="No"/>
    <s v="No"/>
    <s v="Yes"/>
    <n v="1"/>
    <x v="1"/>
    <x v="2"/>
  </r>
  <r>
    <x v="2030"/>
    <n v="27.2"/>
    <n v="5.83"/>
    <x v="1"/>
    <s v="No"/>
    <s v="No"/>
    <s v="Yes"/>
    <n v="1"/>
    <x v="1"/>
    <x v="2"/>
  </r>
  <r>
    <x v="2031"/>
    <n v="33.344999999999999"/>
    <n v="4.29"/>
    <x v="2"/>
    <s v="No"/>
    <s v="No"/>
    <s v="No"/>
    <n v="1"/>
    <x v="1"/>
    <x v="2"/>
  </r>
  <r>
    <x v="2032"/>
    <n v="29.925000000000001"/>
    <n v="5.3"/>
    <x v="2"/>
    <s v="No"/>
    <s v="No"/>
    <s v="No"/>
    <n v="1"/>
    <x v="1"/>
    <x v="2"/>
  </r>
  <r>
    <x v="2033"/>
    <n v="24.225000000000001"/>
    <n v="4.42"/>
    <x v="2"/>
    <s v="No"/>
    <s v="No"/>
    <s v="No"/>
    <n v="1"/>
    <x v="1"/>
    <x v="2"/>
  </r>
  <r>
    <x v="2034"/>
    <n v="29.68"/>
    <n v="5.68"/>
    <x v="1"/>
    <s v="No"/>
    <s v="yes"/>
    <s v="No"/>
    <n v="1"/>
    <x v="1"/>
    <x v="2"/>
  </r>
  <r>
    <x v="2035"/>
    <n v="20.614999999999998"/>
    <n v="6.05"/>
    <x v="1"/>
    <s v="No"/>
    <s v="No"/>
    <s v="Yes"/>
    <n v="1"/>
    <x v="1"/>
    <x v="2"/>
  </r>
  <r>
    <x v="2036"/>
    <n v="32.119999999999997"/>
    <n v="5.33"/>
    <x v="2"/>
    <s v="No"/>
    <s v="yes"/>
    <s v="No"/>
    <n v="1"/>
    <x v="1"/>
    <x v="2"/>
  </r>
  <r>
    <x v="2037"/>
    <n v="27.36"/>
    <n v="6.22"/>
    <x v="1"/>
    <s v="No"/>
    <s v="No"/>
    <s v="No"/>
    <n v="0"/>
    <x v="1"/>
    <x v="2"/>
  </r>
  <r>
    <x v="2038"/>
    <n v="17.385000000000002"/>
    <n v="5.84"/>
    <x v="1"/>
    <s v="No"/>
    <s v="No"/>
    <s v="No"/>
    <n v="0"/>
    <x v="1"/>
    <x v="3"/>
  </r>
  <r>
    <x v="2039"/>
    <n v="30.13"/>
    <n v="5.71"/>
    <x v="1"/>
    <s v="No"/>
    <s v="yes"/>
    <s v="No"/>
    <n v="1"/>
    <x v="1"/>
    <x v="2"/>
  </r>
  <r>
    <x v="2040"/>
    <n v="25.44"/>
    <n v="6.04"/>
    <x v="1"/>
    <s v="yes"/>
    <s v="No"/>
    <s v="Yes"/>
    <n v="1"/>
    <x v="1"/>
    <x v="2"/>
  </r>
  <r>
    <x v="2041"/>
    <n v="39.805"/>
    <n v="4.38"/>
    <x v="2"/>
    <s v="No"/>
    <s v="yes"/>
    <s v="No"/>
    <n v="1"/>
    <x v="1"/>
    <x v="2"/>
  </r>
  <r>
    <x v="2042"/>
    <n v="30.4"/>
    <n v="5.56"/>
    <x v="2"/>
    <s v="yes"/>
    <s v="yes"/>
    <s v="No"/>
    <n v="1"/>
    <x v="1"/>
    <x v="2"/>
  </r>
  <r>
    <x v="2043"/>
    <n v="23.18"/>
    <n v="4.24"/>
    <x v="2"/>
    <s v="No"/>
    <s v="yes"/>
    <s v="No"/>
    <n v="1"/>
    <x v="1"/>
    <x v="2"/>
  </r>
  <r>
    <x v="2044"/>
    <n v="39.615000000000002"/>
    <n v="6.32"/>
    <x v="1"/>
    <s v="No"/>
    <s v="No"/>
    <s v="Yes"/>
    <n v="1"/>
    <x v="1"/>
    <x v="2"/>
  </r>
  <r>
    <x v="2045"/>
    <n v="30.59"/>
    <n v="6.3"/>
    <x v="1"/>
    <s v="yes"/>
    <s v="No"/>
    <s v="Yes"/>
    <n v="1"/>
    <x v="1"/>
    <x v="2"/>
  </r>
  <r>
    <x v="2046"/>
    <n v="16.72"/>
    <n v="4.38"/>
    <x v="2"/>
    <s v="yes"/>
    <s v="No"/>
    <s v="No"/>
    <n v="1"/>
    <x v="1"/>
    <x v="3"/>
  </r>
  <r>
    <x v="2047"/>
    <n v="26.22"/>
    <n v="4.6500000000000004"/>
    <x v="2"/>
    <s v="yes"/>
    <s v="No"/>
    <s v="Yes"/>
    <n v="1"/>
    <x v="1"/>
    <x v="2"/>
  </r>
  <r>
    <x v="2048"/>
    <n v="31.824999999999999"/>
    <n v="4.7"/>
    <x v="2"/>
    <s v="No"/>
    <s v="No"/>
    <s v="Yes"/>
    <n v="1"/>
    <x v="1"/>
    <x v="2"/>
  </r>
  <r>
    <x v="2049"/>
    <n v="25.745000000000001"/>
    <n v="4.34"/>
    <x v="2"/>
    <s v="No"/>
    <s v="No"/>
    <s v="Yes"/>
    <n v="1"/>
    <x v="1"/>
    <x v="2"/>
  </r>
  <r>
    <x v="2050"/>
    <n v="24.605"/>
    <n v="5.62"/>
    <x v="1"/>
    <s v="No"/>
    <s v="No"/>
    <s v="Yes"/>
    <n v="1"/>
    <x v="1"/>
    <x v="2"/>
  </r>
  <r>
    <x v="2051"/>
    <n v="24.51"/>
    <n v="4.24"/>
    <x v="2"/>
    <s v="No"/>
    <s v="No"/>
    <s v="Yes"/>
    <n v="1"/>
    <x v="1"/>
    <x v="2"/>
  </r>
  <r>
    <x v="2052"/>
    <n v="31.065000000000001"/>
    <n v="4.57"/>
    <x v="2"/>
    <s v="yes"/>
    <s v="No"/>
    <s v="No"/>
    <n v="0"/>
    <x v="1"/>
    <x v="2"/>
  </r>
  <r>
    <x v="2053"/>
    <n v="28.12"/>
    <n v="5.05"/>
    <x v="2"/>
    <s v="No"/>
    <s v="No"/>
    <s v="No"/>
    <n v="0"/>
    <x v="1"/>
    <x v="2"/>
  </r>
  <r>
    <x v="2054"/>
    <n v="38.06"/>
    <n v="6.16"/>
    <x v="1"/>
    <s v="No"/>
    <s v="No"/>
    <s v="No"/>
    <n v="0"/>
    <x v="1"/>
    <x v="2"/>
  </r>
  <r>
    <x v="2055"/>
    <n v="24.96"/>
    <n v="4.57"/>
    <x v="2"/>
    <s v="No"/>
    <s v="No"/>
    <s v="No"/>
    <n v="0"/>
    <x v="1"/>
    <x v="2"/>
  </r>
  <r>
    <x v="2056"/>
    <n v="17.670000000000002"/>
    <n v="5.53"/>
    <x v="2"/>
    <s v="yes"/>
    <s v="No"/>
    <s v="No"/>
    <n v="0"/>
    <x v="1"/>
    <x v="3"/>
  </r>
  <r>
    <x v="2057"/>
    <n v="31.35"/>
    <n v="5.84"/>
    <x v="1"/>
    <s v="No"/>
    <s v="yes"/>
    <s v="No"/>
    <n v="1"/>
    <x v="1"/>
    <x v="2"/>
  </r>
  <r>
    <x v="2058"/>
    <n v="28.31"/>
    <n v="6.41"/>
    <x v="1"/>
    <s v="No"/>
    <s v="yes"/>
    <s v="No"/>
    <n v="1"/>
    <x v="1"/>
    <x v="2"/>
  </r>
  <r>
    <x v="2059"/>
    <n v="30.3"/>
    <n v="4.7300000000000004"/>
    <x v="2"/>
    <s v="yes"/>
    <s v="No"/>
    <s v="Yes"/>
    <n v="1"/>
    <x v="1"/>
    <x v="2"/>
  </r>
  <r>
    <x v="2060"/>
    <n v="26.4"/>
    <n v="6.22"/>
    <x v="1"/>
    <s v="yes"/>
    <s v="No"/>
    <s v="No"/>
    <n v="0"/>
    <x v="1"/>
    <x v="2"/>
  </r>
  <r>
    <x v="2061"/>
    <n v="22.135000000000002"/>
    <n v="4.46"/>
    <x v="2"/>
    <s v="yes"/>
    <s v="No"/>
    <s v="No"/>
    <n v="0"/>
    <x v="1"/>
    <x v="2"/>
  </r>
  <r>
    <x v="2062"/>
    <n v="17.399999999999999"/>
    <n v="4.5"/>
    <x v="2"/>
    <s v="yes"/>
    <s v="No"/>
    <s v="No"/>
    <n v="0"/>
    <x v="1"/>
    <x v="3"/>
  </r>
  <r>
    <x v="2063"/>
    <n v="28.06"/>
    <n v="8.93"/>
    <x v="0"/>
    <s v="No"/>
    <s v="No"/>
    <s v="No"/>
    <n v="0"/>
    <x v="1"/>
    <x v="2"/>
  </r>
  <r>
    <x v="2064"/>
    <n v="31.13"/>
    <n v="11.02"/>
    <x v="0"/>
    <s v="No"/>
    <s v="No"/>
    <s v="No"/>
    <n v="0"/>
    <x v="1"/>
    <x v="2"/>
  </r>
  <r>
    <x v="2065"/>
    <n v="18.46"/>
    <n v="5.25"/>
    <x v="2"/>
    <s v="No"/>
    <s v="No"/>
    <s v="No"/>
    <n v="0"/>
    <x v="1"/>
    <x v="3"/>
  </r>
  <r>
    <x v="2066"/>
    <n v="17.3"/>
    <n v="4.75"/>
    <x v="2"/>
    <s v="No"/>
    <s v="No"/>
    <s v="No"/>
    <n v="0"/>
    <x v="1"/>
    <x v="3"/>
  </r>
  <r>
    <x v="2067"/>
    <n v="35.625"/>
    <n v="4.68"/>
    <x v="2"/>
    <s v="yes"/>
    <s v="No"/>
    <s v="Yes"/>
    <n v="1"/>
    <x v="1"/>
    <x v="2"/>
  </r>
  <r>
    <x v="2068"/>
    <n v="20.234999999999999"/>
    <n v="6.17"/>
    <x v="1"/>
    <s v="yes"/>
    <s v="yes"/>
    <s v="No"/>
    <n v="2"/>
    <x v="1"/>
    <x v="2"/>
  </r>
  <r>
    <x v="2069"/>
    <n v="27.55"/>
    <n v="4.5599999999999996"/>
    <x v="2"/>
    <s v="yes"/>
    <s v="No"/>
    <s v="Yes"/>
    <n v="1"/>
    <x v="1"/>
    <x v="2"/>
  </r>
  <r>
    <x v="2070"/>
    <n v="17.97"/>
    <n v="6.3"/>
    <x v="1"/>
    <s v="No"/>
    <s v="No"/>
    <s v="No"/>
    <n v="0"/>
    <x v="1"/>
    <x v="3"/>
  </r>
  <r>
    <x v="2071"/>
    <n v="29.98"/>
    <n v="6.03"/>
    <x v="1"/>
    <s v="No"/>
    <s v="yes"/>
    <s v="No"/>
    <n v="1"/>
    <x v="1"/>
    <x v="2"/>
  </r>
  <r>
    <x v="2072"/>
    <n v="33.659999999999997"/>
    <n v="4.2"/>
    <x v="2"/>
    <s v="yes"/>
    <s v="No"/>
    <s v="No"/>
    <n v="1"/>
    <x v="1"/>
    <x v="2"/>
  </r>
  <r>
    <x v="2073"/>
    <n v="32.67"/>
    <n v="5.61"/>
    <x v="1"/>
    <s v="yes"/>
    <s v="No"/>
    <s v="No"/>
    <n v="1"/>
    <x v="1"/>
    <x v="2"/>
  </r>
  <r>
    <x v="2074"/>
    <n v="30.5"/>
    <n v="5.88"/>
    <x v="1"/>
    <s v="yes"/>
    <s v="No"/>
    <s v="No"/>
    <n v="1"/>
    <x v="1"/>
    <x v="2"/>
  </r>
  <r>
    <x v="2075"/>
    <n v="23.1"/>
    <n v="5.92"/>
    <x v="1"/>
    <s v="yes"/>
    <s v="No"/>
    <s v="No"/>
    <n v="1"/>
    <x v="1"/>
    <x v="2"/>
  </r>
  <r>
    <x v="2076"/>
    <n v="39.49"/>
    <n v="4.8099999999999996"/>
    <x v="2"/>
    <s v="No"/>
    <s v="No"/>
    <s v="No"/>
    <n v="1"/>
    <x v="1"/>
    <x v="2"/>
  </r>
  <r>
    <x v="2077"/>
    <n v="33.99"/>
    <n v="4.55"/>
    <x v="2"/>
    <s v="No"/>
    <s v="No"/>
    <s v="No"/>
    <n v="1"/>
    <x v="1"/>
    <x v="2"/>
  </r>
  <r>
    <x v="2078"/>
    <n v="27.72"/>
    <n v="6.43"/>
    <x v="1"/>
    <s v="No"/>
    <s v="No"/>
    <s v="No"/>
    <n v="1"/>
    <x v="1"/>
    <x v="2"/>
  </r>
  <r>
    <x v="2079"/>
    <n v="30.59"/>
    <n v="11.62"/>
    <x v="0"/>
    <s v="No"/>
    <s v="No"/>
    <s v="No"/>
    <n v="0"/>
    <x v="1"/>
    <x v="2"/>
  </r>
  <r>
    <x v="2080"/>
    <n v="22.6"/>
    <n v="6.04"/>
    <x v="1"/>
    <s v="No"/>
    <s v="No"/>
    <s v="No"/>
    <n v="1"/>
    <x v="1"/>
    <x v="2"/>
  </r>
  <r>
    <x v="2081"/>
    <n v="28.785"/>
    <n v="8.82"/>
    <x v="0"/>
    <s v="No"/>
    <s v="No"/>
    <s v="No"/>
    <n v="0"/>
    <x v="1"/>
    <x v="2"/>
  </r>
  <r>
    <x v="2082"/>
    <n v="50.38"/>
    <n v="5.8"/>
    <x v="1"/>
    <s v="No"/>
    <s v="No"/>
    <s v="No"/>
    <n v="0"/>
    <x v="1"/>
    <x v="2"/>
  </r>
  <r>
    <x v="2083"/>
    <n v="35.200000000000003"/>
    <n v="4.28"/>
    <x v="2"/>
    <s v="No"/>
    <s v="No"/>
    <s v="No"/>
    <n v="0"/>
    <x v="1"/>
    <x v="2"/>
  </r>
  <r>
    <x v="2084"/>
    <n v="35.72"/>
    <n v="5.5"/>
    <x v="2"/>
    <s v="yes"/>
    <s v="No"/>
    <s v="No"/>
    <n v="0"/>
    <x v="1"/>
    <x v="2"/>
  </r>
  <r>
    <x v="2085"/>
    <n v="24.51"/>
    <n v="4.6900000000000004"/>
    <x v="2"/>
    <s v="No"/>
    <s v="No"/>
    <s v="No"/>
    <n v="0"/>
    <x v="1"/>
    <x v="2"/>
  </r>
  <r>
    <x v="2086"/>
    <n v="23.844999999999999"/>
    <n v="4.43"/>
    <x v="2"/>
    <s v="No"/>
    <s v="No"/>
    <s v="No"/>
    <n v="0"/>
    <x v="1"/>
    <x v="2"/>
  </r>
  <r>
    <x v="2087"/>
    <n v="15.68"/>
    <n v="6.16"/>
    <x v="1"/>
    <s v="yes"/>
    <s v="No"/>
    <s v="No"/>
    <n v="1"/>
    <x v="1"/>
    <x v="3"/>
  </r>
  <r>
    <x v="2088"/>
    <n v="32.395000000000003"/>
    <n v="6.66"/>
    <x v="0"/>
    <s v="No"/>
    <s v="No"/>
    <s v="No"/>
    <n v="0"/>
    <x v="1"/>
    <x v="2"/>
  </r>
  <r>
    <x v="2089"/>
    <n v="23.655000000000001"/>
    <n v="5.92"/>
    <x v="1"/>
    <s v="No"/>
    <s v="No"/>
    <s v="No"/>
    <n v="1"/>
    <x v="1"/>
    <x v="2"/>
  </r>
  <r>
    <x v="2090"/>
    <n v="28.4"/>
    <n v="5.97"/>
    <x v="1"/>
    <s v="No"/>
    <s v="No"/>
    <s v="Yes"/>
    <n v="1"/>
    <x v="1"/>
    <x v="2"/>
  </r>
  <r>
    <x v="2091"/>
    <n v="35.42"/>
    <n v="4.6399999999999997"/>
    <x v="2"/>
    <s v="yes"/>
    <s v="No"/>
    <s v="No"/>
    <n v="0"/>
    <x v="1"/>
    <x v="2"/>
  </r>
  <r>
    <x v="2092"/>
    <n v="26.18"/>
    <n v="6.12"/>
    <x v="1"/>
    <s v="No"/>
    <s v="yes"/>
    <s v="No"/>
    <n v="1"/>
    <x v="1"/>
    <x v="2"/>
  </r>
  <r>
    <x v="2093"/>
    <n v="20.8"/>
    <n v="4.87"/>
    <x v="2"/>
    <s v="yes"/>
    <s v="No"/>
    <s v="No"/>
    <n v="0"/>
    <x v="1"/>
    <x v="2"/>
  </r>
  <r>
    <x v="2094"/>
    <n v="15.82"/>
    <n v="4.5999999999999996"/>
    <x v="2"/>
    <s v="No"/>
    <s v="No"/>
    <s v="No"/>
    <n v="0"/>
    <x v="1"/>
    <x v="3"/>
  </r>
  <r>
    <x v="2095"/>
    <n v="17.670000000000002"/>
    <n v="4.78"/>
    <x v="2"/>
    <s v="No"/>
    <s v="No"/>
    <s v="No"/>
    <n v="0"/>
    <x v="1"/>
    <x v="3"/>
  </r>
  <r>
    <x v="2096"/>
    <n v="31.92"/>
    <n v="11.05"/>
    <x v="0"/>
    <s v="No"/>
    <s v="No"/>
    <s v="No"/>
    <n v="0"/>
    <x v="1"/>
    <x v="2"/>
  </r>
  <r>
    <x v="2097"/>
    <n v="28.975000000000001"/>
    <n v="7.62"/>
    <x v="0"/>
    <s v="No"/>
    <s v="No"/>
    <s v="No"/>
    <n v="0"/>
    <x v="1"/>
    <x v="2"/>
  </r>
  <r>
    <x v="2098"/>
    <n v="31.73"/>
    <n v="4.78"/>
    <x v="2"/>
    <s v="yes"/>
    <s v="yes"/>
    <s v="No"/>
    <n v="2"/>
    <x v="1"/>
    <x v="2"/>
  </r>
  <r>
    <x v="2099"/>
    <n v="28.88"/>
    <n v="6.09"/>
    <x v="1"/>
    <s v="yes"/>
    <s v="yes"/>
    <s v="No"/>
    <n v="2"/>
    <x v="1"/>
    <x v="2"/>
  </r>
  <r>
    <x v="2100"/>
    <n v="25.555"/>
    <n v="5.1100000000000003"/>
    <x v="2"/>
    <s v="No"/>
    <s v="No"/>
    <s v="Yes"/>
    <n v="1"/>
    <x v="1"/>
    <x v="2"/>
  </r>
  <r>
    <x v="2101"/>
    <n v="37.29"/>
    <n v="4.46"/>
    <x v="2"/>
    <s v="No"/>
    <s v="yes"/>
    <s v="No"/>
    <n v="1"/>
    <x v="1"/>
    <x v="2"/>
  </r>
  <r>
    <x v="2102"/>
    <n v="40.28"/>
    <n v="6.11"/>
    <x v="1"/>
    <s v="No"/>
    <s v="yes"/>
    <s v="No"/>
    <n v="1"/>
    <x v="1"/>
    <x v="2"/>
  </r>
  <r>
    <x v="2103"/>
    <n v="40.185000000000002"/>
    <n v="4.66"/>
    <x v="2"/>
    <s v="No"/>
    <s v="yes"/>
    <s v="No"/>
    <n v="1"/>
    <x v="1"/>
    <x v="2"/>
  </r>
  <r>
    <x v="2104"/>
    <n v="23.57"/>
    <n v="6.14"/>
    <x v="1"/>
    <s v="No"/>
    <s v="No"/>
    <s v="No"/>
    <n v="0"/>
    <x v="1"/>
    <x v="2"/>
  </r>
  <r>
    <x v="2105"/>
    <n v="35.625"/>
    <n v="6.21"/>
    <x v="1"/>
    <s v="No"/>
    <s v="yes"/>
    <s v="No"/>
    <n v="1"/>
    <x v="1"/>
    <x v="2"/>
  </r>
  <r>
    <x v="2106"/>
    <n v="33.155000000000001"/>
    <n v="4.5999999999999996"/>
    <x v="2"/>
    <s v="No"/>
    <s v="yes"/>
    <s v="No"/>
    <n v="1"/>
    <x v="1"/>
    <x v="2"/>
  </r>
  <r>
    <x v="2107"/>
    <n v="31.92"/>
    <n v="5.04"/>
    <x v="2"/>
    <s v="No"/>
    <s v="yes"/>
    <s v="No"/>
    <n v="1"/>
    <x v="1"/>
    <x v="2"/>
  </r>
  <r>
    <x v="2108"/>
    <n v="30.305"/>
    <n v="5.08"/>
    <x v="2"/>
    <s v="No"/>
    <s v="yes"/>
    <s v="No"/>
    <n v="1"/>
    <x v="1"/>
    <x v="2"/>
  </r>
  <r>
    <x v="2109"/>
    <n v="30.114999999999998"/>
    <n v="4.38"/>
    <x v="2"/>
    <s v="No"/>
    <s v="yes"/>
    <s v="No"/>
    <n v="1"/>
    <x v="1"/>
    <x v="2"/>
  </r>
  <r>
    <x v="2110"/>
    <n v="24.09"/>
    <n v="4.79"/>
    <x v="2"/>
    <s v="No"/>
    <s v="yes"/>
    <s v="No"/>
    <n v="1"/>
    <x v="1"/>
    <x v="2"/>
  </r>
  <r>
    <x v="2111"/>
    <n v="28.215"/>
    <n v="4.21"/>
    <x v="2"/>
    <s v="No"/>
    <s v="yes"/>
    <s v="No"/>
    <n v="1"/>
    <x v="1"/>
    <x v="2"/>
  </r>
  <r>
    <x v="2112"/>
    <n v="26.315000000000001"/>
    <n v="5.47"/>
    <x v="2"/>
    <s v="No"/>
    <s v="yes"/>
    <s v="No"/>
    <n v="1"/>
    <x v="1"/>
    <x v="2"/>
  </r>
  <r>
    <x v="2113"/>
    <n v="25.08"/>
    <n v="5.09"/>
    <x v="2"/>
    <s v="No"/>
    <s v="yes"/>
    <s v="No"/>
    <n v="1"/>
    <x v="1"/>
    <x v="2"/>
  </r>
  <r>
    <x v="2114"/>
    <n v="15.41"/>
    <n v="5.08"/>
    <x v="2"/>
    <s v="No"/>
    <s v="No"/>
    <s v="No"/>
    <n v="0"/>
    <x v="1"/>
    <x v="3"/>
  </r>
  <r>
    <x v="2115"/>
    <n v="23.83"/>
    <n v="5.68"/>
    <x v="2"/>
    <s v="No"/>
    <s v="No"/>
    <s v="No"/>
    <n v="0"/>
    <x v="1"/>
    <x v="2"/>
  </r>
  <r>
    <x v="2116"/>
    <n v="36"/>
    <n v="4.66"/>
    <x v="2"/>
    <s v="No"/>
    <s v="yes"/>
    <s v="No"/>
    <n v="1"/>
    <x v="1"/>
    <x v="2"/>
  </r>
  <r>
    <x v="2117"/>
    <n v="28.82"/>
    <n v="5.59"/>
    <x v="2"/>
    <s v="No"/>
    <s v="yes"/>
    <s v="No"/>
    <n v="1"/>
    <x v="1"/>
    <x v="2"/>
  </r>
  <r>
    <x v="2118"/>
    <n v="28.05"/>
    <n v="6.2"/>
    <x v="1"/>
    <s v="No"/>
    <s v="yes"/>
    <s v="No"/>
    <n v="1"/>
    <x v="1"/>
    <x v="2"/>
  </r>
  <r>
    <x v="2119"/>
    <n v="27.1"/>
    <n v="4.45"/>
    <x v="2"/>
    <s v="No"/>
    <s v="yes"/>
    <s v="No"/>
    <n v="1"/>
    <x v="1"/>
    <x v="2"/>
  </r>
  <r>
    <x v="2120"/>
    <n v="24.3"/>
    <n v="6.1"/>
    <x v="1"/>
    <s v="yes"/>
    <s v="yes"/>
    <s v="No"/>
    <n v="1"/>
    <x v="1"/>
    <x v="2"/>
  </r>
  <r>
    <x v="2121"/>
    <n v="30.72"/>
    <n v="6.06"/>
    <x v="1"/>
    <s v="No"/>
    <s v="yes"/>
    <s v="No"/>
    <n v="1"/>
    <x v="1"/>
    <x v="2"/>
  </r>
  <r>
    <x v="2122"/>
    <n v="37.43"/>
    <n v="4.5599999999999996"/>
    <x v="2"/>
    <s v="No"/>
    <s v="No"/>
    <s v="Yes"/>
    <n v="1"/>
    <x v="1"/>
    <x v="2"/>
  </r>
  <r>
    <x v="2123"/>
    <n v="25.74"/>
    <n v="6.41"/>
    <x v="1"/>
    <s v="yes"/>
    <s v="No"/>
    <s v="Yes"/>
    <n v="1"/>
    <x v="1"/>
    <x v="2"/>
  </r>
  <r>
    <x v="2124"/>
    <n v="36.575000000000003"/>
    <n v="5.57"/>
    <x v="2"/>
    <s v="No"/>
    <s v="No"/>
    <s v="Yes"/>
    <n v="1"/>
    <x v="1"/>
    <x v="2"/>
  </r>
  <r>
    <x v="2125"/>
    <n v="35.15"/>
    <n v="5.47"/>
    <x v="2"/>
    <s v="No"/>
    <s v="No"/>
    <s v="Yes"/>
    <n v="1"/>
    <x v="1"/>
    <x v="2"/>
  </r>
  <r>
    <x v="44"/>
    <n v="32.11"/>
    <n v="4.43"/>
    <x v="2"/>
    <s v="No"/>
    <s v="No"/>
    <s v="Yes"/>
    <n v="1"/>
    <x v="1"/>
    <x v="2"/>
  </r>
  <r>
    <x v="2126"/>
    <n v="30.495000000000001"/>
    <n v="4.95"/>
    <x v="2"/>
    <s v="No"/>
    <s v="No"/>
    <s v="Yes"/>
    <n v="1"/>
    <x v="1"/>
    <x v="2"/>
  </r>
  <r>
    <x v="2127"/>
    <n v="29.24"/>
    <n v="4.04"/>
    <x v="2"/>
    <s v="No"/>
    <s v="yes"/>
    <s v="No"/>
    <n v="1"/>
    <x v="1"/>
    <x v="2"/>
  </r>
  <r>
    <x v="2128"/>
    <n v="22.515000000000001"/>
    <n v="5.93"/>
    <x v="1"/>
    <s v="No"/>
    <s v="No"/>
    <s v="Yes"/>
    <n v="1"/>
    <x v="1"/>
    <x v="2"/>
  </r>
  <r>
    <x v="2129"/>
    <n v="15.65"/>
    <n v="4.2300000000000004"/>
    <x v="2"/>
    <s v="No"/>
    <s v="No"/>
    <s v="No"/>
    <n v="0"/>
    <x v="1"/>
    <x v="3"/>
  </r>
  <r>
    <x v="2130"/>
    <n v="27.36"/>
    <n v="5.59"/>
    <x v="1"/>
    <s v="yes"/>
    <s v="No"/>
    <s v="No"/>
    <n v="0"/>
    <x v="1"/>
    <x v="2"/>
  </r>
  <r>
    <x v="2131"/>
    <n v="22.3"/>
    <n v="4.8899999999999997"/>
    <x v="2"/>
    <s v="yes"/>
    <s v="No"/>
    <s v="No"/>
    <n v="0"/>
    <x v="1"/>
    <x v="2"/>
  </r>
  <r>
    <x v="2132"/>
    <n v="26.03"/>
    <n v="5.81"/>
    <x v="1"/>
    <s v="yes"/>
    <s v="No"/>
    <s v="No"/>
    <n v="0"/>
    <x v="1"/>
    <x v="2"/>
  </r>
  <r>
    <x v="2133"/>
    <n v="27.74"/>
    <n v="4.29"/>
    <x v="2"/>
    <s v="No"/>
    <s v="yes"/>
    <s v="No"/>
    <n v="1"/>
    <x v="1"/>
    <x v="2"/>
  </r>
  <r>
    <x v="2134"/>
    <n v="32.11"/>
    <n v="4.03"/>
    <x v="2"/>
    <s v="yes"/>
    <s v="yes"/>
    <s v="No"/>
    <n v="2"/>
    <x v="1"/>
    <x v="2"/>
  </r>
  <r>
    <x v="2135"/>
    <n v="25.175000000000001"/>
    <n v="6.29"/>
    <x v="1"/>
    <s v="yes"/>
    <s v="yes"/>
    <s v="No"/>
    <n v="2"/>
    <x v="1"/>
    <x v="2"/>
  </r>
  <r>
    <x v="2136"/>
    <n v="39.49"/>
    <n v="4.4800000000000004"/>
    <x v="2"/>
    <s v="yes"/>
    <s v="No"/>
    <s v="No"/>
    <n v="0"/>
    <x v="1"/>
    <x v="2"/>
  </r>
  <r>
    <x v="2137"/>
    <n v="34.869999999999997"/>
    <n v="5.51"/>
    <x v="2"/>
    <s v="yes"/>
    <s v="No"/>
    <s v="No"/>
    <n v="0"/>
    <x v="1"/>
    <x v="2"/>
  </r>
  <r>
    <x v="2138"/>
    <n v="34.6"/>
    <n v="4.5"/>
    <x v="2"/>
    <s v="yes"/>
    <s v="No"/>
    <s v="No"/>
    <n v="0"/>
    <x v="1"/>
    <x v="2"/>
  </r>
  <r>
    <x v="2139"/>
    <n v="25.8"/>
    <n v="6.29"/>
    <x v="1"/>
    <s v="yes"/>
    <s v="No"/>
    <s v="No"/>
    <n v="0"/>
    <x v="1"/>
    <x v="2"/>
  </r>
  <r>
    <x v="2140"/>
    <n v="35.86"/>
    <n v="4.33"/>
    <x v="2"/>
    <s v="No"/>
    <s v="No"/>
    <s v="No"/>
    <n v="1"/>
    <x v="1"/>
    <x v="2"/>
  </r>
  <r>
    <x v="2141"/>
    <n v="40.47"/>
    <n v="11.15"/>
    <x v="0"/>
    <s v="No"/>
    <s v="No"/>
    <s v="No"/>
    <n v="0"/>
    <x v="1"/>
    <x v="2"/>
  </r>
  <r>
    <x v="2142"/>
    <n v="32.01"/>
    <n v="6.45"/>
    <x v="1"/>
    <s v="No"/>
    <s v="No"/>
    <s v="No"/>
    <n v="1"/>
    <x v="1"/>
    <x v="2"/>
  </r>
  <r>
    <x v="2143"/>
    <n v="33"/>
    <n v="9.27"/>
    <x v="0"/>
    <s v="No"/>
    <s v="No"/>
    <s v="No"/>
    <n v="0"/>
    <x v="1"/>
    <x v="2"/>
  </r>
  <r>
    <x v="2144"/>
    <n v="29.3"/>
    <n v="6.15"/>
    <x v="1"/>
    <s v="No"/>
    <s v="No"/>
    <s v="No"/>
    <n v="1"/>
    <x v="1"/>
    <x v="2"/>
  </r>
  <r>
    <x v="2145"/>
    <n v="25.8"/>
    <n v="4.13"/>
    <x v="2"/>
    <s v="No"/>
    <s v="No"/>
    <s v="No"/>
    <n v="1"/>
    <x v="1"/>
    <x v="2"/>
  </r>
  <r>
    <x v="2146"/>
    <n v="23.4"/>
    <n v="4.24"/>
    <x v="2"/>
    <s v="No"/>
    <s v="No"/>
    <s v="No"/>
    <n v="1"/>
    <x v="1"/>
    <x v="2"/>
  </r>
  <r>
    <x v="2147"/>
    <n v="27.93"/>
    <n v="9.8800000000000008"/>
    <x v="0"/>
    <s v="No"/>
    <s v="No"/>
    <s v="No"/>
    <n v="0"/>
    <x v="1"/>
    <x v="2"/>
  </r>
  <r>
    <x v="2148"/>
    <n v="22"/>
    <n v="9.5"/>
    <x v="0"/>
    <s v="No"/>
    <s v="No"/>
    <s v="No"/>
    <n v="0"/>
    <x v="1"/>
    <x v="2"/>
  </r>
  <r>
    <x v="2149"/>
    <n v="36.86"/>
    <n v="4.97"/>
    <x v="2"/>
    <s v="yes"/>
    <s v="No"/>
    <s v="No"/>
    <n v="0"/>
    <x v="1"/>
    <x v="2"/>
  </r>
  <r>
    <x v="2150"/>
    <n v="31.254999999999999"/>
    <n v="5.49"/>
    <x v="2"/>
    <s v="yes"/>
    <s v="No"/>
    <s v="No"/>
    <n v="0"/>
    <x v="1"/>
    <x v="2"/>
  </r>
  <r>
    <x v="2151"/>
    <n v="23.06"/>
    <n v="4.47"/>
    <x v="2"/>
    <s v="No"/>
    <s v="No"/>
    <s v="No"/>
    <n v="0"/>
    <x v="1"/>
    <x v="2"/>
  </r>
  <r>
    <x v="2152"/>
    <n v="28.975000000000001"/>
    <n v="4.34"/>
    <x v="2"/>
    <s v="yes"/>
    <s v="No"/>
    <s v="No"/>
    <n v="0"/>
    <x v="1"/>
    <x v="2"/>
  </r>
  <r>
    <x v="2153"/>
    <n v="33.299999999999997"/>
    <n v="9.49"/>
    <x v="0"/>
    <s v="No"/>
    <s v="No"/>
    <s v="No"/>
    <n v="0"/>
    <x v="1"/>
    <x v="2"/>
  </r>
  <r>
    <x v="44"/>
    <n v="33"/>
    <n v="10.16"/>
    <x v="0"/>
    <s v="No"/>
    <s v="No"/>
    <s v="No"/>
    <n v="0"/>
    <x v="1"/>
    <x v="2"/>
  </r>
  <r>
    <x v="2154"/>
    <n v="31.46"/>
    <n v="11.19"/>
    <x v="0"/>
    <s v="No"/>
    <s v="No"/>
    <s v="No"/>
    <n v="0"/>
    <x v="1"/>
    <x v="2"/>
  </r>
  <r>
    <x v="2155"/>
    <n v="29.6"/>
    <n v="11.03"/>
    <x v="0"/>
    <s v="No"/>
    <s v="No"/>
    <s v="No"/>
    <n v="0"/>
    <x v="1"/>
    <x v="2"/>
  </r>
  <r>
    <x v="2156"/>
    <n v="22.05"/>
    <n v="4.43"/>
    <x v="2"/>
    <s v="yes"/>
    <s v="No"/>
    <s v="No"/>
    <n v="0"/>
    <x v="1"/>
    <x v="2"/>
  </r>
  <r>
    <x v="2157"/>
    <n v="27.06"/>
    <n v="6.14"/>
    <x v="1"/>
    <s v="No"/>
    <s v="yes"/>
    <s v="No"/>
    <n v="1"/>
    <x v="1"/>
    <x v="2"/>
  </r>
  <r>
    <x v="2158"/>
    <n v="20.49"/>
    <n v="4.87"/>
    <x v="2"/>
    <s v="No"/>
    <s v="No"/>
    <s v="No"/>
    <n v="0"/>
    <x v="1"/>
    <x v="2"/>
  </r>
  <r>
    <x v="2159"/>
    <n v="28.4"/>
    <n v="4.3"/>
    <x v="2"/>
    <s v="No"/>
    <s v="No"/>
    <s v="Yes"/>
    <n v="1"/>
    <x v="1"/>
    <x v="2"/>
  </r>
  <r>
    <x v="2160"/>
    <n v="41.91"/>
    <n v="6.19"/>
    <x v="1"/>
    <s v="No"/>
    <s v="No"/>
    <s v="No"/>
    <n v="0"/>
    <x v="1"/>
    <x v="2"/>
  </r>
  <r>
    <x v="2161"/>
    <n v="24.6"/>
    <n v="6.19"/>
    <x v="1"/>
    <s v="No"/>
    <s v="No"/>
    <s v="Yes"/>
    <n v="1"/>
    <x v="1"/>
    <x v="2"/>
  </r>
  <r>
    <x v="2162"/>
    <n v="20.9"/>
    <n v="5.12"/>
    <x v="2"/>
    <s v="No"/>
    <s v="No"/>
    <s v="Yes"/>
    <n v="1"/>
    <x v="1"/>
    <x v="2"/>
  </r>
  <r>
    <x v="2163"/>
    <n v="34.4"/>
    <n v="4.04"/>
    <x v="2"/>
    <s v="No"/>
    <s v="No"/>
    <s v="No"/>
    <n v="0"/>
    <x v="1"/>
    <x v="2"/>
  </r>
  <r>
    <x v="2164"/>
    <n v="32.56"/>
    <n v="5.36"/>
    <x v="2"/>
    <s v="No"/>
    <s v="No"/>
    <s v="No"/>
    <n v="0"/>
    <x v="1"/>
    <x v="2"/>
  </r>
  <r>
    <x v="2165"/>
    <n v="27.98"/>
    <n v="4.38"/>
    <x v="2"/>
    <s v="No"/>
    <s v="yes"/>
    <s v="No"/>
    <n v="1"/>
    <x v="1"/>
    <x v="2"/>
  </r>
  <r>
    <x v="2166"/>
    <n v="26.51"/>
    <n v="4.58"/>
    <x v="2"/>
    <s v="No"/>
    <s v="No"/>
    <s v="No"/>
    <n v="0"/>
    <x v="1"/>
    <x v="2"/>
  </r>
  <r>
    <x v="2167"/>
    <n v="29.734999999999999"/>
    <n v="11.92"/>
    <x v="0"/>
    <s v="No"/>
    <s v="No"/>
    <s v="No"/>
    <n v="0"/>
    <x v="1"/>
    <x v="2"/>
  </r>
  <r>
    <x v="2168"/>
    <n v="40.5"/>
    <n v="5.4"/>
    <x v="2"/>
    <s v="No"/>
    <s v="No"/>
    <s v="Yes"/>
    <n v="1"/>
    <x v="1"/>
    <x v="2"/>
  </r>
  <r>
    <x v="2169"/>
    <n v="25.64"/>
    <n v="4.76"/>
    <x v="2"/>
    <s v="No"/>
    <s v="No"/>
    <s v="No"/>
    <n v="1"/>
    <x v="1"/>
    <x v="2"/>
  </r>
  <r>
    <x v="2170"/>
    <n v="32.9"/>
    <n v="4.78"/>
    <x v="2"/>
    <s v="No"/>
    <s v="No"/>
    <s v="Yes"/>
    <n v="1"/>
    <x v="1"/>
    <x v="2"/>
  </r>
  <r>
    <x v="2171"/>
    <n v="29.8"/>
    <n v="4.26"/>
    <x v="2"/>
    <s v="No"/>
    <s v="No"/>
    <s v="Yes"/>
    <n v="1"/>
    <x v="1"/>
    <x v="2"/>
  </r>
  <r>
    <x v="2172"/>
    <n v="28.9"/>
    <n v="5.85"/>
    <x v="1"/>
    <s v="No"/>
    <s v="No"/>
    <s v="Yes"/>
    <n v="1"/>
    <x v="1"/>
    <x v="2"/>
  </r>
  <r>
    <x v="2173"/>
    <n v="24.7"/>
    <n v="5.32"/>
    <x v="2"/>
    <s v="No"/>
    <s v="No"/>
    <s v="Yes"/>
    <n v="1"/>
    <x v="1"/>
    <x v="2"/>
  </r>
  <r>
    <x v="2174"/>
    <n v="20.6"/>
    <n v="5.14"/>
    <x v="2"/>
    <s v="No"/>
    <s v="No"/>
    <s v="Yes"/>
    <n v="1"/>
    <x v="1"/>
    <x v="2"/>
  </r>
  <r>
    <x v="2175"/>
    <n v="18.600000000000001"/>
    <n v="5"/>
    <x v="2"/>
    <s v="No"/>
    <s v="No"/>
    <s v="Yes"/>
    <n v="1"/>
    <x v="1"/>
    <x v="2"/>
  </r>
  <r>
    <x v="2176"/>
    <n v="17.8"/>
    <n v="4.55"/>
    <x v="2"/>
    <s v="No"/>
    <s v="No"/>
    <s v="Yes"/>
    <n v="1"/>
    <x v="1"/>
    <x v="3"/>
  </r>
  <r>
    <x v="2177"/>
    <n v="35.200000000000003"/>
    <n v="5.97"/>
    <x v="1"/>
    <s v="No"/>
    <s v="yes"/>
    <s v="No"/>
    <n v="1"/>
    <x v="1"/>
    <x v="2"/>
  </r>
  <r>
    <x v="2178"/>
    <n v="33.770000000000003"/>
    <n v="4.0199999999999996"/>
    <x v="2"/>
    <s v="No"/>
    <s v="yes"/>
    <s v="No"/>
    <n v="1"/>
    <x v="1"/>
    <x v="2"/>
  </r>
  <r>
    <x v="2179"/>
    <n v="30.03"/>
    <n v="4.04"/>
    <x v="2"/>
    <s v="No"/>
    <s v="yes"/>
    <s v="No"/>
    <n v="1"/>
    <x v="1"/>
    <x v="2"/>
  </r>
  <r>
    <x v="2180"/>
    <n v="29.37"/>
    <n v="5.54"/>
    <x v="2"/>
    <s v="No"/>
    <s v="yes"/>
    <s v="No"/>
    <n v="1"/>
    <x v="1"/>
    <x v="2"/>
  </r>
  <r>
    <x v="2181"/>
    <n v="28.5"/>
    <n v="4.03"/>
    <x v="2"/>
    <s v="No"/>
    <s v="yes"/>
    <s v="No"/>
    <n v="1"/>
    <x v="1"/>
    <x v="2"/>
  </r>
  <r>
    <x v="2182"/>
    <n v="23.32"/>
    <n v="5.62"/>
    <x v="1"/>
    <s v="No"/>
    <s v="yes"/>
    <s v="No"/>
    <n v="1"/>
    <x v="1"/>
    <x v="2"/>
  </r>
  <r>
    <x v="2183"/>
    <n v="26.125"/>
    <n v="5.27"/>
    <x v="2"/>
    <s v="No"/>
    <s v="yes"/>
    <s v="No"/>
    <n v="1"/>
    <x v="1"/>
    <x v="2"/>
  </r>
  <r>
    <x v="2184"/>
    <n v="25.46"/>
    <n v="5.18"/>
    <x v="2"/>
    <s v="No"/>
    <s v="yes"/>
    <s v="No"/>
    <n v="1"/>
    <x v="1"/>
    <x v="2"/>
  </r>
  <r>
    <x v="2185"/>
    <n v="23.75"/>
    <n v="5.27"/>
    <x v="2"/>
    <s v="No"/>
    <s v="yes"/>
    <s v="No"/>
    <n v="1"/>
    <x v="1"/>
    <x v="2"/>
  </r>
  <r>
    <x v="2186"/>
    <n v="23.085000000000001"/>
    <n v="5.62"/>
    <x v="1"/>
    <s v="No"/>
    <s v="yes"/>
    <s v="No"/>
    <n v="1"/>
    <x v="1"/>
    <x v="2"/>
  </r>
  <r>
    <x v="2187"/>
    <n v="22.99"/>
    <n v="5.0599999999999996"/>
    <x v="2"/>
    <s v="No"/>
    <s v="yes"/>
    <s v="No"/>
    <n v="1"/>
    <x v="1"/>
    <x v="2"/>
  </r>
  <r>
    <x v="2188"/>
    <n v="21.47"/>
    <n v="4.6900000000000004"/>
    <x v="2"/>
    <s v="No"/>
    <s v="yes"/>
    <s v="No"/>
    <n v="1"/>
    <x v="1"/>
    <x v="2"/>
  </r>
  <r>
    <x v="2189"/>
    <n v="15.96"/>
    <n v="5.44"/>
    <x v="2"/>
    <s v="No"/>
    <s v="yes"/>
    <s v="No"/>
    <n v="1"/>
    <x v="1"/>
    <x v="3"/>
  </r>
  <r>
    <x v="2190"/>
    <n v="39.5"/>
    <n v="5.05"/>
    <x v="2"/>
    <s v="No"/>
    <s v="yes"/>
    <s v="No"/>
    <n v="1"/>
    <x v="1"/>
    <x v="2"/>
  </r>
  <r>
    <x v="2191"/>
    <n v="33.770000000000003"/>
    <n v="6"/>
    <x v="1"/>
    <s v="No"/>
    <s v="yes"/>
    <s v="No"/>
    <n v="1"/>
    <x v="1"/>
    <x v="2"/>
  </r>
  <r>
    <x v="2192"/>
    <n v="26.84"/>
    <n v="5.99"/>
    <x v="1"/>
    <s v="yes"/>
    <s v="yes"/>
    <s v="No"/>
    <n v="1"/>
    <x v="1"/>
    <x v="2"/>
  </r>
  <r>
    <x v="2193"/>
    <n v="35.53"/>
    <n v="4.3600000000000003"/>
    <x v="2"/>
    <s v="No"/>
    <s v="No"/>
    <s v="Yes"/>
    <n v="1"/>
    <x v="1"/>
    <x v="2"/>
  </r>
  <r>
    <x v="2194"/>
    <n v="30.59"/>
    <n v="4.41"/>
    <x v="2"/>
    <s v="No"/>
    <s v="No"/>
    <s v="Yes"/>
    <n v="1"/>
    <x v="1"/>
    <x v="2"/>
  </r>
  <r>
    <x v="2195"/>
    <n v="30.59"/>
    <n v="4.17"/>
    <x v="2"/>
    <s v="No"/>
    <s v="No"/>
    <s v="Yes"/>
    <n v="1"/>
    <x v="1"/>
    <x v="2"/>
  </r>
  <r>
    <x v="2196"/>
    <n v="27.835000000000001"/>
    <n v="4.4400000000000004"/>
    <x v="2"/>
    <s v="No"/>
    <s v="No"/>
    <s v="Yes"/>
    <n v="1"/>
    <x v="1"/>
    <x v="2"/>
  </r>
  <r>
    <x v="44"/>
    <n v="40.26"/>
    <n v="5.52"/>
    <x v="2"/>
    <s v="No"/>
    <s v="yes"/>
    <s v="No"/>
    <n v="1"/>
    <x v="1"/>
    <x v="2"/>
  </r>
  <r>
    <x v="2197"/>
    <n v="39.82"/>
    <n v="6.01"/>
    <x v="1"/>
    <s v="No"/>
    <s v="yes"/>
    <s v="No"/>
    <n v="1"/>
    <x v="1"/>
    <x v="2"/>
  </r>
  <r>
    <x v="2198"/>
    <n v="39.159999999999997"/>
    <n v="5.81"/>
    <x v="1"/>
    <s v="No"/>
    <s v="yes"/>
    <s v="No"/>
    <n v="1"/>
    <x v="1"/>
    <x v="2"/>
  </r>
  <r>
    <x v="2199"/>
    <n v="25.555"/>
    <n v="4.37"/>
    <x v="2"/>
    <s v="No"/>
    <s v="No"/>
    <s v="Yes"/>
    <n v="1"/>
    <x v="1"/>
    <x v="2"/>
  </r>
  <r>
    <x v="2200"/>
    <n v="25.175000000000001"/>
    <n v="5.74"/>
    <x v="1"/>
    <s v="No"/>
    <s v="No"/>
    <s v="Yes"/>
    <n v="1"/>
    <x v="1"/>
    <x v="2"/>
  </r>
  <r>
    <x v="2201"/>
    <n v="38.28"/>
    <n v="5.39"/>
    <x v="2"/>
    <s v="No"/>
    <s v="yes"/>
    <s v="No"/>
    <n v="1"/>
    <x v="1"/>
    <x v="2"/>
  </r>
  <r>
    <x v="2202"/>
    <n v="38.17"/>
    <n v="4.07"/>
    <x v="2"/>
    <s v="No"/>
    <s v="yes"/>
    <s v="No"/>
    <n v="1"/>
    <x v="1"/>
    <x v="2"/>
  </r>
  <r>
    <x v="2203"/>
    <n v="36.85"/>
    <n v="5.49"/>
    <x v="2"/>
    <s v="No"/>
    <s v="yes"/>
    <s v="No"/>
    <n v="1"/>
    <x v="1"/>
    <x v="2"/>
  </r>
  <r>
    <x v="2204"/>
    <n v="22.61"/>
    <n v="5.68"/>
    <x v="1"/>
    <s v="No"/>
    <s v="No"/>
    <s v="Yes"/>
    <n v="1"/>
    <x v="1"/>
    <x v="2"/>
  </r>
  <r>
    <x v="2205"/>
    <n v="21.754999999999999"/>
    <n v="6.09"/>
    <x v="1"/>
    <s v="No"/>
    <s v="No"/>
    <s v="Yes"/>
    <n v="1"/>
    <x v="1"/>
    <x v="2"/>
  </r>
  <r>
    <x v="2206"/>
    <n v="20.425000000000001"/>
    <n v="5.53"/>
    <x v="1"/>
    <s v="No"/>
    <s v="No"/>
    <s v="Yes"/>
    <n v="1"/>
    <x v="1"/>
    <x v="2"/>
  </r>
  <r>
    <x v="2207"/>
    <n v="31.35"/>
    <n v="4.28"/>
    <x v="2"/>
    <s v="No"/>
    <s v="yes"/>
    <s v="No"/>
    <n v="1"/>
    <x v="1"/>
    <x v="2"/>
  </r>
  <r>
    <x v="2208"/>
    <n v="31.13"/>
    <n v="6.01"/>
    <x v="1"/>
    <s v="No"/>
    <s v="yes"/>
    <s v="No"/>
    <n v="1"/>
    <x v="1"/>
    <x v="2"/>
  </r>
  <r>
    <x v="2209"/>
    <n v="17.48"/>
    <n v="4.59"/>
    <x v="2"/>
    <s v="No"/>
    <s v="No"/>
    <s v="Yes"/>
    <n v="1"/>
    <x v="1"/>
    <x v="3"/>
  </r>
  <r>
    <x v="2210"/>
    <n v="22.57"/>
    <n v="5.8"/>
    <x v="1"/>
    <s v="yes"/>
    <s v="No"/>
    <s v="No"/>
    <n v="1"/>
    <x v="1"/>
    <x v="2"/>
  </r>
  <r>
    <x v="2211"/>
    <n v="26.73"/>
    <n v="5.08"/>
    <x v="2"/>
    <s v="No"/>
    <s v="yes"/>
    <s v="No"/>
    <n v="1"/>
    <x v="1"/>
    <x v="2"/>
  </r>
  <r>
    <x v="2212"/>
    <n v="20.79"/>
    <n v="5.84"/>
    <x v="1"/>
    <s v="No"/>
    <s v="yes"/>
    <s v="No"/>
    <n v="1"/>
    <x v="1"/>
    <x v="2"/>
  </r>
  <r>
    <x v="2213"/>
    <n v="20.149999999999999"/>
    <n v="4.1500000000000004"/>
    <x v="2"/>
    <s v="No"/>
    <s v="No"/>
    <s v="No"/>
    <n v="1"/>
    <x v="1"/>
    <x v="2"/>
  </r>
  <r>
    <x v="2214"/>
    <n v="36.85"/>
    <n v="4.3600000000000003"/>
    <x v="2"/>
    <s v="yes"/>
    <s v="No"/>
    <s v="No"/>
    <n v="0"/>
    <x v="1"/>
    <x v="2"/>
  </r>
  <r>
    <x v="2215"/>
    <n v="35.53"/>
    <n v="4.55"/>
    <x v="2"/>
    <s v="yes"/>
    <s v="No"/>
    <s v="No"/>
    <n v="0"/>
    <x v="1"/>
    <x v="2"/>
  </r>
  <r>
    <x v="2216"/>
    <n v="31.1"/>
    <n v="4.37"/>
    <x v="2"/>
    <s v="yes"/>
    <s v="No"/>
    <s v="No"/>
    <n v="0"/>
    <x v="1"/>
    <x v="2"/>
  </r>
  <r>
    <x v="2217"/>
    <n v="23.21"/>
    <n v="5.24"/>
    <x v="2"/>
    <s v="yes"/>
    <s v="No"/>
    <s v="No"/>
    <n v="0"/>
    <x v="1"/>
    <x v="2"/>
  </r>
  <r>
    <x v="2218"/>
    <n v="18.36"/>
    <n v="5.96"/>
    <x v="1"/>
    <s v="No"/>
    <s v="No"/>
    <s v="No"/>
    <n v="1"/>
    <x v="1"/>
    <x v="3"/>
  </r>
  <r>
    <x v="2219"/>
    <n v="15.92"/>
    <n v="4.76"/>
    <x v="2"/>
    <s v="yes"/>
    <s v="No"/>
    <s v="No"/>
    <n v="1"/>
    <x v="1"/>
    <x v="3"/>
  </r>
  <r>
    <x v="2220"/>
    <n v="15.17"/>
    <n v="4.3"/>
    <x v="2"/>
    <s v="yes"/>
    <s v="No"/>
    <s v="Yes"/>
    <n v="1"/>
    <x v="1"/>
    <x v="3"/>
  </r>
  <r>
    <x v="2221"/>
    <n v="16.63"/>
    <n v="4.5"/>
    <x v="2"/>
    <s v="No"/>
    <s v="No"/>
    <s v="No"/>
    <n v="1"/>
    <x v="1"/>
    <x v="3"/>
  </r>
  <r>
    <x v="2222"/>
    <n v="19.39"/>
    <n v="5.59"/>
    <x v="1"/>
    <s v="No"/>
    <s v="No"/>
    <s v="Yes"/>
    <n v="1"/>
    <x v="1"/>
    <x v="2"/>
  </r>
  <r>
    <x v="2223"/>
    <n v="17.34"/>
    <n v="6.29"/>
    <x v="1"/>
    <s v="yes"/>
    <s v="No"/>
    <s v="Yes"/>
    <n v="1"/>
    <x v="1"/>
    <x v="3"/>
  </r>
  <r>
    <x v="2224"/>
    <n v="17.940000000000001"/>
    <n v="4.1900000000000004"/>
    <x v="2"/>
    <s v="No"/>
    <s v="yes"/>
    <s v="No"/>
    <n v="1"/>
    <x v="1"/>
    <x v="3"/>
  </r>
  <r>
    <x v="2225"/>
    <n v="16.670000000000002"/>
    <n v="4.7"/>
    <x v="2"/>
    <s v="yes"/>
    <s v="No"/>
    <s v="Yes"/>
    <n v="1"/>
    <x v="1"/>
    <x v="3"/>
  </r>
  <r>
    <x v="2226"/>
    <n v="20.58"/>
    <n v="5.64"/>
    <x v="1"/>
    <s v="yes"/>
    <s v="No"/>
    <s v="No"/>
    <n v="0"/>
    <x v="1"/>
    <x v="2"/>
  </r>
  <r>
    <x v="2227"/>
    <n v="16.5"/>
    <n v="4.1100000000000003"/>
    <x v="2"/>
    <s v="yes"/>
    <s v="No"/>
    <s v="No"/>
    <n v="0"/>
    <x v="1"/>
    <x v="3"/>
  </r>
  <r>
    <x v="2228"/>
    <n v="15.41"/>
    <n v="5.43"/>
    <x v="2"/>
    <s v="s"/>
    <s v="No"/>
    <s v="Yes"/>
    <n v="1"/>
    <x v="1"/>
    <x v="3"/>
  </r>
  <r>
    <x v="2229"/>
    <n v="24.59"/>
    <n v="4.38"/>
    <x v="2"/>
    <s v="No"/>
    <s v="No"/>
    <s v="No"/>
    <n v="1"/>
    <x v="1"/>
    <x v="2"/>
  </r>
  <r>
    <x v="2230"/>
    <n v="33.33"/>
    <n v="9.7899999999999991"/>
    <x v="0"/>
    <s v="No"/>
    <s v="No"/>
    <s v="No"/>
    <n v="0"/>
    <x v="1"/>
    <x v="2"/>
  </r>
  <r>
    <x v="2231"/>
    <n v="18.5"/>
    <n v="11.84"/>
    <x v="0"/>
    <s v="No"/>
    <s v="No"/>
    <s v="No"/>
    <n v="0"/>
    <x v="1"/>
    <x v="3"/>
  </r>
  <r>
    <x v="2232"/>
    <n v="18.579999999999998"/>
    <n v="6.22"/>
    <x v="1"/>
    <s v="No"/>
    <s v="No"/>
    <s v="No"/>
    <n v="0"/>
    <x v="1"/>
    <x v="2"/>
  </r>
  <r>
    <x v="2233"/>
    <n v="16.64"/>
    <n v="10.01"/>
    <x v="0"/>
    <s v="No"/>
    <s v="No"/>
    <s v="No"/>
    <n v="0"/>
    <x v="1"/>
    <x v="3"/>
  </r>
  <r>
    <x v="2234"/>
    <n v="19.329999999999998"/>
    <n v="4.32"/>
    <x v="2"/>
    <s v="No"/>
    <s v="No"/>
    <s v="No"/>
    <n v="1"/>
    <x v="1"/>
    <x v="2"/>
  </r>
  <r>
    <x v="2235"/>
    <n v="21.26"/>
    <n v="5.65"/>
    <x v="1"/>
    <s v="yes"/>
    <s v="No"/>
    <s v="Yes"/>
    <n v="1"/>
    <x v="1"/>
    <x v="2"/>
  </r>
  <r>
    <x v="2236"/>
    <n v="15.6"/>
    <n v="4.12"/>
    <x v="2"/>
    <s v="yes"/>
    <s v="No"/>
    <s v="No"/>
    <n v="1"/>
    <x v="1"/>
    <x v="3"/>
  </r>
  <r>
    <x v="2237"/>
    <n v="24.39"/>
    <n v="6.24"/>
    <x v="1"/>
    <s v="No"/>
    <s v="No"/>
    <s v="No"/>
    <n v="1"/>
    <x v="1"/>
    <x v="2"/>
  </r>
  <r>
    <x v="2238"/>
    <n v="24.75"/>
    <n v="4.83"/>
    <x v="2"/>
    <s v="No"/>
    <s v="No"/>
    <s v="No"/>
    <n v="0"/>
    <x v="1"/>
    <x v="2"/>
  </r>
  <r>
    <x v="2239"/>
    <n v="20.88"/>
    <n v="7.4"/>
    <x v="0"/>
    <s v="No"/>
    <s v="No"/>
    <s v="No"/>
    <n v="0"/>
    <x v="1"/>
    <x v="2"/>
  </r>
  <r>
    <x v="2240"/>
    <n v="20.43"/>
    <n v="4.54"/>
    <x v="2"/>
    <s v="No"/>
    <s v="No"/>
    <s v="No"/>
    <n v="0"/>
    <x v="1"/>
    <x v="2"/>
  </r>
  <r>
    <x v="2241"/>
    <n v="15.18"/>
    <n v="11.11"/>
    <x v="0"/>
    <s v="No"/>
    <s v="No"/>
    <s v="No"/>
    <n v="0"/>
    <x v="1"/>
    <x v="3"/>
  </r>
  <r>
    <x v="2242"/>
    <n v="15.12"/>
    <n v="4.03"/>
    <x v="2"/>
    <s v="yes"/>
    <s v="No"/>
    <s v="No"/>
    <n v="0"/>
    <x v="1"/>
    <x v="3"/>
  </r>
  <r>
    <x v="2243"/>
    <n v="23.88"/>
    <n v="4.51"/>
    <x v="2"/>
    <s v="No"/>
    <s v="No"/>
    <s v="No"/>
    <n v="1"/>
    <x v="1"/>
    <x v="2"/>
  </r>
  <r>
    <x v="2244"/>
    <n v="16.13"/>
    <n v="5.56"/>
    <x v="2"/>
    <s v="No"/>
    <s v="yes"/>
    <s v="No"/>
    <n v="1"/>
    <x v="1"/>
    <x v="3"/>
  </r>
  <r>
    <x v="2245"/>
    <n v="24.09"/>
    <n v="4.0999999999999996"/>
    <x v="2"/>
    <s v="No"/>
    <s v="yes"/>
    <s v="No"/>
    <n v="1"/>
    <x v="1"/>
    <x v="2"/>
  </r>
  <r>
    <x v="2246"/>
    <n v="19.43"/>
    <n v="5.85"/>
    <x v="1"/>
    <s v="No"/>
    <s v="yes"/>
    <s v="No"/>
    <n v="1"/>
    <x v="1"/>
    <x v="2"/>
  </r>
  <r>
    <x v="2247"/>
    <n v="15.22"/>
    <n v="4.92"/>
    <x v="2"/>
    <s v="yes"/>
    <s v="No"/>
    <s v="Yes"/>
    <n v="1"/>
    <x v="1"/>
    <x v="3"/>
  </r>
  <r>
    <x v="2248"/>
    <n v="20.72"/>
    <n v="9.4600000000000009"/>
    <x v="0"/>
    <s v="No"/>
    <s v="No"/>
    <s v="No"/>
    <n v="0"/>
    <x v="1"/>
    <x v="2"/>
  </r>
  <r>
    <x v="2249"/>
    <n v="35.4"/>
    <n v="5.94"/>
    <x v="1"/>
    <s v="No"/>
    <s v="No"/>
    <s v="Yes"/>
    <n v="1"/>
    <x v="1"/>
    <x v="2"/>
  </r>
  <r>
    <x v="2250"/>
    <n v="34.4"/>
    <n v="5.7"/>
    <x v="1"/>
    <s v="No"/>
    <s v="No"/>
    <s v="Yes"/>
    <n v="1"/>
    <x v="1"/>
    <x v="2"/>
  </r>
  <r>
    <x v="2251"/>
    <n v="34.1"/>
    <n v="4.13"/>
    <x v="2"/>
    <s v="No"/>
    <s v="No"/>
    <s v="Yes"/>
    <n v="1"/>
    <x v="1"/>
    <x v="2"/>
  </r>
  <r>
    <x v="2252"/>
    <n v="30.4"/>
    <n v="4.7699999999999996"/>
    <x v="2"/>
    <s v="No"/>
    <s v="No"/>
    <s v="Yes"/>
    <n v="1"/>
    <x v="1"/>
    <x v="2"/>
  </r>
  <r>
    <x v="2253"/>
    <n v="28.7"/>
    <n v="4.99"/>
    <x v="2"/>
    <s v="No"/>
    <s v="No"/>
    <s v="Yes"/>
    <n v="1"/>
    <x v="1"/>
    <x v="2"/>
  </r>
  <r>
    <x v="2254"/>
    <n v="17.440000000000001"/>
    <n v="4.42"/>
    <x v="2"/>
    <s v="yes"/>
    <s v="No"/>
    <s v="Yes"/>
    <n v="1"/>
    <x v="1"/>
    <x v="3"/>
  </r>
  <r>
    <x v="2255"/>
    <n v="27.6"/>
    <n v="4.01"/>
    <x v="2"/>
    <s v="No"/>
    <s v="No"/>
    <s v="Yes"/>
    <n v="1"/>
    <x v="1"/>
    <x v="2"/>
  </r>
  <r>
    <x v="2256"/>
    <n v="20.7"/>
    <n v="4.49"/>
    <x v="2"/>
    <s v="No"/>
    <s v="No"/>
    <s v="Yes"/>
    <n v="1"/>
    <x v="1"/>
    <x v="2"/>
  </r>
  <r>
    <x v="2257"/>
    <n v="20.3"/>
    <n v="6.37"/>
    <x v="1"/>
    <s v="No"/>
    <s v="No"/>
    <s v="Yes"/>
    <n v="1"/>
    <x v="1"/>
    <x v="2"/>
  </r>
  <r>
    <x v="2258"/>
    <n v="19.8"/>
    <n v="5.12"/>
    <x v="2"/>
    <s v="No"/>
    <s v="No"/>
    <s v="Yes"/>
    <n v="1"/>
    <x v="1"/>
    <x v="2"/>
  </r>
  <r>
    <x v="2259"/>
    <n v="21.87"/>
    <n v="8.59"/>
    <x v="0"/>
    <s v="No"/>
    <s v="No"/>
    <s v="No"/>
    <n v="0"/>
    <x v="1"/>
    <x v="2"/>
  </r>
  <r>
    <x v="2260"/>
    <n v="16.600000000000001"/>
    <n v="5.87"/>
    <x v="1"/>
    <s v="No"/>
    <s v="No"/>
    <s v="No"/>
    <n v="1"/>
    <x v="1"/>
    <x v="3"/>
  </r>
  <r>
    <x v="2261"/>
    <n v="21.98"/>
    <n v="7.03"/>
    <x v="0"/>
    <s v="No"/>
    <s v="No"/>
    <s v="No"/>
    <n v="0"/>
    <x v="1"/>
    <x v="2"/>
  </r>
  <r>
    <x v="2262"/>
    <n v="19.7"/>
    <n v="5.51"/>
    <x v="1"/>
    <s v="No"/>
    <s v="No"/>
    <s v="No"/>
    <n v="1"/>
    <x v="1"/>
    <x v="2"/>
  </r>
  <r>
    <x v="2263"/>
    <n v="19.21"/>
    <n v="4.76"/>
    <x v="2"/>
    <s v="No"/>
    <s v="yes"/>
    <s v="No"/>
    <n v="1"/>
    <x v="1"/>
    <x v="2"/>
  </r>
  <r>
    <x v="2264"/>
    <n v="19.3"/>
    <n v="4.7"/>
    <x v="2"/>
    <s v="No"/>
    <s v="yes"/>
    <s v="No"/>
    <n v="1"/>
    <x v="1"/>
    <x v="2"/>
  </r>
  <r>
    <x v="2265"/>
    <n v="16.22"/>
    <n v="6.21"/>
    <x v="1"/>
    <s v="yes"/>
    <s v="No"/>
    <s v="No"/>
    <n v="0"/>
    <x v="1"/>
    <x v="3"/>
  </r>
  <r>
    <x v="2266"/>
    <n v="17.12"/>
    <n v="4.5199999999999996"/>
    <x v="2"/>
    <s v="No"/>
    <s v="yes"/>
    <s v="No"/>
    <n v="1"/>
    <x v="1"/>
    <x v="3"/>
  </r>
  <r>
    <x v="2267"/>
    <n v="19.07"/>
    <n v="5.45"/>
    <x v="2"/>
    <s v="No"/>
    <s v="No"/>
    <s v="No"/>
    <n v="1"/>
    <x v="1"/>
    <x v="2"/>
  </r>
  <r>
    <x v="2268"/>
    <n v="15.56"/>
    <n v="4.42"/>
    <x v="2"/>
    <s v="No"/>
    <s v="No"/>
    <s v="No"/>
    <n v="0"/>
    <x v="1"/>
    <x v="3"/>
  </r>
  <r>
    <x v="2269"/>
    <n v="22.76"/>
    <n v="9.44"/>
    <x v="0"/>
    <s v="No"/>
    <s v="No"/>
    <s v="No"/>
    <n v="0"/>
    <x v="1"/>
    <x v="2"/>
  </r>
  <r>
    <x v="2270"/>
    <n v="22.79"/>
    <n v="6.15"/>
    <x v="1"/>
    <s v="yes"/>
    <s v="No"/>
    <s v="Yes"/>
    <n v="1"/>
    <x v="1"/>
    <x v="2"/>
  </r>
  <r>
    <x v="2271"/>
    <n v="17.41"/>
    <n v="5.13"/>
    <x v="2"/>
    <s v="yes"/>
    <s v="No"/>
    <s v="No"/>
    <n v="0"/>
    <x v="1"/>
    <x v="3"/>
  </r>
  <r>
    <x v="2272"/>
    <n v="19.32"/>
    <n v="4.96"/>
    <x v="1"/>
    <s v="yes"/>
    <s v="No"/>
    <s v="No"/>
    <n v="0"/>
    <x v="1"/>
    <x v="2"/>
  </r>
  <r>
    <x v="2273"/>
    <n v="18.25"/>
    <n v="10.95"/>
    <x v="0"/>
    <s v="No"/>
    <s v="No"/>
    <s v="No"/>
    <n v="0"/>
    <x v="1"/>
    <x v="3"/>
  </r>
  <r>
    <x v="2274"/>
    <n v="53.13"/>
    <n v="4.4400000000000004"/>
    <x v="2"/>
    <s v="No"/>
    <s v="yes"/>
    <s v="No"/>
    <n v="1"/>
    <x v="1"/>
    <x v="2"/>
  </r>
  <r>
    <x v="2275"/>
    <n v="20.46"/>
    <n v="4.0199999999999996"/>
    <x v="2"/>
    <s v="No"/>
    <s v="No"/>
    <s v="No"/>
    <n v="0"/>
    <x v="1"/>
    <x v="2"/>
  </r>
  <r>
    <x v="2276"/>
    <n v="43.01"/>
    <n v="5.44"/>
    <x v="2"/>
    <s v="No"/>
    <s v="yes"/>
    <s v="No"/>
    <n v="1"/>
    <x v="1"/>
    <x v="2"/>
  </r>
  <r>
    <x v="2277"/>
    <n v="15.01"/>
    <n v="4.1500000000000004"/>
    <x v="2"/>
    <s v="No"/>
    <s v="No"/>
    <s v="Yes"/>
    <n v="1"/>
    <x v="1"/>
    <x v="3"/>
  </r>
  <r>
    <x v="2278"/>
    <n v="41.14"/>
    <n v="6.02"/>
    <x v="1"/>
    <s v="No"/>
    <s v="yes"/>
    <s v="No"/>
    <n v="1"/>
    <x v="1"/>
    <x v="2"/>
  </r>
  <r>
    <x v="2279"/>
    <n v="16.55"/>
    <n v="7.73"/>
    <x v="0"/>
    <s v="No"/>
    <s v="No"/>
    <s v="No"/>
    <n v="0"/>
    <x v="1"/>
    <x v="3"/>
  </r>
  <r>
    <x v="2280"/>
    <n v="37.29"/>
    <n v="5.03"/>
    <x v="2"/>
    <s v="No"/>
    <s v="yes"/>
    <s v="No"/>
    <n v="1"/>
    <x v="1"/>
    <x v="2"/>
  </r>
  <r>
    <x v="2281"/>
    <n v="16.739999999999998"/>
    <n v="4.08"/>
    <x v="2"/>
    <s v="yes"/>
    <s v="No"/>
    <s v="No"/>
    <n v="0"/>
    <x v="1"/>
    <x v="3"/>
  </r>
  <r>
    <x v="2282"/>
    <n v="34.43"/>
    <n v="4.2699999999999996"/>
    <x v="2"/>
    <s v="No"/>
    <s v="yes"/>
    <s v="No"/>
    <n v="1"/>
    <x v="1"/>
    <x v="2"/>
  </r>
  <r>
    <x v="2283"/>
    <n v="34.1"/>
    <n v="4.07"/>
    <x v="2"/>
    <s v="No"/>
    <s v="yes"/>
    <s v="No"/>
    <n v="1"/>
    <x v="1"/>
    <x v="2"/>
  </r>
  <r>
    <x v="2284"/>
    <n v="19.3"/>
    <n v="10.36"/>
    <x v="0"/>
    <s v="No"/>
    <s v="No"/>
    <s v="No"/>
    <n v="0"/>
    <x v="1"/>
    <x v="2"/>
  </r>
  <r>
    <x v="2285"/>
    <n v="33.659999999999997"/>
    <n v="5.71"/>
    <x v="1"/>
    <s v="No"/>
    <s v="yes"/>
    <s v="No"/>
    <n v="1"/>
    <x v="1"/>
    <x v="2"/>
  </r>
  <r>
    <x v="2286"/>
    <n v="33.33"/>
    <n v="6.08"/>
    <x v="1"/>
    <s v="No"/>
    <s v="yes"/>
    <s v="No"/>
    <n v="1"/>
    <x v="1"/>
    <x v="2"/>
  </r>
  <r>
    <x v="2287"/>
    <n v="21.84"/>
    <n v="5.71"/>
    <x v="1"/>
    <s v="No"/>
    <s v="yes"/>
    <s v="No"/>
    <n v="1"/>
    <x v="1"/>
    <x v="2"/>
  </r>
  <r>
    <x v="2288"/>
    <n v="16.87"/>
    <n v="9.1300000000000008"/>
    <x v="0"/>
    <s v="No"/>
    <s v="No"/>
    <s v="No"/>
    <n v="0"/>
    <x v="1"/>
    <x v="3"/>
  </r>
  <r>
    <x v="2289"/>
    <n v="30.14"/>
    <n v="5.49"/>
    <x v="2"/>
    <s v="No"/>
    <s v="yes"/>
    <s v="No"/>
    <n v="1"/>
    <x v="1"/>
    <x v="2"/>
  </r>
  <r>
    <x v="2290"/>
    <n v="23.21"/>
    <n v="4.37"/>
    <x v="2"/>
    <s v="No"/>
    <s v="yes"/>
    <s v="No"/>
    <n v="1"/>
    <x v="1"/>
    <x v="2"/>
  </r>
  <r>
    <x v="2291"/>
    <n v="17.170000000000002"/>
    <n v="8.4600000000000009"/>
    <x v="0"/>
    <s v="No"/>
    <s v="No"/>
    <s v="No"/>
    <n v="0"/>
    <x v="1"/>
    <x v="3"/>
  </r>
  <r>
    <x v="2292"/>
    <n v="15.61"/>
    <n v="5.28"/>
    <x v="2"/>
    <s v="No"/>
    <s v="No"/>
    <s v="No"/>
    <n v="1"/>
    <x v="1"/>
    <x v="3"/>
  </r>
  <r>
    <x v="2293"/>
    <n v="17.98"/>
    <n v="5.33"/>
    <x v="2"/>
    <s v="yes"/>
    <s v="No"/>
    <s v="Yes"/>
    <n v="1"/>
    <x v="1"/>
    <x v="3"/>
  </r>
  <r>
    <x v="2294"/>
    <n v="21.64"/>
    <n v="5.5"/>
    <x v="2"/>
    <s v="No"/>
    <s v="yes"/>
    <s v="No"/>
    <n v="1"/>
    <x v="1"/>
    <x v="2"/>
  </r>
  <r>
    <x v="2295"/>
    <n v="16.399999999999999"/>
    <n v="5.4"/>
    <x v="2"/>
    <s v="No"/>
    <s v="No"/>
    <s v="Yes"/>
    <n v="1"/>
    <x v="1"/>
    <x v="3"/>
  </r>
  <r>
    <x v="2296"/>
    <n v="15.77"/>
    <n v="6.05"/>
    <x v="1"/>
    <s v="yes"/>
    <s v="No"/>
    <s v="No"/>
    <n v="1"/>
    <x v="1"/>
    <x v="3"/>
  </r>
  <r>
    <x v="2297"/>
    <n v="18.27"/>
    <n v="11.46"/>
    <x v="0"/>
    <s v="No"/>
    <s v="No"/>
    <s v="No"/>
    <n v="0"/>
    <x v="1"/>
    <x v="3"/>
  </r>
  <r>
    <x v="2298"/>
    <n v="16.489999999999998"/>
    <n v="8.48"/>
    <x v="0"/>
    <s v="No"/>
    <s v="No"/>
    <s v="No"/>
    <n v="0"/>
    <x v="1"/>
    <x v="3"/>
  </r>
  <r>
    <x v="2299"/>
    <n v="16.14"/>
    <n v="4.8600000000000003"/>
    <x v="2"/>
    <s v="No"/>
    <s v="No"/>
    <s v="No"/>
    <n v="0"/>
    <x v="1"/>
    <x v="3"/>
  </r>
  <r>
    <x v="2300"/>
    <n v="20.85"/>
    <n v="4.45"/>
    <x v="2"/>
    <s v="yes"/>
    <s v="No"/>
    <s v="No"/>
    <n v="1"/>
    <x v="1"/>
    <x v="2"/>
  </r>
  <r>
    <x v="2301"/>
    <n v="15.88"/>
    <n v="4.3600000000000003"/>
    <x v="2"/>
    <s v="No"/>
    <s v="No"/>
    <s v="No"/>
    <n v="0"/>
    <x v="1"/>
    <x v="3"/>
  </r>
  <r>
    <x v="2302"/>
    <n v="20.66"/>
    <n v="5.8"/>
    <x v="1"/>
    <s v="No"/>
    <s v="yes"/>
    <s v="No"/>
    <n v="1"/>
    <x v="1"/>
    <x v="2"/>
  </r>
  <r>
    <x v="2303"/>
    <n v="20.399999999999999"/>
    <n v="5.27"/>
    <x v="2"/>
    <s v="No"/>
    <s v="No"/>
    <s v="No"/>
    <n v="0"/>
    <x v="1"/>
    <x v="2"/>
  </r>
  <r>
    <x v="2304"/>
    <n v="25.19"/>
    <n v="5.64"/>
    <x v="1"/>
    <s v="yes"/>
    <s v="No"/>
    <s v="No"/>
    <n v="0"/>
    <x v="1"/>
    <x v="2"/>
  </r>
  <r>
    <x v="2305"/>
    <n v="20.54"/>
    <n v="4.2"/>
    <x v="2"/>
    <s v="yes"/>
    <s v="No"/>
    <s v="No"/>
    <n v="1"/>
    <x v="1"/>
    <x v="2"/>
  </r>
  <r>
    <x v="2306"/>
    <n v="20.13"/>
    <n v="5.42"/>
    <x v="1"/>
    <s v="No"/>
    <s v="No"/>
    <s v="No"/>
    <n v="0"/>
    <x v="1"/>
    <x v="2"/>
  </r>
  <r>
    <x v="2307"/>
    <n v="18.93"/>
    <n v="6.11"/>
    <x v="1"/>
    <s v="No"/>
    <s v="No"/>
    <s v="Yes"/>
    <n v="1"/>
    <x v="1"/>
    <x v="2"/>
  </r>
  <r>
    <x v="2308"/>
    <n v="24.14"/>
    <n v="5.29"/>
    <x v="2"/>
    <s v="No"/>
    <s v="yes"/>
    <s v="No"/>
    <n v="1"/>
    <x v="1"/>
    <x v="2"/>
  </r>
  <r>
    <x v="2309"/>
    <n v="25.03"/>
    <n v="5.91"/>
    <x v="1"/>
    <s v="No"/>
    <s v="yes"/>
    <s v="No"/>
    <n v="1"/>
    <x v="1"/>
    <x v="2"/>
  </r>
  <r>
    <x v="2310"/>
    <n v="20.47"/>
    <n v="5.81"/>
    <x v="1"/>
    <s v="yes"/>
    <s v="No"/>
    <s v="No"/>
    <n v="1"/>
    <x v="1"/>
    <x v="2"/>
  </r>
  <r>
    <x v="2311"/>
    <n v="18.82"/>
    <n v="5.51"/>
    <x v="1"/>
    <s v="yes"/>
    <s v="No"/>
    <s v="No"/>
    <n v="0"/>
    <x v="1"/>
    <x v="2"/>
  </r>
  <r>
    <x v="2312"/>
    <n v="17.079999999999998"/>
    <n v="5.73"/>
    <x v="1"/>
    <s v="No"/>
    <s v="No"/>
    <s v="Yes"/>
    <n v="1"/>
    <x v="1"/>
    <x v="3"/>
  </r>
  <r>
    <x v="2313"/>
    <n v="19.21"/>
    <n v="5.53"/>
    <x v="1"/>
    <s v="yes"/>
    <s v="No"/>
    <s v="No"/>
    <n v="0"/>
    <x v="1"/>
    <x v="2"/>
  </r>
  <r>
    <x v="2314"/>
    <n v="17.86"/>
    <n v="5.43"/>
    <x v="2"/>
    <s v="No"/>
    <s v="No"/>
    <s v="Yes"/>
    <n v="1"/>
    <x v="1"/>
    <x v="3"/>
  </r>
  <r>
    <x v="2315"/>
    <n v="21.38"/>
    <n v="8.01"/>
    <x v="0"/>
    <s v="No"/>
    <s v="No"/>
    <s v="No"/>
    <n v="0"/>
    <x v="1"/>
    <x v="2"/>
  </r>
  <r>
    <x v="2316"/>
    <n v="23.35"/>
    <n v="5.94"/>
    <x v="1"/>
    <s v="No"/>
    <s v="No"/>
    <s v="No"/>
    <n v="0"/>
    <x v="1"/>
    <x v="2"/>
  </r>
  <r>
    <x v="2317"/>
    <n v="22.24"/>
    <n v="5.04"/>
    <x v="1"/>
    <s v="No"/>
    <s v="No"/>
    <s v="No"/>
    <n v="0"/>
    <x v="1"/>
    <x v="2"/>
  </r>
  <r>
    <x v="2318"/>
    <n v="24.76"/>
    <n v="4.54"/>
    <x v="2"/>
    <s v="yes"/>
    <s v="No"/>
    <s v="No"/>
    <n v="0"/>
    <x v="1"/>
    <x v="2"/>
  </r>
  <r>
    <x v="2319"/>
    <n v="20.100000000000001"/>
    <n v="5.6"/>
    <x v="1"/>
    <s v="yes"/>
    <s v="No"/>
    <s v="Yes"/>
    <n v="1"/>
    <x v="1"/>
    <x v="2"/>
  </r>
  <r>
    <x v="2320"/>
    <n v="21.77"/>
    <n v="10.67"/>
    <x v="0"/>
    <s v="No"/>
    <s v="No"/>
    <s v="No"/>
    <n v="0"/>
    <x v="1"/>
    <x v="2"/>
  </r>
  <r>
    <x v="2321"/>
    <n v="17.82"/>
    <n v="5.26"/>
    <x v="2"/>
    <s v="yes"/>
    <s v="No"/>
    <s v="No"/>
    <n v="1"/>
    <x v="1"/>
    <x v="3"/>
  </r>
  <r>
    <x v="2322"/>
    <n v="17.07"/>
    <n v="5.22"/>
    <x v="2"/>
    <s v="No"/>
    <s v="No"/>
    <s v="Yes"/>
    <n v="1"/>
    <x v="1"/>
    <x v="3"/>
  </r>
  <r>
    <x v="2323"/>
    <n v="22.24"/>
    <n v="4.29"/>
    <x v="2"/>
    <s v="yes"/>
    <s v="No"/>
    <s v="No"/>
    <n v="0"/>
    <x v="1"/>
    <x v="2"/>
  </r>
  <r>
    <x v="2324"/>
    <n v="22.34"/>
    <n v="5.57"/>
    <x v="1"/>
    <s v="No"/>
    <s v="No"/>
    <s v="No"/>
    <n v="1"/>
    <x v="1"/>
    <x v="2"/>
  </r>
  <r>
    <x v="2325"/>
    <n v="17.7"/>
    <n v="6.28"/>
    <x v="1"/>
    <s v="No"/>
    <s v="No"/>
    <s v="No"/>
    <n v="1"/>
    <x v="1"/>
    <x v="3"/>
  </r>
  <r>
    <x v="2326"/>
    <n v="16.47"/>
    <n v="6.35"/>
    <x v="1"/>
    <s v="No"/>
    <s v="No"/>
    <s v="Yes"/>
    <n v="1"/>
    <x v="1"/>
    <x v="3"/>
  </r>
  <r>
    <x v="2327"/>
    <n v="17.600000000000001"/>
    <n v="4.3899999999999997"/>
    <x v="2"/>
    <s v="No"/>
    <s v="No"/>
    <s v="No"/>
    <n v="1"/>
    <x v="1"/>
    <x v="3"/>
  </r>
  <r>
    <x v="2328"/>
    <n v="17.579999999999998"/>
    <n v="4.51"/>
    <x v="2"/>
    <s v="No"/>
    <s v="No"/>
    <s v="No"/>
    <n v="1"/>
    <x v="1"/>
    <x v="3"/>
  </r>
  <r>
    <x v="2329"/>
    <n v="23.98"/>
    <n v="4.9000000000000004"/>
    <x v="2"/>
    <s v="No"/>
    <s v="No"/>
    <s v="No"/>
    <n v="0"/>
    <x v="1"/>
    <x v="2"/>
  </r>
  <r>
    <x v="2330"/>
    <n v="23.98"/>
    <n v="4.9000000000000004"/>
    <x v="2"/>
    <s v="No"/>
    <s v="No"/>
    <s v="No"/>
    <n v="0"/>
    <x v="1"/>
    <x v="2"/>
  </r>
  <r>
    <x v="2331"/>
    <n v="25.175000000000001"/>
    <n v="4.96"/>
    <x v="2"/>
    <s v="No"/>
    <s v="yes"/>
    <s v="No"/>
    <n v="1"/>
    <x v="1"/>
    <x v="2"/>
  </r>
  <r>
    <x v="2332"/>
    <n v="23.98"/>
    <n v="4.9000000000000004"/>
    <x v="2"/>
    <s v="No"/>
    <s v="No"/>
    <s v="No"/>
    <n v="0"/>
    <x v="1"/>
    <x v="2"/>
  </r>
  <r>
    <x v="2333"/>
    <n v="25.175000000000001"/>
    <n v="4.96"/>
    <x v="2"/>
    <s v="No"/>
    <s v="yes"/>
    <s v="No"/>
    <n v="1"/>
    <x v="1"/>
    <x v="2"/>
  </r>
  <r>
    <x v="2334"/>
    <n v="23.98"/>
    <n v="4.9000000000000004"/>
    <x v="2"/>
    <s v="No"/>
    <s v="No"/>
    <s v="No"/>
    <n v="0"/>
    <x v="1"/>
    <x v="2"/>
  </r>
  <r>
    <x v="2335"/>
    <n v="25.175000000000001"/>
    <n v="4.96"/>
    <x v="2"/>
    <s v="No"/>
    <s v="yes"/>
    <s v="No"/>
    <n v="1"/>
    <x v="1"/>
    <x v="2"/>
  </r>
  <r>
    <x v="2336"/>
    <n v="23.98"/>
    <n v="4.9000000000000004"/>
    <x v="2"/>
    <s v="No"/>
    <s v="No"/>
    <s v="No"/>
    <n v="0"/>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682BB7-A4BC-4C5E-A6A8-C6F20D453F13}"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atient type">
  <location ref="A4:F8" firstHeaderRow="1" firstDataRow="2" firstDataCol="1" rowPageCount="1" colPageCount="1"/>
  <pivotFields count="10">
    <pivotField showAll="0">
      <items count="2338">
        <item x="2336"/>
        <item x="2327"/>
        <item x="2237"/>
        <item x="1335"/>
        <item x="1334"/>
        <item x="1333"/>
        <item x="1332"/>
        <item x="1331"/>
        <item x="1330"/>
        <item x="1329"/>
        <item x="1328"/>
        <item x="1327"/>
        <item x="1326"/>
        <item x="2236"/>
        <item x="1325"/>
        <item x="1324"/>
        <item x="1323"/>
        <item x="1322"/>
        <item x="1321"/>
        <item x="1320"/>
        <item x="1319"/>
        <item x="1318"/>
        <item x="1317"/>
        <item x="1316"/>
        <item x="2235"/>
        <item x="1315"/>
        <item x="1314"/>
        <item x="1313"/>
        <item x="1312"/>
        <item x="1311"/>
        <item x="1310"/>
        <item x="1309"/>
        <item x="1308"/>
        <item x="1307"/>
        <item x="1306"/>
        <item x="2234"/>
        <item x="1305"/>
        <item x="1304"/>
        <item x="1303"/>
        <item x="1302"/>
        <item x="1301"/>
        <item x="1300"/>
        <item x="1299"/>
        <item x="1298"/>
        <item x="1297"/>
        <item x="1296"/>
        <item x="2233"/>
        <item x="1295"/>
        <item x="1294"/>
        <item x="1293"/>
        <item x="1292"/>
        <item x="1291"/>
        <item x="1290"/>
        <item x="1289"/>
        <item x="1288"/>
        <item x="1287"/>
        <item x="1286"/>
        <item x="2232"/>
        <item x="1285"/>
        <item x="1284"/>
        <item x="1283"/>
        <item x="1282"/>
        <item x="1281"/>
        <item x="1280"/>
        <item x="1279"/>
        <item x="1278"/>
        <item x="1277"/>
        <item x="1276"/>
        <item x="2231"/>
        <item x="1275"/>
        <item x="1274"/>
        <item x="1273"/>
        <item x="1272"/>
        <item x="1271"/>
        <item x="1270"/>
        <item x="1269"/>
        <item x="1268"/>
        <item x="1267"/>
        <item x="1266"/>
        <item x="2230"/>
        <item x="1265"/>
        <item x="1264"/>
        <item x="1263"/>
        <item x="1262"/>
        <item x="1261"/>
        <item x="1260"/>
        <item x="1259"/>
        <item x="1258"/>
        <item x="1257"/>
        <item x="1256"/>
        <item x="2229"/>
        <item x="1255"/>
        <item x="1254"/>
        <item x="1253"/>
        <item x="1252"/>
        <item x="1251"/>
        <item x="1250"/>
        <item x="1249"/>
        <item x="1248"/>
        <item x="1247"/>
        <item x="1246"/>
        <item x="2228"/>
        <item x="1245"/>
        <item x="1244"/>
        <item x="1243"/>
        <item x="1242"/>
        <item x="1241"/>
        <item x="1240"/>
        <item x="1239"/>
        <item x="1238"/>
        <item x="1237"/>
        <item x="1236"/>
        <item x="2326"/>
        <item x="2227"/>
        <item x="1235"/>
        <item x="1234"/>
        <item x="1233"/>
        <item x="1232"/>
        <item x="1231"/>
        <item x="1230"/>
        <item x="1229"/>
        <item x="1228"/>
        <item x="1227"/>
        <item x="1226"/>
        <item x="2226"/>
        <item x="1225"/>
        <item x="1224"/>
        <item x="1223"/>
        <item x="1222"/>
        <item x="1221"/>
        <item x="1220"/>
        <item x="1219"/>
        <item x="1218"/>
        <item x="1217"/>
        <item x="1216"/>
        <item x="2225"/>
        <item x="1215"/>
        <item x="1214"/>
        <item x="1213"/>
        <item x="1212"/>
        <item x="1211"/>
        <item x="1210"/>
        <item x="1209"/>
        <item x="1208"/>
        <item x="1207"/>
        <item x="1206"/>
        <item x="2224"/>
        <item x="1205"/>
        <item x="1204"/>
        <item x="1203"/>
        <item x="1202"/>
        <item x="1201"/>
        <item x="1200"/>
        <item x="1199"/>
        <item x="1198"/>
        <item x="1197"/>
        <item x="1196"/>
        <item x="2223"/>
        <item x="1195"/>
        <item x="1194"/>
        <item x="1193"/>
        <item x="1192"/>
        <item x="1191"/>
        <item x="1190"/>
        <item x="1189"/>
        <item x="1188"/>
        <item x="1187"/>
        <item x="1186"/>
        <item x="2222"/>
        <item x="1185"/>
        <item x="1184"/>
        <item x="1183"/>
        <item x="1182"/>
        <item x="1181"/>
        <item x="1180"/>
        <item x="1179"/>
        <item x="1178"/>
        <item x="1177"/>
        <item x="1176"/>
        <item x="2221"/>
        <item x="1175"/>
        <item x="1174"/>
        <item x="1173"/>
        <item x="1172"/>
        <item x="1171"/>
        <item x="1170"/>
        <item x="1169"/>
        <item x="1168"/>
        <item x="1167"/>
        <item x="1166"/>
        <item x="2220"/>
        <item x="1165"/>
        <item x="1164"/>
        <item x="1163"/>
        <item x="1162"/>
        <item x="1161"/>
        <item x="1160"/>
        <item x="1159"/>
        <item x="1158"/>
        <item x="1157"/>
        <item x="1156"/>
        <item x="2219"/>
        <item x="1155"/>
        <item x="1154"/>
        <item x="1153"/>
        <item x="1152"/>
        <item x="1151"/>
        <item x="1150"/>
        <item x="1149"/>
        <item x="1148"/>
        <item x="1147"/>
        <item x="1146"/>
        <item x="2218"/>
        <item x="1145"/>
        <item x="1144"/>
        <item x="1143"/>
        <item x="1142"/>
        <item x="1141"/>
        <item x="1140"/>
        <item x="1139"/>
        <item x="1138"/>
        <item x="1137"/>
        <item x="1136"/>
        <item x="2325"/>
        <item x="2217"/>
        <item x="1135"/>
        <item x="1134"/>
        <item x="1133"/>
        <item x="1132"/>
        <item x="1131"/>
        <item x="1130"/>
        <item x="1129"/>
        <item x="1128"/>
        <item x="1127"/>
        <item x="1126"/>
        <item x="2216"/>
        <item x="1125"/>
        <item x="1124"/>
        <item x="1123"/>
        <item x="1122"/>
        <item x="1121"/>
        <item x="1120"/>
        <item x="1119"/>
        <item x="1118"/>
        <item x="1117"/>
        <item x="1116"/>
        <item x="2215"/>
        <item x="1115"/>
        <item x="1114"/>
        <item x="1113"/>
        <item x="1112"/>
        <item x="1111"/>
        <item x="1110"/>
        <item x="1109"/>
        <item x="1108"/>
        <item x="1107"/>
        <item x="1106"/>
        <item x="2214"/>
        <item x="1105"/>
        <item x="1104"/>
        <item x="1103"/>
        <item x="1102"/>
        <item x="1101"/>
        <item x="1100"/>
        <item x="1099"/>
        <item x="1098"/>
        <item x="1097"/>
        <item x="1096"/>
        <item x="2213"/>
        <item x="1095"/>
        <item x="1094"/>
        <item x="1093"/>
        <item x="1092"/>
        <item x="1091"/>
        <item x="1090"/>
        <item x="1089"/>
        <item x="1088"/>
        <item x="1087"/>
        <item x="1086"/>
        <item x="2212"/>
        <item x="1085"/>
        <item x="1084"/>
        <item x="1083"/>
        <item x="1082"/>
        <item x="1081"/>
        <item x="1080"/>
        <item x="1079"/>
        <item x="1078"/>
        <item x="1077"/>
        <item x="1076"/>
        <item x="2211"/>
        <item x="1075"/>
        <item x="1074"/>
        <item x="1073"/>
        <item x="1072"/>
        <item x="1071"/>
        <item x="1070"/>
        <item x="1069"/>
        <item x="1068"/>
        <item x="1067"/>
        <item x="1066"/>
        <item x="2210"/>
        <item x="1065"/>
        <item x="1064"/>
        <item x="1063"/>
        <item x="1062"/>
        <item x="1061"/>
        <item x="1060"/>
        <item x="1059"/>
        <item x="1058"/>
        <item x="1057"/>
        <item x="1056"/>
        <item x="2209"/>
        <item x="1055"/>
        <item x="1054"/>
        <item x="1053"/>
        <item x="1052"/>
        <item x="1051"/>
        <item x="1050"/>
        <item x="1049"/>
        <item x="1048"/>
        <item x="1047"/>
        <item x="1046"/>
        <item x="2208"/>
        <item x="1045"/>
        <item x="1044"/>
        <item x="1043"/>
        <item x="1042"/>
        <item x="1041"/>
        <item x="1040"/>
        <item x="1039"/>
        <item x="1038"/>
        <item x="1037"/>
        <item x="1036"/>
        <item x="2324"/>
        <item x="2207"/>
        <item x="1035"/>
        <item x="1034"/>
        <item x="1033"/>
        <item x="1032"/>
        <item x="1031"/>
        <item x="1030"/>
        <item x="1029"/>
        <item x="1028"/>
        <item x="1027"/>
        <item x="1026"/>
        <item x="2206"/>
        <item x="1025"/>
        <item x="1024"/>
        <item x="1023"/>
        <item x="1022"/>
        <item x="1021"/>
        <item x="1020"/>
        <item x="1019"/>
        <item x="1018"/>
        <item x="1017"/>
        <item x="1016"/>
        <item x="2205"/>
        <item x="1015"/>
        <item x="1014"/>
        <item x="1013"/>
        <item x="1012"/>
        <item x="1011"/>
        <item x="1010"/>
        <item x="1009"/>
        <item x="1008"/>
        <item x="1007"/>
        <item x="1006"/>
        <item x="2204"/>
        <item x="1005"/>
        <item x="1004"/>
        <item x="1003"/>
        <item x="1002"/>
        <item x="1001"/>
        <item x="1000"/>
        <item x="999"/>
        <item x="998"/>
        <item x="997"/>
        <item x="996"/>
        <item x="2203"/>
        <item x="995"/>
        <item x="994"/>
        <item x="993"/>
        <item x="992"/>
        <item x="991"/>
        <item x="990"/>
        <item x="989"/>
        <item x="988"/>
        <item x="987"/>
        <item x="986"/>
        <item x="2202"/>
        <item x="985"/>
        <item x="984"/>
        <item x="983"/>
        <item x="982"/>
        <item x="981"/>
        <item x="980"/>
        <item x="979"/>
        <item x="978"/>
        <item x="977"/>
        <item x="976"/>
        <item x="2201"/>
        <item x="975"/>
        <item x="974"/>
        <item x="973"/>
        <item x="972"/>
        <item x="971"/>
        <item x="970"/>
        <item x="969"/>
        <item x="968"/>
        <item x="967"/>
        <item x="966"/>
        <item x="2200"/>
        <item x="965"/>
        <item x="964"/>
        <item x="963"/>
        <item x="962"/>
        <item x="961"/>
        <item x="960"/>
        <item x="959"/>
        <item x="958"/>
        <item x="957"/>
        <item x="956"/>
        <item x="2199"/>
        <item x="955"/>
        <item x="954"/>
        <item x="953"/>
        <item x="952"/>
        <item x="951"/>
        <item x="950"/>
        <item x="949"/>
        <item x="948"/>
        <item x="947"/>
        <item x="946"/>
        <item x="2198"/>
        <item x="945"/>
        <item x="944"/>
        <item x="943"/>
        <item x="942"/>
        <item x="941"/>
        <item x="940"/>
        <item x="939"/>
        <item x="938"/>
        <item x="937"/>
        <item x="936"/>
        <item x="2323"/>
        <item x="2197"/>
        <item x="935"/>
        <item x="934"/>
        <item x="933"/>
        <item x="932"/>
        <item x="931"/>
        <item x="930"/>
        <item x="929"/>
        <item x="928"/>
        <item x="927"/>
        <item x="926"/>
        <item x="2196"/>
        <item x="925"/>
        <item x="924"/>
        <item x="923"/>
        <item x="922"/>
        <item x="921"/>
        <item x="920"/>
        <item x="919"/>
        <item x="918"/>
        <item x="917"/>
        <item x="916"/>
        <item x="2195"/>
        <item x="915"/>
        <item x="914"/>
        <item x="913"/>
        <item x="912"/>
        <item x="911"/>
        <item x="910"/>
        <item x="909"/>
        <item x="908"/>
        <item x="907"/>
        <item x="906"/>
        <item x="2194"/>
        <item x="905"/>
        <item x="904"/>
        <item x="903"/>
        <item x="902"/>
        <item x="901"/>
        <item x="900"/>
        <item x="899"/>
        <item x="898"/>
        <item x="897"/>
        <item x="896"/>
        <item x="2193"/>
        <item x="895"/>
        <item x="894"/>
        <item x="893"/>
        <item x="892"/>
        <item x="891"/>
        <item x="890"/>
        <item x="889"/>
        <item x="888"/>
        <item x="887"/>
        <item x="886"/>
        <item x="2192"/>
        <item x="885"/>
        <item x="884"/>
        <item x="883"/>
        <item x="882"/>
        <item x="881"/>
        <item x="880"/>
        <item x="879"/>
        <item x="878"/>
        <item x="877"/>
        <item x="876"/>
        <item x="2191"/>
        <item x="875"/>
        <item x="874"/>
        <item x="873"/>
        <item x="872"/>
        <item x="871"/>
        <item x="870"/>
        <item x="869"/>
        <item x="868"/>
        <item x="867"/>
        <item x="866"/>
        <item x="2190"/>
        <item x="865"/>
        <item x="864"/>
        <item x="863"/>
        <item x="862"/>
        <item x="861"/>
        <item x="860"/>
        <item x="859"/>
        <item x="858"/>
        <item x="857"/>
        <item x="856"/>
        <item x="2189"/>
        <item x="855"/>
        <item x="854"/>
        <item x="853"/>
        <item x="852"/>
        <item x="851"/>
        <item x="850"/>
        <item x="849"/>
        <item x="848"/>
        <item x="847"/>
        <item x="846"/>
        <item x="2188"/>
        <item x="845"/>
        <item x="844"/>
        <item x="843"/>
        <item x="842"/>
        <item x="841"/>
        <item x="840"/>
        <item x="839"/>
        <item x="838"/>
        <item x="837"/>
        <item x="836"/>
        <item x="2322"/>
        <item x="2187"/>
        <item x="835"/>
        <item x="834"/>
        <item x="833"/>
        <item x="832"/>
        <item x="831"/>
        <item x="830"/>
        <item x="829"/>
        <item x="828"/>
        <item x="827"/>
        <item x="826"/>
        <item x="2186"/>
        <item x="825"/>
        <item x="824"/>
        <item x="823"/>
        <item x="822"/>
        <item x="821"/>
        <item x="820"/>
        <item x="819"/>
        <item x="818"/>
        <item x="817"/>
        <item x="816"/>
        <item x="2185"/>
        <item x="815"/>
        <item x="814"/>
        <item x="813"/>
        <item x="812"/>
        <item x="811"/>
        <item x="810"/>
        <item x="809"/>
        <item x="808"/>
        <item x="807"/>
        <item x="806"/>
        <item x="2184"/>
        <item x="805"/>
        <item x="804"/>
        <item x="803"/>
        <item x="802"/>
        <item x="801"/>
        <item x="800"/>
        <item x="799"/>
        <item x="798"/>
        <item x="797"/>
        <item x="796"/>
        <item x="2183"/>
        <item x="795"/>
        <item x="794"/>
        <item x="793"/>
        <item x="792"/>
        <item x="791"/>
        <item x="790"/>
        <item x="789"/>
        <item x="788"/>
        <item x="787"/>
        <item x="786"/>
        <item x="2182"/>
        <item x="785"/>
        <item x="784"/>
        <item x="783"/>
        <item x="782"/>
        <item x="781"/>
        <item x="780"/>
        <item x="779"/>
        <item x="778"/>
        <item x="777"/>
        <item x="776"/>
        <item x="2181"/>
        <item x="775"/>
        <item x="774"/>
        <item x="773"/>
        <item x="772"/>
        <item x="771"/>
        <item x="770"/>
        <item x="769"/>
        <item x="768"/>
        <item x="767"/>
        <item x="766"/>
        <item x="2180"/>
        <item x="765"/>
        <item x="764"/>
        <item x="763"/>
        <item x="762"/>
        <item x="761"/>
        <item x="760"/>
        <item x="759"/>
        <item x="758"/>
        <item x="757"/>
        <item x="756"/>
        <item x="2179"/>
        <item x="755"/>
        <item x="754"/>
        <item x="753"/>
        <item x="752"/>
        <item x="751"/>
        <item x="750"/>
        <item x="749"/>
        <item x="748"/>
        <item x="747"/>
        <item x="746"/>
        <item x="2178"/>
        <item x="745"/>
        <item x="744"/>
        <item x="743"/>
        <item x="742"/>
        <item x="741"/>
        <item x="740"/>
        <item x="739"/>
        <item x="738"/>
        <item x="737"/>
        <item x="736"/>
        <item x="2321"/>
        <item x="2177"/>
        <item x="735"/>
        <item x="734"/>
        <item x="733"/>
        <item x="732"/>
        <item x="731"/>
        <item x="730"/>
        <item x="729"/>
        <item x="728"/>
        <item x="727"/>
        <item x="726"/>
        <item x="2176"/>
        <item x="725"/>
        <item x="724"/>
        <item x="723"/>
        <item x="722"/>
        <item x="721"/>
        <item x="720"/>
        <item x="719"/>
        <item x="718"/>
        <item x="717"/>
        <item x="716"/>
        <item x="2175"/>
        <item x="715"/>
        <item x="714"/>
        <item x="713"/>
        <item x="712"/>
        <item x="711"/>
        <item x="710"/>
        <item x="709"/>
        <item x="708"/>
        <item x="707"/>
        <item x="706"/>
        <item x="2174"/>
        <item x="705"/>
        <item x="704"/>
        <item x="703"/>
        <item x="702"/>
        <item x="701"/>
        <item x="700"/>
        <item x="699"/>
        <item x="698"/>
        <item x="697"/>
        <item x="696"/>
        <item x="2173"/>
        <item x="695"/>
        <item x="694"/>
        <item x="693"/>
        <item x="692"/>
        <item x="691"/>
        <item x="690"/>
        <item x="689"/>
        <item x="688"/>
        <item x="687"/>
        <item x="686"/>
        <item x="2172"/>
        <item x="685"/>
        <item x="684"/>
        <item x="683"/>
        <item x="682"/>
        <item x="681"/>
        <item x="680"/>
        <item x="679"/>
        <item x="678"/>
        <item x="677"/>
        <item x="676"/>
        <item x="2171"/>
        <item x="675"/>
        <item x="674"/>
        <item x="673"/>
        <item x="672"/>
        <item x="671"/>
        <item x="670"/>
        <item x="669"/>
        <item x="668"/>
        <item x="667"/>
        <item x="666"/>
        <item x="2170"/>
        <item x="665"/>
        <item x="664"/>
        <item x="663"/>
        <item x="662"/>
        <item x="661"/>
        <item x="660"/>
        <item x="659"/>
        <item x="658"/>
        <item x="657"/>
        <item x="656"/>
        <item x="2169"/>
        <item x="655"/>
        <item x="654"/>
        <item x="653"/>
        <item x="652"/>
        <item x="651"/>
        <item x="650"/>
        <item x="649"/>
        <item x="648"/>
        <item x="647"/>
        <item x="646"/>
        <item x="2168"/>
        <item x="645"/>
        <item x="644"/>
        <item x="643"/>
        <item x="642"/>
        <item x="641"/>
        <item x="640"/>
        <item x="639"/>
        <item x="638"/>
        <item x="637"/>
        <item x="636"/>
        <item x="2320"/>
        <item x="2167"/>
        <item x="635"/>
        <item x="634"/>
        <item x="633"/>
        <item x="632"/>
        <item x="631"/>
        <item x="630"/>
        <item x="629"/>
        <item x="628"/>
        <item x="627"/>
        <item x="626"/>
        <item x="2166"/>
        <item x="625"/>
        <item x="624"/>
        <item x="623"/>
        <item x="622"/>
        <item x="621"/>
        <item x="620"/>
        <item x="619"/>
        <item x="618"/>
        <item x="617"/>
        <item x="616"/>
        <item x="2165"/>
        <item x="615"/>
        <item x="614"/>
        <item x="613"/>
        <item x="612"/>
        <item x="611"/>
        <item x="610"/>
        <item x="609"/>
        <item x="608"/>
        <item x="607"/>
        <item x="606"/>
        <item x="2164"/>
        <item x="605"/>
        <item x="604"/>
        <item x="603"/>
        <item x="602"/>
        <item x="601"/>
        <item x="600"/>
        <item x="599"/>
        <item x="598"/>
        <item x="597"/>
        <item x="596"/>
        <item x="2163"/>
        <item x="595"/>
        <item x="594"/>
        <item x="593"/>
        <item x="592"/>
        <item x="591"/>
        <item x="590"/>
        <item x="589"/>
        <item x="588"/>
        <item x="587"/>
        <item x="586"/>
        <item x="2162"/>
        <item x="585"/>
        <item x="584"/>
        <item x="583"/>
        <item x="582"/>
        <item x="581"/>
        <item x="580"/>
        <item x="579"/>
        <item x="578"/>
        <item x="577"/>
        <item x="576"/>
        <item x="2161"/>
        <item x="575"/>
        <item x="574"/>
        <item x="573"/>
        <item x="572"/>
        <item x="571"/>
        <item x="570"/>
        <item x="569"/>
        <item x="568"/>
        <item x="567"/>
        <item x="566"/>
        <item x="2160"/>
        <item x="565"/>
        <item x="564"/>
        <item x="563"/>
        <item x="562"/>
        <item x="561"/>
        <item x="560"/>
        <item x="559"/>
        <item x="558"/>
        <item x="557"/>
        <item x="556"/>
        <item x="2159"/>
        <item x="555"/>
        <item x="554"/>
        <item x="553"/>
        <item x="552"/>
        <item x="551"/>
        <item x="550"/>
        <item x="549"/>
        <item x="548"/>
        <item x="547"/>
        <item x="546"/>
        <item x="2158"/>
        <item x="545"/>
        <item x="544"/>
        <item x="543"/>
        <item x="542"/>
        <item x="541"/>
        <item x="540"/>
        <item x="539"/>
        <item x="538"/>
        <item x="537"/>
        <item x="536"/>
        <item x="2319"/>
        <item x="2157"/>
        <item x="535"/>
        <item x="534"/>
        <item x="533"/>
        <item x="532"/>
        <item x="531"/>
        <item x="530"/>
        <item x="529"/>
        <item x="528"/>
        <item x="527"/>
        <item x="526"/>
        <item x="2156"/>
        <item x="525"/>
        <item x="524"/>
        <item x="523"/>
        <item x="522"/>
        <item x="521"/>
        <item x="520"/>
        <item x="519"/>
        <item x="518"/>
        <item x="517"/>
        <item x="516"/>
        <item x="2155"/>
        <item x="515"/>
        <item x="514"/>
        <item x="513"/>
        <item x="512"/>
        <item x="511"/>
        <item x="510"/>
        <item x="509"/>
        <item x="508"/>
        <item x="507"/>
        <item x="506"/>
        <item x="2154"/>
        <item x="505"/>
        <item x="504"/>
        <item x="503"/>
        <item x="502"/>
        <item x="501"/>
        <item x="500"/>
        <item x="499"/>
        <item x="498"/>
        <item x="497"/>
        <item x="496"/>
        <item x="2153"/>
        <item x="495"/>
        <item x="494"/>
        <item x="493"/>
        <item x="492"/>
        <item x="491"/>
        <item x="490"/>
        <item x="489"/>
        <item x="488"/>
        <item x="487"/>
        <item x="486"/>
        <item x="2152"/>
        <item x="485"/>
        <item x="484"/>
        <item x="483"/>
        <item x="482"/>
        <item x="481"/>
        <item x="480"/>
        <item x="479"/>
        <item x="478"/>
        <item x="477"/>
        <item x="476"/>
        <item x="2151"/>
        <item x="475"/>
        <item x="474"/>
        <item x="473"/>
        <item x="472"/>
        <item x="471"/>
        <item x="470"/>
        <item x="469"/>
        <item x="468"/>
        <item x="467"/>
        <item x="466"/>
        <item x="2150"/>
        <item x="465"/>
        <item x="464"/>
        <item x="463"/>
        <item x="462"/>
        <item x="461"/>
        <item x="460"/>
        <item x="459"/>
        <item x="458"/>
        <item x="457"/>
        <item x="456"/>
        <item x="2149"/>
        <item x="455"/>
        <item x="454"/>
        <item x="453"/>
        <item x="452"/>
        <item x="451"/>
        <item x="450"/>
        <item x="449"/>
        <item x="448"/>
        <item x="447"/>
        <item x="446"/>
        <item x="2148"/>
        <item x="445"/>
        <item x="444"/>
        <item x="443"/>
        <item x="442"/>
        <item x="441"/>
        <item x="440"/>
        <item x="439"/>
        <item x="438"/>
        <item x="437"/>
        <item x="436"/>
        <item x="2318"/>
        <item x="2147"/>
        <item x="435"/>
        <item x="434"/>
        <item x="433"/>
        <item x="432"/>
        <item x="431"/>
        <item x="430"/>
        <item x="429"/>
        <item x="428"/>
        <item x="427"/>
        <item x="426"/>
        <item x="2146"/>
        <item x="425"/>
        <item x="424"/>
        <item x="423"/>
        <item x="422"/>
        <item x="421"/>
        <item x="420"/>
        <item x="419"/>
        <item x="418"/>
        <item x="417"/>
        <item x="416"/>
        <item x="2145"/>
        <item x="415"/>
        <item x="414"/>
        <item x="413"/>
        <item x="412"/>
        <item x="411"/>
        <item x="410"/>
        <item x="409"/>
        <item x="408"/>
        <item x="407"/>
        <item x="406"/>
        <item x="2144"/>
        <item x="405"/>
        <item x="404"/>
        <item x="403"/>
        <item x="402"/>
        <item x="401"/>
        <item x="400"/>
        <item x="399"/>
        <item x="398"/>
        <item x="397"/>
        <item x="396"/>
        <item x="2143"/>
        <item x="395"/>
        <item x="394"/>
        <item x="393"/>
        <item x="392"/>
        <item x="391"/>
        <item x="390"/>
        <item x="389"/>
        <item x="388"/>
        <item x="387"/>
        <item x="386"/>
        <item x="2142"/>
        <item x="385"/>
        <item x="384"/>
        <item x="383"/>
        <item x="382"/>
        <item x="381"/>
        <item x="380"/>
        <item x="379"/>
        <item x="378"/>
        <item x="377"/>
        <item x="376"/>
        <item x="2141"/>
        <item x="375"/>
        <item x="374"/>
        <item x="373"/>
        <item x="372"/>
        <item x="371"/>
        <item x="370"/>
        <item x="369"/>
        <item x="368"/>
        <item x="367"/>
        <item x="366"/>
        <item x="2140"/>
        <item x="365"/>
        <item x="364"/>
        <item x="363"/>
        <item x="362"/>
        <item x="361"/>
        <item x="360"/>
        <item x="359"/>
        <item x="358"/>
        <item x="357"/>
        <item x="356"/>
        <item x="2139"/>
        <item x="355"/>
        <item x="354"/>
        <item x="353"/>
        <item x="352"/>
        <item x="351"/>
        <item x="350"/>
        <item x="349"/>
        <item x="348"/>
        <item x="347"/>
        <item x="346"/>
        <item x="2138"/>
        <item x="345"/>
        <item x="344"/>
        <item x="343"/>
        <item x="342"/>
        <item x="341"/>
        <item x="340"/>
        <item x="339"/>
        <item x="338"/>
        <item x="337"/>
        <item x="336"/>
        <item x="2335"/>
        <item x="2317"/>
        <item x="2137"/>
        <item x="335"/>
        <item x="334"/>
        <item x="333"/>
        <item x="332"/>
        <item x="331"/>
        <item x="330"/>
        <item x="329"/>
        <item x="328"/>
        <item x="327"/>
        <item x="326"/>
        <item x="2136"/>
        <item x="325"/>
        <item x="324"/>
        <item x="323"/>
        <item x="322"/>
        <item x="321"/>
        <item x="320"/>
        <item x="319"/>
        <item x="318"/>
        <item x="317"/>
        <item x="316"/>
        <item x="2135"/>
        <item x="315"/>
        <item x="314"/>
        <item x="313"/>
        <item x="312"/>
        <item x="311"/>
        <item x="310"/>
        <item x="309"/>
        <item x="308"/>
        <item x="307"/>
        <item x="306"/>
        <item x="2134"/>
        <item x="305"/>
        <item x="304"/>
        <item x="303"/>
        <item x="302"/>
        <item x="301"/>
        <item x="300"/>
        <item x="299"/>
        <item x="298"/>
        <item x="297"/>
        <item x="296"/>
        <item x="2133"/>
        <item x="295"/>
        <item x="294"/>
        <item x="293"/>
        <item x="292"/>
        <item x="291"/>
        <item x="290"/>
        <item x="289"/>
        <item x="288"/>
        <item x="287"/>
        <item x="286"/>
        <item x="2132"/>
        <item x="285"/>
        <item x="284"/>
        <item x="283"/>
        <item x="282"/>
        <item x="281"/>
        <item x="280"/>
        <item x="279"/>
        <item x="278"/>
        <item x="277"/>
        <item x="276"/>
        <item x="2131"/>
        <item x="275"/>
        <item x="274"/>
        <item x="273"/>
        <item x="272"/>
        <item x="271"/>
        <item x="270"/>
        <item x="269"/>
        <item x="268"/>
        <item x="267"/>
        <item x="266"/>
        <item x="2130"/>
        <item x="265"/>
        <item x="264"/>
        <item x="263"/>
        <item x="262"/>
        <item x="261"/>
        <item x="260"/>
        <item x="259"/>
        <item x="258"/>
        <item x="257"/>
        <item x="256"/>
        <item x="2129"/>
        <item x="255"/>
        <item x="254"/>
        <item x="253"/>
        <item x="252"/>
        <item x="251"/>
        <item x="250"/>
        <item x="249"/>
        <item x="248"/>
        <item x="247"/>
        <item x="246"/>
        <item x="2128"/>
        <item x="245"/>
        <item x="244"/>
        <item x="243"/>
        <item x="242"/>
        <item x="241"/>
        <item x="240"/>
        <item x="239"/>
        <item x="238"/>
        <item x="237"/>
        <item x="236"/>
        <item x="2316"/>
        <item x="2127"/>
        <item x="235"/>
        <item x="234"/>
        <item x="233"/>
        <item x="232"/>
        <item x="231"/>
        <item x="230"/>
        <item x="229"/>
        <item x="228"/>
        <item x="227"/>
        <item x="226"/>
        <item x="2126"/>
        <item x="225"/>
        <item x="224"/>
        <item x="223"/>
        <item x="222"/>
        <item x="221"/>
        <item x="220"/>
        <item x="219"/>
        <item x="218"/>
        <item x="217"/>
        <item x="216"/>
        <item x="2125"/>
        <item x="215"/>
        <item x="214"/>
        <item x="213"/>
        <item x="212"/>
        <item x="211"/>
        <item x="210"/>
        <item x="209"/>
        <item x="208"/>
        <item x="207"/>
        <item x="206"/>
        <item x="2124"/>
        <item x="205"/>
        <item x="204"/>
        <item x="203"/>
        <item x="202"/>
        <item x="201"/>
        <item x="200"/>
        <item x="199"/>
        <item x="198"/>
        <item x="197"/>
        <item x="196"/>
        <item x="2123"/>
        <item x="195"/>
        <item x="194"/>
        <item x="193"/>
        <item x="192"/>
        <item x="191"/>
        <item x="190"/>
        <item x="189"/>
        <item x="188"/>
        <item x="187"/>
        <item x="186"/>
        <item x="2122"/>
        <item x="185"/>
        <item x="184"/>
        <item x="183"/>
        <item x="182"/>
        <item x="181"/>
        <item x="180"/>
        <item x="179"/>
        <item x="178"/>
        <item x="177"/>
        <item x="176"/>
        <item x="2121"/>
        <item x="175"/>
        <item x="174"/>
        <item x="173"/>
        <item x="172"/>
        <item x="171"/>
        <item x="170"/>
        <item x="169"/>
        <item x="168"/>
        <item x="167"/>
        <item x="166"/>
        <item x="2120"/>
        <item x="165"/>
        <item x="164"/>
        <item x="163"/>
        <item x="162"/>
        <item x="161"/>
        <item x="160"/>
        <item x="159"/>
        <item x="158"/>
        <item x="157"/>
        <item x="156"/>
        <item x="2119"/>
        <item x="155"/>
        <item x="154"/>
        <item x="153"/>
        <item x="152"/>
        <item x="151"/>
        <item x="150"/>
        <item x="149"/>
        <item x="148"/>
        <item x="147"/>
        <item x="146"/>
        <item x="2118"/>
        <item x="145"/>
        <item x="144"/>
        <item x="143"/>
        <item x="142"/>
        <item x="141"/>
        <item x="140"/>
        <item x="139"/>
        <item x="138"/>
        <item x="137"/>
        <item x="136"/>
        <item x="2315"/>
        <item x="2117"/>
        <item x="135"/>
        <item x="134"/>
        <item x="133"/>
        <item x="132"/>
        <item x="131"/>
        <item x="130"/>
        <item x="129"/>
        <item x="128"/>
        <item x="127"/>
        <item x="126"/>
        <item x="2116"/>
        <item x="125"/>
        <item x="124"/>
        <item x="123"/>
        <item x="122"/>
        <item x="121"/>
        <item x="120"/>
        <item x="44"/>
        <item x="119"/>
        <item x="118"/>
        <item x="117"/>
        <item x="2115"/>
        <item x="116"/>
        <item x="115"/>
        <item x="114"/>
        <item x="113"/>
        <item x="112"/>
        <item x="111"/>
        <item x="110"/>
        <item x="109"/>
        <item x="108"/>
        <item x="107"/>
        <item x="2114"/>
        <item x="106"/>
        <item x="105"/>
        <item x="104"/>
        <item x="103"/>
        <item x="102"/>
        <item x="101"/>
        <item x="100"/>
        <item x="99"/>
        <item x="98"/>
        <item x="97"/>
        <item x="2113"/>
        <item x="96"/>
        <item x="95"/>
        <item x="94"/>
        <item x="93"/>
        <item x="92"/>
        <item x="91"/>
        <item x="90"/>
        <item x="89"/>
        <item x="88"/>
        <item x="87"/>
        <item x="2112"/>
        <item x="86"/>
        <item x="85"/>
        <item x="84"/>
        <item x="83"/>
        <item x="82"/>
        <item x="81"/>
        <item x="80"/>
        <item x="79"/>
        <item x="78"/>
        <item x="77"/>
        <item x="2111"/>
        <item x="76"/>
        <item x="75"/>
        <item x="74"/>
        <item x="73"/>
        <item x="72"/>
        <item x="71"/>
        <item x="70"/>
        <item x="69"/>
        <item x="68"/>
        <item x="67"/>
        <item x="2110"/>
        <item x="66"/>
        <item x="65"/>
        <item x="64"/>
        <item x="63"/>
        <item x="62"/>
        <item x="61"/>
        <item x="60"/>
        <item x="59"/>
        <item x="58"/>
        <item x="57"/>
        <item x="2109"/>
        <item x="56"/>
        <item x="55"/>
        <item x="54"/>
        <item x="52"/>
        <item x="51"/>
        <item x="50"/>
        <item x="49"/>
        <item x="48"/>
        <item x="47"/>
        <item x="46"/>
        <item x="2108"/>
        <item x="45"/>
        <item x="43"/>
        <item x="42"/>
        <item x="41"/>
        <item x="40"/>
        <item x="53"/>
        <item x="39"/>
        <item x="38"/>
        <item x="37"/>
        <item x="36"/>
        <item x="2314"/>
        <item x="2107"/>
        <item x="35"/>
        <item x="34"/>
        <item x="33"/>
        <item x="32"/>
        <item x="31"/>
        <item x="30"/>
        <item x="29"/>
        <item x="28"/>
        <item x="27"/>
        <item x="26"/>
        <item x="2106"/>
        <item x="25"/>
        <item x="24"/>
        <item x="23"/>
        <item x="22"/>
        <item x="21"/>
        <item x="20"/>
        <item x="19"/>
        <item x="18"/>
        <item x="17"/>
        <item x="16"/>
        <item x="2105"/>
        <item x="15"/>
        <item x="14"/>
        <item x="13"/>
        <item x="12"/>
        <item x="11"/>
        <item x="10"/>
        <item x="9"/>
        <item x="8"/>
        <item x="7"/>
        <item x="6"/>
        <item x="2104"/>
        <item x="5"/>
        <item x="4"/>
        <item x="3"/>
        <item x="2"/>
        <item x="1"/>
        <item x="0"/>
        <item x="2103"/>
        <item x="2102"/>
        <item x="2101"/>
        <item x="2100"/>
        <item x="2099"/>
        <item x="2098"/>
        <item x="2313"/>
        <item x="2097"/>
        <item x="2096"/>
        <item x="2094"/>
        <item x="2093"/>
        <item x="2092"/>
        <item x="1860"/>
        <item x="2091"/>
        <item x="2090"/>
        <item x="2089"/>
        <item x="2088"/>
        <item x="2087"/>
        <item x="2312"/>
        <item x="2086"/>
        <item x="2085"/>
        <item x="2084"/>
        <item x="2083"/>
        <item x="2082"/>
        <item x="2081"/>
        <item x="2080"/>
        <item x="2079"/>
        <item x="2078"/>
        <item x="2077"/>
        <item x="2311"/>
        <item x="2076"/>
        <item x="2075"/>
        <item x="2074"/>
        <item x="2073"/>
        <item x="2072"/>
        <item x="2071"/>
        <item x="2070"/>
        <item x="2069"/>
        <item x="2068"/>
        <item x="2067"/>
        <item x="2310"/>
        <item x="2066"/>
        <item x="2065"/>
        <item x="2064"/>
        <item x="2063"/>
        <item x="2062"/>
        <item x="2061"/>
        <item x="2060"/>
        <item x="2059"/>
        <item x="2058"/>
        <item x="2057"/>
        <item x="2309"/>
        <item x="2056"/>
        <item x="2055"/>
        <item x="2054"/>
        <item x="2053"/>
        <item x="2052"/>
        <item x="2051"/>
        <item x="2050"/>
        <item x="2049"/>
        <item x="2048"/>
        <item x="2047"/>
        <item x="2308"/>
        <item x="2046"/>
        <item x="2045"/>
        <item x="2044"/>
        <item x="2043"/>
        <item x="2042"/>
        <item x="2041"/>
        <item x="2040"/>
        <item x="2039"/>
        <item x="2038"/>
        <item x="2037"/>
        <item x="2334"/>
        <item x="2307"/>
        <item x="2036"/>
        <item x="2035"/>
        <item x="2034"/>
        <item x="2033"/>
        <item x="2032"/>
        <item x="2031"/>
        <item x="2030"/>
        <item x="2029"/>
        <item x="2028"/>
        <item x="2027"/>
        <item x="2306"/>
        <item x="2026"/>
        <item x="2025"/>
        <item x="2024"/>
        <item x="2023"/>
        <item x="2022"/>
        <item x="2021"/>
        <item x="2020"/>
        <item x="2019"/>
        <item x="2018"/>
        <item x="2017"/>
        <item x="2305"/>
        <item x="2016"/>
        <item x="2015"/>
        <item x="2014"/>
        <item x="2013"/>
        <item x="2012"/>
        <item x="2011"/>
        <item x="2010"/>
        <item x="2009"/>
        <item x="2008"/>
        <item x="2007"/>
        <item x="2304"/>
        <item x="2006"/>
        <item x="2005"/>
        <item x="2004"/>
        <item x="2003"/>
        <item x="2002"/>
        <item x="2001"/>
        <item x="2000"/>
        <item x="1999"/>
        <item x="1998"/>
        <item x="1997"/>
        <item x="2303"/>
        <item x="1996"/>
        <item x="1995"/>
        <item x="1994"/>
        <item x="1993"/>
        <item x="1992"/>
        <item x="2095"/>
        <item x="1991"/>
        <item x="1990"/>
        <item x="1989"/>
        <item x="1988"/>
        <item x="1987"/>
        <item x="2302"/>
        <item x="1986"/>
        <item x="1985"/>
        <item x="1984"/>
        <item x="1983"/>
        <item x="1982"/>
        <item x="1981"/>
        <item x="1980"/>
        <item x="1979"/>
        <item x="1978"/>
        <item x="1977"/>
        <item x="2301"/>
        <item x="1976"/>
        <item x="1975"/>
        <item x="1974"/>
        <item x="1973"/>
        <item x="1972"/>
        <item x="1971"/>
        <item x="1970"/>
        <item x="1969"/>
        <item x="1968"/>
        <item x="1967"/>
        <item x="2300"/>
        <item x="1966"/>
        <item x="1965"/>
        <item x="1964"/>
        <item x="1963"/>
        <item x="1962"/>
        <item x="1961"/>
        <item x="1960"/>
        <item x="1959"/>
        <item x="1958"/>
        <item x="1957"/>
        <item x="2299"/>
        <item x="1956"/>
        <item x="1955"/>
        <item x="1954"/>
        <item x="1953"/>
        <item x="1952"/>
        <item x="1951"/>
        <item x="1950"/>
        <item x="1949"/>
        <item x="1948"/>
        <item x="1947"/>
        <item x="2298"/>
        <item x="1946"/>
        <item x="1945"/>
        <item x="1944"/>
        <item x="1943"/>
        <item x="1942"/>
        <item x="1941"/>
        <item x="1940"/>
        <item x="1939"/>
        <item x="1938"/>
        <item x="1937"/>
        <item x="2333"/>
        <item x="2297"/>
        <item x="1936"/>
        <item x="1935"/>
        <item x="1934"/>
        <item x="1933"/>
        <item x="1932"/>
        <item x="1931"/>
        <item x="1930"/>
        <item x="1929"/>
        <item x="1928"/>
        <item x="1927"/>
        <item x="2296"/>
        <item x="1926"/>
        <item x="1925"/>
        <item x="1924"/>
        <item x="1923"/>
        <item x="1922"/>
        <item x="1921"/>
        <item x="1920"/>
        <item x="1919"/>
        <item x="1918"/>
        <item x="1917"/>
        <item x="2295"/>
        <item x="1916"/>
        <item x="1915"/>
        <item x="1914"/>
        <item x="1913"/>
        <item x="1912"/>
        <item x="1911"/>
        <item x="1910"/>
        <item x="1909"/>
        <item x="1908"/>
        <item x="1907"/>
        <item x="2294"/>
        <item x="1906"/>
        <item x="1905"/>
        <item x="1904"/>
        <item x="1903"/>
        <item x="1902"/>
        <item x="1901"/>
        <item x="1900"/>
        <item x="1899"/>
        <item x="1898"/>
        <item x="1897"/>
        <item x="2293"/>
        <item x="1896"/>
        <item x="1895"/>
        <item x="1894"/>
        <item x="1893"/>
        <item x="1892"/>
        <item x="1891"/>
        <item x="1890"/>
        <item x="1889"/>
        <item x="1888"/>
        <item x="1887"/>
        <item x="2292"/>
        <item x="1886"/>
        <item x="1885"/>
        <item x="1884"/>
        <item x="1883"/>
        <item x="1882"/>
        <item x="1881"/>
        <item x="1880"/>
        <item x="1879"/>
        <item x="1878"/>
        <item x="1877"/>
        <item x="2291"/>
        <item x="1876"/>
        <item x="1875"/>
        <item x="1874"/>
        <item x="1873"/>
        <item x="1872"/>
        <item x="1871"/>
        <item x="1870"/>
        <item x="1869"/>
        <item x="1868"/>
        <item x="1867"/>
        <item x="2290"/>
        <item x="1866"/>
        <item x="1865"/>
        <item x="1864"/>
        <item x="1863"/>
        <item x="1862"/>
        <item x="1861"/>
        <item x="1859"/>
        <item x="1858"/>
        <item x="1857"/>
        <item x="1856"/>
        <item x="2289"/>
        <item x="1855"/>
        <item x="1854"/>
        <item x="1853"/>
        <item x="1852"/>
        <item x="1851"/>
        <item x="1850"/>
        <item x="1849"/>
        <item x="1848"/>
        <item x="1847"/>
        <item x="1846"/>
        <item x="2288"/>
        <item x="1845"/>
        <item x="1844"/>
        <item x="1843"/>
        <item x="1842"/>
        <item x="1841"/>
        <item x="1840"/>
        <item x="1839"/>
        <item x="1838"/>
        <item x="1837"/>
        <item x="1836"/>
        <item x="2332"/>
        <item x="2287"/>
        <item x="1835"/>
        <item x="1834"/>
        <item x="1833"/>
        <item x="1832"/>
        <item x="1831"/>
        <item x="1830"/>
        <item x="1829"/>
        <item x="1828"/>
        <item x="1827"/>
        <item x="1826"/>
        <item x="2286"/>
        <item x="1825"/>
        <item x="1824"/>
        <item x="1823"/>
        <item x="1822"/>
        <item x="1821"/>
        <item x="1820"/>
        <item x="1819"/>
        <item x="1818"/>
        <item x="1817"/>
        <item x="1816"/>
        <item x="2285"/>
        <item x="1815"/>
        <item x="1814"/>
        <item x="1813"/>
        <item x="1812"/>
        <item x="1811"/>
        <item x="1810"/>
        <item x="1809"/>
        <item x="1808"/>
        <item x="1807"/>
        <item x="1806"/>
        <item x="2284"/>
        <item x="1805"/>
        <item x="1804"/>
        <item x="1803"/>
        <item x="1802"/>
        <item x="1801"/>
        <item x="1800"/>
        <item x="1799"/>
        <item x="1798"/>
        <item x="1797"/>
        <item x="1796"/>
        <item x="2283"/>
        <item x="1795"/>
        <item x="1794"/>
        <item x="1793"/>
        <item x="1792"/>
        <item x="1791"/>
        <item x="1790"/>
        <item x="1789"/>
        <item x="1788"/>
        <item x="1787"/>
        <item x="1786"/>
        <item x="2282"/>
        <item x="1785"/>
        <item x="1784"/>
        <item x="1783"/>
        <item x="1782"/>
        <item x="1781"/>
        <item x="1780"/>
        <item x="1779"/>
        <item x="1778"/>
        <item x="1777"/>
        <item x="1776"/>
        <item x="2281"/>
        <item x="1775"/>
        <item x="1774"/>
        <item x="1773"/>
        <item x="1772"/>
        <item x="1771"/>
        <item x="1770"/>
        <item x="1769"/>
        <item x="1768"/>
        <item x="1767"/>
        <item x="1766"/>
        <item x="2280"/>
        <item x="1765"/>
        <item x="1764"/>
        <item x="1763"/>
        <item x="1762"/>
        <item x="1761"/>
        <item x="1760"/>
        <item x="1759"/>
        <item x="1758"/>
        <item x="1757"/>
        <item x="1756"/>
        <item x="2279"/>
        <item x="1755"/>
        <item x="1754"/>
        <item x="1753"/>
        <item x="1752"/>
        <item x="1751"/>
        <item x="1750"/>
        <item x="1749"/>
        <item x="1748"/>
        <item x="1747"/>
        <item x="1746"/>
        <item x="2278"/>
        <item x="1745"/>
        <item x="1744"/>
        <item x="1743"/>
        <item x="1742"/>
        <item x="1741"/>
        <item x="1740"/>
        <item x="1739"/>
        <item x="1738"/>
        <item x="1737"/>
        <item x="1736"/>
        <item x="2331"/>
        <item x="2277"/>
        <item x="1735"/>
        <item x="1734"/>
        <item x="1733"/>
        <item x="1732"/>
        <item x="1731"/>
        <item x="1730"/>
        <item x="1729"/>
        <item x="1728"/>
        <item x="1727"/>
        <item x="1726"/>
        <item x="2276"/>
        <item x="1725"/>
        <item x="1724"/>
        <item x="1723"/>
        <item x="1722"/>
        <item x="1721"/>
        <item x="1720"/>
        <item x="1719"/>
        <item x="1718"/>
        <item x="1717"/>
        <item x="1716"/>
        <item x="2275"/>
        <item x="1715"/>
        <item x="1714"/>
        <item x="1713"/>
        <item x="1712"/>
        <item x="1711"/>
        <item x="1710"/>
        <item x="1709"/>
        <item x="1708"/>
        <item x="1707"/>
        <item x="1706"/>
        <item x="2274"/>
        <item x="1705"/>
        <item x="1704"/>
        <item x="1703"/>
        <item x="1702"/>
        <item x="1701"/>
        <item x="1700"/>
        <item x="1699"/>
        <item x="1698"/>
        <item x="1697"/>
        <item x="1696"/>
        <item x="2273"/>
        <item x="1695"/>
        <item x="1694"/>
        <item x="1693"/>
        <item x="1692"/>
        <item x="1691"/>
        <item x="1690"/>
        <item x="1689"/>
        <item x="1688"/>
        <item x="1687"/>
        <item x="1686"/>
        <item x="2272"/>
        <item x="1685"/>
        <item x="1684"/>
        <item x="1683"/>
        <item x="1682"/>
        <item x="1681"/>
        <item x="1680"/>
        <item x="1679"/>
        <item x="1678"/>
        <item x="1677"/>
        <item x="1676"/>
        <item x="2271"/>
        <item x="1675"/>
        <item x="1674"/>
        <item x="1673"/>
        <item x="1672"/>
        <item x="1671"/>
        <item x="1670"/>
        <item x="1669"/>
        <item x="1668"/>
        <item x="1667"/>
        <item x="1666"/>
        <item x="2270"/>
        <item x="1665"/>
        <item x="1664"/>
        <item x="1663"/>
        <item x="1662"/>
        <item x="1661"/>
        <item x="1660"/>
        <item x="1659"/>
        <item x="1658"/>
        <item x="1657"/>
        <item x="1656"/>
        <item x="2269"/>
        <item x="1655"/>
        <item x="1654"/>
        <item x="1653"/>
        <item x="1652"/>
        <item x="1651"/>
        <item x="1650"/>
        <item x="1649"/>
        <item x="1648"/>
        <item x="1647"/>
        <item x="1646"/>
        <item x="2268"/>
        <item x="1645"/>
        <item x="1644"/>
        <item x="1643"/>
        <item x="1642"/>
        <item x="1641"/>
        <item x="1640"/>
        <item x="1639"/>
        <item x="1638"/>
        <item x="1637"/>
        <item x="1636"/>
        <item x="2330"/>
        <item x="2267"/>
        <item x="1635"/>
        <item x="1634"/>
        <item x="1633"/>
        <item x="1632"/>
        <item x="1631"/>
        <item x="1630"/>
        <item x="1629"/>
        <item x="1628"/>
        <item x="1627"/>
        <item x="1626"/>
        <item x="2266"/>
        <item x="1625"/>
        <item x="1624"/>
        <item x="1623"/>
        <item x="1622"/>
        <item x="1621"/>
        <item x="1620"/>
        <item x="1619"/>
        <item x="1618"/>
        <item x="1617"/>
        <item x="1616"/>
        <item x="2265"/>
        <item x="1615"/>
        <item x="1614"/>
        <item x="1613"/>
        <item x="1612"/>
        <item x="1611"/>
        <item x="1610"/>
        <item x="1609"/>
        <item x="1608"/>
        <item x="1607"/>
        <item x="1606"/>
        <item x="2264"/>
        <item x="1605"/>
        <item x="1604"/>
        <item x="1603"/>
        <item x="1602"/>
        <item x="1601"/>
        <item x="1600"/>
        <item x="1599"/>
        <item x="1598"/>
        <item x="1597"/>
        <item x="1596"/>
        <item x="2263"/>
        <item x="1595"/>
        <item x="1594"/>
        <item x="1593"/>
        <item x="1592"/>
        <item x="1591"/>
        <item x="1590"/>
        <item x="1589"/>
        <item x="1588"/>
        <item x="1587"/>
        <item x="1586"/>
        <item x="2262"/>
        <item x="1585"/>
        <item x="1584"/>
        <item x="1583"/>
        <item x="1582"/>
        <item x="1581"/>
        <item x="1580"/>
        <item x="1579"/>
        <item x="1578"/>
        <item x="1577"/>
        <item x="1576"/>
        <item x="2261"/>
        <item x="1575"/>
        <item x="1574"/>
        <item x="1573"/>
        <item x="1572"/>
        <item x="1571"/>
        <item x="1570"/>
        <item x="1569"/>
        <item x="1568"/>
        <item x="1567"/>
        <item x="1566"/>
        <item x="2260"/>
        <item x="1565"/>
        <item x="1564"/>
        <item x="1563"/>
        <item x="1562"/>
        <item x="1561"/>
        <item x="1560"/>
        <item x="1559"/>
        <item x="1558"/>
        <item x="1557"/>
        <item x="1556"/>
        <item x="2259"/>
        <item x="1555"/>
        <item x="1554"/>
        <item x="1553"/>
        <item x="1552"/>
        <item x="1551"/>
        <item x="1550"/>
        <item x="1549"/>
        <item x="1548"/>
        <item x="1547"/>
        <item x="1546"/>
        <item x="2258"/>
        <item x="1545"/>
        <item x="1544"/>
        <item x="1543"/>
        <item x="1542"/>
        <item x="1541"/>
        <item x="1540"/>
        <item x="1539"/>
        <item x="1538"/>
        <item x="1537"/>
        <item x="1536"/>
        <item x="2329"/>
        <item x="2257"/>
        <item x="1535"/>
        <item x="1534"/>
        <item x="1533"/>
        <item x="1532"/>
        <item x="1531"/>
        <item x="1530"/>
        <item x="1529"/>
        <item x="1528"/>
        <item x="1527"/>
        <item x="1526"/>
        <item x="2256"/>
        <item x="1525"/>
        <item x="1524"/>
        <item x="1523"/>
        <item x="1522"/>
        <item x="1521"/>
        <item x="1520"/>
        <item x="1519"/>
        <item x="1518"/>
        <item x="1517"/>
        <item x="1516"/>
        <item x="2255"/>
        <item x="1515"/>
        <item x="1514"/>
        <item x="1513"/>
        <item x="1512"/>
        <item x="1511"/>
        <item x="1510"/>
        <item x="1509"/>
        <item x="1508"/>
        <item x="1507"/>
        <item x="1506"/>
        <item x="2254"/>
        <item x="1505"/>
        <item x="1504"/>
        <item x="1503"/>
        <item x="1502"/>
        <item x="1501"/>
        <item x="1500"/>
        <item x="1499"/>
        <item x="1498"/>
        <item x="1497"/>
        <item x="1496"/>
        <item x="2253"/>
        <item x="1495"/>
        <item x="1494"/>
        <item x="1493"/>
        <item x="1492"/>
        <item x="1491"/>
        <item x="1490"/>
        <item x="1489"/>
        <item x="1488"/>
        <item x="1487"/>
        <item x="1486"/>
        <item x="2252"/>
        <item x="1485"/>
        <item x="1484"/>
        <item x="1483"/>
        <item x="1482"/>
        <item x="1481"/>
        <item x="1480"/>
        <item x="1479"/>
        <item x="1478"/>
        <item x="1477"/>
        <item x="1476"/>
        <item x="2251"/>
        <item x="1475"/>
        <item x="1474"/>
        <item x="1473"/>
        <item x="1472"/>
        <item x="1471"/>
        <item x="1470"/>
        <item x="1469"/>
        <item x="1468"/>
        <item x="1467"/>
        <item x="1466"/>
        <item x="2250"/>
        <item x="1465"/>
        <item x="1464"/>
        <item x="1463"/>
        <item x="1462"/>
        <item x="1461"/>
        <item x="1460"/>
        <item x="1459"/>
        <item x="1458"/>
        <item x="1457"/>
        <item x="1456"/>
        <item x="2249"/>
        <item x="1455"/>
        <item x="1454"/>
        <item x="1453"/>
        <item x="1452"/>
        <item x="1451"/>
        <item x="1450"/>
        <item x="1449"/>
        <item x="1448"/>
        <item x="1447"/>
        <item x="1446"/>
        <item x="2248"/>
        <item x="1445"/>
        <item x="1444"/>
        <item x="1443"/>
        <item x="1442"/>
        <item x="1441"/>
        <item x="1440"/>
        <item x="1439"/>
        <item x="1438"/>
        <item x="1437"/>
        <item x="1436"/>
        <item x="2328"/>
        <item x="2247"/>
        <item x="1435"/>
        <item x="1434"/>
        <item x="1433"/>
        <item x="1432"/>
        <item x="1431"/>
        <item x="1430"/>
        <item x="1429"/>
        <item x="1428"/>
        <item x="1427"/>
        <item x="1426"/>
        <item x="2246"/>
        <item x="1425"/>
        <item x="1424"/>
        <item x="1423"/>
        <item x="1422"/>
        <item x="1421"/>
        <item x="1420"/>
        <item x="1419"/>
        <item x="1418"/>
        <item x="1417"/>
        <item x="1416"/>
        <item x="2245"/>
        <item x="1415"/>
        <item x="1414"/>
        <item x="1413"/>
        <item x="1412"/>
        <item x="1411"/>
        <item x="1410"/>
        <item x="1409"/>
        <item x="1408"/>
        <item x="1407"/>
        <item x="1406"/>
        <item x="2244"/>
        <item x="1405"/>
        <item x="1404"/>
        <item x="1403"/>
        <item x="1402"/>
        <item x="1401"/>
        <item x="1400"/>
        <item x="1399"/>
        <item x="1398"/>
        <item x="1397"/>
        <item x="1396"/>
        <item x="2243"/>
        <item x="1395"/>
        <item x="1394"/>
        <item x="1393"/>
        <item x="1392"/>
        <item x="1391"/>
        <item x="1390"/>
        <item x="1389"/>
        <item x="1388"/>
        <item x="1387"/>
        <item x="1386"/>
        <item x="2242"/>
        <item x="1385"/>
        <item x="1384"/>
        <item x="1383"/>
        <item x="1382"/>
        <item x="1381"/>
        <item x="1380"/>
        <item x="1379"/>
        <item x="1378"/>
        <item x="1377"/>
        <item x="1376"/>
        <item x="2241"/>
        <item x="1375"/>
        <item x="1374"/>
        <item x="1373"/>
        <item x="1372"/>
        <item x="1371"/>
        <item x="1370"/>
        <item x="1369"/>
        <item x="1368"/>
        <item x="1367"/>
        <item x="1366"/>
        <item x="2240"/>
        <item x="1365"/>
        <item x="1364"/>
        <item x="1363"/>
        <item x="1362"/>
        <item x="1361"/>
        <item x="1360"/>
        <item x="1359"/>
        <item x="1358"/>
        <item x="1357"/>
        <item x="1356"/>
        <item x="2239"/>
        <item x="1355"/>
        <item x="1354"/>
        <item x="1353"/>
        <item x="1352"/>
        <item x="1351"/>
        <item x="1350"/>
        <item x="1349"/>
        <item x="1348"/>
        <item x="1347"/>
        <item x="1346"/>
        <item x="2238"/>
        <item x="1345"/>
        <item x="1344"/>
        <item x="1343"/>
        <item x="1342"/>
        <item x="1341"/>
        <item x="1340"/>
        <item x="1339"/>
        <item x="1338"/>
        <item x="1337"/>
        <item x="1336"/>
        <item t="default"/>
      </items>
    </pivotField>
    <pivotField showAll="0"/>
    <pivotField showAll="0"/>
    <pivotField dataField="1" showAll="0">
      <items count="4">
        <item sd="0" x="0"/>
        <item sd="0" x="2"/>
        <item sd="0" x="1"/>
        <item t="default" sd="0"/>
      </items>
    </pivotField>
    <pivotField showAll="0"/>
    <pivotField showAll="0"/>
    <pivotField showAll="0">
      <items count="3">
        <item x="0"/>
        <item x="1"/>
        <item t="default"/>
      </items>
    </pivotField>
    <pivotField axis="axisPage" showAll="0">
      <items count="5">
        <item x="0"/>
        <item x="3"/>
        <item x="1"/>
        <item x="2"/>
        <item t="default"/>
      </items>
    </pivotField>
    <pivotField axis="axisRow" showAll="0">
      <items count="3">
        <item x="1"/>
        <item x="0"/>
        <item t="default"/>
      </items>
    </pivotField>
    <pivotField axis="axisCol" showAll="0">
      <items count="5">
        <item x="0"/>
        <item x="2"/>
        <item x="1"/>
        <item x="3"/>
        <item t="default"/>
      </items>
    </pivotField>
  </pivotFields>
  <rowFields count="1">
    <field x="8"/>
  </rowFields>
  <rowItems count="3">
    <i>
      <x/>
    </i>
    <i>
      <x v="1"/>
    </i>
    <i t="grand">
      <x/>
    </i>
  </rowItems>
  <colFields count="1">
    <field x="9"/>
  </colFields>
  <colItems count="5">
    <i>
      <x/>
    </i>
    <i>
      <x v="1"/>
    </i>
    <i>
      <x v="2"/>
    </i>
    <i>
      <x v="3"/>
    </i>
    <i t="grand">
      <x/>
    </i>
  </colItems>
  <pageFields count="1">
    <pageField fld="7" hier="-1"/>
  </pageFields>
  <dataFields count="1">
    <dataField name="Count of Diabetes status" fld="3" subtotal="count" baseField="0" baseItem="0"/>
  </dataFields>
  <chartFormats count="15">
    <chartFormat chart="0" format="8" series="1">
      <pivotArea type="data" outline="0" fieldPosition="0">
        <references count="1">
          <reference field="4294967294" count="1" selected="0">
            <x v="0"/>
          </reference>
        </references>
      </pivotArea>
    </chartFormat>
    <chartFormat chart="0" format="19" series="1">
      <pivotArea type="data" outline="0" fieldPosition="0">
        <references count="2">
          <reference field="4294967294" count="1" selected="0">
            <x v="0"/>
          </reference>
          <reference field="9" count="1" selected="0">
            <x v="1"/>
          </reference>
        </references>
      </pivotArea>
    </chartFormat>
    <chartFormat chart="0" format="20" series="1">
      <pivotArea type="data" outline="0" fieldPosition="0">
        <references count="2">
          <reference field="4294967294" count="1" selected="0">
            <x v="0"/>
          </reference>
          <reference field="9" count="1" selected="0">
            <x v="2"/>
          </reference>
        </references>
      </pivotArea>
    </chartFormat>
    <chartFormat chart="0" format="21" series="1">
      <pivotArea type="data" outline="0" fieldPosition="0">
        <references count="2">
          <reference field="4294967294" count="1" selected="0">
            <x v="0"/>
          </reference>
          <reference field="9" count="1" selected="0">
            <x v="3"/>
          </reference>
        </references>
      </pivotArea>
    </chartFormat>
    <chartFormat chart="0" format="30" series="1">
      <pivotArea type="data" outline="0" fieldPosition="0">
        <references count="2">
          <reference field="4294967294" count="1" selected="0">
            <x v="0"/>
          </reference>
          <reference field="9" count="1" selected="0">
            <x v="0"/>
          </reference>
        </references>
      </pivotArea>
    </chartFormat>
    <chartFormat chart="0" format="31">
      <pivotArea type="data" outline="0" fieldPosition="0">
        <references count="3">
          <reference field="4294967294" count="1" selected="0">
            <x v="0"/>
          </reference>
          <reference field="8" count="1" selected="0">
            <x v="0"/>
          </reference>
          <reference field="9" count="1" selected="0">
            <x v="0"/>
          </reference>
        </references>
      </pivotArea>
    </chartFormat>
    <chartFormat chart="0" format="32">
      <pivotArea type="data" outline="0" fieldPosition="0">
        <references count="3">
          <reference field="4294967294" count="1" selected="0">
            <x v="0"/>
          </reference>
          <reference field="8" count="1" selected="0">
            <x v="1"/>
          </reference>
          <reference field="9" count="1" selected="0">
            <x v="0"/>
          </reference>
        </references>
      </pivotArea>
    </chartFormat>
    <chartFormat chart="0" format="35">
      <pivotArea type="data" outline="0" fieldPosition="0">
        <references count="3">
          <reference field="4294967294" count="1" selected="0">
            <x v="0"/>
          </reference>
          <reference field="8" count="1" selected="0">
            <x v="0"/>
          </reference>
          <reference field="9" count="1" selected="0">
            <x v="1"/>
          </reference>
        </references>
      </pivotArea>
    </chartFormat>
    <chartFormat chart="0" format="36">
      <pivotArea type="data" outline="0" fieldPosition="0">
        <references count="3">
          <reference field="4294967294" count="1" selected="0">
            <x v="0"/>
          </reference>
          <reference field="8" count="1" selected="0">
            <x v="1"/>
          </reference>
          <reference field="9" count="1" selected="0">
            <x v="1"/>
          </reference>
        </references>
      </pivotArea>
    </chartFormat>
    <chartFormat chart="0" format="39">
      <pivotArea type="data" outline="0" fieldPosition="0">
        <references count="3">
          <reference field="4294967294" count="1" selected="0">
            <x v="0"/>
          </reference>
          <reference field="8" count="1" selected="0">
            <x v="0"/>
          </reference>
          <reference field="9" count="1" selected="0">
            <x v="2"/>
          </reference>
        </references>
      </pivotArea>
    </chartFormat>
    <chartFormat chart="0" format="40">
      <pivotArea type="data" outline="0" fieldPosition="0">
        <references count="3">
          <reference field="4294967294" count="1" selected="0">
            <x v="0"/>
          </reference>
          <reference field="8" count="1" selected="0">
            <x v="1"/>
          </reference>
          <reference field="9" count="1" selected="0">
            <x v="2"/>
          </reference>
        </references>
      </pivotArea>
    </chartFormat>
    <chartFormat chart="0" format="43">
      <pivotArea type="data" outline="0" fieldPosition="0">
        <references count="3">
          <reference field="4294967294" count="1" selected="0">
            <x v="0"/>
          </reference>
          <reference field="8" count="1" selected="0">
            <x v="0"/>
          </reference>
          <reference field="9" count="1" selected="0">
            <x v="3"/>
          </reference>
        </references>
      </pivotArea>
    </chartFormat>
    <chartFormat chart="0" format="44">
      <pivotArea type="data" outline="0" fieldPosition="0">
        <references count="3">
          <reference field="4294967294" count="1" selected="0">
            <x v="0"/>
          </reference>
          <reference field="8" count="1" selected="0">
            <x v="1"/>
          </reference>
          <reference field="9" count="1" selected="0">
            <x v="3"/>
          </reference>
        </references>
      </pivotArea>
    </chartFormat>
    <chartFormat chart="0" format="47" series="1">
      <pivotArea type="data" outline="0" fieldPosition="0">
        <references count="3">
          <reference field="4294967294" count="1" selected="0">
            <x v="0"/>
          </reference>
          <reference field="8" count="1" selected="0">
            <x v="0"/>
          </reference>
          <reference field="9" count="1" selected="0">
            <x v="3"/>
          </reference>
        </references>
      </pivotArea>
    </chartFormat>
    <chartFormat chart="0" format="48" series="1">
      <pivotArea type="data" outline="0" fieldPosition="0">
        <references count="3">
          <reference field="4294967294" count="1" selected="0">
            <x v="0"/>
          </reference>
          <reference field="8" count="1" selected="0">
            <x v="1"/>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0297C1-311B-4C50-9B62-905AC3E34200}" name="PivotTable15"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
  <location ref="A3:D9" firstHeaderRow="0" firstDataRow="1" firstDataCol="2"/>
  <pivotFields count="10">
    <pivotField compact="0" outline="0" showAll="0" defaultSubtotal="0">
      <items count="2337">
        <item x="2336"/>
        <item x="2327"/>
        <item x="2237"/>
        <item x="1335"/>
        <item x="1334"/>
        <item x="1333"/>
        <item x="1332"/>
        <item x="1331"/>
        <item x="1330"/>
        <item x="1329"/>
        <item x="1328"/>
        <item x="1327"/>
        <item x="1326"/>
        <item x="2236"/>
        <item x="1325"/>
        <item x="1324"/>
        <item x="1323"/>
        <item x="1322"/>
        <item x="1321"/>
        <item x="1320"/>
        <item x="1319"/>
        <item x="1318"/>
        <item x="1317"/>
        <item x="1316"/>
        <item x="2235"/>
        <item x="1315"/>
        <item x="1314"/>
        <item x="1313"/>
        <item x="1312"/>
        <item x="1311"/>
        <item x="1310"/>
        <item x="1309"/>
        <item x="1308"/>
        <item x="1307"/>
        <item x="1306"/>
        <item x="2234"/>
        <item x="1305"/>
        <item x="1304"/>
        <item x="1303"/>
        <item x="1302"/>
        <item x="1301"/>
        <item x="1300"/>
        <item x="1299"/>
        <item x="1298"/>
        <item x="1297"/>
        <item x="1296"/>
        <item x="2233"/>
        <item x="1295"/>
        <item x="1294"/>
        <item x="1293"/>
        <item x="1292"/>
        <item x="1291"/>
        <item x="1290"/>
        <item x="1289"/>
        <item x="1288"/>
        <item x="1287"/>
        <item x="1286"/>
        <item x="2232"/>
        <item x="1285"/>
        <item x="1284"/>
        <item x="1283"/>
        <item x="1282"/>
        <item x="1281"/>
        <item x="1280"/>
        <item x="1279"/>
        <item x="1278"/>
        <item x="1277"/>
        <item x="1276"/>
        <item x="2231"/>
        <item x="1275"/>
        <item x="1274"/>
        <item x="1273"/>
        <item x="1272"/>
        <item x="1271"/>
        <item x="1270"/>
        <item x="1269"/>
        <item x="1268"/>
        <item x="1267"/>
        <item x="1266"/>
        <item x="2230"/>
        <item x="1265"/>
        <item x="1264"/>
        <item x="1263"/>
        <item x="1262"/>
        <item x="1261"/>
        <item x="1260"/>
        <item x="1259"/>
        <item x="1258"/>
        <item x="1257"/>
        <item x="1256"/>
        <item x="2229"/>
        <item x="1255"/>
        <item x="1254"/>
        <item x="1253"/>
        <item x="1252"/>
        <item x="1251"/>
        <item x="1250"/>
        <item x="1249"/>
        <item x="1248"/>
        <item x="1247"/>
        <item x="1246"/>
        <item x="2228"/>
        <item x="1245"/>
        <item x="1244"/>
        <item x="1243"/>
        <item x="1242"/>
        <item x="1241"/>
        <item x="1240"/>
        <item x="1239"/>
        <item x="1238"/>
        <item x="1237"/>
        <item x="1236"/>
        <item x="2326"/>
        <item x="2227"/>
        <item x="1235"/>
        <item x="1234"/>
        <item x="1233"/>
        <item x="1232"/>
        <item x="1231"/>
        <item x="1230"/>
        <item x="1229"/>
        <item x="1228"/>
        <item x="1227"/>
        <item x="1226"/>
        <item x="2226"/>
        <item x="1225"/>
        <item x="1224"/>
        <item x="1223"/>
        <item x="1222"/>
        <item x="1221"/>
        <item x="1220"/>
        <item x="1219"/>
        <item x="1218"/>
        <item x="1217"/>
        <item x="1216"/>
        <item x="2225"/>
        <item x="1215"/>
        <item x="1214"/>
        <item x="1213"/>
        <item x="1212"/>
        <item x="1211"/>
        <item x="1210"/>
        <item x="1209"/>
        <item x="1208"/>
        <item x="1207"/>
        <item x="1206"/>
        <item x="2224"/>
        <item x="1205"/>
        <item x="1204"/>
        <item x="1203"/>
        <item x="1202"/>
        <item x="1201"/>
        <item x="1200"/>
        <item x="1199"/>
        <item x="1198"/>
        <item x="1197"/>
        <item x="1196"/>
        <item x="2223"/>
        <item x="1195"/>
        <item x="1194"/>
        <item x="1193"/>
        <item x="1192"/>
        <item x="1191"/>
        <item x="1190"/>
        <item x="1189"/>
        <item x="1188"/>
        <item x="1187"/>
        <item x="1186"/>
        <item x="2222"/>
        <item x="1185"/>
        <item x="1184"/>
        <item x="1183"/>
        <item x="1182"/>
        <item x="1181"/>
        <item x="1180"/>
        <item x="1179"/>
        <item x="1178"/>
        <item x="1177"/>
        <item x="1176"/>
        <item x="2221"/>
        <item x="1175"/>
        <item x="1174"/>
        <item x="1173"/>
        <item x="1172"/>
        <item x="1171"/>
        <item x="1170"/>
        <item x="1169"/>
        <item x="1168"/>
        <item x="1167"/>
        <item x="1166"/>
        <item x="2220"/>
        <item x="1165"/>
        <item x="1164"/>
        <item x="1163"/>
        <item x="1162"/>
        <item x="1161"/>
        <item x="1160"/>
        <item x="1159"/>
        <item x="1158"/>
        <item x="1157"/>
        <item x="1156"/>
        <item x="2219"/>
        <item x="1155"/>
        <item x="1154"/>
        <item x="1153"/>
        <item x="1152"/>
        <item x="1151"/>
        <item x="1150"/>
        <item x="1149"/>
        <item x="1148"/>
        <item x="1147"/>
        <item x="1146"/>
        <item x="2218"/>
        <item x="1145"/>
        <item x="1144"/>
        <item x="1143"/>
        <item x="1142"/>
        <item x="1141"/>
        <item x="1140"/>
        <item x="1139"/>
        <item x="1138"/>
        <item x="1137"/>
        <item x="1136"/>
        <item x="2325"/>
        <item x="2217"/>
        <item x="1135"/>
        <item x="1134"/>
        <item x="1133"/>
        <item x="1132"/>
        <item x="1131"/>
        <item x="1130"/>
        <item x="1129"/>
        <item x="1128"/>
        <item x="1127"/>
        <item x="1126"/>
        <item x="2216"/>
        <item x="1125"/>
        <item x="1124"/>
        <item x="1123"/>
        <item x="1122"/>
        <item x="1121"/>
        <item x="1120"/>
        <item x="1119"/>
        <item x="1118"/>
        <item x="1117"/>
        <item x="1116"/>
        <item x="2215"/>
        <item x="1115"/>
        <item x="1114"/>
        <item x="1113"/>
        <item x="1112"/>
        <item x="1111"/>
        <item x="1110"/>
        <item x="1109"/>
        <item x="1108"/>
        <item x="1107"/>
        <item x="1106"/>
        <item x="2214"/>
        <item x="1105"/>
        <item x="1104"/>
        <item x="1103"/>
        <item x="1102"/>
        <item x="1101"/>
        <item x="1100"/>
        <item x="1099"/>
        <item x="1098"/>
        <item x="1097"/>
        <item x="1096"/>
        <item x="2213"/>
        <item x="1095"/>
        <item x="1094"/>
        <item x="1093"/>
        <item x="1092"/>
        <item x="1091"/>
        <item x="1090"/>
        <item x="1089"/>
        <item x="1088"/>
        <item x="1087"/>
        <item x="1086"/>
        <item x="2212"/>
        <item x="1085"/>
        <item x="1084"/>
        <item x="1083"/>
        <item x="1082"/>
        <item x="1081"/>
        <item x="1080"/>
        <item x="1079"/>
        <item x="1078"/>
        <item x="1077"/>
        <item x="1076"/>
        <item x="2211"/>
        <item x="1075"/>
        <item x="1074"/>
        <item x="1073"/>
        <item x="1072"/>
        <item x="1071"/>
        <item x="1070"/>
        <item x="1069"/>
        <item x="1068"/>
        <item x="1067"/>
        <item x="1066"/>
        <item x="2210"/>
        <item x="1065"/>
        <item x="1064"/>
        <item x="1063"/>
        <item x="1062"/>
        <item x="1061"/>
        <item x="1060"/>
        <item x="1059"/>
        <item x="1058"/>
        <item x="1057"/>
        <item x="1056"/>
        <item x="2209"/>
        <item x="1055"/>
        <item x="1054"/>
        <item x="1053"/>
        <item x="1052"/>
        <item x="1051"/>
        <item x="1050"/>
        <item x="1049"/>
        <item x="1048"/>
        <item x="1047"/>
        <item x="1046"/>
        <item x="2208"/>
        <item x="1045"/>
        <item x="1044"/>
        <item x="1043"/>
        <item x="1042"/>
        <item x="1041"/>
        <item x="1040"/>
        <item x="1039"/>
        <item x="1038"/>
        <item x="1037"/>
        <item x="1036"/>
        <item x="2324"/>
        <item x="2207"/>
        <item x="1035"/>
        <item x="1034"/>
        <item x="1033"/>
        <item x="1032"/>
        <item x="1031"/>
        <item x="1030"/>
        <item x="1029"/>
        <item x="1028"/>
        <item x="1027"/>
        <item x="1026"/>
        <item x="2206"/>
        <item x="1025"/>
        <item x="1024"/>
        <item x="1023"/>
        <item x="1022"/>
        <item x="1021"/>
        <item x="1020"/>
        <item x="1019"/>
        <item x="1018"/>
        <item x="1017"/>
        <item x="1016"/>
        <item x="2205"/>
        <item x="1015"/>
        <item x="1014"/>
        <item x="1013"/>
        <item x="1012"/>
        <item x="1011"/>
        <item x="1010"/>
        <item x="1009"/>
        <item x="1008"/>
        <item x="1007"/>
        <item x="1006"/>
        <item x="2204"/>
        <item x="1005"/>
        <item x="1004"/>
        <item x="1003"/>
        <item x="1002"/>
        <item x="1001"/>
        <item x="1000"/>
        <item x="999"/>
        <item x="998"/>
        <item x="997"/>
        <item x="996"/>
        <item x="2203"/>
        <item x="995"/>
        <item x="994"/>
        <item x="993"/>
        <item x="992"/>
        <item x="991"/>
        <item x="990"/>
        <item x="989"/>
        <item x="988"/>
        <item x="987"/>
        <item x="986"/>
        <item x="2202"/>
        <item x="985"/>
        <item x="984"/>
        <item x="983"/>
        <item x="982"/>
        <item x="981"/>
        <item x="980"/>
        <item x="979"/>
        <item x="978"/>
        <item x="977"/>
        <item x="976"/>
        <item x="2201"/>
        <item x="975"/>
        <item x="974"/>
        <item x="973"/>
        <item x="972"/>
        <item x="971"/>
        <item x="970"/>
        <item x="969"/>
        <item x="968"/>
        <item x="967"/>
        <item x="966"/>
        <item x="2200"/>
        <item x="965"/>
        <item x="964"/>
        <item x="963"/>
        <item x="962"/>
        <item x="961"/>
        <item x="960"/>
        <item x="959"/>
        <item x="958"/>
        <item x="957"/>
        <item x="956"/>
        <item x="2199"/>
        <item x="955"/>
        <item x="954"/>
        <item x="953"/>
        <item x="952"/>
        <item x="951"/>
        <item x="950"/>
        <item x="949"/>
        <item x="948"/>
        <item x="947"/>
        <item x="946"/>
        <item x="2198"/>
        <item x="945"/>
        <item x="944"/>
        <item x="943"/>
        <item x="942"/>
        <item x="941"/>
        <item x="940"/>
        <item x="939"/>
        <item x="938"/>
        <item x="937"/>
        <item x="936"/>
        <item x="2323"/>
        <item x="2197"/>
        <item x="935"/>
        <item x="934"/>
        <item x="933"/>
        <item x="932"/>
        <item x="931"/>
        <item x="930"/>
        <item x="929"/>
        <item x="928"/>
        <item x="927"/>
        <item x="926"/>
        <item x="2196"/>
        <item x="925"/>
        <item x="924"/>
        <item x="923"/>
        <item x="922"/>
        <item x="921"/>
        <item x="920"/>
        <item x="919"/>
        <item x="918"/>
        <item x="917"/>
        <item x="916"/>
        <item x="2195"/>
        <item x="915"/>
        <item x="914"/>
        <item x="913"/>
        <item x="912"/>
        <item x="911"/>
        <item x="910"/>
        <item x="909"/>
        <item x="908"/>
        <item x="907"/>
        <item x="906"/>
        <item x="2194"/>
        <item x="905"/>
        <item x="904"/>
        <item x="903"/>
        <item x="902"/>
        <item x="901"/>
        <item x="900"/>
        <item x="899"/>
        <item x="898"/>
        <item x="897"/>
        <item x="896"/>
        <item x="2193"/>
        <item x="895"/>
        <item x="894"/>
        <item x="893"/>
        <item x="892"/>
        <item x="891"/>
        <item x="890"/>
        <item x="889"/>
        <item x="888"/>
        <item x="887"/>
        <item x="886"/>
        <item x="2192"/>
        <item x="885"/>
        <item x="884"/>
        <item x="883"/>
        <item x="882"/>
        <item x="881"/>
        <item x="880"/>
        <item x="879"/>
        <item x="878"/>
        <item x="877"/>
        <item x="876"/>
        <item x="2191"/>
        <item x="875"/>
        <item x="874"/>
        <item x="873"/>
        <item x="872"/>
        <item x="871"/>
        <item x="870"/>
        <item x="869"/>
        <item x="868"/>
        <item x="867"/>
        <item x="866"/>
        <item x="2190"/>
        <item x="865"/>
        <item x="864"/>
        <item x="863"/>
        <item x="862"/>
        <item x="861"/>
        <item x="860"/>
        <item x="859"/>
        <item x="858"/>
        <item x="857"/>
        <item x="856"/>
        <item x="2189"/>
        <item x="855"/>
        <item x="854"/>
        <item x="853"/>
        <item x="852"/>
        <item x="851"/>
        <item x="850"/>
        <item x="849"/>
        <item x="848"/>
        <item x="847"/>
        <item x="846"/>
        <item x="2188"/>
        <item x="845"/>
        <item x="844"/>
        <item x="843"/>
        <item x="842"/>
        <item x="841"/>
        <item x="840"/>
        <item x="839"/>
        <item x="838"/>
        <item x="837"/>
        <item x="836"/>
        <item x="2322"/>
        <item x="2187"/>
        <item x="835"/>
        <item x="834"/>
        <item x="833"/>
        <item x="832"/>
        <item x="831"/>
        <item x="830"/>
        <item x="829"/>
        <item x="828"/>
        <item x="827"/>
        <item x="826"/>
        <item x="2186"/>
        <item x="825"/>
        <item x="824"/>
        <item x="823"/>
        <item x="822"/>
        <item x="821"/>
        <item x="820"/>
        <item x="819"/>
        <item x="818"/>
        <item x="817"/>
        <item x="816"/>
        <item x="2185"/>
        <item x="815"/>
        <item x="814"/>
        <item x="813"/>
        <item x="812"/>
        <item x="811"/>
        <item x="810"/>
        <item x="809"/>
        <item x="808"/>
        <item x="807"/>
        <item x="806"/>
        <item x="2184"/>
        <item x="805"/>
        <item x="804"/>
        <item x="803"/>
        <item x="802"/>
        <item x="801"/>
        <item x="800"/>
        <item x="799"/>
        <item x="798"/>
        <item x="797"/>
        <item x="796"/>
        <item x="2183"/>
        <item x="795"/>
        <item x="794"/>
        <item x="793"/>
        <item x="792"/>
        <item x="791"/>
        <item x="790"/>
        <item x="789"/>
        <item x="788"/>
        <item x="787"/>
        <item x="786"/>
        <item x="2182"/>
        <item x="785"/>
        <item x="784"/>
        <item x="783"/>
        <item x="782"/>
        <item x="781"/>
        <item x="780"/>
        <item x="779"/>
        <item x="778"/>
        <item x="777"/>
        <item x="776"/>
        <item x="2181"/>
        <item x="775"/>
        <item x="774"/>
        <item x="773"/>
        <item x="772"/>
        <item x="771"/>
        <item x="770"/>
        <item x="769"/>
        <item x="768"/>
        <item x="767"/>
        <item x="766"/>
        <item x="2180"/>
        <item x="765"/>
        <item x="764"/>
        <item x="763"/>
        <item x="762"/>
        <item x="761"/>
        <item x="760"/>
        <item x="759"/>
        <item x="758"/>
        <item x="757"/>
        <item x="756"/>
        <item x="2179"/>
        <item x="755"/>
        <item x="754"/>
        <item x="753"/>
        <item x="752"/>
        <item x="751"/>
        <item x="750"/>
        <item x="749"/>
        <item x="748"/>
        <item x="747"/>
        <item x="746"/>
        <item x="2178"/>
        <item x="745"/>
        <item x="744"/>
        <item x="743"/>
        <item x="742"/>
        <item x="741"/>
        <item x="740"/>
        <item x="739"/>
        <item x="738"/>
        <item x="737"/>
        <item x="736"/>
        <item x="2321"/>
        <item x="2177"/>
        <item x="735"/>
        <item x="734"/>
        <item x="733"/>
        <item x="732"/>
        <item x="731"/>
        <item x="730"/>
        <item x="729"/>
        <item x="728"/>
        <item x="727"/>
        <item x="726"/>
        <item x="2176"/>
        <item x="725"/>
        <item x="724"/>
        <item x="723"/>
        <item x="722"/>
        <item x="721"/>
        <item x="720"/>
        <item x="719"/>
        <item x="718"/>
        <item x="717"/>
        <item x="716"/>
        <item x="2175"/>
        <item x="715"/>
        <item x="714"/>
        <item x="713"/>
        <item x="712"/>
        <item x="711"/>
        <item x="710"/>
        <item x="709"/>
        <item x="708"/>
        <item x="707"/>
        <item x="706"/>
        <item x="2174"/>
        <item x="705"/>
        <item x="704"/>
        <item x="703"/>
        <item x="702"/>
        <item x="701"/>
        <item x="700"/>
        <item x="699"/>
        <item x="698"/>
        <item x="697"/>
        <item x="696"/>
        <item x="2173"/>
        <item x="695"/>
        <item x="694"/>
        <item x="693"/>
        <item x="692"/>
        <item x="691"/>
        <item x="690"/>
        <item x="689"/>
        <item x="688"/>
        <item x="687"/>
        <item x="686"/>
        <item x="2172"/>
        <item x="685"/>
        <item x="684"/>
        <item x="683"/>
        <item x="682"/>
        <item x="681"/>
        <item x="680"/>
        <item x="679"/>
        <item x="678"/>
        <item x="677"/>
        <item x="676"/>
        <item x="2171"/>
        <item x="675"/>
        <item x="674"/>
        <item x="673"/>
        <item x="672"/>
        <item x="671"/>
        <item x="670"/>
        <item x="669"/>
        <item x="668"/>
        <item x="667"/>
        <item x="666"/>
        <item x="2170"/>
        <item x="665"/>
        <item x="664"/>
        <item x="663"/>
        <item x="662"/>
        <item x="661"/>
        <item x="660"/>
        <item x="659"/>
        <item x="658"/>
        <item x="657"/>
        <item x="656"/>
        <item x="2169"/>
        <item x="655"/>
        <item x="654"/>
        <item x="653"/>
        <item x="652"/>
        <item x="651"/>
        <item x="650"/>
        <item x="649"/>
        <item x="648"/>
        <item x="647"/>
        <item x="646"/>
        <item x="2168"/>
        <item x="645"/>
        <item x="644"/>
        <item x="643"/>
        <item x="642"/>
        <item x="641"/>
        <item x="640"/>
        <item x="639"/>
        <item x="638"/>
        <item x="637"/>
        <item x="636"/>
        <item x="2320"/>
        <item x="2167"/>
        <item x="635"/>
        <item x="634"/>
        <item x="633"/>
        <item x="632"/>
        <item x="631"/>
        <item x="630"/>
        <item x="629"/>
        <item x="628"/>
        <item x="627"/>
        <item x="626"/>
        <item x="2166"/>
        <item x="625"/>
        <item x="624"/>
        <item x="623"/>
        <item x="622"/>
        <item x="621"/>
        <item x="620"/>
        <item x="619"/>
        <item x="618"/>
        <item x="617"/>
        <item x="616"/>
        <item x="2165"/>
        <item x="615"/>
        <item x="614"/>
        <item x="613"/>
        <item x="612"/>
        <item x="611"/>
        <item x="610"/>
        <item x="609"/>
        <item x="608"/>
        <item x="607"/>
        <item x="606"/>
        <item x="2164"/>
        <item x="605"/>
        <item x="604"/>
        <item x="603"/>
        <item x="602"/>
        <item x="601"/>
        <item x="600"/>
        <item x="599"/>
        <item x="598"/>
        <item x="597"/>
        <item x="596"/>
        <item x="2163"/>
        <item x="595"/>
        <item x="594"/>
        <item x="593"/>
        <item x="592"/>
        <item x="591"/>
        <item x="590"/>
        <item x="589"/>
        <item x="588"/>
        <item x="587"/>
        <item x="586"/>
        <item x="2162"/>
        <item x="585"/>
        <item x="584"/>
        <item x="583"/>
        <item x="582"/>
        <item x="581"/>
        <item x="580"/>
        <item x="579"/>
        <item x="578"/>
        <item x="577"/>
        <item x="576"/>
        <item x="2161"/>
        <item x="575"/>
        <item x="574"/>
        <item x="573"/>
        <item x="572"/>
        <item x="571"/>
        <item x="570"/>
        <item x="569"/>
        <item x="568"/>
        <item x="567"/>
        <item x="566"/>
        <item x="2160"/>
        <item x="565"/>
        <item x="564"/>
        <item x="563"/>
        <item x="562"/>
        <item x="561"/>
        <item x="560"/>
        <item x="559"/>
        <item x="558"/>
        <item x="557"/>
        <item x="556"/>
        <item x="2159"/>
        <item x="555"/>
        <item x="554"/>
        <item x="553"/>
        <item x="552"/>
        <item x="551"/>
        <item x="550"/>
        <item x="549"/>
        <item x="548"/>
        <item x="547"/>
        <item x="546"/>
        <item x="2158"/>
        <item x="545"/>
        <item x="544"/>
        <item x="543"/>
        <item x="542"/>
        <item x="541"/>
        <item x="540"/>
        <item x="539"/>
        <item x="538"/>
        <item x="537"/>
        <item x="536"/>
        <item x="2319"/>
        <item x="2157"/>
        <item x="535"/>
        <item x="534"/>
        <item x="533"/>
        <item x="532"/>
        <item x="531"/>
        <item x="530"/>
        <item x="529"/>
        <item x="528"/>
        <item x="527"/>
        <item x="526"/>
        <item x="2156"/>
        <item x="525"/>
        <item x="524"/>
        <item x="523"/>
        <item x="522"/>
        <item x="521"/>
        <item x="520"/>
        <item x="519"/>
        <item x="518"/>
        <item x="517"/>
        <item x="516"/>
        <item x="2155"/>
        <item x="515"/>
        <item x="514"/>
        <item x="513"/>
        <item x="512"/>
        <item x="511"/>
        <item x="510"/>
        <item x="509"/>
        <item x="508"/>
        <item x="507"/>
        <item x="506"/>
        <item x="2154"/>
        <item x="505"/>
        <item x="504"/>
        <item x="503"/>
        <item x="502"/>
        <item x="501"/>
        <item x="500"/>
        <item x="499"/>
        <item x="498"/>
        <item x="497"/>
        <item x="496"/>
        <item x="2153"/>
        <item x="495"/>
        <item x="494"/>
        <item x="493"/>
        <item x="492"/>
        <item x="491"/>
        <item x="490"/>
        <item x="489"/>
        <item x="488"/>
        <item x="487"/>
        <item x="486"/>
        <item x="2152"/>
        <item x="485"/>
        <item x="484"/>
        <item x="483"/>
        <item x="482"/>
        <item x="481"/>
        <item x="480"/>
        <item x="479"/>
        <item x="478"/>
        <item x="477"/>
        <item x="476"/>
        <item x="2151"/>
        <item x="475"/>
        <item x="474"/>
        <item x="473"/>
        <item x="472"/>
        <item x="471"/>
        <item x="470"/>
        <item x="469"/>
        <item x="468"/>
        <item x="467"/>
        <item x="466"/>
        <item x="2150"/>
        <item x="465"/>
        <item x="464"/>
        <item x="463"/>
        <item x="462"/>
        <item x="461"/>
        <item x="460"/>
        <item x="459"/>
        <item x="458"/>
        <item x="457"/>
        <item x="456"/>
        <item x="2149"/>
        <item x="455"/>
        <item x="454"/>
        <item x="453"/>
        <item x="452"/>
        <item x="451"/>
        <item x="450"/>
        <item x="449"/>
        <item x="448"/>
        <item x="447"/>
        <item x="446"/>
        <item x="2148"/>
        <item x="445"/>
        <item x="444"/>
        <item x="443"/>
        <item x="442"/>
        <item x="441"/>
        <item x="440"/>
        <item x="439"/>
        <item x="438"/>
        <item x="437"/>
        <item x="436"/>
        <item x="2318"/>
        <item x="2147"/>
        <item x="435"/>
        <item x="434"/>
        <item x="433"/>
        <item x="432"/>
        <item x="431"/>
        <item x="430"/>
        <item x="429"/>
        <item x="428"/>
        <item x="427"/>
        <item x="426"/>
        <item x="2146"/>
        <item x="425"/>
        <item x="424"/>
        <item x="423"/>
        <item x="422"/>
        <item x="421"/>
        <item x="420"/>
        <item x="419"/>
        <item x="418"/>
        <item x="417"/>
        <item x="416"/>
        <item x="2145"/>
        <item x="415"/>
        <item x="414"/>
        <item x="413"/>
        <item x="412"/>
        <item x="411"/>
        <item x="410"/>
        <item x="409"/>
        <item x="408"/>
        <item x="407"/>
        <item x="406"/>
        <item x="2144"/>
        <item x="405"/>
        <item x="404"/>
        <item x="403"/>
        <item x="402"/>
        <item x="401"/>
        <item x="400"/>
        <item x="399"/>
        <item x="398"/>
        <item x="397"/>
        <item x="396"/>
        <item x="2143"/>
        <item x="395"/>
        <item x="394"/>
        <item x="393"/>
        <item x="392"/>
        <item x="391"/>
        <item x="390"/>
        <item x="389"/>
        <item x="388"/>
        <item x="387"/>
        <item x="386"/>
        <item x="2142"/>
        <item x="385"/>
        <item x="384"/>
        <item x="383"/>
        <item x="382"/>
        <item x="381"/>
        <item x="380"/>
        <item x="379"/>
        <item x="378"/>
        <item x="377"/>
        <item x="376"/>
        <item x="2141"/>
        <item x="375"/>
        <item x="374"/>
        <item x="373"/>
        <item x="372"/>
        <item x="371"/>
        <item x="370"/>
        <item x="369"/>
        <item x="368"/>
        <item x="367"/>
        <item x="366"/>
        <item x="2140"/>
        <item x="365"/>
        <item x="364"/>
        <item x="363"/>
        <item x="362"/>
        <item x="361"/>
        <item x="360"/>
        <item x="359"/>
        <item x="358"/>
        <item x="357"/>
        <item x="356"/>
        <item x="2139"/>
        <item x="355"/>
        <item x="354"/>
        <item x="353"/>
        <item x="352"/>
        <item x="351"/>
        <item x="350"/>
        <item x="349"/>
        <item x="348"/>
        <item x="347"/>
        <item x="346"/>
        <item x="2138"/>
        <item x="345"/>
        <item x="344"/>
        <item x="343"/>
        <item x="342"/>
        <item x="341"/>
        <item x="340"/>
        <item x="339"/>
        <item x="338"/>
        <item x="337"/>
        <item x="336"/>
        <item x="2335"/>
        <item x="2317"/>
        <item x="2137"/>
        <item x="335"/>
        <item x="334"/>
        <item x="333"/>
        <item x="332"/>
        <item x="331"/>
        <item x="330"/>
        <item x="329"/>
        <item x="328"/>
        <item x="327"/>
        <item x="326"/>
        <item x="2136"/>
        <item x="325"/>
        <item x="324"/>
        <item x="323"/>
        <item x="322"/>
        <item x="321"/>
        <item x="320"/>
        <item x="319"/>
        <item x="318"/>
        <item x="317"/>
        <item x="316"/>
        <item x="2135"/>
        <item x="315"/>
        <item x="314"/>
        <item x="313"/>
        <item x="312"/>
        <item x="311"/>
        <item x="310"/>
        <item x="309"/>
        <item x="308"/>
        <item x="307"/>
        <item x="306"/>
        <item x="2134"/>
        <item x="305"/>
        <item x="304"/>
        <item x="303"/>
        <item x="302"/>
        <item x="301"/>
        <item x="300"/>
        <item x="299"/>
        <item x="298"/>
        <item x="297"/>
        <item x="296"/>
        <item x="2133"/>
        <item x="295"/>
        <item x="294"/>
        <item x="293"/>
        <item x="292"/>
        <item x="291"/>
        <item x="290"/>
        <item x="289"/>
        <item x="288"/>
        <item x="287"/>
        <item x="286"/>
        <item x="2132"/>
        <item x="285"/>
        <item x="284"/>
        <item x="283"/>
        <item x="282"/>
        <item x="281"/>
        <item x="280"/>
        <item x="279"/>
        <item x="278"/>
        <item x="277"/>
        <item x="276"/>
        <item x="2131"/>
        <item x="275"/>
        <item x="274"/>
        <item x="273"/>
        <item x="272"/>
        <item x="271"/>
        <item x="270"/>
        <item x="269"/>
        <item x="268"/>
        <item x="267"/>
        <item x="266"/>
        <item x="2130"/>
        <item x="265"/>
        <item x="264"/>
        <item x="263"/>
        <item x="262"/>
        <item x="261"/>
        <item x="260"/>
        <item x="259"/>
        <item x="258"/>
        <item x="257"/>
        <item x="256"/>
        <item x="2129"/>
        <item x="255"/>
        <item x="254"/>
        <item x="253"/>
        <item x="252"/>
        <item x="251"/>
        <item x="250"/>
        <item x="249"/>
        <item x="248"/>
        <item x="247"/>
        <item x="246"/>
        <item x="2128"/>
        <item x="245"/>
        <item x="244"/>
        <item x="243"/>
        <item x="242"/>
        <item x="241"/>
        <item x="240"/>
        <item x="239"/>
        <item x="238"/>
        <item x="237"/>
        <item x="236"/>
        <item x="2316"/>
        <item x="2127"/>
        <item x="235"/>
        <item x="234"/>
        <item x="233"/>
        <item x="232"/>
        <item x="231"/>
        <item x="230"/>
        <item x="229"/>
        <item x="228"/>
        <item x="227"/>
        <item x="226"/>
        <item x="2126"/>
        <item x="225"/>
        <item x="224"/>
        <item x="223"/>
        <item x="222"/>
        <item x="221"/>
        <item x="220"/>
        <item x="219"/>
        <item x="218"/>
        <item x="217"/>
        <item x="216"/>
        <item x="2125"/>
        <item x="215"/>
        <item x="214"/>
        <item x="213"/>
        <item x="212"/>
        <item x="211"/>
        <item x="210"/>
        <item x="209"/>
        <item x="208"/>
        <item x="207"/>
        <item x="206"/>
        <item x="2124"/>
        <item x="205"/>
        <item x="204"/>
        <item x="203"/>
        <item x="202"/>
        <item x="201"/>
        <item x="200"/>
        <item x="199"/>
        <item x="198"/>
        <item x="197"/>
        <item x="196"/>
        <item x="2123"/>
        <item x="195"/>
        <item x="194"/>
        <item x="193"/>
        <item x="192"/>
        <item x="191"/>
        <item x="190"/>
        <item x="189"/>
        <item x="188"/>
        <item x="187"/>
        <item x="186"/>
        <item x="2122"/>
        <item x="185"/>
        <item x="184"/>
        <item x="183"/>
        <item x="182"/>
        <item x="181"/>
        <item x="180"/>
        <item x="179"/>
        <item x="178"/>
        <item x="177"/>
        <item x="176"/>
        <item x="2121"/>
        <item x="175"/>
        <item x="174"/>
        <item x="173"/>
        <item x="172"/>
        <item x="171"/>
        <item x="170"/>
        <item x="169"/>
        <item x="168"/>
        <item x="167"/>
        <item x="166"/>
        <item x="2120"/>
        <item x="165"/>
        <item x="164"/>
        <item x="163"/>
        <item x="162"/>
        <item x="161"/>
        <item x="160"/>
        <item x="159"/>
        <item x="158"/>
        <item x="157"/>
        <item x="156"/>
        <item x="2119"/>
        <item x="155"/>
        <item x="154"/>
        <item x="153"/>
        <item x="152"/>
        <item x="151"/>
        <item x="150"/>
        <item x="149"/>
        <item x="148"/>
        <item x="147"/>
        <item x="146"/>
        <item x="2118"/>
        <item x="145"/>
        <item x="144"/>
        <item x="143"/>
        <item x="142"/>
        <item x="141"/>
        <item x="140"/>
        <item x="139"/>
        <item x="138"/>
        <item x="137"/>
        <item x="136"/>
        <item x="2315"/>
        <item x="2117"/>
        <item x="135"/>
        <item x="134"/>
        <item x="133"/>
        <item x="132"/>
        <item x="131"/>
        <item x="130"/>
        <item x="129"/>
        <item x="128"/>
        <item x="127"/>
        <item x="126"/>
        <item x="2116"/>
        <item x="125"/>
        <item x="124"/>
        <item x="123"/>
        <item x="122"/>
        <item x="121"/>
        <item x="120"/>
        <item x="44"/>
        <item x="119"/>
        <item x="118"/>
        <item x="117"/>
        <item x="2115"/>
        <item x="116"/>
        <item x="115"/>
        <item x="114"/>
        <item x="113"/>
        <item x="112"/>
        <item x="111"/>
        <item x="110"/>
        <item x="109"/>
        <item x="108"/>
        <item x="107"/>
        <item x="2114"/>
        <item x="106"/>
        <item x="105"/>
        <item x="104"/>
        <item x="103"/>
        <item x="102"/>
        <item x="101"/>
        <item x="100"/>
        <item x="99"/>
        <item x="98"/>
        <item x="97"/>
        <item x="2113"/>
        <item x="96"/>
        <item x="95"/>
        <item x="94"/>
        <item x="93"/>
        <item x="92"/>
        <item x="91"/>
        <item x="90"/>
        <item x="89"/>
        <item x="88"/>
        <item x="87"/>
        <item x="2112"/>
        <item x="86"/>
        <item x="85"/>
        <item x="84"/>
        <item x="83"/>
        <item x="82"/>
        <item x="81"/>
        <item x="80"/>
        <item x="79"/>
        <item x="78"/>
        <item x="77"/>
        <item x="2111"/>
        <item x="76"/>
        <item x="75"/>
        <item x="74"/>
        <item x="73"/>
        <item x="72"/>
        <item x="71"/>
        <item x="70"/>
        <item x="69"/>
        <item x="68"/>
        <item x="67"/>
        <item x="2110"/>
        <item x="66"/>
        <item x="65"/>
        <item x="64"/>
        <item x="63"/>
        <item x="62"/>
        <item x="61"/>
        <item x="60"/>
        <item x="59"/>
        <item x="58"/>
        <item x="57"/>
        <item x="2109"/>
        <item x="56"/>
        <item x="55"/>
        <item x="54"/>
        <item x="52"/>
        <item x="51"/>
        <item x="50"/>
        <item x="49"/>
        <item x="48"/>
        <item x="47"/>
        <item x="46"/>
        <item x="2108"/>
        <item x="45"/>
        <item x="43"/>
        <item x="42"/>
        <item x="41"/>
        <item x="40"/>
        <item x="53"/>
        <item x="39"/>
        <item x="38"/>
        <item x="37"/>
        <item x="36"/>
        <item x="2314"/>
        <item x="2107"/>
        <item x="35"/>
        <item x="34"/>
        <item x="33"/>
        <item x="32"/>
        <item x="31"/>
        <item x="30"/>
        <item x="29"/>
        <item x="28"/>
        <item x="27"/>
        <item x="26"/>
        <item x="2106"/>
        <item x="25"/>
        <item x="24"/>
        <item x="23"/>
        <item x="22"/>
        <item x="21"/>
        <item x="20"/>
        <item x="19"/>
        <item x="18"/>
        <item x="17"/>
        <item x="16"/>
        <item x="2105"/>
        <item x="15"/>
        <item x="14"/>
        <item x="13"/>
        <item x="12"/>
        <item x="11"/>
        <item x="10"/>
        <item x="9"/>
        <item x="8"/>
        <item x="7"/>
        <item x="6"/>
        <item x="2104"/>
        <item x="5"/>
        <item x="4"/>
        <item x="3"/>
        <item x="2"/>
        <item x="1"/>
        <item x="0"/>
        <item x="2103"/>
        <item x="2102"/>
        <item x="2101"/>
        <item x="2100"/>
        <item x="2099"/>
        <item x="2098"/>
        <item x="2313"/>
        <item x="2097"/>
        <item x="2096"/>
        <item x="2094"/>
        <item x="2093"/>
        <item x="2092"/>
        <item x="1860"/>
        <item x="2091"/>
        <item x="2090"/>
        <item x="2089"/>
        <item x="2088"/>
        <item x="2087"/>
        <item x="2312"/>
        <item x="2086"/>
        <item x="2085"/>
        <item x="2084"/>
        <item x="2083"/>
        <item x="2082"/>
        <item x="2081"/>
        <item x="2080"/>
        <item x="2079"/>
        <item x="2078"/>
        <item x="2077"/>
        <item x="2311"/>
        <item x="2076"/>
        <item x="2075"/>
        <item x="2074"/>
        <item x="2073"/>
        <item x="2072"/>
        <item x="2071"/>
        <item x="2070"/>
        <item x="2069"/>
        <item x="2068"/>
        <item x="2067"/>
        <item x="2310"/>
        <item x="2066"/>
        <item x="2065"/>
        <item x="2064"/>
        <item x="2063"/>
        <item x="2062"/>
        <item x="2061"/>
        <item x="2060"/>
        <item x="2059"/>
        <item x="2058"/>
        <item x="2057"/>
        <item x="2309"/>
        <item x="2056"/>
        <item x="2055"/>
        <item x="2054"/>
        <item x="2053"/>
        <item x="2052"/>
        <item x="2051"/>
        <item x="2050"/>
        <item x="2049"/>
        <item x="2048"/>
        <item x="2047"/>
        <item x="2308"/>
        <item x="2046"/>
        <item x="2045"/>
        <item x="2044"/>
        <item x="2043"/>
        <item x="2042"/>
        <item x="2041"/>
        <item x="2040"/>
        <item x="2039"/>
        <item x="2038"/>
        <item x="2037"/>
        <item x="2334"/>
        <item x="2307"/>
        <item x="2036"/>
        <item x="2035"/>
        <item x="2034"/>
        <item x="2033"/>
        <item x="2032"/>
        <item x="2031"/>
        <item x="2030"/>
        <item x="2029"/>
        <item x="2028"/>
        <item x="2027"/>
        <item x="2306"/>
        <item x="2026"/>
        <item x="2025"/>
        <item x="2024"/>
        <item x="2023"/>
        <item x="2022"/>
        <item x="2021"/>
        <item x="2020"/>
        <item x="2019"/>
        <item x="2018"/>
        <item x="2017"/>
        <item x="2305"/>
        <item x="2016"/>
        <item x="2015"/>
        <item x="2014"/>
        <item x="2013"/>
        <item x="2012"/>
        <item x="2011"/>
        <item x="2010"/>
        <item x="2009"/>
        <item x="2008"/>
        <item x="2007"/>
        <item x="2304"/>
        <item x="2006"/>
        <item x="2005"/>
        <item x="2004"/>
        <item x="2003"/>
        <item x="2002"/>
        <item x="2001"/>
        <item x="2000"/>
        <item x="1999"/>
        <item x="1998"/>
        <item x="1997"/>
        <item x="2303"/>
        <item x="1996"/>
        <item x="1995"/>
        <item x="1994"/>
        <item x="1993"/>
        <item x="1992"/>
        <item x="2095"/>
        <item x="1991"/>
        <item x="1990"/>
        <item x="1989"/>
        <item x="1988"/>
        <item x="1987"/>
        <item x="2302"/>
        <item x="1986"/>
        <item x="1985"/>
        <item x="1984"/>
        <item x="1983"/>
        <item x="1982"/>
        <item x="1981"/>
        <item x="1980"/>
        <item x="1979"/>
        <item x="1978"/>
        <item x="1977"/>
        <item x="2301"/>
        <item x="1976"/>
        <item x="1975"/>
        <item x="1974"/>
        <item x="1973"/>
        <item x="1972"/>
        <item x="1971"/>
        <item x="1970"/>
        <item x="1969"/>
        <item x="1968"/>
        <item x="1967"/>
        <item x="2300"/>
        <item x="1966"/>
        <item x="1965"/>
        <item x="1964"/>
        <item x="1963"/>
        <item x="1962"/>
        <item x="1961"/>
        <item x="1960"/>
        <item x="1959"/>
        <item x="1958"/>
        <item x="1957"/>
        <item x="2299"/>
        <item x="1956"/>
        <item x="1955"/>
        <item x="1954"/>
        <item x="1953"/>
        <item x="1952"/>
        <item x="1951"/>
        <item x="1950"/>
        <item x="1949"/>
        <item x="1948"/>
        <item x="1947"/>
        <item x="2298"/>
        <item x="1946"/>
        <item x="1945"/>
        <item x="1944"/>
        <item x="1943"/>
        <item x="1942"/>
        <item x="1941"/>
        <item x="1940"/>
        <item x="1939"/>
        <item x="1938"/>
        <item x="1937"/>
        <item x="2333"/>
        <item x="2297"/>
        <item x="1936"/>
        <item x="1935"/>
        <item x="1934"/>
        <item x="1933"/>
        <item x="1932"/>
        <item x="1931"/>
        <item x="1930"/>
        <item x="1929"/>
        <item x="1928"/>
        <item x="1927"/>
        <item x="2296"/>
        <item x="1926"/>
        <item x="1925"/>
        <item x="1924"/>
        <item x="1923"/>
        <item x="1922"/>
        <item x="1921"/>
        <item x="1920"/>
        <item x="1919"/>
        <item x="1918"/>
        <item x="1917"/>
        <item x="2295"/>
        <item x="1916"/>
        <item x="1915"/>
        <item x="1914"/>
        <item x="1913"/>
        <item x="1912"/>
        <item x="1911"/>
        <item x="1910"/>
        <item x="1909"/>
        <item x="1908"/>
        <item x="1907"/>
        <item x="2294"/>
        <item x="1906"/>
        <item x="1905"/>
        <item x="1904"/>
        <item x="1903"/>
        <item x="1902"/>
        <item x="1901"/>
        <item x="1900"/>
        <item x="1899"/>
        <item x="1898"/>
        <item x="1897"/>
        <item x="2293"/>
        <item x="1896"/>
        <item x="1895"/>
        <item x="1894"/>
        <item x="1893"/>
        <item x="1892"/>
        <item x="1891"/>
        <item x="1890"/>
        <item x="1889"/>
        <item x="1888"/>
        <item x="1887"/>
        <item x="2292"/>
        <item x="1886"/>
        <item x="1885"/>
        <item x="1884"/>
        <item x="1883"/>
        <item x="1882"/>
        <item x="1881"/>
        <item x="1880"/>
        <item x="1879"/>
        <item x="1878"/>
        <item x="1877"/>
        <item x="2291"/>
        <item x="1876"/>
        <item x="1875"/>
        <item x="1874"/>
        <item x="1873"/>
        <item x="1872"/>
        <item x="1871"/>
        <item x="1870"/>
        <item x="1869"/>
        <item x="1868"/>
        <item x="1867"/>
        <item x="2290"/>
        <item x="1866"/>
        <item x="1865"/>
        <item x="1864"/>
        <item x="1863"/>
        <item x="1862"/>
        <item x="1861"/>
        <item x="1859"/>
        <item x="1858"/>
        <item x="1857"/>
        <item x="1856"/>
        <item x="2289"/>
        <item x="1855"/>
        <item x="1854"/>
        <item x="1853"/>
        <item x="1852"/>
        <item x="1851"/>
        <item x="1850"/>
        <item x="1849"/>
        <item x="1848"/>
        <item x="1847"/>
        <item x="1846"/>
        <item x="2288"/>
        <item x="1845"/>
        <item x="1844"/>
        <item x="1843"/>
        <item x="1842"/>
        <item x="1841"/>
        <item x="1840"/>
        <item x="1839"/>
        <item x="1838"/>
        <item x="1837"/>
        <item x="1836"/>
        <item x="2332"/>
        <item x="2287"/>
        <item x="1835"/>
        <item x="1834"/>
        <item x="1833"/>
        <item x="1832"/>
        <item x="1831"/>
        <item x="1830"/>
        <item x="1829"/>
        <item x="1828"/>
        <item x="1827"/>
        <item x="1826"/>
        <item x="2286"/>
        <item x="1825"/>
        <item x="1824"/>
        <item x="1823"/>
        <item x="1822"/>
        <item x="1821"/>
        <item x="1820"/>
        <item x="1819"/>
        <item x="1818"/>
        <item x="1817"/>
        <item x="1816"/>
        <item x="2285"/>
        <item x="1815"/>
        <item x="1814"/>
        <item x="1813"/>
        <item x="1812"/>
        <item x="1811"/>
        <item x="1810"/>
        <item x="1809"/>
        <item x="1808"/>
        <item x="1807"/>
        <item x="1806"/>
        <item x="2284"/>
        <item x="1805"/>
        <item x="1804"/>
        <item x="1803"/>
        <item x="1802"/>
        <item x="1801"/>
        <item x="1800"/>
        <item x="1799"/>
        <item x="1798"/>
        <item x="1797"/>
        <item x="1796"/>
        <item x="2283"/>
        <item x="1795"/>
        <item x="1794"/>
        <item x="1793"/>
        <item x="1792"/>
        <item x="1791"/>
        <item x="1790"/>
        <item x="1789"/>
        <item x="1788"/>
        <item x="1787"/>
        <item x="1786"/>
        <item x="2282"/>
        <item x="1785"/>
        <item x="1784"/>
        <item x="1783"/>
        <item x="1782"/>
        <item x="1781"/>
        <item x="1780"/>
        <item x="1779"/>
        <item x="1778"/>
        <item x="1777"/>
        <item x="1776"/>
        <item x="2281"/>
        <item x="1775"/>
        <item x="1774"/>
        <item x="1773"/>
        <item x="1772"/>
        <item x="1771"/>
        <item x="1770"/>
        <item x="1769"/>
        <item x="1768"/>
        <item x="1767"/>
        <item x="1766"/>
        <item x="2280"/>
        <item x="1765"/>
        <item x="1764"/>
        <item x="1763"/>
        <item x="1762"/>
        <item x="1761"/>
        <item x="1760"/>
        <item x="1759"/>
        <item x="1758"/>
        <item x="1757"/>
        <item x="1756"/>
        <item x="2279"/>
        <item x="1755"/>
        <item x="1754"/>
        <item x="1753"/>
        <item x="1752"/>
        <item x="1751"/>
        <item x="1750"/>
        <item x="1749"/>
        <item x="1748"/>
        <item x="1747"/>
        <item x="1746"/>
        <item x="2278"/>
        <item x="1745"/>
        <item x="1744"/>
        <item x="1743"/>
        <item x="1742"/>
        <item x="1741"/>
        <item x="1740"/>
        <item x="1739"/>
        <item x="1738"/>
        <item x="1737"/>
        <item x="1736"/>
        <item x="2331"/>
        <item x="2277"/>
        <item x="1735"/>
        <item x="1734"/>
        <item x="1733"/>
        <item x="1732"/>
        <item x="1731"/>
        <item x="1730"/>
        <item x="1729"/>
        <item x="1728"/>
        <item x="1727"/>
        <item x="1726"/>
        <item x="2276"/>
        <item x="1725"/>
        <item x="1724"/>
        <item x="1723"/>
        <item x="1722"/>
        <item x="1721"/>
        <item x="1720"/>
        <item x="1719"/>
        <item x="1718"/>
        <item x="1717"/>
        <item x="1716"/>
        <item x="2275"/>
        <item x="1715"/>
        <item x="1714"/>
        <item x="1713"/>
        <item x="1712"/>
        <item x="1711"/>
        <item x="1710"/>
        <item x="1709"/>
        <item x="1708"/>
        <item x="1707"/>
        <item x="1706"/>
        <item x="2274"/>
        <item x="1705"/>
        <item x="1704"/>
        <item x="1703"/>
        <item x="1702"/>
        <item x="1701"/>
        <item x="1700"/>
        <item x="1699"/>
        <item x="1698"/>
        <item x="1697"/>
        <item x="1696"/>
        <item x="2273"/>
        <item x="1695"/>
        <item x="1694"/>
        <item x="1693"/>
        <item x="1692"/>
        <item x="1691"/>
        <item x="1690"/>
        <item x="1689"/>
        <item x="1688"/>
        <item x="1687"/>
        <item x="1686"/>
        <item x="2272"/>
        <item x="1685"/>
        <item x="1684"/>
        <item x="1683"/>
        <item x="1682"/>
        <item x="1681"/>
        <item x="1680"/>
        <item x="1679"/>
        <item x="1678"/>
        <item x="1677"/>
        <item x="1676"/>
        <item x="2271"/>
        <item x="1675"/>
        <item x="1674"/>
        <item x="1673"/>
        <item x="1672"/>
        <item x="1671"/>
        <item x="1670"/>
        <item x="1669"/>
        <item x="1668"/>
        <item x="1667"/>
        <item x="1666"/>
        <item x="2270"/>
        <item x="1665"/>
        <item x="1664"/>
        <item x="1663"/>
        <item x="1662"/>
        <item x="1661"/>
        <item x="1660"/>
        <item x="1659"/>
        <item x="1658"/>
        <item x="1657"/>
        <item x="1656"/>
        <item x="2269"/>
        <item x="1655"/>
        <item x="1654"/>
        <item x="1653"/>
        <item x="1652"/>
        <item x="1651"/>
        <item x="1650"/>
        <item x="1649"/>
        <item x="1648"/>
        <item x="1647"/>
        <item x="1646"/>
        <item x="2268"/>
        <item x="1645"/>
        <item x="1644"/>
        <item x="1643"/>
        <item x="1642"/>
        <item x="1641"/>
        <item x="1640"/>
        <item x="1639"/>
        <item x="1638"/>
        <item x="1637"/>
        <item x="1636"/>
        <item x="2330"/>
        <item x="2267"/>
        <item x="1635"/>
        <item x="1634"/>
        <item x="1633"/>
        <item x="1632"/>
        <item x="1631"/>
        <item x="1630"/>
        <item x="1629"/>
        <item x="1628"/>
        <item x="1627"/>
        <item x="1626"/>
        <item x="2266"/>
        <item x="1625"/>
        <item x="1624"/>
        <item x="1623"/>
        <item x="1622"/>
        <item x="1621"/>
        <item x="1620"/>
        <item x="1619"/>
        <item x="1618"/>
        <item x="1617"/>
        <item x="1616"/>
        <item x="2265"/>
        <item x="1615"/>
        <item x="1614"/>
        <item x="1613"/>
        <item x="1612"/>
        <item x="1611"/>
        <item x="1610"/>
        <item x="1609"/>
        <item x="1608"/>
        <item x="1607"/>
        <item x="1606"/>
        <item x="2264"/>
        <item x="1605"/>
        <item x="1604"/>
        <item x="1603"/>
        <item x="1602"/>
        <item x="1601"/>
        <item x="1600"/>
        <item x="1599"/>
        <item x="1598"/>
        <item x="1597"/>
        <item x="1596"/>
        <item x="2263"/>
        <item x="1595"/>
        <item x="1594"/>
        <item x="1593"/>
        <item x="1592"/>
        <item x="1591"/>
        <item x="1590"/>
        <item x="1589"/>
        <item x="1588"/>
        <item x="1587"/>
        <item x="1586"/>
        <item x="2262"/>
        <item x="1585"/>
        <item x="1584"/>
        <item x="1583"/>
        <item x="1582"/>
        <item x="1581"/>
        <item x="1580"/>
        <item x="1579"/>
        <item x="1578"/>
        <item x="1577"/>
        <item x="1576"/>
        <item x="2261"/>
        <item x="1575"/>
        <item x="1574"/>
        <item x="1573"/>
        <item x="1572"/>
        <item x="1571"/>
        <item x="1570"/>
        <item x="1569"/>
        <item x="1568"/>
        <item x="1567"/>
        <item x="1566"/>
        <item x="2260"/>
        <item x="1565"/>
        <item x="1564"/>
        <item x="1563"/>
        <item x="1562"/>
        <item x="1561"/>
        <item x="1560"/>
        <item x="1559"/>
        <item x="1558"/>
        <item x="1557"/>
        <item x="1556"/>
        <item x="2259"/>
        <item x="1555"/>
        <item x="1554"/>
        <item x="1553"/>
        <item x="1552"/>
        <item x="1551"/>
        <item x="1550"/>
        <item x="1549"/>
        <item x="1548"/>
        <item x="1547"/>
        <item x="1546"/>
        <item x="2258"/>
        <item x="1545"/>
        <item x="1544"/>
        <item x="1543"/>
        <item x="1542"/>
        <item x="1541"/>
        <item x="1540"/>
        <item x="1539"/>
        <item x="1538"/>
        <item x="1537"/>
        <item x="1536"/>
        <item x="2329"/>
        <item x="2257"/>
        <item x="1535"/>
        <item x="1534"/>
        <item x="1533"/>
        <item x="1532"/>
        <item x="1531"/>
        <item x="1530"/>
        <item x="1529"/>
        <item x="1528"/>
        <item x="1527"/>
        <item x="1526"/>
        <item x="2256"/>
        <item x="1525"/>
        <item x="1524"/>
        <item x="1523"/>
        <item x="1522"/>
        <item x="1521"/>
        <item x="1520"/>
        <item x="1519"/>
        <item x="1518"/>
        <item x="1517"/>
        <item x="1516"/>
        <item x="2255"/>
        <item x="1515"/>
        <item x="1514"/>
        <item x="1513"/>
        <item x="1512"/>
        <item x="1511"/>
        <item x="1510"/>
        <item x="1509"/>
        <item x="1508"/>
        <item x="1507"/>
        <item x="1506"/>
        <item x="2254"/>
        <item x="1505"/>
        <item x="1504"/>
        <item x="1503"/>
        <item x="1502"/>
        <item x="1501"/>
        <item x="1500"/>
        <item x="1499"/>
        <item x="1498"/>
        <item x="1497"/>
        <item x="1496"/>
        <item x="2253"/>
        <item x="1495"/>
        <item x="1494"/>
        <item x="1493"/>
        <item x="1492"/>
        <item x="1491"/>
        <item x="1490"/>
        <item x="1489"/>
        <item x="1488"/>
        <item x="1487"/>
        <item x="1486"/>
        <item x="2252"/>
        <item x="1485"/>
        <item x="1484"/>
        <item x="1483"/>
        <item x="1482"/>
        <item x="1481"/>
        <item x="1480"/>
        <item x="1479"/>
        <item x="1478"/>
        <item x="1477"/>
        <item x="1476"/>
        <item x="2251"/>
        <item x="1475"/>
        <item x="1474"/>
        <item x="1473"/>
        <item x="1472"/>
        <item x="1471"/>
        <item x="1470"/>
        <item x="1469"/>
        <item x="1468"/>
        <item x="1467"/>
        <item x="1466"/>
        <item x="2250"/>
        <item x="1465"/>
        <item x="1464"/>
        <item x="1463"/>
        <item x="1462"/>
        <item x="1461"/>
        <item x="1460"/>
        <item x="1459"/>
        <item x="1458"/>
        <item x="1457"/>
        <item x="1456"/>
        <item x="2249"/>
        <item x="1455"/>
        <item x="1454"/>
        <item x="1453"/>
        <item x="1452"/>
        <item x="1451"/>
        <item x="1450"/>
        <item x="1449"/>
        <item x="1448"/>
        <item x="1447"/>
        <item x="1446"/>
        <item x="2248"/>
        <item x="1445"/>
        <item x="1444"/>
        <item x="1443"/>
        <item x="1442"/>
        <item x="1441"/>
        <item x="1440"/>
        <item x="1439"/>
        <item x="1438"/>
        <item x="1437"/>
        <item x="1436"/>
        <item x="2328"/>
        <item x="2247"/>
        <item x="1435"/>
        <item x="1434"/>
        <item x="1433"/>
        <item x="1432"/>
        <item x="1431"/>
        <item x="1430"/>
        <item x="1429"/>
        <item x="1428"/>
        <item x="1427"/>
        <item x="1426"/>
        <item x="2246"/>
        <item x="1425"/>
        <item x="1424"/>
        <item x="1423"/>
        <item x="1422"/>
        <item x="1421"/>
        <item x="1420"/>
        <item x="1419"/>
        <item x="1418"/>
        <item x="1417"/>
        <item x="1416"/>
        <item x="2245"/>
        <item x="1415"/>
        <item x="1414"/>
        <item x="1413"/>
        <item x="1412"/>
        <item x="1411"/>
        <item x="1410"/>
        <item x="1409"/>
        <item x="1408"/>
        <item x="1407"/>
        <item x="1406"/>
        <item x="2244"/>
        <item x="1405"/>
        <item x="1404"/>
        <item x="1403"/>
        <item x="1402"/>
        <item x="1401"/>
        <item x="1400"/>
        <item x="1399"/>
        <item x="1398"/>
        <item x="1397"/>
        <item x="1396"/>
        <item x="2243"/>
        <item x="1395"/>
        <item x="1394"/>
        <item x="1393"/>
        <item x="1392"/>
        <item x="1391"/>
        <item x="1390"/>
        <item x="1389"/>
        <item x="1388"/>
        <item x="1387"/>
        <item x="1386"/>
        <item x="2242"/>
        <item x="1385"/>
        <item x="1384"/>
        <item x="1383"/>
        <item x="1382"/>
        <item x="1381"/>
        <item x="1380"/>
        <item x="1379"/>
        <item x="1378"/>
        <item x="1377"/>
        <item x="1376"/>
        <item x="2241"/>
        <item x="1375"/>
        <item x="1374"/>
        <item x="1373"/>
        <item x="1372"/>
        <item x="1371"/>
        <item x="1370"/>
        <item x="1369"/>
        <item x="1368"/>
        <item x="1367"/>
        <item x="1366"/>
        <item x="2240"/>
        <item x="1365"/>
        <item x="1364"/>
        <item x="1363"/>
        <item x="1362"/>
        <item x="1361"/>
        <item x="1360"/>
        <item x="1359"/>
        <item x="1358"/>
        <item x="1357"/>
        <item x="1356"/>
        <item x="2239"/>
        <item x="1355"/>
        <item x="1354"/>
        <item x="1353"/>
        <item x="1352"/>
        <item x="1351"/>
        <item x="1350"/>
        <item x="1349"/>
        <item x="1348"/>
        <item x="1347"/>
        <item x="1346"/>
        <item x="2238"/>
        <item x="1345"/>
        <item x="1344"/>
        <item x="1343"/>
        <item x="1342"/>
        <item x="1341"/>
        <item x="1340"/>
        <item x="1339"/>
        <item x="1338"/>
        <item x="1337"/>
        <item x="1336"/>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Patient status" dataField="1" compact="0" outline="0" showAll="0" defaultSubtotal="0">
      <items count="3">
        <item x="0"/>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1"/>
        <item x="0"/>
      </items>
      <extLst>
        <ext xmlns:x14="http://schemas.microsoft.com/office/spreadsheetml/2009/9/main" uri="{2946ED86-A175-432a-8AC1-64E0C546D7DE}">
          <x14:pivotField fillDownLabels="1"/>
        </ext>
      </extLst>
    </pivotField>
    <pivotField axis="axisRow" compact="0" outline="0" showAll="0" defaultSubtotal="0">
      <items count="4">
        <item x="0"/>
        <item x="2"/>
        <item x="1"/>
        <item x="3"/>
      </items>
      <extLst>
        <ext xmlns:x14="http://schemas.microsoft.com/office/spreadsheetml/2009/9/main" uri="{2946ED86-A175-432a-8AC1-64E0C546D7DE}">
          <x14:pivotField fillDownLabels="1"/>
        </ext>
      </extLst>
    </pivotField>
  </pivotFields>
  <rowFields count="2">
    <field x="8"/>
    <field x="9"/>
  </rowFields>
  <rowItems count="6">
    <i>
      <x/>
      <x v="1"/>
    </i>
    <i r="1">
      <x v="3"/>
    </i>
    <i>
      <x v="1"/>
      <x/>
    </i>
    <i r="1">
      <x v="1"/>
    </i>
    <i r="1">
      <x v="2"/>
    </i>
    <i r="1">
      <x v="3"/>
    </i>
  </rowItems>
  <colFields count="1">
    <field x="-2"/>
  </colFields>
  <colItems count="2">
    <i>
      <x/>
    </i>
    <i i="1">
      <x v="1"/>
    </i>
  </colItems>
  <dataFields count="2">
    <dataField name="Count of Patient status" fld="3" subtotal="count" baseField="9" baseItem="2"/>
    <dataField name="Sum of BMI" fld="1" baseField="0" baseItem="0"/>
  </dataFields>
  <chartFormats count="20">
    <chartFormat chart="2"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 chart="2" format="4" series="1">
      <pivotArea type="data" outline="0" fieldPosition="0">
        <references count="2">
          <reference field="4294967294" count="1" selected="0">
            <x v="0"/>
          </reference>
          <reference field="9" count="1" selected="0">
            <x v="2"/>
          </reference>
        </references>
      </pivotArea>
    </chartFormat>
    <chartFormat chart="2" format="5" series="1">
      <pivotArea type="data" outline="0" fieldPosition="0">
        <references count="2">
          <reference field="4294967294" count="1" selected="0">
            <x v="0"/>
          </reference>
          <reference field="9" count="1" selected="0">
            <x v="3"/>
          </reference>
        </references>
      </pivotArea>
    </chartFormat>
    <chartFormat chart="0" format="5" series="1">
      <pivotArea type="data" outline="0" fieldPosition="0">
        <references count="2">
          <reference field="4294967294" count="1" selected="0">
            <x v="0"/>
          </reference>
          <reference field="9" count="1" selected="0">
            <x v="2"/>
          </reference>
        </references>
      </pivotArea>
    </chartFormat>
    <chartFormat chart="0" format="6" series="1">
      <pivotArea type="data" outline="0" fieldPosition="0">
        <references count="2">
          <reference field="4294967294" count="1" selected="0">
            <x v="0"/>
          </reference>
          <reference field="9" count="1" selected="0">
            <x v="3"/>
          </reference>
        </references>
      </pivotArea>
    </chartFormat>
    <chartFormat chart="2" format="6">
      <pivotArea type="data" outline="0" fieldPosition="0">
        <references count="2">
          <reference field="4294967294" count="1" selected="0">
            <x v="0"/>
          </reference>
          <reference field="9" count="1" selected="0">
            <x v="0"/>
          </reference>
        </references>
      </pivotArea>
    </chartFormat>
    <chartFormat chart="2" format="7">
      <pivotArea type="data" outline="0" fieldPosition="0">
        <references count="2">
          <reference field="4294967294" count="1" selected="0">
            <x v="0"/>
          </reference>
          <reference field="9" count="1" selected="0">
            <x v="1"/>
          </reference>
        </references>
      </pivotArea>
    </chartFormat>
    <chartFormat chart="2" format="8">
      <pivotArea type="data" outline="0" fieldPosition="0">
        <references count="2">
          <reference field="4294967294" count="1" selected="0">
            <x v="0"/>
          </reference>
          <reference field="9" count="1" selected="0">
            <x v="2"/>
          </reference>
        </references>
      </pivotArea>
    </chartFormat>
    <chartFormat chart="2" format="9">
      <pivotArea type="data" outline="0" fieldPosition="0">
        <references count="2">
          <reference field="4294967294" count="1" selected="0">
            <x v="0"/>
          </reference>
          <reference field="9" count="1" selected="0">
            <x v="3"/>
          </reference>
        </references>
      </pivotArea>
    </chartFormat>
    <chartFormat chart="2" format="10" series="1">
      <pivotArea type="data" outline="0" fieldPosition="0">
        <references count="1">
          <reference field="4294967294" count="1" selected="0">
            <x v="1"/>
          </reference>
        </references>
      </pivotArea>
    </chartFormat>
    <chartFormat chart="0" format="7" series="1">
      <pivotArea type="data" outline="0" fieldPosition="0">
        <references count="1">
          <reference field="4294967294" count="1" selected="0">
            <x v="1"/>
          </reference>
        </references>
      </pivotArea>
    </chartFormat>
    <chartFormat chart="2" format="11" series="1">
      <pivotArea type="data" outline="0" fieldPosition="0">
        <references count="2">
          <reference field="4294967294" count="1" selected="0">
            <x v="1"/>
          </reference>
          <reference field="9" count="1" selected="0">
            <x v="0"/>
          </reference>
        </references>
      </pivotArea>
    </chartFormat>
    <chartFormat chart="2" format="12" series="1">
      <pivotArea type="data" outline="0" fieldPosition="0">
        <references count="2">
          <reference field="4294967294" count="1" selected="0">
            <x v="1"/>
          </reference>
          <reference field="9" count="1" selected="0">
            <x v="1"/>
          </reference>
        </references>
      </pivotArea>
    </chartFormat>
    <chartFormat chart="2" format="13" series="1">
      <pivotArea type="data" outline="0" fieldPosition="0">
        <references count="2">
          <reference field="4294967294" count="1" selected="0">
            <x v="1"/>
          </reference>
          <reference field="9" count="1" selected="0">
            <x v="2"/>
          </reference>
        </references>
      </pivotArea>
    </chartFormat>
    <chartFormat chart="2" format="14" series="1">
      <pivotArea type="data" outline="0" fieldPosition="0">
        <references count="2">
          <reference field="4294967294" count="1" selected="0">
            <x v="1"/>
          </reference>
          <reference field="9" count="1" selected="0">
            <x v="3"/>
          </reference>
        </references>
      </pivotArea>
    </chartFormat>
    <chartFormat chart="0" format="8" series="1">
      <pivotArea type="data" outline="0" fieldPosition="0">
        <references count="2">
          <reference field="4294967294" count="1" selected="0">
            <x v="1"/>
          </reference>
          <reference field="9" count="1" selected="0">
            <x v="0"/>
          </reference>
        </references>
      </pivotArea>
    </chartFormat>
    <chartFormat chart="0" format="9" series="1">
      <pivotArea type="data" outline="0" fieldPosition="0">
        <references count="2">
          <reference field="4294967294" count="1" selected="0">
            <x v="1"/>
          </reference>
          <reference field="9" count="1" selected="0">
            <x v="1"/>
          </reference>
        </references>
      </pivotArea>
    </chartFormat>
    <chartFormat chart="0" format="10" series="1">
      <pivotArea type="data" outline="0" fieldPosition="0">
        <references count="2">
          <reference field="4294967294" count="1" selected="0">
            <x v="1"/>
          </reference>
          <reference field="9" count="1" selected="0">
            <x v="2"/>
          </reference>
        </references>
      </pivotArea>
    </chartFormat>
    <chartFormat chart="0" format="11" series="1">
      <pivotArea type="data" outline="0" fieldPosition="0">
        <references count="2">
          <reference field="4294967294" count="1" selected="0">
            <x v="1"/>
          </reference>
          <reference field="9" count="1" selected="0">
            <x v="3"/>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643A906D-E59C-432D-95F0-E848C8FCB45D}" sourceName="Diabetes status">
  <pivotTables>
    <pivotTable tabId="8" name="PivotTable15"/>
  </pivotTables>
  <data>
    <tabular pivotCacheId="1724104645">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3132A56E-C0C8-4986-A380-3A1DE3CFCE8A}" sourceName="weight status">
  <pivotTables>
    <pivotTable tabId="8" name="PivotTable15"/>
  </pivotTables>
  <data>
    <tabular pivotCacheId="1724104645">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betes status" xr10:uid="{7056C91C-0B8D-4B51-B308-E2CB3BDCF3F9}" cache="Slicer_Diabetes_status" caption="Diabetes status" rowHeight="234950"/>
  <slicer name="weight status" xr10:uid="{BCE631B3-D37F-4370-98B9-6F16CFDC7277}" cache="Slicer_weight_status" caption="weight status"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336"/>
  <sheetViews>
    <sheetView workbookViewId="0">
      <selection activeCell="B22" sqref="B22"/>
    </sheetView>
  </sheetViews>
  <sheetFormatPr defaultColWidth="14.44140625" defaultRowHeight="15" customHeight="1" x14ac:dyDescent="0.3"/>
  <cols>
    <col min="1" max="1" width="15.5546875" customWidth="1"/>
    <col min="2" max="2" width="37.44140625" customWidth="1"/>
    <col min="3" max="3" width="15.44140625" customWidth="1"/>
    <col min="4" max="5" width="24.6640625" customWidth="1"/>
    <col min="6" max="25" width="8.6640625" customWidth="1"/>
  </cols>
  <sheetData>
    <row r="1" spans="1:25" ht="18.75" customHeight="1" x14ac:dyDescent="0.3">
      <c r="A1" s="1" t="s">
        <v>0</v>
      </c>
      <c r="B1" s="2" t="s">
        <v>1</v>
      </c>
      <c r="C1" s="2" t="s">
        <v>4736</v>
      </c>
      <c r="D1" s="2" t="s">
        <v>2</v>
      </c>
      <c r="E1" s="2" t="s">
        <v>3</v>
      </c>
      <c r="F1" s="3"/>
      <c r="G1" s="3"/>
      <c r="H1" s="3"/>
      <c r="I1" s="3"/>
      <c r="J1" s="3"/>
      <c r="K1" s="3"/>
      <c r="L1" s="3"/>
      <c r="M1" s="3"/>
      <c r="N1" s="3"/>
      <c r="O1" s="3"/>
      <c r="P1" s="3"/>
      <c r="Q1" s="3"/>
      <c r="R1" s="3"/>
      <c r="S1" s="3"/>
      <c r="T1" s="3"/>
      <c r="U1" s="3"/>
      <c r="V1" s="3"/>
      <c r="W1" s="3"/>
      <c r="X1" s="3"/>
      <c r="Y1" s="3"/>
    </row>
    <row r="2" spans="1:25" ht="15.6" x14ac:dyDescent="0.3">
      <c r="A2" s="4" t="s">
        <v>4</v>
      </c>
      <c r="B2" s="4" t="s">
        <v>5</v>
      </c>
      <c r="C2" s="5" t="str">
        <f>MID(B2,7,3)</f>
        <v xml:space="preserve"> Ms</v>
      </c>
      <c r="D2" s="5" t="str">
        <f>LEFT(B2,5)</f>
        <v>Hawks</v>
      </c>
      <c r="E2" s="5" t="str">
        <f t="shared" ref="E2:E65" si="0">RIGHT(B2,5)</f>
        <v>Kelly</v>
      </c>
    </row>
    <row r="3" spans="1:25" ht="15.6" x14ac:dyDescent="0.3">
      <c r="A3" s="4" t="s">
        <v>6</v>
      </c>
      <c r="B3" s="4" t="s">
        <v>7</v>
      </c>
      <c r="C3" s="5" t="str">
        <f>MID(B3,8,3)</f>
        <v xml:space="preserve"> Mr</v>
      </c>
      <c r="D3" s="5" t="str">
        <f>LEFT(B3,6)</f>
        <v>Lehner</v>
      </c>
      <c r="E3" s="5" t="str">
        <f t="shared" si="0"/>
        <v>hew D</v>
      </c>
    </row>
    <row r="4" spans="1:25" ht="15.6" x14ac:dyDescent="0.3">
      <c r="A4" s="4" t="s">
        <v>8</v>
      </c>
      <c r="B4" s="4" t="s">
        <v>9</v>
      </c>
      <c r="C4" s="5" t="str">
        <f>MID(B4,5,2)</f>
        <v>Mr</v>
      </c>
      <c r="D4" s="5" t="str">
        <f>LEFT(B4,6)</f>
        <v>Lu, Mr</v>
      </c>
      <c r="E4" s="5" t="str">
        <f t="shared" si="0"/>
        <v xml:space="preserve"> Phil</v>
      </c>
    </row>
    <row r="5" spans="1:25" ht="15.6" x14ac:dyDescent="0.3">
      <c r="A5" s="4" t="s">
        <v>10</v>
      </c>
      <c r="B5" s="4" t="s">
        <v>11</v>
      </c>
      <c r="C5" s="5" t="str">
        <f>MID(B5,9,3)</f>
        <v xml:space="preserve"> Ms</v>
      </c>
      <c r="D5" s="32" t="str">
        <f>LEFT(B5,7)</f>
        <v>Osborne</v>
      </c>
      <c r="E5" s="5" t="str">
        <f t="shared" si="0"/>
        <v>elsey</v>
      </c>
    </row>
    <row r="6" spans="1:25" ht="15.6" x14ac:dyDescent="0.3">
      <c r="A6" s="4" t="s">
        <v>12</v>
      </c>
      <c r="B6" s="4" t="s">
        <v>13</v>
      </c>
      <c r="C6" s="5" t="str">
        <f>MID(B6,8,3)</f>
        <v xml:space="preserve"> Ms</v>
      </c>
      <c r="D6" s="5" t="str">
        <f>LEFT(B6,5)</f>
        <v>Kadal</v>
      </c>
      <c r="E6" s="5" t="str">
        <f t="shared" si="0"/>
        <v>istyn</v>
      </c>
    </row>
    <row r="7" spans="1:25" ht="15.6" x14ac:dyDescent="0.3">
      <c r="A7" s="4" t="s">
        <v>14</v>
      </c>
      <c r="B7" s="4" t="s">
        <v>15</v>
      </c>
      <c r="C7" s="5" t="str">
        <f>MID(B7,7,3)</f>
        <v xml:space="preserve"> Mr</v>
      </c>
      <c r="D7" s="5" t="str">
        <f>LEFT(B7,5)</f>
        <v>Baker</v>
      </c>
      <c r="E7" s="5" t="str">
        <f t="shared" si="0"/>
        <v>ll B.</v>
      </c>
    </row>
    <row r="8" spans="1:25" ht="15.6" x14ac:dyDescent="0.3">
      <c r="A8" s="4" t="s">
        <v>16</v>
      </c>
      <c r="B8" s="4" t="s">
        <v>17</v>
      </c>
      <c r="C8" s="5" t="str">
        <f>MID(B8,12,3)</f>
        <v xml:space="preserve"> Mr</v>
      </c>
      <c r="D8" s="5" t="str">
        <f>LEFT(B8,5)</f>
        <v>Macph</v>
      </c>
      <c r="E8" s="5" t="str">
        <f t="shared" si="0"/>
        <v>Scott</v>
      </c>
    </row>
    <row r="9" spans="1:25" ht="15.6" x14ac:dyDescent="0.3">
      <c r="A9" s="4" t="s">
        <v>18</v>
      </c>
      <c r="B9" s="4" t="s">
        <v>19</v>
      </c>
      <c r="C9" s="5" t="str">
        <f>MID(B9,9,3)</f>
        <v xml:space="preserve"> Mr</v>
      </c>
      <c r="D9" s="5" t="str">
        <f>LEFT(B9,5)</f>
        <v>Hallm</v>
      </c>
      <c r="E9" s="5" t="str">
        <f t="shared" si="0"/>
        <v>ephen</v>
      </c>
    </row>
    <row r="10" spans="1:25" ht="15.6" x14ac:dyDescent="0.3">
      <c r="A10" s="4" t="s">
        <v>20</v>
      </c>
      <c r="B10" s="4" t="s">
        <v>21</v>
      </c>
      <c r="C10" s="5" t="str">
        <f>MID(B10,7,3)</f>
        <v xml:space="preserve"> Mr</v>
      </c>
      <c r="D10" s="5" t="str">
        <f>LEFT(B10,5)</f>
        <v>Moran</v>
      </c>
      <c r="E10" s="5" t="str">
        <f t="shared" si="0"/>
        <v>ck R.</v>
      </c>
    </row>
    <row r="11" spans="1:25" ht="15.6" x14ac:dyDescent="0.3">
      <c r="A11" s="4" t="s">
        <v>22</v>
      </c>
      <c r="B11" s="4" t="s">
        <v>23</v>
      </c>
      <c r="C11" s="5" t="str">
        <f>MID(B11,8,3)</f>
        <v xml:space="preserve"> Ms</v>
      </c>
      <c r="D11" s="5" t="str">
        <f>LEFT(B11,6)</f>
        <v>Benner</v>
      </c>
      <c r="E11" s="5" t="str">
        <f t="shared" si="0"/>
        <v>ke N.</v>
      </c>
    </row>
    <row r="12" spans="1:25" ht="15.6" x14ac:dyDescent="0.3">
      <c r="A12" s="4" t="s">
        <v>24</v>
      </c>
      <c r="B12" s="4" t="s">
        <v>25</v>
      </c>
      <c r="C12" s="5" t="str">
        <f>MID(B12,15,3)</f>
        <v xml:space="preserve"> Ms</v>
      </c>
      <c r="D12" s="5" t="str">
        <f>LEFT(B12,13)</f>
        <v>Fierro Vargas</v>
      </c>
      <c r="E12" s="5" t="str">
        <f t="shared" si="0"/>
        <v>ndrea</v>
      </c>
    </row>
    <row r="13" spans="1:25" ht="15.6" x14ac:dyDescent="0.3">
      <c r="A13" s="4" t="s">
        <v>26</v>
      </c>
      <c r="B13" s="4" t="s">
        <v>27</v>
      </c>
      <c r="C13" s="5" t="str">
        <f>MID(B13,7,3)</f>
        <v xml:space="preserve"> Mr</v>
      </c>
      <c r="D13" s="5" t="str">
        <f>LEFT(B13,5)</f>
        <v>Franz</v>
      </c>
      <c r="E13" s="5" t="str">
        <f t="shared" si="0"/>
        <v>David</v>
      </c>
    </row>
    <row r="14" spans="1:25" ht="15.6" x14ac:dyDescent="0.3">
      <c r="A14" s="4" t="s">
        <v>28</v>
      </c>
      <c r="B14" s="4" t="s">
        <v>29</v>
      </c>
      <c r="C14" s="5" t="str">
        <f>MID(B14,8,3)</f>
        <v xml:space="preserve"> Mr</v>
      </c>
      <c r="D14" s="5" t="str">
        <f>LEFT(B14,6)</f>
        <v>Foster</v>
      </c>
      <c r="E14" s="5" t="str">
        <f t="shared" si="0"/>
        <v xml:space="preserve"> Wade</v>
      </c>
    </row>
    <row r="15" spans="1:25" ht="15.6" x14ac:dyDescent="0.3">
      <c r="A15" s="4" t="s">
        <v>30</v>
      </c>
      <c r="B15" s="4" t="s">
        <v>31</v>
      </c>
      <c r="C15" s="5" t="str">
        <f>MID(B15,9,3)</f>
        <v xml:space="preserve"> Mr</v>
      </c>
      <c r="D15" s="5" t="str">
        <f>LEFT(B15,7)</f>
        <v>Tenorio</v>
      </c>
      <c r="E15" s="5" t="str">
        <f t="shared" si="0"/>
        <v>nklin</v>
      </c>
    </row>
    <row r="16" spans="1:25" ht="15.6" x14ac:dyDescent="0.3">
      <c r="A16" s="4" t="s">
        <v>32</v>
      </c>
      <c r="B16" s="4" t="s">
        <v>33</v>
      </c>
      <c r="C16" s="5" t="str">
        <f>MID(B16,7,2)</f>
        <v>Ms</v>
      </c>
      <c r="D16" s="5" t="str">
        <f>LEFT(B16,4)</f>
        <v>Rios</v>
      </c>
      <c r="E16" s="5" t="str">
        <f t="shared" si="0"/>
        <v>ni M.</v>
      </c>
    </row>
    <row r="17" spans="1:5" ht="15.6" x14ac:dyDescent="0.3">
      <c r="A17" s="4" t="s">
        <v>34</v>
      </c>
      <c r="B17" s="4" t="s">
        <v>35</v>
      </c>
      <c r="C17" s="5" t="str">
        <f>MID(B17,13,3)</f>
        <v xml:space="preserve"> Mr</v>
      </c>
      <c r="D17" s="5" t="str">
        <f t="shared" ref="D17:D80" si="1">LEFT(B17,5)</f>
        <v>Viau-</v>
      </c>
      <c r="E17" s="5" t="str">
        <f t="shared" si="0"/>
        <v>lippe</v>
      </c>
    </row>
    <row r="18" spans="1:5" ht="15.6" x14ac:dyDescent="0.3">
      <c r="A18" s="4" t="s">
        <v>36</v>
      </c>
      <c r="B18" s="4" t="s">
        <v>37</v>
      </c>
      <c r="C18" s="5" t="str">
        <f t="shared" ref="C18:C272" si="2">MID(B18,7,3)</f>
        <v>, M</v>
      </c>
      <c r="D18" s="5" t="str">
        <f t="shared" si="1"/>
        <v>Croni</v>
      </c>
      <c r="E18" s="5" t="str">
        <f t="shared" si="0"/>
        <v>er A.</v>
      </c>
    </row>
    <row r="19" spans="1:5" ht="15.6" x14ac:dyDescent="0.3">
      <c r="A19" s="4" t="s">
        <v>38</v>
      </c>
      <c r="B19" s="4" t="s">
        <v>39</v>
      </c>
      <c r="C19" s="5" t="str">
        <f t="shared" si="2"/>
        <v>tar</v>
      </c>
      <c r="D19" s="5" t="str">
        <f t="shared" si="1"/>
        <v>Noord</v>
      </c>
      <c r="E19" s="5" t="str">
        <f t="shared" si="0"/>
        <v>na M.</v>
      </c>
    </row>
    <row r="20" spans="1:5" ht="15.6" x14ac:dyDescent="0.3">
      <c r="A20" s="4" t="s">
        <v>40</v>
      </c>
      <c r="B20" s="4" t="s">
        <v>41</v>
      </c>
      <c r="C20" s="5" t="str">
        <f t="shared" si="2"/>
        <v>ia,</v>
      </c>
      <c r="D20" s="5" t="str">
        <f t="shared" si="1"/>
        <v>Bouda</v>
      </c>
      <c r="E20" s="5" t="str">
        <f t="shared" si="0"/>
        <v>d Sr.</v>
      </c>
    </row>
    <row r="21" spans="1:5" ht="15.75" customHeight="1" x14ac:dyDescent="0.3">
      <c r="A21" s="4" t="s">
        <v>42</v>
      </c>
      <c r="B21" s="4" t="s">
        <v>43</v>
      </c>
      <c r="C21" s="5" t="str">
        <f t="shared" si="2"/>
        <v>Mr.</v>
      </c>
      <c r="D21" s="5" t="str">
        <f t="shared" si="1"/>
        <v>Flor,</v>
      </c>
      <c r="E21" s="5" t="str">
        <f t="shared" si="0"/>
        <v xml:space="preserve"> John</v>
      </c>
    </row>
    <row r="22" spans="1:5" ht="15.75" customHeight="1" x14ac:dyDescent="0.3">
      <c r="A22" s="4" t="s">
        <v>44</v>
      </c>
      <c r="B22" s="4" t="s">
        <v>45</v>
      </c>
      <c r="C22" s="5" t="str">
        <f t="shared" si="2"/>
        <v>, M</v>
      </c>
      <c r="D22" s="5" t="str">
        <f t="shared" si="1"/>
        <v>Fenno</v>
      </c>
      <c r="E22" s="5" t="str">
        <f t="shared" si="0"/>
        <v>Myles</v>
      </c>
    </row>
    <row r="23" spans="1:5" ht="15.75" customHeight="1" x14ac:dyDescent="0.3">
      <c r="A23" s="4" t="s">
        <v>46</v>
      </c>
      <c r="B23" s="4" t="s">
        <v>47</v>
      </c>
      <c r="C23" s="5" t="str">
        <f t="shared" si="2"/>
        <v>, M</v>
      </c>
      <c r="D23" s="5" t="str">
        <f t="shared" si="1"/>
        <v>Hriba</v>
      </c>
      <c r="E23" s="5" t="str">
        <f t="shared" si="0"/>
        <v>lyn C</v>
      </c>
    </row>
    <row r="24" spans="1:5" ht="15.75" customHeight="1" x14ac:dyDescent="0.3">
      <c r="A24" s="4" t="s">
        <v>48</v>
      </c>
      <c r="B24" s="4" t="s">
        <v>49</v>
      </c>
      <c r="C24" s="5" t="str">
        <f t="shared" si="2"/>
        <v>lo,</v>
      </c>
      <c r="D24" s="5" t="str">
        <f t="shared" si="1"/>
        <v>Tasse</v>
      </c>
      <c r="E24" s="5" t="str">
        <f t="shared" si="0"/>
        <v>icole</v>
      </c>
    </row>
    <row r="25" spans="1:5" ht="15.75" customHeight="1" x14ac:dyDescent="0.3">
      <c r="A25" s="4" t="s">
        <v>50</v>
      </c>
      <c r="B25" s="4" t="s">
        <v>51</v>
      </c>
      <c r="C25" s="5" t="str">
        <f t="shared" si="2"/>
        <v>ett</v>
      </c>
      <c r="D25" s="5" t="str">
        <f t="shared" si="1"/>
        <v>Mauri</v>
      </c>
      <c r="E25" s="5" t="str">
        <f t="shared" si="0"/>
        <v>ic A.</v>
      </c>
    </row>
    <row r="26" spans="1:5" ht="15.75" customHeight="1" x14ac:dyDescent="0.3">
      <c r="A26" s="4" t="s">
        <v>52</v>
      </c>
      <c r="B26" s="4" t="s">
        <v>53</v>
      </c>
      <c r="C26" s="5" t="str">
        <f t="shared" si="2"/>
        <v>, M</v>
      </c>
      <c r="D26" s="5" t="str">
        <f t="shared" si="1"/>
        <v>Garci</v>
      </c>
      <c r="E26" s="5" t="str">
        <f t="shared" si="0"/>
        <v>no I.</v>
      </c>
    </row>
    <row r="27" spans="1:5" ht="15.75" customHeight="1" x14ac:dyDescent="0.3">
      <c r="A27" s="4" t="s">
        <v>54</v>
      </c>
      <c r="B27" s="4" t="s">
        <v>55</v>
      </c>
      <c r="C27" s="5" t="str">
        <f t="shared" si="2"/>
        <v xml:space="preserve">i, </v>
      </c>
      <c r="D27" s="5" t="str">
        <f t="shared" si="1"/>
        <v>Airol</v>
      </c>
      <c r="E27" s="5" t="str">
        <f t="shared" si="0"/>
        <v xml:space="preserve"> Adam</v>
      </c>
    </row>
    <row r="28" spans="1:5" ht="15.75" customHeight="1" x14ac:dyDescent="0.3">
      <c r="A28" s="4" t="s">
        <v>56</v>
      </c>
      <c r="B28" s="4" t="s">
        <v>57</v>
      </c>
      <c r="C28" s="5" t="str">
        <f t="shared" si="2"/>
        <v>Cyk</v>
      </c>
      <c r="D28" s="5" t="str">
        <f t="shared" si="1"/>
        <v>Cater</v>
      </c>
      <c r="E28" s="5" t="str">
        <f t="shared" si="0"/>
        <v xml:space="preserve"> Zach</v>
      </c>
    </row>
    <row r="29" spans="1:5" ht="15.75" customHeight="1" x14ac:dyDescent="0.3">
      <c r="A29" s="4" t="s">
        <v>58</v>
      </c>
      <c r="B29" s="4" t="s">
        <v>59</v>
      </c>
      <c r="C29" s="5" t="str">
        <f t="shared" si="2"/>
        <v>Ms.</v>
      </c>
      <c r="D29" s="5" t="str">
        <f t="shared" si="1"/>
        <v>Hamm,</v>
      </c>
      <c r="E29" s="5" t="str">
        <f t="shared" si="0"/>
        <v>ie W.</v>
      </c>
    </row>
    <row r="30" spans="1:5" ht="15.75" customHeight="1" x14ac:dyDescent="0.3">
      <c r="A30" s="4" t="s">
        <v>60</v>
      </c>
      <c r="B30" s="4" t="s">
        <v>61</v>
      </c>
      <c r="C30" s="5" t="str">
        <f t="shared" si="2"/>
        <v xml:space="preserve">r. </v>
      </c>
      <c r="D30" s="5" t="str">
        <f t="shared" si="1"/>
        <v xml:space="preserve">Cox, </v>
      </c>
      <c r="E30" s="5" t="str">
        <f t="shared" si="0"/>
        <v>ephen</v>
      </c>
    </row>
    <row r="31" spans="1:5" ht="15.75" customHeight="1" x14ac:dyDescent="0.3">
      <c r="A31" s="4" t="s">
        <v>62</v>
      </c>
      <c r="B31" s="4" t="s">
        <v>63</v>
      </c>
      <c r="C31" s="5" t="str">
        <f t="shared" si="2"/>
        <v>jda</v>
      </c>
      <c r="D31" s="5" t="str">
        <f t="shared" si="1"/>
        <v>Sachr</v>
      </c>
      <c r="E31" s="5" t="str">
        <f t="shared" si="0"/>
        <v>talie</v>
      </c>
    </row>
    <row r="32" spans="1:5" ht="15.75" customHeight="1" x14ac:dyDescent="0.3">
      <c r="A32" s="4" t="s">
        <v>64</v>
      </c>
      <c r="B32" s="4" t="s">
        <v>65</v>
      </c>
      <c r="C32" s="5" t="str">
        <f t="shared" si="2"/>
        <v>, M</v>
      </c>
      <c r="D32" s="5" t="str">
        <f t="shared" si="1"/>
        <v>Garer</v>
      </c>
      <c r="E32" s="5" t="str">
        <f t="shared" si="0"/>
        <v>le J.</v>
      </c>
    </row>
    <row r="33" spans="1:5" ht="15.75" customHeight="1" x14ac:dyDescent="0.3">
      <c r="A33" s="4" t="s">
        <v>66</v>
      </c>
      <c r="B33" s="4" t="s">
        <v>67</v>
      </c>
      <c r="C33" s="5" t="str">
        <f t="shared" si="2"/>
        <v xml:space="preserve"> Mr</v>
      </c>
      <c r="D33" s="5" t="str">
        <f t="shared" si="1"/>
        <v>Welch</v>
      </c>
      <c r="E33" s="5" t="str">
        <f t="shared" si="0"/>
        <v>son D</v>
      </c>
    </row>
    <row r="34" spans="1:5" ht="15.75" customHeight="1" x14ac:dyDescent="0.3">
      <c r="A34" s="4" t="s">
        <v>68</v>
      </c>
      <c r="B34" s="4" t="s">
        <v>69</v>
      </c>
      <c r="C34" s="5" t="str">
        <f t="shared" si="2"/>
        <v>vil</v>
      </c>
      <c r="D34" s="5" t="str">
        <f t="shared" si="1"/>
        <v>Prind</v>
      </c>
      <c r="E34" s="5" t="str">
        <f t="shared" si="0"/>
        <v>an D.</v>
      </c>
    </row>
    <row r="35" spans="1:5" ht="15.75" customHeight="1" x14ac:dyDescent="0.3">
      <c r="A35" s="4" t="s">
        <v>70</v>
      </c>
      <c r="B35" s="4" t="s">
        <v>71</v>
      </c>
      <c r="C35" s="5" t="str">
        <f t="shared" si="2"/>
        <v xml:space="preserve">d, </v>
      </c>
      <c r="D35" s="5" t="str">
        <f t="shared" si="1"/>
        <v>Kinca</v>
      </c>
      <c r="E35" s="5" t="str">
        <f t="shared" si="0"/>
        <v>rtney</v>
      </c>
    </row>
    <row r="36" spans="1:5" ht="15.75" customHeight="1" x14ac:dyDescent="0.3">
      <c r="A36" s="4" t="s">
        <v>72</v>
      </c>
      <c r="B36" s="4" t="s">
        <v>73</v>
      </c>
      <c r="C36" s="5" t="str">
        <f t="shared" si="2"/>
        <v>le,</v>
      </c>
      <c r="D36" s="5" t="str">
        <f t="shared" si="1"/>
        <v>Brues</v>
      </c>
      <c r="E36" s="5" t="str">
        <f t="shared" si="0"/>
        <v>ey L.</v>
      </c>
    </row>
    <row r="37" spans="1:5" ht="15.75" customHeight="1" x14ac:dyDescent="0.3">
      <c r="A37" s="4" t="s">
        <v>74</v>
      </c>
      <c r="B37" s="4" t="s">
        <v>75</v>
      </c>
      <c r="C37" s="5" t="str">
        <f t="shared" si="2"/>
        <v>ce,</v>
      </c>
      <c r="D37" s="5" t="str">
        <f t="shared" si="1"/>
        <v>Lacha</v>
      </c>
      <c r="E37" s="5" t="str">
        <f t="shared" si="0"/>
        <v>ulien</v>
      </c>
    </row>
    <row r="38" spans="1:5" ht="15.75" customHeight="1" x14ac:dyDescent="0.3">
      <c r="A38" s="4" t="s">
        <v>76</v>
      </c>
      <c r="B38" s="4" t="s">
        <v>77</v>
      </c>
      <c r="C38" s="5" t="str">
        <f t="shared" si="2"/>
        <v xml:space="preserve"> Mr</v>
      </c>
      <c r="D38" s="5" t="str">
        <f t="shared" si="1"/>
        <v>Eason</v>
      </c>
      <c r="E38" s="5" t="str">
        <f t="shared" si="0"/>
        <v>yan M</v>
      </c>
    </row>
    <row r="39" spans="1:5" ht="15.75" customHeight="1" x14ac:dyDescent="0.3">
      <c r="A39" s="4" t="s">
        <v>78</v>
      </c>
      <c r="B39" s="4" t="s">
        <v>79</v>
      </c>
      <c r="C39" s="5" t="str">
        <f t="shared" si="2"/>
        <v xml:space="preserve">n, </v>
      </c>
      <c r="D39" s="5" t="str">
        <f t="shared" si="1"/>
        <v>Grumm</v>
      </c>
      <c r="E39" s="5" t="str">
        <f t="shared" si="0"/>
        <v>na H.</v>
      </c>
    </row>
    <row r="40" spans="1:5" ht="15.75" customHeight="1" x14ac:dyDescent="0.3">
      <c r="A40" s="4" t="s">
        <v>80</v>
      </c>
      <c r="B40" s="4" t="s">
        <v>81</v>
      </c>
      <c r="C40" s="5" t="str">
        <f t="shared" si="2"/>
        <v>hel</v>
      </c>
      <c r="D40" s="5" t="str">
        <f t="shared" si="1"/>
        <v>Vanwe</v>
      </c>
      <c r="E40" s="5" t="str">
        <f t="shared" si="0"/>
        <v>antha</v>
      </c>
    </row>
    <row r="41" spans="1:5" ht="15.75" customHeight="1" x14ac:dyDescent="0.3">
      <c r="A41" s="4" t="s">
        <v>82</v>
      </c>
      <c r="B41" s="4" t="s">
        <v>83</v>
      </c>
      <c r="C41" s="5" t="str">
        <f t="shared" si="2"/>
        <v>, M</v>
      </c>
      <c r="D41" s="5" t="str">
        <f t="shared" si="1"/>
        <v>Fishe</v>
      </c>
      <c r="E41" s="5" t="str">
        <f t="shared" si="0"/>
        <v>obert</v>
      </c>
    </row>
    <row r="42" spans="1:5" ht="15.75" customHeight="1" x14ac:dyDescent="0.3">
      <c r="A42" s="4" t="s">
        <v>84</v>
      </c>
      <c r="B42" s="4" t="s">
        <v>85</v>
      </c>
      <c r="C42" s="5" t="str">
        <f t="shared" si="2"/>
        <v xml:space="preserve">s, </v>
      </c>
      <c r="D42" s="5" t="str">
        <f t="shared" si="1"/>
        <v>Jenki</v>
      </c>
      <c r="E42" s="5" t="str">
        <f t="shared" si="0"/>
        <v>es R.</v>
      </c>
    </row>
    <row r="43" spans="1:5" ht="15.75" customHeight="1" x14ac:dyDescent="0.3">
      <c r="A43" s="4" t="s">
        <v>86</v>
      </c>
      <c r="B43" s="4" t="s">
        <v>87</v>
      </c>
      <c r="C43" s="5" t="str">
        <f t="shared" si="2"/>
        <v>, M</v>
      </c>
      <c r="D43" s="5" t="str">
        <f t="shared" si="1"/>
        <v>Peter</v>
      </c>
      <c r="E43" s="5" t="str">
        <f t="shared" si="0"/>
        <v>seann</v>
      </c>
    </row>
    <row r="44" spans="1:5" ht="15.75" customHeight="1" x14ac:dyDescent="0.3">
      <c r="A44" s="4" t="s">
        <v>88</v>
      </c>
      <c r="B44" s="4" t="s">
        <v>89</v>
      </c>
      <c r="C44" s="5" t="str">
        <f t="shared" si="2"/>
        <v xml:space="preserve">s. </v>
      </c>
      <c r="D44" s="5" t="str">
        <f t="shared" si="1"/>
        <v xml:space="preserve">Aha, </v>
      </c>
      <c r="E44" s="5" t="str">
        <f t="shared" si="0"/>
        <v>icole</v>
      </c>
    </row>
    <row r="45" spans="1:5" ht="15.75" customHeight="1" x14ac:dyDescent="0.3">
      <c r="A45" s="4" t="s">
        <v>90</v>
      </c>
      <c r="B45" s="4" t="s">
        <v>91</v>
      </c>
      <c r="C45" s="5" t="str">
        <f t="shared" si="2"/>
        <v>in,</v>
      </c>
      <c r="D45" s="5" t="str">
        <f t="shared" si="1"/>
        <v>McElw</v>
      </c>
      <c r="E45" s="5" t="str">
        <f t="shared" si="0"/>
        <v>encer</v>
      </c>
    </row>
    <row r="46" spans="1:5" ht="15.75" customHeight="1" x14ac:dyDescent="0.3">
      <c r="A46" s="4" t="s">
        <v>92</v>
      </c>
      <c r="B46" s="4" t="s">
        <v>93</v>
      </c>
      <c r="C46" s="5" t="str">
        <f t="shared" si="2"/>
        <v>ews</v>
      </c>
      <c r="D46" s="5" t="str">
        <f t="shared" si="1"/>
        <v>Janus</v>
      </c>
      <c r="E46" s="5" t="str">
        <f t="shared" si="0"/>
        <v>ric W</v>
      </c>
    </row>
    <row r="47" spans="1:5" ht="15.75" customHeight="1" x14ac:dyDescent="0.3">
      <c r="A47" s="4" t="s">
        <v>94</v>
      </c>
      <c r="B47" s="4" t="s">
        <v>95</v>
      </c>
      <c r="C47" s="5" t="str">
        <f t="shared" si="2"/>
        <v xml:space="preserve"> Ms</v>
      </c>
      <c r="D47" s="5" t="str">
        <f t="shared" si="1"/>
        <v>Rohne</v>
      </c>
      <c r="E47" s="5" t="str">
        <f t="shared" si="0"/>
        <v>nna L</v>
      </c>
    </row>
    <row r="48" spans="1:5" ht="15.75" customHeight="1" x14ac:dyDescent="0.3">
      <c r="A48" s="4" t="s">
        <v>96</v>
      </c>
      <c r="B48" s="4" t="s">
        <v>97</v>
      </c>
      <c r="C48" s="5" t="str">
        <f t="shared" si="2"/>
        <v xml:space="preserve">y, </v>
      </c>
      <c r="D48" s="5" t="str">
        <f t="shared" si="1"/>
        <v>O'Gra</v>
      </c>
      <c r="E48" s="5" t="str">
        <f t="shared" si="0"/>
        <v>as J.</v>
      </c>
    </row>
    <row r="49" spans="1:5" ht="15.75" customHeight="1" x14ac:dyDescent="0.3">
      <c r="A49" s="4" t="s">
        <v>98</v>
      </c>
      <c r="B49" s="4" t="s">
        <v>99</v>
      </c>
      <c r="C49" s="5" t="str">
        <f t="shared" si="2"/>
        <v>, M</v>
      </c>
      <c r="D49" s="5" t="str">
        <f t="shared" si="1"/>
        <v>Peter</v>
      </c>
      <c r="E49" s="5" t="str">
        <f t="shared" si="0"/>
        <v>ssa L</v>
      </c>
    </row>
    <row r="50" spans="1:5" ht="15.75" customHeight="1" x14ac:dyDescent="0.3">
      <c r="A50" s="4" t="s">
        <v>100</v>
      </c>
      <c r="B50" s="4" t="s">
        <v>101</v>
      </c>
      <c r="C50" s="5" t="str">
        <f t="shared" si="2"/>
        <v>one</v>
      </c>
      <c r="D50" s="5" t="str">
        <f t="shared" si="1"/>
        <v>De Si</v>
      </c>
      <c r="E50" s="5" t="str">
        <f t="shared" si="0"/>
        <v>lavio</v>
      </c>
    </row>
    <row r="51" spans="1:5" ht="15.75" customHeight="1" x14ac:dyDescent="0.3">
      <c r="A51" s="4" t="s">
        <v>102</v>
      </c>
      <c r="B51" s="4" t="s">
        <v>103</v>
      </c>
      <c r="C51" s="5" t="str">
        <f t="shared" si="2"/>
        <v xml:space="preserve">t, </v>
      </c>
      <c r="D51" s="5" t="str">
        <f t="shared" si="1"/>
        <v>Becke</v>
      </c>
      <c r="E51" s="5" t="str">
        <f t="shared" si="0"/>
        <v xml:space="preserve"> Ryan</v>
      </c>
    </row>
    <row r="52" spans="1:5" ht="15.75" customHeight="1" x14ac:dyDescent="0.3">
      <c r="A52" s="4" t="s">
        <v>104</v>
      </c>
      <c r="B52" s="4" t="s">
        <v>105</v>
      </c>
      <c r="C52" s="5" t="str">
        <f t="shared" si="2"/>
        <v>sky</v>
      </c>
      <c r="D52" s="5" t="str">
        <f t="shared" si="1"/>
        <v>Sobri</v>
      </c>
      <c r="E52" s="5" t="str">
        <f t="shared" si="0"/>
        <v>ny J.</v>
      </c>
    </row>
    <row r="53" spans="1:5" ht="15.75" customHeight="1" x14ac:dyDescent="0.3">
      <c r="A53" s="4" t="s">
        <v>106</v>
      </c>
      <c r="B53" s="4" t="s">
        <v>107</v>
      </c>
      <c r="C53" s="5" t="str">
        <f t="shared" si="2"/>
        <v>Ms.</v>
      </c>
      <c r="D53" s="5" t="str">
        <f t="shared" si="1"/>
        <v>Wang,</v>
      </c>
      <c r="E53" s="5" t="str">
        <f t="shared" si="0"/>
        <v xml:space="preserve"> Alex</v>
      </c>
    </row>
    <row r="54" spans="1:5" ht="15.75" customHeight="1" x14ac:dyDescent="0.3">
      <c r="A54" s="4" t="s">
        <v>108</v>
      </c>
      <c r="B54" s="4" t="s">
        <v>109</v>
      </c>
      <c r="C54" s="5" t="str">
        <f t="shared" si="2"/>
        <v xml:space="preserve"> Mr</v>
      </c>
      <c r="D54" s="5" t="str">
        <f t="shared" si="1"/>
        <v>Campa</v>
      </c>
      <c r="E54" s="5" t="str">
        <f t="shared" si="0"/>
        <v>David</v>
      </c>
    </row>
    <row r="55" spans="1:5" ht="15.75" customHeight="1" x14ac:dyDescent="0.3">
      <c r="A55" s="4" t="s">
        <v>110</v>
      </c>
      <c r="B55" s="4" t="s">
        <v>111</v>
      </c>
      <c r="C55" s="5" t="str">
        <f t="shared" si="2"/>
        <v>rd,</v>
      </c>
      <c r="D55" s="5" t="str">
        <f t="shared" si="1"/>
        <v>Cliff</v>
      </c>
      <c r="E55" s="5" t="str">
        <f t="shared" si="0"/>
        <v>rew B</v>
      </c>
    </row>
    <row r="56" spans="1:5" ht="15.75" customHeight="1" x14ac:dyDescent="0.3">
      <c r="A56" s="4" t="s">
        <v>112</v>
      </c>
      <c r="B56" s="4" t="s">
        <v>113</v>
      </c>
      <c r="C56" s="5" t="str">
        <f t="shared" si="2"/>
        <v xml:space="preserve">a, </v>
      </c>
      <c r="D56" s="5" t="str">
        <f t="shared" si="1"/>
        <v>Dalma</v>
      </c>
      <c r="E56" s="5" t="str">
        <f t="shared" si="0"/>
        <v>ara E</v>
      </c>
    </row>
    <row r="57" spans="1:5" ht="15.75" customHeight="1" x14ac:dyDescent="0.3">
      <c r="A57" s="4" t="s">
        <v>114</v>
      </c>
      <c r="B57" s="4" t="s">
        <v>115</v>
      </c>
      <c r="C57" s="5" t="str">
        <f t="shared" si="2"/>
        <v>, M</v>
      </c>
      <c r="D57" s="5" t="str">
        <f t="shared" si="1"/>
        <v>Vishi</v>
      </c>
      <c r="E57" s="5" t="str">
        <f t="shared" si="0"/>
        <v xml:space="preserve"> Inna</v>
      </c>
    </row>
    <row r="58" spans="1:5" ht="15.75" customHeight="1" x14ac:dyDescent="0.3">
      <c r="A58" s="4" t="s">
        <v>116</v>
      </c>
      <c r="B58" s="4" t="s">
        <v>117</v>
      </c>
      <c r="C58" s="5" t="str">
        <f t="shared" si="2"/>
        <v>, M</v>
      </c>
      <c r="D58" s="5" t="str">
        <f t="shared" si="1"/>
        <v>Schor</v>
      </c>
      <c r="E58" s="5" t="str">
        <f t="shared" si="0"/>
        <v xml:space="preserve">  Ari</v>
      </c>
    </row>
    <row r="59" spans="1:5" ht="15.75" customHeight="1" x14ac:dyDescent="0.3">
      <c r="A59" s="4" t="s">
        <v>118</v>
      </c>
      <c r="B59" s="4" t="s">
        <v>119</v>
      </c>
      <c r="C59" s="5" t="str">
        <f t="shared" si="2"/>
        <v xml:space="preserve">i, </v>
      </c>
      <c r="D59" s="5" t="str">
        <f t="shared" si="1"/>
        <v>Lusar</v>
      </c>
      <c r="E59" s="5" t="str">
        <f t="shared" si="0"/>
        <v>ndsey</v>
      </c>
    </row>
    <row r="60" spans="1:5" ht="15.75" customHeight="1" x14ac:dyDescent="0.3">
      <c r="A60" s="4" t="s">
        <v>120</v>
      </c>
      <c r="B60" s="4" t="s">
        <v>121</v>
      </c>
      <c r="C60" s="5" t="str">
        <f t="shared" si="2"/>
        <v>, M</v>
      </c>
      <c r="D60" s="5" t="str">
        <f t="shared" si="1"/>
        <v>Rayne</v>
      </c>
      <c r="E60" s="5" t="str">
        <f t="shared" si="0"/>
        <v>Kenny</v>
      </c>
    </row>
    <row r="61" spans="1:5" ht="15.75" customHeight="1" x14ac:dyDescent="0.3">
      <c r="A61" s="4" t="s">
        <v>122</v>
      </c>
      <c r="B61" s="4" t="s">
        <v>123</v>
      </c>
      <c r="C61" s="5" t="str">
        <f t="shared" si="2"/>
        <v>, M</v>
      </c>
      <c r="D61" s="5" t="str">
        <f t="shared" si="1"/>
        <v>Voghe</v>
      </c>
      <c r="E61" s="5" t="str">
        <f t="shared" si="0"/>
        <v>ouise</v>
      </c>
    </row>
    <row r="62" spans="1:5" ht="15.75" customHeight="1" x14ac:dyDescent="0.3">
      <c r="A62" s="4" t="s">
        <v>124</v>
      </c>
      <c r="B62" s="4" t="s">
        <v>125</v>
      </c>
      <c r="C62" s="5" t="str">
        <f t="shared" si="2"/>
        <v xml:space="preserve"> Mr</v>
      </c>
      <c r="D62" s="5" t="str">
        <f t="shared" si="1"/>
        <v>Rieth</v>
      </c>
      <c r="E62" s="5" t="str">
        <f t="shared" si="0"/>
        <v>meron</v>
      </c>
    </row>
    <row r="63" spans="1:5" ht="15.75" customHeight="1" x14ac:dyDescent="0.3">
      <c r="A63" s="4" t="s">
        <v>126</v>
      </c>
      <c r="B63" s="4" t="s">
        <v>127</v>
      </c>
      <c r="C63" s="5" t="str">
        <f t="shared" si="2"/>
        <v>to,</v>
      </c>
      <c r="D63" s="5" t="str">
        <f t="shared" si="1"/>
        <v>Gollo</v>
      </c>
      <c r="E63" s="5" t="str">
        <f t="shared" si="0"/>
        <v>ie T.</v>
      </c>
    </row>
    <row r="64" spans="1:5" ht="15.75" customHeight="1" x14ac:dyDescent="0.3">
      <c r="A64" s="4" t="s">
        <v>128</v>
      </c>
      <c r="B64" s="4" t="s">
        <v>129</v>
      </c>
      <c r="C64" s="5" t="str">
        <f t="shared" si="2"/>
        <v>Ms.</v>
      </c>
      <c r="D64" s="5" t="str">
        <f t="shared" si="1"/>
        <v>Dunn,</v>
      </c>
      <c r="E64" s="5" t="str">
        <f t="shared" si="0"/>
        <v>Casey</v>
      </c>
    </row>
    <row r="65" spans="1:5" ht="15.75" customHeight="1" x14ac:dyDescent="0.3">
      <c r="A65" s="4" t="s">
        <v>130</v>
      </c>
      <c r="B65" s="4" t="s">
        <v>131</v>
      </c>
      <c r="C65" s="5" t="str">
        <f t="shared" si="2"/>
        <v xml:space="preserve">r, </v>
      </c>
      <c r="D65" s="5" t="str">
        <f t="shared" si="1"/>
        <v>Blitz</v>
      </c>
      <c r="E65" s="5" t="str">
        <f t="shared" si="0"/>
        <v>David</v>
      </c>
    </row>
    <row r="66" spans="1:5" ht="15.75" customHeight="1" x14ac:dyDescent="0.3">
      <c r="A66" s="4" t="s">
        <v>132</v>
      </c>
      <c r="B66" s="4" t="s">
        <v>133</v>
      </c>
      <c r="C66" s="5" t="str">
        <f t="shared" si="2"/>
        <v xml:space="preserve"> Mr</v>
      </c>
      <c r="D66" s="5" t="str">
        <f t="shared" si="1"/>
        <v>Smith</v>
      </c>
      <c r="E66" s="5" t="str">
        <f t="shared" ref="E66:E129" si="3">RIGHT(B66,5)</f>
        <v>on C.</v>
      </c>
    </row>
    <row r="67" spans="1:5" ht="15.75" customHeight="1" x14ac:dyDescent="0.3">
      <c r="A67" s="4" t="s">
        <v>134</v>
      </c>
      <c r="B67" s="4" t="s">
        <v>135</v>
      </c>
      <c r="C67" s="5" t="str">
        <f t="shared" si="2"/>
        <v>, M</v>
      </c>
      <c r="D67" s="5" t="str">
        <f t="shared" si="1"/>
        <v>Hylan</v>
      </c>
      <c r="E67" s="5" t="str">
        <f t="shared" si="3"/>
        <v>Megan</v>
      </c>
    </row>
    <row r="68" spans="1:5" ht="15.75" customHeight="1" x14ac:dyDescent="0.3">
      <c r="A68" s="4" t="s">
        <v>136</v>
      </c>
      <c r="B68" s="4" t="s">
        <v>137</v>
      </c>
      <c r="C68" s="5" t="str">
        <f t="shared" si="2"/>
        <v>me,</v>
      </c>
      <c r="D68" s="5" t="str">
        <f t="shared" si="1"/>
        <v>Ducha</v>
      </c>
      <c r="E68" s="5" t="str">
        <f t="shared" si="3"/>
        <v>aniel</v>
      </c>
    </row>
    <row r="69" spans="1:5" ht="15.75" customHeight="1" x14ac:dyDescent="0.3">
      <c r="A69" s="4" t="s">
        <v>138</v>
      </c>
      <c r="B69" s="4" t="s">
        <v>139</v>
      </c>
      <c r="C69" s="5" t="str">
        <f t="shared" si="2"/>
        <v xml:space="preserve">n, </v>
      </c>
      <c r="D69" s="5" t="str">
        <f t="shared" si="1"/>
        <v>Johns</v>
      </c>
      <c r="E69" s="5" t="str">
        <f t="shared" si="3"/>
        <v>en M.</v>
      </c>
    </row>
    <row r="70" spans="1:5" ht="15.75" customHeight="1" x14ac:dyDescent="0.3">
      <c r="A70" s="4" t="s">
        <v>140</v>
      </c>
      <c r="B70" s="4" t="s">
        <v>141</v>
      </c>
      <c r="C70" s="5" t="str">
        <f t="shared" si="2"/>
        <v>Ms.</v>
      </c>
      <c r="D70" s="5" t="str">
        <f t="shared" si="1"/>
        <v>Mutz,</v>
      </c>
      <c r="E70" s="5" t="str">
        <f t="shared" si="3"/>
        <v>na L.</v>
      </c>
    </row>
    <row r="71" spans="1:5" ht="15.75" customHeight="1" x14ac:dyDescent="0.3">
      <c r="A71" s="4" t="s">
        <v>142</v>
      </c>
      <c r="B71" s="4" t="s">
        <v>143</v>
      </c>
      <c r="C71" s="5" t="str">
        <f t="shared" si="2"/>
        <v xml:space="preserve">r. </v>
      </c>
      <c r="D71" s="5" t="str">
        <f t="shared" si="1"/>
        <v xml:space="preserve">Lee, </v>
      </c>
      <c r="E71" s="5" t="str">
        <f t="shared" si="3"/>
        <v>eeman</v>
      </c>
    </row>
    <row r="72" spans="1:5" ht="15.75" customHeight="1" x14ac:dyDescent="0.3">
      <c r="A72" s="4" t="s">
        <v>144</v>
      </c>
      <c r="B72" s="4" t="s">
        <v>145</v>
      </c>
      <c r="C72" s="5" t="str">
        <f t="shared" si="2"/>
        <v>, M</v>
      </c>
      <c r="D72" s="5" t="str">
        <f t="shared" si="1"/>
        <v>Turne</v>
      </c>
      <c r="E72" s="5" t="str">
        <f t="shared" si="3"/>
        <v xml:space="preserve"> Jeff</v>
      </c>
    </row>
    <row r="73" spans="1:5" ht="15.75" customHeight="1" x14ac:dyDescent="0.3">
      <c r="A73" s="4" t="s">
        <v>146</v>
      </c>
      <c r="B73" s="4" t="s">
        <v>147</v>
      </c>
      <c r="C73" s="5" t="str">
        <f t="shared" si="2"/>
        <v>, M</v>
      </c>
      <c r="D73" s="5" t="str">
        <f t="shared" si="1"/>
        <v>Range</v>
      </c>
      <c r="E73" s="5" t="str">
        <f t="shared" si="3"/>
        <v>. Sr.</v>
      </c>
    </row>
    <row r="74" spans="1:5" ht="15.75" customHeight="1" x14ac:dyDescent="0.3">
      <c r="A74" s="4" t="s">
        <v>148</v>
      </c>
      <c r="B74" s="4" t="s">
        <v>149</v>
      </c>
      <c r="C74" s="5" t="str">
        <f t="shared" si="2"/>
        <v xml:space="preserve"> Ms</v>
      </c>
      <c r="D74" s="5" t="str">
        <f t="shared" si="1"/>
        <v>Lacey</v>
      </c>
      <c r="E74" s="5" t="str">
        <f t="shared" si="3"/>
        <v>aurya</v>
      </c>
    </row>
    <row r="75" spans="1:5" ht="15.75" customHeight="1" x14ac:dyDescent="0.3">
      <c r="A75" s="4" t="s">
        <v>150</v>
      </c>
      <c r="B75" s="4" t="s">
        <v>151</v>
      </c>
      <c r="C75" s="5" t="str">
        <f t="shared" si="2"/>
        <v>, M</v>
      </c>
      <c r="D75" s="5" t="str">
        <f t="shared" si="1"/>
        <v>Stige</v>
      </c>
      <c r="E75" s="5" t="str">
        <f t="shared" si="3"/>
        <v>tha C</v>
      </c>
    </row>
    <row r="76" spans="1:5" ht="15.75" customHeight="1" x14ac:dyDescent="0.3">
      <c r="A76" s="4" t="s">
        <v>152</v>
      </c>
      <c r="B76" s="4" t="s">
        <v>153</v>
      </c>
      <c r="C76" s="5" t="str">
        <f t="shared" si="2"/>
        <v>ll,</v>
      </c>
      <c r="D76" s="5" t="str">
        <f t="shared" si="1"/>
        <v>Caldw</v>
      </c>
      <c r="E76" s="5" t="str">
        <f t="shared" si="3"/>
        <v>any A</v>
      </c>
    </row>
    <row r="77" spans="1:5" ht="15.75" customHeight="1" x14ac:dyDescent="0.3">
      <c r="A77" s="4" t="s">
        <v>154</v>
      </c>
      <c r="B77" s="4" t="s">
        <v>155</v>
      </c>
      <c r="C77" s="5" t="str">
        <f t="shared" si="2"/>
        <v>lod</v>
      </c>
      <c r="D77" s="5" t="str">
        <f t="shared" si="1"/>
        <v>Marmi</v>
      </c>
      <c r="E77" s="5" t="str">
        <f t="shared" si="3"/>
        <v xml:space="preserve"> Yves</v>
      </c>
    </row>
    <row r="78" spans="1:5" ht="15.75" customHeight="1" x14ac:dyDescent="0.3">
      <c r="A78" s="4" t="s">
        <v>156</v>
      </c>
      <c r="B78" s="4" t="s">
        <v>157</v>
      </c>
      <c r="C78" s="5" t="str">
        <f t="shared" si="2"/>
        <v>er-</v>
      </c>
      <c r="D78" s="5" t="str">
        <f t="shared" si="1"/>
        <v>Clout</v>
      </c>
      <c r="E78" s="5" t="str">
        <f t="shared" si="3"/>
        <v>ielle</v>
      </c>
    </row>
    <row r="79" spans="1:5" ht="15.75" customHeight="1" x14ac:dyDescent="0.3">
      <c r="A79" s="4" t="s">
        <v>158</v>
      </c>
      <c r="B79" s="4" t="s">
        <v>159</v>
      </c>
      <c r="C79" s="5" t="str">
        <f t="shared" si="2"/>
        <v xml:space="preserve"> Ms</v>
      </c>
      <c r="D79" s="5" t="str">
        <f t="shared" si="1"/>
        <v>Vegas</v>
      </c>
      <c r="E79" s="5" t="str">
        <f t="shared" si="3"/>
        <v>Julia</v>
      </c>
    </row>
    <row r="80" spans="1:5" ht="15.75" customHeight="1" x14ac:dyDescent="0.3">
      <c r="A80" s="4" t="s">
        <v>160</v>
      </c>
      <c r="B80" s="4" t="s">
        <v>161</v>
      </c>
      <c r="C80" s="5" t="str">
        <f t="shared" si="2"/>
        <v xml:space="preserve">n, </v>
      </c>
      <c r="D80" s="5" t="str">
        <f t="shared" si="1"/>
        <v>Cochr</v>
      </c>
      <c r="E80" s="5" t="str">
        <f t="shared" si="3"/>
        <v>oshua</v>
      </c>
    </row>
    <row r="81" spans="1:5" ht="15.75" customHeight="1" x14ac:dyDescent="0.3">
      <c r="A81" s="4" t="s">
        <v>162</v>
      </c>
      <c r="B81" s="4" t="s">
        <v>163</v>
      </c>
      <c r="C81" s="5" t="str">
        <f t="shared" si="2"/>
        <v>ppl</v>
      </c>
      <c r="D81" s="5" t="str">
        <f t="shared" ref="D81:D144" si="4">LEFT(B81,5)</f>
        <v>Holtz</v>
      </c>
      <c r="E81" s="5" t="str">
        <f t="shared" si="3"/>
        <v>nifer</v>
      </c>
    </row>
    <row r="82" spans="1:5" ht="15.75" customHeight="1" x14ac:dyDescent="0.3">
      <c r="A82" s="4" t="s">
        <v>164</v>
      </c>
      <c r="B82" s="4" t="s">
        <v>165</v>
      </c>
      <c r="C82" s="5" t="str">
        <f t="shared" si="2"/>
        <v xml:space="preserve"> Ms</v>
      </c>
      <c r="D82" s="5" t="str">
        <f t="shared" si="4"/>
        <v>Meyer</v>
      </c>
      <c r="E82" s="5" t="str">
        <f t="shared" si="3"/>
        <v>en M.</v>
      </c>
    </row>
    <row r="83" spans="1:5" ht="15.75" customHeight="1" x14ac:dyDescent="0.3">
      <c r="A83" s="4" t="s">
        <v>166</v>
      </c>
      <c r="B83" s="4" t="s">
        <v>167</v>
      </c>
      <c r="C83" s="5" t="str">
        <f t="shared" si="2"/>
        <v>ey,</v>
      </c>
      <c r="D83" s="5" t="str">
        <f t="shared" si="4"/>
        <v>Brick</v>
      </c>
      <c r="E83" s="5" t="str">
        <f t="shared" si="3"/>
        <v>trick</v>
      </c>
    </row>
    <row r="84" spans="1:5" ht="15.75" customHeight="1" x14ac:dyDescent="0.3">
      <c r="A84" s="4" t="s">
        <v>168</v>
      </c>
      <c r="B84" s="4" t="s">
        <v>169</v>
      </c>
      <c r="C84" s="5" t="str">
        <f t="shared" si="2"/>
        <v xml:space="preserve"> Ms</v>
      </c>
      <c r="D84" s="5" t="str">
        <f t="shared" si="4"/>
        <v>Magee</v>
      </c>
      <c r="E84" s="5" t="str">
        <f t="shared" si="3"/>
        <v xml:space="preserve"> Kate</v>
      </c>
    </row>
    <row r="85" spans="1:5" ht="15.75" customHeight="1" x14ac:dyDescent="0.3">
      <c r="A85" s="4" t="s">
        <v>170</v>
      </c>
      <c r="B85" s="4" t="s">
        <v>171</v>
      </c>
      <c r="C85" s="5" t="str">
        <f t="shared" si="2"/>
        <v xml:space="preserve"> Mr</v>
      </c>
      <c r="D85" s="5" t="str">
        <f t="shared" si="4"/>
        <v>Thoma</v>
      </c>
      <c r="E85" s="5" t="str">
        <f t="shared" si="3"/>
        <v>Kevin</v>
      </c>
    </row>
    <row r="86" spans="1:5" ht="15.75" customHeight="1" x14ac:dyDescent="0.3">
      <c r="A86" s="4" t="s">
        <v>172</v>
      </c>
      <c r="B86" s="4" t="s">
        <v>173</v>
      </c>
      <c r="C86" s="5" t="str">
        <f t="shared" si="2"/>
        <v xml:space="preserve"> Mr</v>
      </c>
      <c r="D86" s="5" t="str">
        <f t="shared" si="4"/>
        <v>Heagy</v>
      </c>
      <c r="E86" s="5" t="str">
        <f t="shared" si="3"/>
        <v>en II</v>
      </c>
    </row>
    <row r="87" spans="1:5" ht="15.75" customHeight="1" x14ac:dyDescent="0.3">
      <c r="A87" s="4" t="s">
        <v>174</v>
      </c>
      <c r="B87" s="4" t="s">
        <v>175</v>
      </c>
      <c r="C87" s="5" t="str">
        <f t="shared" si="2"/>
        <v xml:space="preserve">r, </v>
      </c>
      <c r="D87" s="5" t="str">
        <f t="shared" si="4"/>
        <v>Regni</v>
      </c>
      <c r="E87" s="5" t="str">
        <f t="shared" si="3"/>
        <v>hilip</v>
      </c>
    </row>
    <row r="88" spans="1:5" ht="15.75" customHeight="1" x14ac:dyDescent="0.3">
      <c r="A88" s="4" t="s">
        <v>176</v>
      </c>
      <c r="B88" s="4" t="s">
        <v>177</v>
      </c>
      <c r="C88" s="5" t="str">
        <f t="shared" si="2"/>
        <v xml:space="preserve">o, </v>
      </c>
      <c r="D88" s="5" t="str">
        <f t="shared" si="4"/>
        <v>Paren</v>
      </c>
      <c r="E88" s="5" t="str">
        <f t="shared" si="3"/>
        <v>ett A</v>
      </c>
    </row>
    <row r="89" spans="1:5" ht="15.75" customHeight="1" x14ac:dyDescent="0.3">
      <c r="A89" s="4" t="s">
        <v>178</v>
      </c>
      <c r="B89" s="4" t="s">
        <v>179</v>
      </c>
      <c r="C89" s="5" t="str">
        <f t="shared" si="2"/>
        <v>, M</v>
      </c>
      <c r="D89" s="5" t="str">
        <f t="shared" si="4"/>
        <v>Schel</v>
      </c>
      <c r="E89" s="5" t="str">
        <f t="shared" si="3"/>
        <v>becca</v>
      </c>
    </row>
    <row r="90" spans="1:5" ht="15.75" customHeight="1" x14ac:dyDescent="0.3">
      <c r="A90" s="4" t="s">
        <v>180</v>
      </c>
      <c r="B90" s="4" t="s">
        <v>181</v>
      </c>
      <c r="C90" s="5" t="str">
        <f t="shared" si="2"/>
        <v>ll,</v>
      </c>
      <c r="D90" s="5" t="str">
        <f t="shared" si="4"/>
        <v>Drisc</v>
      </c>
      <c r="E90" s="5" t="str">
        <f t="shared" si="3"/>
        <v>elley</v>
      </c>
    </row>
    <row r="91" spans="1:5" ht="15.75" customHeight="1" x14ac:dyDescent="0.3">
      <c r="A91" s="4" t="s">
        <v>182</v>
      </c>
      <c r="B91" s="4" t="s">
        <v>183</v>
      </c>
      <c r="C91" s="5" t="str">
        <f t="shared" si="2"/>
        <v>ll,</v>
      </c>
      <c r="D91" s="5" t="str">
        <f t="shared" si="4"/>
        <v>Mitch</v>
      </c>
      <c r="E91" s="5" t="str">
        <f t="shared" si="3"/>
        <v>ail K</v>
      </c>
    </row>
    <row r="92" spans="1:5" ht="15.75" customHeight="1" x14ac:dyDescent="0.3">
      <c r="A92" s="4" t="s">
        <v>184</v>
      </c>
      <c r="B92" s="4" t="s">
        <v>185</v>
      </c>
      <c r="C92" s="5" t="str">
        <f t="shared" si="2"/>
        <v>, M</v>
      </c>
      <c r="D92" s="5" t="str">
        <f t="shared" si="4"/>
        <v>Cutle</v>
      </c>
      <c r="E92" s="5" t="str">
        <f t="shared" si="3"/>
        <v xml:space="preserve"> Hope</v>
      </c>
    </row>
    <row r="93" spans="1:5" ht="15.75" customHeight="1" x14ac:dyDescent="0.3">
      <c r="A93" s="4" t="s">
        <v>186</v>
      </c>
      <c r="B93" s="4" t="s">
        <v>187</v>
      </c>
      <c r="C93" s="5" t="str">
        <f t="shared" si="2"/>
        <v>, M</v>
      </c>
      <c r="D93" s="5" t="str">
        <f t="shared" si="4"/>
        <v>Deria</v>
      </c>
      <c r="E93" s="5" t="str">
        <f t="shared" si="3"/>
        <v>se M.</v>
      </c>
    </row>
    <row r="94" spans="1:5" ht="15.75" customHeight="1" x14ac:dyDescent="0.3">
      <c r="A94" s="4" t="s">
        <v>188</v>
      </c>
      <c r="B94" s="4" t="s">
        <v>189</v>
      </c>
      <c r="C94" s="5" t="str">
        <f t="shared" si="2"/>
        <v>, M</v>
      </c>
      <c r="D94" s="5" t="str">
        <f t="shared" si="4"/>
        <v>Farin</v>
      </c>
      <c r="E94" s="5" t="str">
        <f t="shared" si="3"/>
        <v>holas</v>
      </c>
    </row>
    <row r="95" spans="1:5" ht="15.75" customHeight="1" x14ac:dyDescent="0.3">
      <c r="A95" s="4" t="s">
        <v>190</v>
      </c>
      <c r="B95" s="4" t="s">
        <v>191</v>
      </c>
      <c r="C95" s="5" t="str">
        <f t="shared" si="2"/>
        <v>rs,</v>
      </c>
      <c r="D95" s="5" t="str">
        <f t="shared" si="4"/>
        <v>Saund</v>
      </c>
      <c r="E95" s="5" t="str">
        <f t="shared" si="3"/>
        <v>David</v>
      </c>
    </row>
    <row r="96" spans="1:5" ht="15.75" customHeight="1" x14ac:dyDescent="0.3">
      <c r="A96" s="4" t="s">
        <v>192</v>
      </c>
      <c r="B96" s="4" t="s">
        <v>193</v>
      </c>
      <c r="C96" s="5" t="str">
        <f t="shared" si="2"/>
        <v xml:space="preserve"> Ms</v>
      </c>
      <c r="D96" s="5" t="str">
        <f t="shared" si="4"/>
        <v>Kratz</v>
      </c>
      <c r="E96" s="5" t="str">
        <f t="shared" si="3"/>
        <v>talie</v>
      </c>
    </row>
    <row r="97" spans="1:5" ht="15.75" customHeight="1" x14ac:dyDescent="0.3">
      <c r="A97" s="4" t="s">
        <v>194</v>
      </c>
      <c r="B97" s="4" t="s">
        <v>195</v>
      </c>
      <c r="C97" s="5" t="str">
        <f t="shared" si="2"/>
        <v>, M</v>
      </c>
      <c r="D97" s="5" t="str">
        <f t="shared" si="4"/>
        <v>Bolan</v>
      </c>
      <c r="E97" s="5" t="str">
        <f t="shared" si="3"/>
        <v>homas</v>
      </c>
    </row>
    <row r="98" spans="1:5" ht="15.75" customHeight="1" x14ac:dyDescent="0.3">
      <c r="A98" s="4" t="s">
        <v>196</v>
      </c>
      <c r="B98" s="4" t="s">
        <v>197</v>
      </c>
      <c r="C98" s="5" t="str">
        <f t="shared" si="2"/>
        <v>ut,</v>
      </c>
      <c r="D98" s="5" t="str">
        <f t="shared" si="4"/>
        <v>Van H</v>
      </c>
      <c r="E98" s="5" t="str">
        <f t="shared" si="3"/>
        <v>la J.</v>
      </c>
    </row>
    <row r="99" spans="1:5" ht="15.75" customHeight="1" x14ac:dyDescent="0.3">
      <c r="A99" s="4" t="s">
        <v>198</v>
      </c>
      <c r="B99" s="4" t="s">
        <v>199</v>
      </c>
      <c r="C99" s="5" t="str">
        <f t="shared" si="2"/>
        <v>, M</v>
      </c>
      <c r="D99" s="5" t="str">
        <f t="shared" si="4"/>
        <v>Ramse</v>
      </c>
      <c r="E99" s="5" t="str">
        <f t="shared" si="3"/>
        <v>ssica</v>
      </c>
    </row>
    <row r="100" spans="1:5" ht="15.75" customHeight="1" x14ac:dyDescent="0.3">
      <c r="A100" s="4" t="s">
        <v>200</v>
      </c>
      <c r="B100" s="4" t="s">
        <v>201</v>
      </c>
      <c r="C100" s="5" t="str">
        <f t="shared" si="2"/>
        <v>Mr.</v>
      </c>
      <c r="D100" s="5" t="str">
        <f t="shared" si="4"/>
        <v>Gage,</v>
      </c>
      <c r="E100" s="5" t="str">
        <f t="shared" si="3"/>
        <v>Ron N</v>
      </c>
    </row>
    <row r="101" spans="1:5" ht="15.75" customHeight="1" x14ac:dyDescent="0.3">
      <c r="A101" s="4" t="s">
        <v>202</v>
      </c>
      <c r="B101" s="4" t="s">
        <v>203</v>
      </c>
      <c r="C101" s="5" t="str">
        <f t="shared" si="2"/>
        <v xml:space="preserve">s, </v>
      </c>
      <c r="D101" s="5" t="str">
        <f t="shared" si="4"/>
        <v>Golli</v>
      </c>
      <c r="E101" s="5" t="str">
        <f t="shared" si="3"/>
        <v>aniel</v>
      </c>
    </row>
    <row r="102" spans="1:5" ht="15.75" customHeight="1" x14ac:dyDescent="0.3">
      <c r="A102" s="4" t="s">
        <v>204</v>
      </c>
      <c r="B102" s="4" t="s">
        <v>205</v>
      </c>
      <c r="C102" s="5" t="str">
        <f t="shared" si="2"/>
        <v>ad,</v>
      </c>
      <c r="D102" s="5" t="str">
        <f t="shared" si="4"/>
        <v>Benes</v>
      </c>
      <c r="E102" s="5" t="str">
        <f t="shared" si="3"/>
        <v>Brian</v>
      </c>
    </row>
    <row r="103" spans="1:5" ht="15.75" customHeight="1" x14ac:dyDescent="0.3">
      <c r="A103" s="4" t="s">
        <v>206</v>
      </c>
      <c r="B103" s="4" t="s">
        <v>207</v>
      </c>
      <c r="C103" s="5" t="str">
        <f t="shared" si="2"/>
        <v>Ms.</v>
      </c>
      <c r="D103" s="5" t="str">
        <f t="shared" si="4"/>
        <v>Aviv,</v>
      </c>
      <c r="E103" s="5" t="str">
        <f t="shared" si="3"/>
        <v xml:space="preserve"> Sari</v>
      </c>
    </row>
    <row r="104" spans="1:5" ht="15.75" customHeight="1" x14ac:dyDescent="0.3">
      <c r="A104" s="4" t="s">
        <v>208</v>
      </c>
      <c r="B104" s="4" t="s">
        <v>209</v>
      </c>
      <c r="C104" s="5" t="str">
        <f t="shared" si="2"/>
        <v xml:space="preserve"> Mr</v>
      </c>
      <c r="D104" s="5" t="str">
        <f t="shared" si="4"/>
        <v>Burns</v>
      </c>
      <c r="E104" s="5" t="str">
        <f t="shared" si="3"/>
        <v>rt M.</v>
      </c>
    </row>
    <row r="105" spans="1:5" ht="15.75" customHeight="1" x14ac:dyDescent="0.3">
      <c r="A105" s="4" t="s">
        <v>210</v>
      </c>
      <c r="B105" s="4" t="s">
        <v>211</v>
      </c>
      <c r="C105" s="5" t="str">
        <f t="shared" si="2"/>
        <v>ado</v>
      </c>
      <c r="D105" s="5" t="str">
        <f t="shared" si="4"/>
        <v>Maldo</v>
      </c>
      <c r="E105" s="5" t="str">
        <f t="shared" si="3"/>
        <v>cardo</v>
      </c>
    </row>
    <row r="106" spans="1:5" ht="15.75" customHeight="1" x14ac:dyDescent="0.3">
      <c r="A106" s="4" t="s">
        <v>212</v>
      </c>
      <c r="B106" s="4" t="s">
        <v>213</v>
      </c>
      <c r="C106" s="5" t="str">
        <f t="shared" si="2"/>
        <v>, M</v>
      </c>
      <c r="D106" s="5" t="str">
        <f t="shared" si="4"/>
        <v>Yitre</v>
      </c>
      <c r="E106" s="5" t="str">
        <f t="shared" si="3"/>
        <v>edion</v>
      </c>
    </row>
    <row r="107" spans="1:5" ht="15.75" customHeight="1" x14ac:dyDescent="0.3">
      <c r="A107" s="4" t="s">
        <v>214</v>
      </c>
      <c r="B107" s="4" t="s">
        <v>215</v>
      </c>
      <c r="C107" s="5" t="str">
        <f t="shared" si="2"/>
        <v>-Br</v>
      </c>
      <c r="D107" s="5" t="str">
        <f t="shared" si="4"/>
        <v>Loudo</v>
      </c>
      <c r="E107" s="5" t="str">
        <f t="shared" si="3"/>
        <v xml:space="preserve"> Mark</v>
      </c>
    </row>
    <row r="108" spans="1:5" ht="15.75" customHeight="1" x14ac:dyDescent="0.3">
      <c r="A108" s="4" t="s">
        <v>216</v>
      </c>
      <c r="B108" s="4" t="s">
        <v>217</v>
      </c>
      <c r="C108" s="5" t="str">
        <f t="shared" si="2"/>
        <v>ada</v>
      </c>
      <c r="D108" s="5" t="str">
        <f t="shared" si="4"/>
        <v>Sugat</v>
      </c>
      <c r="E108" s="5" t="str">
        <f t="shared" si="3"/>
        <v>ni P.</v>
      </c>
    </row>
    <row r="109" spans="1:5" ht="15.75" customHeight="1" x14ac:dyDescent="0.3">
      <c r="A109" s="4" t="s">
        <v>218</v>
      </c>
      <c r="B109" s="4" t="s">
        <v>219</v>
      </c>
      <c r="C109" s="5" t="str">
        <f t="shared" si="2"/>
        <v>, M</v>
      </c>
      <c r="D109" s="5" t="str">
        <f t="shared" si="4"/>
        <v>Ganle</v>
      </c>
      <c r="E109" s="5" t="str">
        <f t="shared" si="3"/>
        <v>ily J</v>
      </c>
    </row>
    <row r="110" spans="1:5" ht="15.75" customHeight="1" x14ac:dyDescent="0.3">
      <c r="A110" s="4" t="s">
        <v>220</v>
      </c>
      <c r="B110" s="4" t="s">
        <v>221</v>
      </c>
      <c r="C110" s="5" t="str">
        <f t="shared" si="2"/>
        <v>, M</v>
      </c>
      <c r="D110" s="5" t="str">
        <f t="shared" si="4"/>
        <v>Potte</v>
      </c>
      <c r="E110" s="5" t="str">
        <f t="shared" si="3"/>
        <v>manda</v>
      </c>
    </row>
    <row r="111" spans="1:5" ht="15.75" customHeight="1" x14ac:dyDescent="0.3">
      <c r="A111" s="4" t="s">
        <v>222</v>
      </c>
      <c r="B111" s="4" t="s">
        <v>223</v>
      </c>
      <c r="C111" s="5" t="str">
        <f t="shared" si="2"/>
        <v>sen</v>
      </c>
      <c r="D111" s="5" t="str">
        <f t="shared" si="4"/>
        <v>Rasmu</v>
      </c>
      <c r="E111" s="5" t="str">
        <f t="shared" si="3"/>
        <v>holas</v>
      </c>
    </row>
    <row r="112" spans="1:5" ht="15.75" customHeight="1" x14ac:dyDescent="0.3">
      <c r="A112" s="4" t="s">
        <v>224</v>
      </c>
      <c r="B112" s="4" t="s">
        <v>225</v>
      </c>
      <c r="C112" s="5" t="str">
        <f t="shared" si="2"/>
        <v>on,</v>
      </c>
      <c r="D112" s="5" t="str">
        <f t="shared" si="4"/>
        <v>Robin</v>
      </c>
      <c r="E112" s="5" t="str">
        <f t="shared" si="3"/>
        <v xml:space="preserve"> Knox</v>
      </c>
    </row>
    <row r="113" spans="1:5" ht="15.75" customHeight="1" x14ac:dyDescent="0.3">
      <c r="A113" s="4" t="s">
        <v>226</v>
      </c>
      <c r="B113" s="4" t="s">
        <v>227</v>
      </c>
      <c r="C113" s="5" t="str">
        <f t="shared" si="2"/>
        <v>pou</v>
      </c>
      <c r="D113" s="5" t="str">
        <f t="shared" si="4"/>
        <v>Anton</v>
      </c>
      <c r="E113" s="5" t="str">
        <f t="shared" si="3"/>
        <v>ianna</v>
      </c>
    </row>
    <row r="114" spans="1:5" ht="15.75" customHeight="1" x14ac:dyDescent="0.3">
      <c r="A114" s="4" t="s">
        <v>228</v>
      </c>
      <c r="B114" s="4" t="s">
        <v>229</v>
      </c>
      <c r="C114" s="5" t="str">
        <f t="shared" si="2"/>
        <v>, M</v>
      </c>
      <c r="D114" s="5" t="str">
        <f t="shared" si="4"/>
        <v>Grone</v>
      </c>
      <c r="E114" s="5" t="str">
        <f t="shared" si="3"/>
        <v>berta</v>
      </c>
    </row>
    <row r="115" spans="1:5" ht="15.75" customHeight="1" x14ac:dyDescent="0.3">
      <c r="A115" s="4" t="s">
        <v>230</v>
      </c>
      <c r="B115" s="4" t="s">
        <v>231</v>
      </c>
      <c r="C115" s="5" t="str">
        <f t="shared" si="2"/>
        <v xml:space="preserve">i, </v>
      </c>
      <c r="D115" s="5" t="str">
        <f t="shared" si="4"/>
        <v>Zywic</v>
      </c>
      <c r="E115" s="5" t="str">
        <f t="shared" si="3"/>
        <v>in P.</v>
      </c>
    </row>
    <row r="116" spans="1:5" ht="15.75" customHeight="1" x14ac:dyDescent="0.3">
      <c r="A116" s="4" t="s">
        <v>232</v>
      </c>
      <c r="B116" s="4" t="s">
        <v>233</v>
      </c>
      <c r="C116" s="5" t="str">
        <f t="shared" si="2"/>
        <v>al,</v>
      </c>
      <c r="D116" s="5" t="str">
        <f t="shared" si="4"/>
        <v>Cardi</v>
      </c>
      <c r="E116" s="5" t="str">
        <f t="shared" si="3"/>
        <v>Craig</v>
      </c>
    </row>
    <row r="117" spans="1:5" ht="15.75" customHeight="1" x14ac:dyDescent="0.3">
      <c r="A117" s="4" t="s">
        <v>234</v>
      </c>
      <c r="B117" s="4" t="s">
        <v>235</v>
      </c>
      <c r="C117" s="5" t="str">
        <f t="shared" si="2"/>
        <v xml:space="preserve">n, </v>
      </c>
      <c r="D117" s="5" t="str">
        <f t="shared" si="4"/>
        <v>Allem</v>
      </c>
      <c r="E117" s="5" t="str">
        <f t="shared" si="3"/>
        <v xml:space="preserve">  Ann</v>
      </c>
    </row>
    <row r="118" spans="1:5" ht="15.75" customHeight="1" x14ac:dyDescent="0.3">
      <c r="A118" s="4" t="s">
        <v>236</v>
      </c>
      <c r="B118" s="4" t="s">
        <v>237</v>
      </c>
      <c r="C118" s="5" t="str">
        <f t="shared" si="2"/>
        <v>oli</v>
      </c>
      <c r="D118" s="5" t="str">
        <f t="shared" si="4"/>
        <v>Strof</v>
      </c>
      <c r="E118" s="5" t="str">
        <f t="shared" si="3"/>
        <v>mie P</v>
      </c>
    </row>
    <row r="119" spans="1:5" ht="15.75" customHeight="1" x14ac:dyDescent="0.3">
      <c r="A119" s="4" t="s">
        <v>238</v>
      </c>
      <c r="B119" s="4" t="s">
        <v>239</v>
      </c>
      <c r="C119" s="5" t="str">
        <f t="shared" si="2"/>
        <v xml:space="preserve"> Mr</v>
      </c>
      <c r="D119" s="5" t="str">
        <f t="shared" si="4"/>
        <v>Clubb</v>
      </c>
      <c r="E119" s="5" t="str">
        <f t="shared" si="3"/>
        <v xml:space="preserve"> John</v>
      </c>
    </row>
    <row r="120" spans="1:5" ht="15.75" customHeight="1" x14ac:dyDescent="0.3">
      <c r="A120" s="4" t="s">
        <v>240</v>
      </c>
      <c r="B120" s="4" t="s">
        <v>241</v>
      </c>
      <c r="C120" s="5" t="str">
        <f t="shared" si="2"/>
        <v>an,</v>
      </c>
      <c r="D120" s="5" t="str">
        <f t="shared" si="4"/>
        <v>McGoo</v>
      </c>
      <c r="E120" s="5" t="str">
        <f t="shared" si="3"/>
        <v>arlie</v>
      </c>
    </row>
    <row r="121" spans="1:5" ht="15.75" customHeight="1" x14ac:dyDescent="0.3">
      <c r="A121" s="4" t="s">
        <v>242</v>
      </c>
      <c r="B121" s="4" t="s">
        <v>243</v>
      </c>
      <c r="C121" s="5" t="str">
        <f t="shared" si="2"/>
        <v>igh</v>
      </c>
      <c r="D121" s="5" t="str">
        <f t="shared" si="4"/>
        <v>Kefle</v>
      </c>
      <c r="E121" s="5" t="str">
        <f t="shared" si="3"/>
        <v xml:space="preserve">  Meb</v>
      </c>
    </row>
    <row r="122" spans="1:5" ht="15.75" customHeight="1" x14ac:dyDescent="0.3">
      <c r="A122" s="4" t="s">
        <v>244</v>
      </c>
      <c r="B122" s="4" t="s">
        <v>245</v>
      </c>
      <c r="C122" s="5" t="str">
        <f t="shared" si="2"/>
        <v>Mr.</v>
      </c>
      <c r="D122" s="5" t="str">
        <f t="shared" si="4"/>
        <v>Syed,</v>
      </c>
      <c r="E122" s="5" t="str">
        <f t="shared" si="3"/>
        <v>ib L.</v>
      </c>
    </row>
    <row r="123" spans="1:5" ht="15.75" customHeight="1" x14ac:dyDescent="0.3">
      <c r="A123" s="4" t="s">
        <v>246</v>
      </c>
      <c r="B123" s="4" t="s">
        <v>247</v>
      </c>
      <c r="C123" s="5" t="str">
        <f t="shared" si="2"/>
        <v xml:space="preserve"> Mr</v>
      </c>
      <c r="D123" s="5" t="str">
        <f t="shared" si="4"/>
        <v>Segal</v>
      </c>
      <c r="E123" s="5" t="str">
        <f t="shared" si="3"/>
        <v>ig A.</v>
      </c>
    </row>
    <row r="124" spans="1:5" ht="15.75" customHeight="1" x14ac:dyDescent="0.3">
      <c r="A124" s="4" t="s">
        <v>248</v>
      </c>
      <c r="B124" s="4" t="s">
        <v>249</v>
      </c>
      <c r="C124" s="5" t="str">
        <f t="shared" si="2"/>
        <v>co,</v>
      </c>
      <c r="D124" s="5" t="str">
        <f t="shared" si="4"/>
        <v>Defra</v>
      </c>
      <c r="E124" s="5" t="str">
        <f t="shared" si="3"/>
        <v>edith</v>
      </c>
    </row>
    <row r="125" spans="1:5" ht="15.75" customHeight="1" x14ac:dyDescent="0.3">
      <c r="A125" s="4" t="s">
        <v>250</v>
      </c>
      <c r="B125" s="4" t="s">
        <v>251</v>
      </c>
      <c r="C125" s="5" t="str">
        <f t="shared" si="2"/>
        <v xml:space="preserve"> Mr</v>
      </c>
      <c r="D125" s="5" t="str">
        <f t="shared" si="4"/>
        <v>Kells</v>
      </c>
      <c r="E125" s="5" t="str">
        <f t="shared" si="3"/>
        <v xml:space="preserve"> Doug</v>
      </c>
    </row>
    <row r="126" spans="1:5" ht="15.75" customHeight="1" x14ac:dyDescent="0.3">
      <c r="A126" s="4" t="s">
        <v>252</v>
      </c>
      <c r="B126" s="4" t="s">
        <v>253</v>
      </c>
      <c r="C126" s="5" t="str">
        <f t="shared" si="2"/>
        <v>, M</v>
      </c>
      <c r="D126" s="5" t="str">
        <f t="shared" si="4"/>
        <v>Lawto</v>
      </c>
      <c r="E126" s="5" t="str">
        <f t="shared" si="3"/>
        <v>th J.</v>
      </c>
    </row>
    <row r="127" spans="1:5" ht="15.75" customHeight="1" x14ac:dyDescent="0.3">
      <c r="A127" s="4" t="s">
        <v>254</v>
      </c>
      <c r="B127" s="4" t="s">
        <v>255</v>
      </c>
      <c r="C127" s="5" t="str">
        <f t="shared" si="2"/>
        <v xml:space="preserve"> Mr</v>
      </c>
      <c r="D127" s="5" t="str">
        <f t="shared" si="4"/>
        <v>Bejar</v>
      </c>
      <c r="E127" s="5" t="str">
        <f t="shared" si="3"/>
        <v>hew P</v>
      </c>
    </row>
    <row r="128" spans="1:5" ht="15.75" customHeight="1" x14ac:dyDescent="0.3">
      <c r="A128" s="4" t="s">
        <v>256</v>
      </c>
      <c r="B128" s="4" t="s">
        <v>257</v>
      </c>
      <c r="C128" s="5" t="str">
        <f t="shared" si="2"/>
        <v>o C</v>
      </c>
      <c r="D128" s="5" t="str">
        <f t="shared" si="4"/>
        <v>Navar</v>
      </c>
      <c r="E128" s="5" t="str">
        <f t="shared" si="3"/>
        <v>o Sr.</v>
      </c>
    </row>
    <row r="129" spans="1:5" ht="15.75" customHeight="1" x14ac:dyDescent="0.3">
      <c r="A129" s="4" t="s">
        <v>258</v>
      </c>
      <c r="B129" s="4" t="s">
        <v>259</v>
      </c>
      <c r="C129" s="5" t="str">
        <f t="shared" si="2"/>
        <v>Mr.</v>
      </c>
      <c r="D129" s="5" t="str">
        <f t="shared" si="4"/>
        <v>Tice,</v>
      </c>
      <c r="E129" s="5" t="str">
        <f t="shared" si="3"/>
        <v>yan C</v>
      </c>
    </row>
    <row r="130" spans="1:5" ht="15.75" customHeight="1" x14ac:dyDescent="0.3">
      <c r="A130" s="4" t="s">
        <v>260</v>
      </c>
      <c r="B130" s="4" t="s">
        <v>261</v>
      </c>
      <c r="C130" s="5" t="str">
        <f t="shared" si="2"/>
        <v>Mr.</v>
      </c>
      <c r="D130" s="5" t="str">
        <f t="shared" si="4"/>
        <v>Wolf,</v>
      </c>
      <c r="E130" s="5" t="str">
        <f t="shared" ref="E130:E193" si="5">RIGHT(B130,5)</f>
        <v xml:space="preserve"> Dane</v>
      </c>
    </row>
    <row r="131" spans="1:5" ht="15.75" customHeight="1" x14ac:dyDescent="0.3">
      <c r="A131" s="4" t="s">
        <v>262</v>
      </c>
      <c r="B131" s="4" t="s">
        <v>263</v>
      </c>
      <c r="C131" s="5" t="str">
        <f t="shared" si="2"/>
        <v xml:space="preserve">l, </v>
      </c>
      <c r="D131" s="5" t="str">
        <f t="shared" si="4"/>
        <v>Opped</v>
      </c>
      <c r="E131" s="5" t="str">
        <f t="shared" si="5"/>
        <v>Jonas</v>
      </c>
    </row>
    <row r="132" spans="1:5" ht="15.75" customHeight="1" x14ac:dyDescent="0.3">
      <c r="A132" s="4" t="s">
        <v>264</v>
      </c>
      <c r="B132" s="4" t="s">
        <v>265</v>
      </c>
      <c r="C132" s="5" t="str">
        <f t="shared" si="2"/>
        <v>, M</v>
      </c>
      <c r="D132" s="5" t="str">
        <f t="shared" si="4"/>
        <v>Wrigh</v>
      </c>
      <c r="E132" s="5" t="str">
        <f t="shared" si="5"/>
        <v>rge E</v>
      </c>
    </row>
    <row r="133" spans="1:5" ht="15.75" customHeight="1" x14ac:dyDescent="0.3">
      <c r="A133" s="4" t="s">
        <v>266</v>
      </c>
      <c r="B133" s="4" t="s">
        <v>267</v>
      </c>
      <c r="C133" s="5" t="str">
        <f t="shared" si="2"/>
        <v xml:space="preserve"> Ms</v>
      </c>
      <c r="D133" s="5" t="str">
        <f t="shared" si="4"/>
        <v>Ellis</v>
      </c>
      <c r="E133" s="5" t="str">
        <f t="shared" si="5"/>
        <v>ara S</v>
      </c>
    </row>
    <row r="134" spans="1:5" ht="15.75" customHeight="1" x14ac:dyDescent="0.3">
      <c r="A134" s="4" t="s">
        <v>268</v>
      </c>
      <c r="B134" s="4" t="s">
        <v>269</v>
      </c>
      <c r="C134" s="5" t="str">
        <f t="shared" si="2"/>
        <v>na,</v>
      </c>
      <c r="D134" s="5" t="str">
        <f t="shared" si="4"/>
        <v>Taorm</v>
      </c>
      <c r="E134" s="5" t="str">
        <f t="shared" si="5"/>
        <v xml:space="preserve"> Nick</v>
      </c>
    </row>
    <row r="135" spans="1:5" ht="15.75" customHeight="1" x14ac:dyDescent="0.3">
      <c r="A135" s="4" t="s">
        <v>270</v>
      </c>
      <c r="B135" s="4" t="s">
        <v>271</v>
      </c>
      <c r="C135" s="5" t="str">
        <f t="shared" si="2"/>
        <v xml:space="preserve"> Mr</v>
      </c>
      <c r="D135" s="5" t="str">
        <f t="shared" si="4"/>
        <v>Lynch</v>
      </c>
      <c r="E135" s="5" t="str">
        <f t="shared" si="5"/>
        <v>mothy</v>
      </c>
    </row>
    <row r="136" spans="1:5" ht="15.75" customHeight="1" x14ac:dyDescent="0.3">
      <c r="A136" s="4" t="s">
        <v>272</v>
      </c>
      <c r="B136" s="4" t="s">
        <v>273</v>
      </c>
      <c r="C136" s="5" t="str">
        <f t="shared" si="2"/>
        <v xml:space="preserve">a, </v>
      </c>
      <c r="D136" s="5" t="str">
        <f t="shared" si="4"/>
        <v>Tavel</v>
      </c>
      <c r="E136" s="5" t="str">
        <f t="shared" si="5"/>
        <v>cky L</v>
      </c>
    </row>
    <row r="137" spans="1:5" ht="15.75" customHeight="1" x14ac:dyDescent="0.3">
      <c r="A137" s="4" t="s">
        <v>274</v>
      </c>
      <c r="B137" s="4" t="s">
        <v>275</v>
      </c>
      <c r="C137" s="5" t="str">
        <f t="shared" si="2"/>
        <v xml:space="preserve">d, </v>
      </c>
      <c r="D137" s="5" t="str">
        <f t="shared" si="4"/>
        <v>Neufe</v>
      </c>
      <c r="E137" s="5" t="str">
        <f t="shared" si="5"/>
        <v>ph K.</v>
      </c>
    </row>
    <row r="138" spans="1:5" ht="15.75" customHeight="1" x14ac:dyDescent="0.3">
      <c r="A138" s="4" t="s">
        <v>276</v>
      </c>
      <c r="B138" s="4" t="s">
        <v>277</v>
      </c>
      <c r="C138" s="5" t="str">
        <f t="shared" si="2"/>
        <v xml:space="preserve">d, </v>
      </c>
      <c r="D138" s="5" t="str">
        <f t="shared" si="4"/>
        <v>Walho</v>
      </c>
      <c r="E138" s="5" t="str">
        <f t="shared" si="5"/>
        <v>ne B.</v>
      </c>
    </row>
    <row r="139" spans="1:5" ht="15.75" customHeight="1" x14ac:dyDescent="0.3">
      <c r="A139" s="4" t="s">
        <v>278</v>
      </c>
      <c r="B139" s="4" t="s">
        <v>279</v>
      </c>
      <c r="C139" s="5" t="str">
        <f t="shared" si="2"/>
        <v>rn,</v>
      </c>
      <c r="D139" s="5" t="str">
        <f t="shared" si="4"/>
        <v>Washb</v>
      </c>
      <c r="E139" s="5" t="str">
        <f t="shared" si="5"/>
        <v>lor B</v>
      </c>
    </row>
    <row r="140" spans="1:5" ht="15.75" customHeight="1" x14ac:dyDescent="0.3">
      <c r="A140" s="4" t="s">
        <v>280</v>
      </c>
      <c r="B140" s="4" t="s">
        <v>281</v>
      </c>
      <c r="C140" s="5" t="str">
        <f t="shared" si="2"/>
        <v>Mr.</v>
      </c>
      <c r="D140" s="5" t="str">
        <f t="shared" si="4"/>
        <v>Mroz,</v>
      </c>
      <c r="E140" s="5" t="str">
        <f t="shared" si="5"/>
        <v>lliam</v>
      </c>
    </row>
    <row r="141" spans="1:5" ht="15.75" customHeight="1" x14ac:dyDescent="0.3">
      <c r="A141" s="4" t="s">
        <v>282</v>
      </c>
      <c r="B141" s="4" t="s">
        <v>283</v>
      </c>
      <c r="C141" s="5" t="str">
        <f t="shared" si="2"/>
        <v xml:space="preserve">y, </v>
      </c>
      <c r="D141" s="5" t="str">
        <f t="shared" si="4"/>
        <v>Canad</v>
      </c>
      <c r="E141" s="5" t="str">
        <f t="shared" si="5"/>
        <v xml:space="preserve"> Sage</v>
      </c>
    </row>
    <row r="142" spans="1:5" ht="15.75" customHeight="1" x14ac:dyDescent="0.3">
      <c r="A142" s="4" t="s">
        <v>284</v>
      </c>
      <c r="B142" s="4" t="s">
        <v>285</v>
      </c>
      <c r="C142" s="5" t="str">
        <f t="shared" si="2"/>
        <v>, M</v>
      </c>
      <c r="D142" s="5" t="str">
        <f t="shared" si="4"/>
        <v>Atkin</v>
      </c>
      <c r="E142" s="5" t="str">
        <f t="shared" si="5"/>
        <v xml:space="preserve"> Cole</v>
      </c>
    </row>
    <row r="143" spans="1:5" ht="15.75" customHeight="1" x14ac:dyDescent="0.3">
      <c r="A143" s="4" t="s">
        <v>286</v>
      </c>
      <c r="B143" s="4" t="s">
        <v>287</v>
      </c>
      <c r="C143" s="5" t="str">
        <f t="shared" si="2"/>
        <v>nic</v>
      </c>
      <c r="D143" s="5" t="str">
        <f t="shared" si="4"/>
        <v>Krope</v>
      </c>
      <c r="E143" s="5" t="str">
        <f t="shared" si="5"/>
        <v>Jesse</v>
      </c>
    </row>
    <row r="144" spans="1:5" ht="15.75" customHeight="1" x14ac:dyDescent="0.3">
      <c r="A144" s="4" t="s">
        <v>288</v>
      </c>
      <c r="B144" s="4" t="s">
        <v>289</v>
      </c>
      <c r="C144" s="5" t="str">
        <f t="shared" si="2"/>
        <v>, M</v>
      </c>
      <c r="D144" s="5" t="str">
        <f t="shared" si="4"/>
        <v>Braun</v>
      </c>
      <c r="E144" s="5" t="str">
        <f t="shared" si="5"/>
        <v>mi J.</v>
      </c>
    </row>
    <row r="145" spans="1:5" ht="15.75" customHeight="1" x14ac:dyDescent="0.3">
      <c r="A145" s="4" t="s">
        <v>290</v>
      </c>
      <c r="B145" s="4" t="s">
        <v>291</v>
      </c>
      <c r="C145" s="5" t="str">
        <f t="shared" si="2"/>
        <v>on,</v>
      </c>
      <c r="D145" s="5" t="str">
        <f t="shared" ref="D145:D208" si="6">LEFT(B145,5)</f>
        <v>Ander</v>
      </c>
      <c r="E145" s="5" t="str">
        <f t="shared" si="5"/>
        <v>ew S.</v>
      </c>
    </row>
    <row r="146" spans="1:5" ht="15.75" customHeight="1" x14ac:dyDescent="0.3">
      <c r="A146" s="4" t="s">
        <v>292</v>
      </c>
      <c r="B146" s="4" t="s">
        <v>293</v>
      </c>
      <c r="C146" s="5" t="str">
        <f t="shared" si="2"/>
        <v xml:space="preserve">y, </v>
      </c>
      <c r="D146" s="5" t="str">
        <f t="shared" si="6"/>
        <v>Bilbr</v>
      </c>
      <c r="E146" s="5" t="str">
        <f t="shared" si="5"/>
        <v xml:space="preserve"> Eric</v>
      </c>
    </row>
    <row r="147" spans="1:5" ht="15.75" customHeight="1" x14ac:dyDescent="0.3">
      <c r="A147" s="4" t="s">
        <v>294</v>
      </c>
      <c r="B147" s="4" t="s">
        <v>295</v>
      </c>
      <c r="C147" s="5" t="str">
        <f t="shared" si="2"/>
        <v>, M</v>
      </c>
      <c r="D147" s="5" t="str">
        <f t="shared" si="6"/>
        <v>Curti</v>
      </c>
      <c r="E147" s="5" t="str">
        <f t="shared" si="5"/>
        <v>ria R</v>
      </c>
    </row>
    <row r="148" spans="1:5" ht="15.75" customHeight="1" x14ac:dyDescent="0.3">
      <c r="A148" s="4" t="s">
        <v>296</v>
      </c>
      <c r="B148" s="4" t="s">
        <v>297</v>
      </c>
      <c r="C148" s="5" t="str">
        <f t="shared" si="2"/>
        <v xml:space="preserve"> Mr</v>
      </c>
      <c r="D148" s="5" t="str">
        <f t="shared" si="6"/>
        <v>Meyer</v>
      </c>
      <c r="E148" s="5" t="str">
        <f t="shared" si="5"/>
        <v>ael P</v>
      </c>
    </row>
    <row r="149" spans="1:5" ht="15.75" customHeight="1" x14ac:dyDescent="0.3">
      <c r="A149" s="4" t="s">
        <v>298</v>
      </c>
      <c r="B149" s="4" t="s">
        <v>299</v>
      </c>
      <c r="C149" s="5" t="str">
        <f t="shared" si="2"/>
        <v>sy,</v>
      </c>
      <c r="D149" s="5" t="str">
        <f t="shared" si="6"/>
        <v>Barde</v>
      </c>
      <c r="E149" s="5" t="str">
        <f t="shared" si="5"/>
        <v xml:space="preserve"> Rami</v>
      </c>
    </row>
    <row r="150" spans="1:5" ht="15.75" customHeight="1" x14ac:dyDescent="0.3">
      <c r="A150" s="4" t="s">
        <v>300</v>
      </c>
      <c r="B150" s="4" t="s">
        <v>301</v>
      </c>
      <c r="C150" s="5" t="str">
        <f t="shared" si="2"/>
        <v>an,</v>
      </c>
      <c r="D150" s="5" t="str">
        <f t="shared" si="6"/>
        <v>Shana</v>
      </c>
      <c r="E150" s="5" t="str">
        <f t="shared" si="5"/>
        <v>Denis</v>
      </c>
    </row>
    <row r="151" spans="1:5" ht="15.75" customHeight="1" x14ac:dyDescent="0.3">
      <c r="A151" s="4" t="s">
        <v>302</v>
      </c>
      <c r="B151" s="4" t="s">
        <v>303</v>
      </c>
      <c r="C151" s="5" t="str">
        <f t="shared" si="2"/>
        <v>, M</v>
      </c>
      <c r="D151" s="5" t="str">
        <f t="shared" si="6"/>
        <v>Sutte</v>
      </c>
      <c r="E151" s="5" t="str">
        <f t="shared" si="5"/>
        <v>ian E</v>
      </c>
    </row>
    <row r="152" spans="1:5" ht="15.75" customHeight="1" x14ac:dyDescent="0.3">
      <c r="A152" s="4" t="s">
        <v>304</v>
      </c>
      <c r="B152" s="4" t="s">
        <v>305</v>
      </c>
      <c r="C152" s="5" t="str">
        <f t="shared" si="2"/>
        <v>, M</v>
      </c>
      <c r="D152" s="5" t="str">
        <f t="shared" si="6"/>
        <v>Yesia</v>
      </c>
      <c r="E152" s="5" t="str">
        <f t="shared" si="5"/>
        <v>onnie</v>
      </c>
    </row>
    <row r="153" spans="1:5" ht="15.75" customHeight="1" x14ac:dyDescent="0.3">
      <c r="A153" s="4" t="s">
        <v>306</v>
      </c>
      <c r="B153" s="4" t="s">
        <v>307</v>
      </c>
      <c r="C153" s="5" t="str">
        <f t="shared" si="2"/>
        <v xml:space="preserve"> Mr</v>
      </c>
      <c r="D153" s="5" t="str">
        <f t="shared" si="6"/>
        <v>Meers</v>
      </c>
      <c r="E153" s="5" t="str">
        <f t="shared" si="5"/>
        <v>ael P</v>
      </c>
    </row>
    <row r="154" spans="1:5" ht="15.75" customHeight="1" x14ac:dyDescent="0.3">
      <c r="A154" s="4" t="s">
        <v>308</v>
      </c>
      <c r="B154" s="4" t="s">
        <v>309</v>
      </c>
      <c r="C154" s="5" t="str">
        <f t="shared" si="2"/>
        <v>, M</v>
      </c>
      <c r="D154" s="5" t="str">
        <f t="shared" si="6"/>
        <v>Conlo</v>
      </c>
      <c r="E154" s="5" t="str">
        <f t="shared" si="5"/>
        <v xml:space="preserve"> Paul</v>
      </c>
    </row>
    <row r="155" spans="1:5" ht="15.75" customHeight="1" x14ac:dyDescent="0.3">
      <c r="A155" s="4" t="s">
        <v>310</v>
      </c>
      <c r="B155" s="4" t="s">
        <v>311</v>
      </c>
      <c r="C155" s="5" t="str">
        <f t="shared" si="2"/>
        <v>in,</v>
      </c>
      <c r="D155" s="5" t="str">
        <f t="shared" si="6"/>
        <v>Arnst</v>
      </c>
      <c r="E155" s="5" t="str">
        <f t="shared" si="5"/>
        <v>chael</v>
      </c>
    </row>
    <row r="156" spans="1:5" ht="15.75" customHeight="1" x14ac:dyDescent="0.3">
      <c r="A156" s="4" t="s">
        <v>312</v>
      </c>
      <c r="B156" s="4" t="s">
        <v>313</v>
      </c>
      <c r="C156" s="5" t="str">
        <f t="shared" si="2"/>
        <v xml:space="preserve"> Mr</v>
      </c>
      <c r="D156" s="5" t="str">
        <f t="shared" si="6"/>
        <v>Jurek</v>
      </c>
      <c r="E156" s="5" t="str">
        <f t="shared" si="5"/>
        <v>amuel</v>
      </c>
    </row>
    <row r="157" spans="1:5" ht="15.75" customHeight="1" x14ac:dyDescent="0.3">
      <c r="A157" s="4" t="s">
        <v>314</v>
      </c>
      <c r="B157" s="4" t="s">
        <v>315</v>
      </c>
      <c r="C157" s="5" t="str">
        <f t="shared" si="2"/>
        <v xml:space="preserve"> Mr</v>
      </c>
      <c r="D157" s="5" t="str">
        <f t="shared" si="6"/>
        <v>Thill</v>
      </c>
      <c r="E157" s="5" t="str">
        <f t="shared" si="5"/>
        <v>tthew</v>
      </c>
    </row>
    <row r="158" spans="1:5" ht="15.75" customHeight="1" x14ac:dyDescent="0.3">
      <c r="A158" s="4" t="s">
        <v>316</v>
      </c>
      <c r="B158" s="4" t="s">
        <v>317</v>
      </c>
      <c r="C158" s="5" t="str">
        <f t="shared" si="2"/>
        <v>Mr.</v>
      </c>
      <c r="D158" s="5" t="str">
        <f t="shared" si="6"/>
        <v>Glaz,</v>
      </c>
      <c r="E158" s="5" t="str">
        <f t="shared" si="5"/>
        <v>aniel</v>
      </c>
    </row>
    <row r="159" spans="1:5" ht="15.75" customHeight="1" x14ac:dyDescent="0.3">
      <c r="A159" s="4" t="s">
        <v>318</v>
      </c>
      <c r="B159" s="4" t="s">
        <v>319</v>
      </c>
      <c r="C159" s="5" t="str">
        <f t="shared" si="2"/>
        <v xml:space="preserve">n, </v>
      </c>
      <c r="D159" s="5" t="str">
        <f t="shared" si="6"/>
        <v>Samps</v>
      </c>
      <c r="E159" s="5" t="str">
        <f t="shared" si="5"/>
        <v>Syndy</v>
      </c>
    </row>
    <row r="160" spans="1:5" ht="15.75" customHeight="1" x14ac:dyDescent="0.3">
      <c r="A160" s="4" t="s">
        <v>320</v>
      </c>
      <c r="B160" s="4" t="s">
        <v>321</v>
      </c>
      <c r="C160" s="5" t="str">
        <f t="shared" si="2"/>
        <v>, M</v>
      </c>
      <c r="D160" s="5" t="str">
        <f t="shared" si="6"/>
        <v>Dulib</v>
      </c>
      <c r="E160" s="5" t="str">
        <f t="shared" si="5"/>
        <v>andra</v>
      </c>
    </row>
    <row r="161" spans="1:5" ht="15.75" customHeight="1" x14ac:dyDescent="0.3">
      <c r="A161" s="4" t="s">
        <v>322</v>
      </c>
      <c r="B161" s="4" t="s">
        <v>323</v>
      </c>
      <c r="C161" s="5" t="str">
        <f t="shared" si="2"/>
        <v xml:space="preserve">y, </v>
      </c>
      <c r="D161" s="5" t="str">
        <f t="shared" si="6"/>
        <v>Tangu</v>
      </c>
      <c r="E161" s="5" t="str">
        <f t="shared" si="5"/>
        <v>T Sr.</v>
      </c>
    </row>
    <row r="162" spans="1:5" ht="15.75" customHeight="1" x14ac:dyDescent="0.3">
      <c r="A162" s="4" t="s">
        <v>324</v>
      </c>
      <c r="B162" s="4" t="s">
        <v>325</v>
      </c>
      <c r="C162" s="5" t="str">
        <f t="shared" si="2"/>
        <v>lan</v>
      </c>
      <c r="D162" s="5" t="str">
        <f t="shared" si="6"/>
        <v>McCle</v>
      </c>
      <c r="E162" s="5" t="str">
        <f t="shared" si="5"/>
        <v>chard</v>
      </c>
    </row>
    <row r="163" spans="1:5" ht="15.75" customHeight="1" x14ac:dyDescent="0.3">
      <c r="A163" s="4" t="s">
        <v>326</v>
      </c>
      <c r="B163" s="4" t="s">
        <v>327</v>
      </c>
      <c r="C163" s="5" t="str">
        <f t="shared" si="2"/>
        <v>, M</v>
      </c>
      <c r="D163" s="5" t="str">
        <f t="shared" si="6"/>
        <v>Gorma</v>
      </c>
      <c r="E163" s="5" t="str">
        <f t="shared" si="5"/>
        <v>ron T</v>
      </c>
    </row>
    <row r="164" spans="1:5" ht="15.75" customHeight="1" x14ac:dyDescent="0.3">
      <c r="A164" s="4" t="s">
        <v>328</v>
      </c>
      <c r="B164" s="4" t="s">
        <v>329</v>
      </c>
      <c r="C164" s="5" t="str">
        <f t="shared" si="2"/>
        <v>ura</v>
      </c>
      <c r="D164" s="5" t="str">
        <f t="shared" si="6"/>
        <v>Nishi</v>
      </c>
      <c r="E164" s="5" t="str">
        <f t="shared" si="5"/>
        <v>Akira</v>
      </c>
    </row>
    <row r="165" spans="1:5" ht="15.75" customHeight="1" x14ac:dyDescent="0.3">
      <c r="A165" s="4" t="s">
        <v>330</v>
      </c>
      <c r="B165" s="4" t="s">
        <v>331</v>
      </c>
      <c r="C165" s="5" t="str">
        <f t="shared" si="2"/>
        <v xml:space="preserve">e, </v>
      </c>
      <c r="D165" s="5" t="str">
        <f t="shared" si="6"/>
        <v>Brimb</v>
      </c>
      <c r="E165" s="5" t="str">
        <f t="shared" si="5"/>
        <v xml:space="preserve">  Ben</v>
      </c>
    </row>
    <row r="166" spans="1:5" ht="15.75" customHeight="1" x14ac:dyDescent="0.3">
      <c r="A166" s="4" t="s">
        <v>332</v>
      </c>
      <c r="B166" s="4" t="s">
        <v>333</v>
      </c>
      <c r="C166" s="5" t="str">
        <f t="shared" si="2"/>
        <v xml:space="preserve"> Ms</v>
      </c>
      <c r="D166" s="5" t="str">
        <f t="shared" si="6"/>
        <v>Trenk</v>
      </c>
      <c r="E166" s="5" t="str">
        <f t="shared" si="5"/>
        <v xml:space="preserve"> Jana</v>
      </c>
    </row>
    <row r="167" spans="1:5" ht="15.75" customHeight="1" x14ac:dyDescent="0.3">
      <c r="A167" s="4" t="s">
        <v>334</v>
      </c>
      <c r="B167" s="4" t="s">
        <v>335</v>
      </c>
      <c r="C167" s="5" t="str">
        <f t="shared" si="2"/>
        <v>nn,</v>
      </c>
      <c r="D167" s="5" t="str">
        <f t="shared" si="6"/>
        <v>Wittm</v>
      </c>
      <c r="E167" s="5" t="str">
        <f t="shared" si="5"/>
        <v>ay T.</v>
      </c>
    </row>
    <row r="168" spans="1:5" ht="15.75" customHeight="1" x14ac:dyDescent="0.3">
      <c r="A168" s="4" t="s">
        <v>336</v>
      </c>
      <c r="B168" s="4" t="s">
        <v>337</v>
      </c>
      <c r="C168" s="5" t="str">
        <f t="shared" si="2"/>
        <v>ay,</v>
      </c>
      <c r="D168" s="5" t="str">
        <f t="shared" si="6"/>
        <v>Tremb</v>
      </c>
      <c r="E168" s="5" t="str">
        <f t="shared" si="5"/>
        <v>elene</v>
      </c>
    </row>
    <row r="169" spans="1:5" ht="15.75" customHeight="1" x14ac:dyDescent="0.3">
      <c r="A169" s="4" t="s">
        <v>338</v>
      </c>
      <c r="B169" s="4" t="s">
        <v>339</v>
      </c>
      <c r="C169" s="5" t="str">
        <f t="shared" si="2"/>
        <v>ld,</v>
      </c>
      <c r="D169" s="5" t="str">
        <f t="shared" si="6"/>
        <v>Scofi</v>
      </c>
      <c r="E169" s="5" t="str">
        <f t="shared" si="5"/>
        <v>ret R</v>
      </c>
    </row>
    <row r="170" spans="1:5" ht="15.75" customHeight="1" x14ac:dyDescent="0.3">
      <c r="A170" s="4" t="s">
        <v>340</v>
      </c>
      <c r="B170" s="4" t="s">
        <v>341</v>
      </c>
      <c r="C170" s="5" t="str">
        <f t="shared" si="2"/>
        <v>Mr.</v>
      </c>
      <c r="D170" s="5" t="str">
        <f t="shared" si="6"/>
        <v>Yost,</v>
      </c>
      <c r="E170" s="5" t="str">
        <f t="shared" si="5"/>
        <v>ner L</v>
      </c>
    </row>
    <row r="171" spans="1:5" ht="15.75" customHeight="1" x14ac:dyDescent="0.3">
      <c r="A171" s="4" t="s">
        <v>342</v>
      </c>
      <c r="B171" s="4" t="s">
        <v>343</v>
      </c>
      <c r="C171" s="5" t="str">
        <f t="shared" si="2"/>
        <v>, M</v>
      </c>
      <c r="D171" s="5" t="str">
        <f t="shared" si="6"/>
        <v>Torph</v>
      </c>
      <c r="E171" s="5" t="str">
        <f t="shared" si="5"/>
        <v>Bobby</v>
      </c>
    </row>
    <row r="172" spans="1:5" ht="15.75" customHeight="1" x14ac:dyDescent="0.3">
      <c r="A172" s="4" t="s">
        <v>344</v>
      </c>
      <c r="B172" s="4" t="s">
        <v>345</v>
      </c>
      <c r="C172" s="5" t="str">
        <f t="shared" si="2"/>
        <v xml:space="preserve"> Ms</v>
      </c>
      <c r="D172" s="5" t="str">
        <f t="shared" si="6"/>
        <v>Busby</v>
      </c>
      <c r="E172" s="5" t="str">
        <f t="shared" si="5"/>
        <v>talie</v>
      </c>
    </row>
    <row r="173" spans="1:5" ht="15.75" customHeight="1" x14ac:dyDescent="0.3">
      <c r="A173" s="4" t="s">
        <v>346</v>
      </c>
      <c r="B173" s="4" t="s">
        <v>347</v>
      </c>
      <c r="C173" s="5" t="str">
        <f t="shared" si="2"/>
        <v>, M</v>
      </c>
      <c r="D173" s="5" t="str">
        <f t="shared" si="6"/>
        <v>Nguye</v>
      </c>
      <c r="E173" s="5" t="str">
        <f t="shared" si="5"/>
        <v xml:space="preserve"> Lina</v>
      </c>
    </row>
    <row r="174" spans="1:5" ht="15.75" customHeight="1" x14ac:dyDescent="0.3">
      <c r="A174" s="4" t="s">
        <v>348</v>
      </c>
      <c r="B174" s="4" t="s">
        <v>349</v>
      </c>
      <c r="C174" s="5" t="str">
        <f t="shared" si="2"/>
        <v>, M</v>
      </c>
      <c r="D174" s="5" t="str">
        <f t="shared" si="6"/>
        <v>Hanle</v>
      </c>
      <c r="E174" s="5" t="str">
        <f t="shared" si="5"/>
        <v>bulon</v>
      </c>
    </row>
    <row r="175" spans="1:5" ht="15.75" customHeight="1" x14ac:dyDescent="0.3">
      <c r="A175" s="4" t="s">
        <v>350</v>
      </c>
      <c r="B175" s="4" t="s">
        <v>351</v>
      </c>
      <c r="C175" s="5" t="str">
        <f t="shared" si="2"/>
        <v>, M</v>
      </c>
      <c r="D175" s="5" t="str">
        <f t="shared" si="6"/>
        <v>Schee</v>
      </c>
      <c r="E175" s="5" t="str">
        <f t="shared" si="5"/>
        <v>manda</v>
      </c>
    </row>
    <row r="176" spans="1:5" ht="15.75" customHeight="1" x14ac:dyDescent="0.3">
      <c r="A176" s="4" t="s">
        <v>352</v>
      </c>
      <c r="B176" s="4" t="s">
        <v>353</v>
      </c>
      <c r="C176" s="5" t="str">
        <f t="shared" si="2"/>
        <v>, M</v>
      </c>
      <c r="D176" s="5" t="str">
        <f t="shared" si="6"/>
        <v>Ranki</v>
      </c>
      <c r="E176" s="5" t="str">
        <f t="shared" si="5"/>
        <v xml:space="preserve"> Greg</v>
      </c>
    </row>
    <row r="177" spans="1:5" ht="15.75" customHeight="1" x14ac:dyDescent="0.3">
      <c r="A177" s="4" t="s">
        <v>354</v>
      </c>
      <c r="B177" s="4" t="s">
        <v>355</v>
      </c>
      <c r="C177" s="5" t="str">
        <f t="shared" si="2"/>
        <v xml:space="preserve">i, </v>
      </c>
      <c r="D177" s="5" t="str">
        <f t="shared" si="6"/>
        <v>Ricar</v>
      </c>
      <c r="E177" s="5" t="str">
        <f t="shared" si="5"/>
        <v xml:space="preserve"> John</v>
      </c>
    </row>
    <row r="178" spans="1:5" ht="15.75" customHeight="1" x14ac:dyDescent="0.3">
      <c r="A178" s="4" t="s">
        <v>356</v>
      </c>
      <c r="B178" s="4" t="s">
        <v>357</v>
      </c>
      <c r="C178" s="5" t="str">
        <f t="shared" si="2"/>
        <v>, M</v>
      </c>
      <c r="D178" s="5" t="str">
        <f t="shared" si="6"/>
        <v>Karko</v>
      </c>
      <c r="E178" s="5" t="str">
        <f t="shared" si="5"/>
        <v>ey A.</v>
      </c>
    </row>
    <row r="179" spans="1:5" ht="15.75" customHeight="1" x14ac:dyDescent="0.3">
      <c r="A179" s="4" t="s">
        <v>358</v>
      </c>
      <c r="B179" s="4" t="s">
        <v>359</v>
      </c>
      <c r="C179" s="5" t="str">
        <f t="shared" si="2"/>
        <v>Die</v>
      </c>
      <c r="D179" s="5" t="str">
        <f t="shared" si="6"/>
        <v>Price</v>
      </c>
      <c r="E179" s="5" t="str">
        <f t="shared" si="5"/>
        <v>wen L</v>
      </c>
    </row>
    <row r="180" spans="1:5" ht="15.75" customHeight="1" x14ac:dyDescent="0.3">
      <c r="A180" s="4" t="s">
        <v>360</v>
      </c>
      <c r="B180" s="4" t="s">
        <v>361</v>
      </c>
      <c r="C180" s="5" t="str">
        <f t="shared" si="2"/>
        <v xml:space="preserve">l, </v>
      </c>
      <c r="D180" s="5" t="str">
        <f t="shared" si="6"/>
        <v>Knisp</v>
      </c>
      <c r="E180" s="5" t="str">
        <f t="shared" si="5"/>
        <v>nuela</v>
      </c>
    </row>
    <row r="181" spans="1:5" ht="15.75" customHeight="1" x14ac:dyDescent="0.3">
      <c r="A181" s="4" t="s">
        <v>362</v>
      </c>
      <c r="B181" s="4" t="s">
        <v>363</v>
      </c>
      <c r="C181" s="5" t="str">
        <f t="shared" si="2"/>
        <v>Ms.</v>
      </c>
      <c r="D181" s="5" t="str">
        <f t="shared" si="6"/>
        <v>King,</v>
      </c>
      <c r="E181" s="5" t="str">
        <f t="shared" si="5"/>
        <v>fer L</v>
      </c>
    </row>
    <row r="182" spans="1:5" ht="15.75" customHeight="1" x14ac:dyDescent="0.3">
      <c r="A182" s="4" t="s">
        <v>364</v>
      </c>
      <c r="B182" s="4" t="s">
        <v>365</v>
      </c>
      <c r="C182" s="5" t="str">
        <f t="shared" si="2"/>
        <v>son</v>
      </c>
      <c r="D182" s="5" t="str">
        <f t="shared" si="6"/>
        <v>Samue</v>
      </c>
      <c r="E182" s="5" t="str">
        <f t="shared" si="5"/>
        <v>by W.</v>
      </c>
    </row>
    <row r="183" spans="1:5" ht="15.75" customHeight="1" x14ac:dyDescent="0.3">
      <c r="A183" s="4" t="s">
        <v>366</v>
      </c>
      <c r="B183" s="4" t="s">
        <v>367</v>
      </c>
      <c r="C183" s="5" t="str">
        <f t="shared" si="2"/>
        <v>ll,</v>
      </c>
      <c r="D183" s="5" t="str">
        <f t="shared" si="6"/>
        <v>Freds</v>
      </c>
      <c r="E183" s="5" t="str">
        <f t="shared" si="5"/>
        <v>Tyler</v>
      </c>
    </row>
    <row r="184" spans="1:5" ht="15.75" customHeight="1" x14ac:dyDescent="0.3">
      <c r="A184" s="4" t="s">
        <v>368</v>
      </c>
      <c r="B184" s="4" t="s">
        <v>369</v>
      </c>
      <c r="C184" s="5" t="str">
        <f t="shared" si="2"/>
        <v>ton</v>
      </c>
      <c r="D184" s="5" t="str">
        <f t="shared" si="6"/>
        <v>Eggle</v>
      </c>
      <c r="E184" s="5" t="str">
        <f t="shared" si="5"/>
        <v>ffrey</v>
      </c>
    </row>
    <row r="185" spans="1:5" ht="15.75" customHeight="1" x14ac:dyDescent="0.3">
      <c r="A185" s="4" t="s">
        <v>370</v>
      </c>
      <c r="B185" s="4" t="s">
        <v>371</v>
      </c>
      <c r="C185" s="5" t="str">
        <f t="shared" si="2"/>
        <v>aro</v>
      </c>
      <c r="D185" s="5" t="str">
        <f t="shared" si="6"/>
        <v>Palom</v>
      </c>
      <c r="E185" s="5" t="str">
        <f t="shared" si="5"/>
        <v>hew F</v>
      </c>
    </row>
    <row r="186" spans="1:5" ht="15.75" customHeight="1" x14ac:dyDescent="0.3">
      <c r="A186" s="4" t="s">
        <v>372</v>
      </c>
      <c r="B186" s="4" t="s">
        <v>373</v>
      </c>
      <c r="C186" s="5" t="str">
        <f t="shared" si="2"/>
        <v xml:space="preserve"> Mr</v>
      </c>
      <c r="D186" s="5" t="str">
        <f t="shared" si="6"/>
        <v>Silva</v>
      </c>
      <c r="E186" s="5" t="str">
        <f t="shared" si="5"/>
        <v>an J.</v>
      </c>
    </row>
    <row r="187" spans="1:5" ht="15.75" customHeight="1" x14ac:dyDescent="0.3">
      <c r="A187" s="4" t="s">
        <v>374</v>
      </c>
      <c r="B187" s="4" t="s">
        <v>375</v>
      </c>
      <c r="C187" s="5" t="str">
        <f t="shared" si="2"/>
        <v>, M</v>
      </c>
      <c r="D187" s="5" t="str">
        <f t="shared" si="6"/>
        <v>Bugal</v>
      </c>
      <c r="E187" s="5" t="str">
        <f t="shared" si="5"/>
        <v xml:space="preserve">  Amy</v>
      </c>
    </row>
    <row r="188" spans="1:5" ht="15.75" customHeight="1" x14ac:dyDescent="0.3">
      <c r="A188" s="4" t="s">
        <v>376</v>
      </c>
      <c r="B188" s="4" t="s">
        <v>377</v>
      </c>
      <c r="C188" s="5" t="str">
        <f t="shared" si="2"/>
        <v>, M</v>
      </c>
      <c r="D188" s="5" t="str">
        <f t="shared" si="6"/>
        <v>Dubli</v>
      </c>
      <c r="E188" s="5" t="str">
        <f t="shared" si="5"/>
        <v>rew P</v>
      </c>
    </row>
    <row r="189" spans="1:5" ht="15.75" customHeight="1" x14ac:dyDescent="0.3">
      <c r="A189" s="4" t="s">
        <v>378</v>
      </c>
      <c r="B189" s="4" t="s">
        <v>379</v>
      </c>
      <c r="C189" s="5" t="str">
        <f t="shared" si="2"/>
        <v xml:space="preserve">d, </v>
      </c>
      <c r="D189" s="5" t="str">
        <f t="shared" si="6"/>
        <v>Clela</v>
      </c>
      <c r="E189" s="5" t="str">
        <f t="shared" si="5"/>
        <v xml:space="preserve"> M. V</v>
      </c>
    </row>
    <row r="190" spans="1:5" ht="15.75" customHeight="1" x14ac:dyDescent="0.3">
      <c r="A190" s="4" t="s">
        <v>380</v>
      </c>
      <c r="B190" s="4" t="s">
        <v>381</v>
      </c>
      <c r="C190" s="5" t="str">
        <f t="shared" si="2"/>
        <v xml:space="preserve"> Ms</v>
      </c>
      <c r="D190" s="5" t="str">
        <f t="shared" si="6"/>
        <v>Evans</v>
      </c>
      <c r="E190" s="5" t="str">
        <f t="shared" si="5"/>
        <v>Sarah</v>
      </c>
    </row>
    <row r="191" spans="1:5" ht="15.75" customHeight="1" x14ac:dyDescent="0.3">
      <c r="A191" s="4" t="s">
        <v>382</v>
      </c>
      <c r="B191" s="4" t="s">
        <v>383</v>
      </c>
      <c r="C191" s="5" t="str">
        <f t="shared" si="2"/>
        <v>Ms.</v>
      </c>
      <c r="D191" s="5" t="str">
        <f t="shared" si="6"/>
        <v>Boyd,</v>
      </c>
      <c r="E191" s="5" t="str">
        <f t="shared" si="5"/>
        <v xml:space="preserve"> Lara</v>
      </c>
    </row>
    <row r="192" spans="1:5" ht="15.75" customHeight="1" x14ac:dyDescent="0.3">
      <c r="A192" s="4" t="s">
        <v>384</v>
      </c>
      <c r="B192" s="4" t="s">
        <v>385</v>
      </c>
      <c r="C192" s="5" t="str">
        <f t="shared" si="2"/>
        <v xml:space="preserve">r, </v>
      </c>
      <c r="D192" s="5" t="str">
        <f t="shared" si="6"/>
        <v>Rouli</v>
      </c>
      <c r="E192" s="5" t="str">
        <f t="shared" si="5"/>
        <v>stien</v>
      </c>
    </row>
    <row r="193" spans="1:5" ht="15.75" customHeight="1" x14ac:dyDescent="0.3">
      <c r="A193" s="4" t="s">
        <v>386</v>
      </c>
      <c r="B193" s="4" t="s">
        <v>387</v>
      </c>
      <c r="C193" s="5" t="str">
        <f t="shared" si="2"/>
        <v xml:space="preserve">s, </v>
      </c>
      <c r="D193" s="5" t="str">
        <f t="shared" si="6"/>
        <v>Mulli</v>
      </c>
      <c r="E193" s="5" t="str">
        <f t="shared" si="5"/>
        <v>draig</v>
      </c>
    </row>
    <row r="194" spans="1:5" ht="15.75" customHeight="1" x14ac:dyDescent="0.3">
      <c r="A194" s="4" t="s">
        <v>388</v>
      </c>
      <c r="B194" s="4" t="s">
        <v>389</v>
      </c>
      <c r="C194" s="5" t="str">
        <f t="shared" si="2"/>
        <v xml:space="preserve">n, </v>
      </c>
      <c r="D194" s="5" t="str">
        <f t="shared" si="6"/>
        <v>Hofma</v>
      </c>
      <c r="E194" s="5" t="str">
        <f t="shared" ref="E194:E257" si="7">RIGHT(B194,5)</f>
        <v>ather</v>
      </c>
    </row>
    <row r="195" spans="1:5" ht="15.75" customHeight="1" x14ac:dyDescent="0.3">
      <c r="A195" s="4" t="s">
        <v>390</v>
      </c>
      <c r="B195" s="4" t="s">
        <v>391</v>
      </c>
      <c r="C195" s="5" t="str">
        <f t="shared" si="2"/>
        <v xml:space="preserve"> Ga</v>
      </c>
      <c r="D195" s="5" t="str">
        <f t="shared" si="6"/>
        <v>Garci</v>
      </c>
      <c r="E195" s="5" t="str">
        <f t="shared" si="7"/>
        <v>Jorge</v>
      </c>
    </row>
    <row r="196" spans="1:5" ht="15.75" customHeight="1" x14ac:dyDescent="0.3">
      <c r="A196" s="4" t="s">
        <v>392</v>
      </c>
      <c r="B196" s="4" t="s">
        <v>393</v>
      </c>
      <c r="C196" s="5" t="str">
        <f t="shared" si="2"/>
        <v xml:space="preserve">r, </v>
      </c>
      <c r="D196" s="5" t="str">
        <f t="shared" si="6"/>
        <v>Kleck</v>
      </c>
      <c r="E196" s="5" t="str">
        <f t="shared" si="7"/>
        <v>ack R</v>
      </c>
    </row>
    <row r="197" spans="1:5" ht="15.75" customHeight="1" x14ac:dyDescent="0.3">
      <c r="A197" s="4" t="s">
        <v>394</v>
      </c>
      <c r="B197" s="4" t="s">
        <v>395</v>
      </c>
      <c r="C197" s="5" t="str">
        <f t="shared" si="2"/>
        <v>, M</v>
      </c>
      <c r="D197" s="5" t="str">
        <f t="shared" si="6"/>
        <v>Cancr</v>
      </c>
      <c r="E197" s="5" t="str">
        <f t="shared" si="7"/>
        <v>Felix</v>
      </c>
    </row>
    <row r="198" spans="1:5" ht="15.75" customHeight="1" x14ac:dyDescent="0.3">
      <c r="A198" s="4" t="s">
        <v>396</v>
      </c>
      <c r="B198" s="4" t="s">
        <v>397</v>
      </c>
      <c r="C198" s="5" t="str">
        <f t="shared" si="2"/>
        <v xml:space="preserve">i, </v>
      </c>
      <c r="D198" s="5" t="str">
        <f t="shared" si="6"/>
        <v>Denuc</v>
      </c>
      <c r="E198" s="5" t="str">
        <f t="shared" si="7"/>
        <v>her C</v>
      </c>
    </row>
    <row r="199" spans="1:5" ht="15.75" customHeight="1" x14ac:dyDescent="0.3">
      <c r="A199" s="4" t="s">
        <v>398</v>
      </c>
      <c r="B199" s="4" t="s">
        <v>399</v>
      </c>
      <c r="C199" s="5" t="str">
        <f t="shared" si="2"/>
        <v xml:space="preserve">a, </v>
      </c>
      <c r="D199" s="5" t="str">
        <f t="shared" si="6"/>
        <v>Salda</v>
      </c>
      <c r="E199" s="5" t="str">
        <f t="shared" si="7"/>
        <v>Jesse</v>
      </c>
    </row>
    <row r="200" spans="1:5" ht="15.75" customHeight="1" x14ac:dyDescent="0.3">
      <c r="A200" s="4" t="s">
        <v>400</v>
      </c>
      <c r="B200" s="4" t="s">
        <v>401</v>
      </c>
      <c r="C200" s="5" t="str">
        <f t="shared" si="2"/>
        <v>rg,</v>
      </c>
      <c r="D200" s="5" t="str">
        <f t="shared" si="6"/>
        <v>Weinb</v>
      </c>
      <c r="E200" s="5" t="str">
        <f t="shared" si="7"/>
        <v xml:space="preserve"> Jill</v>
      </c>
    </row>
    <row r="201" spans="1:5" ht="15.75" customHeight="1" x14ac:dyDescent="0.3">
      <c r="A201" s="4" t="s">
        <v>402</v>
      </c>
      <c r="B201" s="4" t="s">
        <v>403</v>
      </c>
      <c r="C201" s="5" t="str">
        <f t="shared" si="2"/>
        <v xml:space="preserve"> Mr</v>
      </c>
      <c r="D201" s="5" t="str">
        <f t="shared" si="6"/>
        <v>Walsh</v>
      </c>
      <c r="E201" s="5" t="str">
        <f t="shared" si="7"/>
        <v>lliam</v>
      </c>
    </row>
    <row r="202" spans="1:5" ht="15.75" customHeight="1" x14ac:dyDescent="0.3">
      <c r="A202" s="4" t="s">
        <v>404</v>
      </c>
      <c r="B202" s="4" t="s">
        <v>405</v>
      </c>
      <c r="C202" s="5" t="str">
        <f t="shared" si="2"/>
        <v>, M</v>
      </c>
      <c r="D202" s="5" t="str">
        <f t="shared" si="6"/>
        <v>Paste</v>
      </c>
      <c r="E202" s="5" t="str">
        <f t="shared" si="7"/>
        <v>andro</v>
      </c>
    </row>
    <row r="203" spans="1:5" ht="15.75" customHeight="1" x14ac:dyDescent="0.3">
      <c r="A203" s="4" t="s">
        <v>406</v>
      </c>
      <c r="B203" s="4" t="s">
        <v>407</v>
      </c>
      <c r="C203" s="5" t="str">
        <f t="shared" si="2"/>
        <v xml:space="preserve">e, </v>
      </c>
      <c r="D203" s="5" t="str">
        <f t="shared" si="6"/>
        <v>LaBel</v>
      </c>
      <c r="E203" s="5" t="str">
        <f t="shared" si="7"/>
        <v>an E.</v>
      </c>
    </row>
    <row r="204" spans="1:5" ht="15.75" customHeight="1" x14ac:dyDescent="0.3">
      <c r="A204" s="4" t="s">
        <v>408</v>
      </c>
      <c r="B204" s="4" t="s">
        <v>409</v>
      </c>
      <c r="C204" s="5" t="str">
        <f t="shared" si="2"/>
        <v>, M</v>
      </c>
      <c r="D204" s="5" t="str">
        <f t="shared" si="6"/>
        <v>Guzma</v>
      </c>
      <c r="E204" s="5" t="str">
        <f t="shared" si="7"/>
        <v>r Sr.</v>
      </c>
    </row>
    <row r="205" spans="1:5" ht="15.75" customHeight="1" x14ac:dyDescent="0.3">
      <c r="A205" s="4" t="s">
        <v>410</v>
      </c>
      <c r="B205" s="4" t="s">
        <v>411</v>
      </c>
      <c r="C205" s="5" t="str">
        <f t="shared" si="2"/>
        <v>ll,</v>
      </c>
      <c r="D205" s="5" t="str">
        <f t="shared" si="6"/>
        <v>Turnb</v>
      </c>
      <c r="E205" s="5" t="str">
        <f t="shared" si="7"/>
        <v>becca</v>
      </c>
    </row>
    <row r="206" spans="1:5" ht="15.75" customHeight="1" x14ac:dyDescent="0.3">
      <c r="A206" s="4" t="s">
        <v>412</v>
      </c>
      <c r="B206" s="4" t="s">
        <v>413</v>
      </c>
      <c r="C206" s="5" t="str">
        <f t="shared" si="2"/>
        <v>, M</v>
      </c>
      <c r="D206" s="5" t="str">
        <f t="shared" si="6"/>
        <v>Aguer</v>
      </c>
      <c r="E206" s="5" t="str">
        <f t="shared" si="7"/>
        <v xml:space="preserve"> Matt</v>
      </c>
    </row>
    <row r="207" spans="1:5" ht="15.75" customHeight="1" x14ac:dyDescent="0.3">
      <c r="A207" s="4" t="s">
        <v>414</v>
      </c>
      <c r="B207" s="4" t="s">
        <v>415</v>
      </c>
      <c r="C207" s="5" t="str">
        <f t="shared" si="2"/>
        <v>rd,</v>
      </c>
      <c r="D207" s="5" t="str">
        <f t="shared" si="6"/>
        <v>Woodw</v>
      </c>
      <c r="E207" s="5" t="str">
        <f t="shared" si="7"/>
        <v>eth H</v>
      </c>
    </row>
    <row r="208" spans="1:5" ht="15.75" customHeight="1" x14ac:dyDescent="0.3">
      <c r="A208" s="4" t="s">
        <v>416</v>
      </c>
      <c r="B208" s="4" t="s">
        <v>417</v>
      </c>
      <c r="C208" s="5" t="str">
        <f t="shared" si="2"/>
        <v xml:space="preserve">y, </v>
      </c>
      <c r="D208" s="5" t="str">
        <f t="shared" si="6"/>
        <v>McElr</v>
      </c>
      <c r="E208" s="5" t="str">
        <f t="shared" si="7"/>
        <v>Grace</v>
      </c>
    </row>
    <row r="209" spans="1:5" ht="15.75" customHeight="1" x14ac:dyDescent="0.3">
      <c r="A209" s="4" t="s">
        <v>418</v>
      </c>
      <c r="B209" s="4" t="s">
        <v>419</v>
      </c>
      <c r="C209" s="5" t="str">
        <f t="shared" si="2"/>
        <v xml:space="preserve"> Mr</v>
      </c>
      <c r="D209" s="5" t="str">
        <f t="shared" ref="D209:D272" si="8">LEFT(B209,5)</f>
        <v>Lopez</v>
      </c>
      <c r="E209" s="5" t="str">
        <f t="shared" si="7"/>
        <v>Jaime</v>
      </c>
    </row>
    <row r="210" spans="1:5" ht="15.75" customHeight="1" x14ac:dyDescent="0.3">
      <c r="A210" s="4" t="s">
        <v>420</v>
      </c>
      <c r="B210" s="4" t="s">
        <v>421</v>
      </c>
      <c r="C210" s="5" t="str">
        <f t="shared" si="2"/>
        <v xml:space="preserve">i, </v>
      </c>
      <c r="D210" s="5" t="str">
        <f t="shared" si="8"/>
        <v>Cardo</v>
      </c>
      <c r="E210" s="5" t="str">
        <f t="shared" si="7"/>
        <v>lesse</v>
      </c>
    </row>
    <row r="211" spans="1:5" ht="15.75" customHeight="1" x14ac:dyDescent="0.3">
      <c r="A211" s="4" t="s">
        <v>422</v>
      </c>
      <c r="B211" s="4" t="s">
        <v>423</v>
      </c>
      <c r="C211" s="5" t="str">
        <f t="shared" si="2"/>
        <v>, M</v>
      </c>
      <c r="D211" s="5" t="str">
        <f t="shared" si="8"/>
        <v>Loone</v>
      </c>
      <c r="E211" s="5" t="str">
        <f t="shared" si="7"/>
        <v>ate L</v>
      </c>
    </row>
    <row r="212" spans="1:5" ht="15.75" customHeight="1" x14ac:dyDescent="0.3">
      <c r="A212" s="4" t="s">
        <v>424</v>
      </c>
      <c r="B212" s="4" t="s">
        <v>425</v>
      </c>
      <c r="C212" s="5" t="str">
        <f t="shared" si="2"/>
        <v>ov,</v>
      </c>
      <c r="D212" s="5" t="str">
        <f t="shared" si="8"/>
        <v>Zyrya</v>
      </c>
      <c r="E212" s="5" t="str">
        <f t="shared" si="7"/>
        <v>ergey</v>
      </c>
    </row>
    <row r="213" spans="1:5" ht="15.75" customHeight="1" x14ac:dyDescent="0.3">
      <c r="A213" s="4" t="s">
        <v>426</v>
      </c>
      <c r="B213" s="4" t="s">
        <v>427</v>
      </c>
      <c r="C213" s="5" t="str">
        <f t="shared" si="2"/>
        <v xml:space="preserve"> Mr</v>
      </c>
      <c r="D213" s="5" t="str">
        <f t="shared" si="8"/>
        <v>Gavin</v>
      </c>
      <c r="E213" s="5" t="str">
        <f t="shared" si="7"/>
        <v>thy V</v>
      </c>
    </row>
    <row r="214" spans="1:5" ht="15.75" customHeight="1" x14ac:dyDescent="0.3">
      <c r="A214" s="4" t="s">
        <v>428</v>
      </c>
      <c r="B214" s="4" t="s">
        <v>429</v>
      </c>
      <c r="C214" s="5" t="str">
        <f t="shared" si="2"/>
        <v>fie</v>
      </c>
      <c r="D214" s="5" t="str">
        <f t="shared" si="8"/>
        <v>Littl</v>
      </c>
      <c r="E214" s="5" t="str">
        <f t="shared" si="7"/>
        <v>rew S</v>
      </c>
    </row>
    <row r="215" spans="1:5" ht="15.75" customHeight="1" x14ac:dyDescent="0.3">
      <c r="A215" s="4" t="s">
        <v>430</v>
      </c>
      <c r="B215" s="4" t="s">
        <v>431</v>
      </c>
      <c r="C215" s="5" t="str">
        <f t="shared" si="2"/>
        <v xml:space="preserve">r, </v>
      </c>
      <c r="D215" s="5" t="str">
        <f t="shared" si="8"/>
        <v>Shear</v>
      </c>
      <c r="E215" s="5" t="str">
        <f t="shared" si="7"/>
        <v>hew D</v>
      </c>
    </row>
    <row r="216" spans="1:5" ht="15.75" customHeight="1" x14ac:dyDescent="0.3">
      <c r="A216" s="4" t="s">
        <v>432</v>
      </c>
      <c r="B216" s="4" t="s">
        <v>433</v>
      </c>
      <c r="C216" s="5" t="str">
        <f t="shared" si="2"/>
        <v>ong</v>
      </c>
      <c r="D216" s="5" t="str">
        <f t="shared" si="8"/>
        <v>Armst</v>
      </c>
      <c r="E216" s="5" t="str">
        <f t="shared" si="7"/>
        <v>ssica</v>
      </c>
    </row>
    <row r="217" spans="1:5" ht="15.75" customHeight="1" x14ac:dyDescent="0.3">
      <c r="A217" s="4" t="s">
        <v>434</v>
      </c>
      <c r="B217" s="4" t="s">
        <v>435</v>
      </c>
      <c r="C217" s="5" t="str">
        <f t="shared" si="2"/>
        <v>er,</v>
      </c>
      <c r="D217" s="5" t="str">
        <f t="shared" si="8"/>
        <v>Warri</v>
      </c>
      <c r="E217" s="5" t="str">
        <f t="shared" si="7"/>
        <v>rence</v>
      </c>
    </row>
    <row r="218" spans="1:5" ht="15.75" customHeight="1" x14ac:dyDescent="0.3">
      <c r="A218" s="4" t="s">
        <v>436</v>
      </c>
      <c r="B218" s="4" t="s">
        <v>437</v>
      </c>
      <c r="C218" s="5" t="str">
        <f t="shared" si="2"/>
        <v xml:space="preserve"> Mr</v>
      </c>
      <c r="D218" s="5" t="str">
        <f t="shared" si="8"/>
        <v>White</v>
      </c>
      <c r="E218" s="5" t="str">
        <f t="shared" si="7"/>
        <v xml:space="preserve"> Alex</v>
      </c>
    </row>
    <row r="219" spans="1:5" ht="15.75" customHeight="1" x14ac:dyDescent="0.3">
      <c r="A219" s="4" t="s">
        <v>438</v>
      </c>
      <c r="B219" s="4" t="s">
        <v>439</v>
      </c>
      <c r="C219" s="5" t="str">
        <f t="shared" si="2"/>
        <v xml:space="preserve">o, </v>
      </c>
      <c r="D219" s="5" t="str">
        <f t="shared" si="8"/>
        <v>Corda</v>
      </c>
      <c r="E219" s="5" t="str">
        <f t="shared" si="7"/>
        <v>Kevin</v>
      </c>
    </row>
    <row r="220" spans="1:5" ht="15.75" customHeight="1" x14ac:dyDescent="0.3">
      <c r="A220" s="4" t="s">
        <v>440</v>
      </c>
      <c r="B220" s="4" t="s">
        <v>441</v>
      </c>
      <c r="C220" s="5" t="str">
        <f t="shared" si="2"/>
        <v>on,</v>
      </c>
      <c r="D220" s="5" t="str">
        <f t="shared" si="8"/>
        <v>Hamil</v>
      </c>
      <c r="E220" s="5" t="str">
        <f t="shared" si="7"/>
        <v>in M.</v>
      </c>
    </row>
    <row r="221" spans="1:5" ht="15.75" customHeight="1" x14ac:dyDescent="0.3">
      <c r="A221" s="4" t="s">
        <v>442</v>
      </c>
      <c r="B221" s="4" t="s">
        <v>443</v>
      </c>
      <c r="C221" s="5" t="str">
        <f t="shared" si="2"/>
        <v xml:space="preserve"> Mr</v>
      </c>
      <c r="D221" s="5" t="str">
        <f t="shared" si="8"/>
        <v>Meyer</v>
      </c>
      <c r="E221" s="5" t="str">
        <f t="shared" si="7"/>
        <v>ick E</v>
      </c>
    </row>
    <row r="222" spans="1:5" ht="15.75" customHeight="1" x14ac:dyDescent="0.3">
      <c r="A222" s="4" t="s">
        <v>444</v>
      </c>
      <c r="B222" s="4" t="s">
        <v>445</v>
      </c>
      <c r="C222" s="5" t="str">
        <f t="shared" si="2"/>
        <v>Ms.</v>
      </c>
      <c r="D222" s="5" t="str">
        <f t="shared" si="8"/>
        <v>Duke,</v>
      </c>
      <c r="E222" s="5" t="str">
        <f t="shared" si="7"/>
        <v>ea H.</v>
      </c>
    </row>
    <row r="223" spans="1:5" ht="15.75" customHeight="1" x14ac:dyDescent="0.3">
      <c r="A223" s="4" t="s">
        <v>446</v>
      </c>
      <c r="B223" s="4" t="s">
        <v>447</v>
      </c>
      <c r="C223" s="5" t="str">
        <f t="shared" si="2"/>
        <v>sta</v>
      </c>
      <c r="D223" s="5" t="str">
        <f t="shared" si="8"/>
        <v>Malat</v>
      </c>
      <c r="E223" s="5" t="str">
        <f t="shared" si="7"/>
        <v>ony S</v>
      </c>
    </row>
    <row r="224" spans="1:5" ht="15.75" customHeight="1" x14ac:dyDescent="0.3">
      <c r="A224" s="4" t="s">
        <v>448</v>
      </c>
      <c r="B224" s="4" t="s">
        <v>449</v>
      </c>
      <c r="C224" s="5" t="str">
        <f t="shared" si="2"/>
        <v>hse</v>
      </c>
      <c r="D224" s="5" t="str">
        <f t="shared" si="8"/>
        <v>Hinri</v>
      </c>
      <c r="E224" s="5" t="str">
        <f t="shared" si="7"/>
        <v xml:space="preserve"> Erik</v>
      </c>
    </row>
    <row r="225" spans="1:5" ht="15.75" customHeight="1" x14ac:dyDescent="0.3">
      <c r="A225" s="4" t="s">
        <v>450</v>
      </c>
      <c r="B225" s="4" t="s">
        <v>451</v>
      </c>
      <c r="C225" s="5" t="str">
        <f t="shared" si="2"/>
        <v xml:space="preserve"> Ms</v>
      </c>
      <c r="D225" s="5" t="str">
        <f t="shared" si="8"/>
        <v>Lucan</v>
      </c>
      <c r="E225" s="5" t="str">
        <f t="shared" si="7"/>
        <v>ley D</v>
      </c>
    </row>
    <row r="226" spans="1:5" ht="15.75" customHeight="1" x14ac:dyDescent="0.3">
      <c r="A226" s="4" t="s">
        <v>452</v>
      </c>
      <c r="B226" s="4" t="s">
        <v>453</v>
      </c>
      <c r="C226" s="5" t="str">
        <f t="shared" si="2"/>
        <v>Ms.</v>
      </c>
      <c r="D226" s="5" t="str">
        <f t="shared" si="8"/>
        <v>Koch,</v>
      </c>
      <c r="E226" s="5" t="str">
        <f t="shared" si="7"/>
        <v>nifer</v>
      </c>
    </row>
    <row r="227" spans="1:5" ht="15.75" customHeight="1" x14ac:dyDescent="0.3">
      <c r="A227" s="4" t="s">
        <v>454</v>
      </c>
      <c r="B227" s="4" t="s">
        <v>455</v>
      </c>
      <c r="C227" s="5" t="str">
        <f t="shared" si="2"/>
        <v xml:space="preserve"> Mr</v>
      </c>
      <c r="D227" s="5" t="str">
        <f t="shared" si="8"/>
        <v>Smith</v>
      </c>
      <c r="E227" s="5" t="str">
        <f t="shared" si="7"/>
        <v>Chris</v>
      </c>
    </row>
    <row r="228" spans="1:5" ht="15.75" customHeight="1" x14ac:dyDescent="0.3">
      <c r="A228" s="4" t="s">
        <v>456</v>
      </c>
      <c r="B228" s="4" t="s">
        <v>457</v>
      </c>
      <c r="C228" s="5" t="str">
        <f t="shared" si="2"/>
        <v>or,</v>
      </c>
      <c r="D228" s="5" t="str">
        <f t="shared" si="8"/>
        <v>O'Con</v>
      </c>
      <c r="E228" s="5" t="str">
        <f t="shared" si="7"/>
        <v>an M.</v>
      </c>
    </row>
    <row r="229" spans="1:5" ht="15.75" customHeight="1" x14ac:dyDescent="0.3">
      <c r="A229" s="4" t="s">
        <v>458</v>
      </c>
      <c r="B229" s="4" t="s">
        <v>459</v>
      </c>
      <c r="C229" s="5" t="str">
        <f t="shared" si="2"/>
        <v>rth</v>
      </c>
      <c r="D229" s="5" t="str">
        <f t="shared" si="8"/>
        <v>Kampw</v>
      </c>
      <c r="E229" s="5" t="str">
        <f t="shared" si="7"/>
        <v>eremy</v>
      </c>
    </row>
    <row r="230" spans="1:5" ht="15.75" customHeight="1" x14ac:dyDescent="0.3">
      <c r="A230" s="4" t="s">
        <v>460</v>
      </c>
      <c r="B230" s="4" t="s">
        <v>461</v>
      </c>
      <c r="C230" s="5" t="str">
        <f t="shared" si="2"/>
        <v>ff,</v>
      </c>
      <c r="D230" s="5" t="str">
        <f t="shared" si="8"/>
        <v>Feder</v>
      </c>
      <c r="E230" s="5" t="str">
        <f t="shared" si="7"/>
        <v>son H</v>
      </c>
    </row>
    <row r="231" spans="1:5" ht="15.75" customHeight="1" x14ac:dyDescent="0.3">
      <c r="A231" s="4" t="s">
        <v>462</v>
      </c>
      <c r="B231" s="4" t="s">
        <v>463</v>
      </c>
      <c r="C231" s="5" t="str">
        <f t="shared" si="2"/>
        <v>Ms.</v>
      </c>
      <c r="D231" s="5" t="str">
        <f t="shared" si="8"/>
        <v>Goya,</v>
      </c>
      <c r="E231" s="5" t="str">
        <f t="shared" si="7"/>
        <v>abeth</v>
      </c>
    </row>
    <row r="232" spans="1:5" ht="15.75" customHeight="1" x14ac:dyDescent="0.3">
      <c r="A232" s="4" t="s">
        <v>464</v>
      </c>
      <c r="B232" s="4" t="s">
        <v>465</v>
      </c>
      <c r="C232" s="5" t="str">
        <f t="shared" si="2"/>
        <v>, M</v>
      </c>
      <c r="D232" s="5" t="str">
        <f t="shared" si="8"/>
        <v>Hodge</v>
      </c>
      <c r="E232" s="5" t="str">
        <f t="shared" si="7"/>
        <v>ndrew</v>
      </c>
    </row>
    <row r="233" spans="1:5" ht="15.75" customHeight="1" x14ac:dyDescent="0.3">
      <c r="A233" s="4" t="s">
        <v>466</v>
      </c>
      <c r="B233" s="4" t="s">
        <v>467</v>
      </c>
      <c r="C233" s="5" t="str">
        <f t="shared" si="2"/>
        <v>on,</v>
      </c>
      <c r="D233" s="5" t="str">
        <f t="shared" si="8"/>
        <v>Erick</v>
      </c>
      <c r="E233" s="5" t="str">
        <f t="shared" si="7"/>
        <v>ers J</v>
      </c>
    </row>
    <row r="234" spans="1:5" ht="15.75" customHeight="1" x14ac:dyDescent="0.3">
      <c r="A234" s="4" t="s">
        <v>468</v>
      </c>
      <c r="B234" s="4" t="s">
        <v>469</v>
      </c>
      <c r="C234" s="5" t="str">
        <f t="shared" si="2"/>
        <v xml:space="preserve">k, </v>
      </c>
      <c r="D234" s="5" t="str">
        <f t="shared" si="8"/>
        <v>Welle</v>
      </c>
      <c r="E234" s="5" t="str">
        <f t="shared" si="7"/>
        <v xml:space="preserve"> Sean</v>
      </c>
    </row>
    <row r="235" spans="1:5" ht="15.75" customHeight="1" x14ac:dyDescent="0.3">
      <c r="A235" s="4" t="s">
        <v>470</v>
      </c>
      <c r="B235" s="4" t="s">
        <v>471</v>
      </c>
      <c r="C235" s="5" t="str">
        <f t="shared" si="2"/>
        <v xml:space="preserve"> Mr</v>
      </c>
      <c r="D235" s="5" t="str">
        <f t="shared" si="8"/>
        <v>Polen</v>
      </c>
      <c r="E235" s="5" t="str">
        <f t="shared" si="7"/>
        <v>an M.</v>
      </c>
    </row>
    <row r="236" spans="1:5" ht="15.75" customHeight="1" x14ac:dyDescent="0.3">
      <c r="A236" s="4" t="s">
        <v>472</v>
      </c>
      <c r="B236" s="4" t="s">
        <v>473</v>
      </c>
      <c r="C236" s="5" t="str">
        <f t="shared" si="2"/>
        <v xml:space="preserve"> Mr</v>
      </c>
      <c r="D236" s="5" t="str">
        <f t="shared" si="8"/>
        <v>Lynch</v>
      </c>
      <c r="E236" s="5" t="str">
        <f t="shared" si="7"/>
        <v>eremy</v>
      </c>
    </row>
    <row r="237" spans="1:5" ht="15.75" customHeight="1" x14ac:dyDescent="0.3">
      <c r="A237" s="4" t="s">
        <v>474</v>
      </c>
      <c r="B237" s="4" t="s">
        <v>475</v>
      </c>
      <c r="C237" s="5" t="str">
        <f t="shared" si="2"/>
        <v>der</v>
      </c>
      <c r="D237" s="5" t="str">
        <f t="shared" si="8"/>
        <v>Hufst</v>
      </c>
      <c r="E237" s="5" t="str">
        <f t="shared" si="7"/>
        <v>annah</v>
      </c>
    </row>
    <row r="238" spans="1:5" ht="15.75" customHeight="1" x14ac:dyDescent="0.3">
      <c r="A238" s="4" t="s">
        <v>476</v>
      </c>
      <c r="B238" s="4" t="s">
        <v>477</v>
      </c>
      <c r="C238" s="5" t="str">
        <f t="shared" si="2"/>
        <v>Mr.</v>
      </c>
      <c r="D238" s="5" t="str">
        <f t="shared" si="8"/>
        <v>Doak,</v>
      </c>
      <c r="E238" s="5" t="str">
        <f t="shared" si="7"/>
        <v>Randy</v>
      </c>
    </row>
    <row r="239" spans="1:5" ht="15.75" customHeight="1" x14ac:dyDescent="0.3">
      <c r="A239" s="4" t="s">
        <v>478</v>
      </c>
      <c r="B239" s="4" t="s">
        <v>479</v>
      </c>
      <c r="C239" s="5" t="str">
        <f t="shared" si="2"/>
        <v>Mr.</v>
      </c>
      <c r="D239" s="5" t="str">
        <f t="shared" si="8"/>
        <v>Noya,</v>
      </c>
      <c r="E239" s="5" t="str">
        <f t="shared" si="7"/>
        <v>eslie</v>
      </c>
    </row>
    <row r="240" spans="1:5" ht="15.75" customHeight="1" x14ac:dyDescent="0.3">
      <c r="A240" s="4" t="s">
        <v>480</v>
      </c>
      <c r="B240" s="4" t="s">
        <v>481</v>
      </c>
      <c r="C240" s="5" t="str">
        <f t="shared" si="2"/>
        <v>er,</v>
      </c>
      <c r="D240" s="5" t="str">
        <f t="shared" si="8"/>
        <v>Henin</v>
      </c>
      <c r="E240" s="5" t="str">
        <f t="shared" si="7"/>
        <v>ny L.</v>
      </c>
    </row>
    <row r="241" spans="1:5" ht="15.75" customHeight="1" x14ac:dyDescent="0.3">
      <c r="A241" s="4" t="s">
        <v>482</v>
      </c>
      <c r="B241" s="4" t="s">
        <v>483</v>
      </c>
      <c r="C241" s="5" t="str">
        <f t="shared" si="2"/>
        <v>dso</v>
      </c>
      <c r="D241" s="5" t="str">
        <f t="shared" si="8"/>
        <v>Richa</v>
      </c>
      <c r="E241" s="5" t="str">
        <f t="shared" si="7"/>
        <v>ie J.</v>
      </c>
    </row>
    <row r="242" spans="1:5" ht="15.75" customHeight="1" x14ac:dyDescent="0.3">
      <c r="A242" s="4" t="s">
        <v>484</v>
      </c>
      <c r="B242" s="4" t="s">
        <v>485</v>
      </c>
      <c r="C242" s="5" t="str">
        <f t="shared" si="2"/>
        <v xml:space="preserve">r, </v>
      </c>
      <c r="D242" s="5" t="str">
        <f t="shared" si="8"/>
        <v>Deuch</v>
      </c>
      <c r="E242" s="5" t="str">
        <f t="shared" si="7"/>
        <v>ter W</v>
      </c>
    </row>
    <row r="243" spans="1:5" ht="15.75" customHeight="1" x14ac:dyDescent="0.3">
      <c r="A243" s="4" t="s">
        <v>486</v>
      </c>
      <c r="B243" s="4" t="s">
        <v>487</v>
      </c>
      <c r="C243" s="5" t="str">
        <f t="shared" si="2"/>
        <v>, M</v>
      </c>
      <c r="D243" s="5" t="str">
        <f t="shared" si="8"/>
        <v>Wilso</v>
      </c>
      <c r="E243" s="5" t="str">
        <f t="shared" si="7"/>
        <v>uglas</v>
      </c>
    </row>
    <row r="244" spans="1:5" ht="15.75" customHeight="1" x14ac:dyDescent="0.3">
      <c r="A244" s="4" t="s">
        <v>488</v>
      </c>
      <c r="B244" s="4" t="s">
        <v>489</v>
      </c>
      <c r="C244" s="5" t="str">
        <f t="shared" si="2"/>
        <v>Mr.</v>
      </c>
      <c r="D244" s="5" t="str">
        <f t="shared" si="8"/>
        <v>Hall,</v>
      </c>
      <c r="E244" s="5" t="str">
        <f t="shared" si="7"/>
        <v xml:space="preserve">  Dan</v>
      </c>
    </row>
    <row r="245" spans="1:5" ht="15.75" customHeight="1" x14ac:dyDescent="0.3">
      <c r="A245" s="4" t="s">
        <v>490</v>
      </c>
      <c r="B245" s="4" t="s">
        <v>491</v>
      </c>
      <c r="C245" s="5" t="str">
        <f t="shared" si="2"/>
        <v>Mr.</v>
      </c>
      <c r="D245" s="5" t="str">
        <f t="shared" si="8"/>
        <v>Reed,</v>
      </c>
      <c r="E245" s="5" t="str">
        <f t="shared" si="7"/>
        <v>an M.</v>
      </c>
    </row>
    <row r="246" spans="1:5" ht="15.75" customHeight="1" x14ac:dyDescent="0.3">
      <c r="A246" s="4" t="s">
        <v>492</v>
      </c>
      <c r="B246" s="4" t="s">
        <v>493</v>
      </c>
      <c r="C246" s="5" t="str">
        <f t="shared" si="2"/>
        <v xml:space="preserve"> Mr</v>
      </c>
      <c r="D246" s="5" t="str">
        <f t="shared" si="8"/>
        <v>Frome</v>
      </c>
      <c r="E246" s="5" t="str">
        <f t="shared" si="7"/>
        <v>ic L.</v>
      </c>
    </row>
    <row r="247" spans="1:5" ht="15.75" customHeight="1" x14ac:dyDescent="0.3">
      <c r="A247" s="4" t="s">
        <v>494</v>
      </c>
      <c r="B247" s="4" t="s">
        <v>495</v>
      </c>
      <c r="C247" s="5" t="str">
        <f t="shared" si="2"/>
        <v>, M</v>
      </c>
      <c r="D247" s="5" t="str">
        <f t="shared" si="8"/>
        <v>Creas</v>
      </c>
      <c r="E247" s="5" t="str">
        <f t="shared" si="7"/>
        <v>Les J</v>
      </c>
    </row>
    <row r="248" spans="1:5" ht="15.75" customHeight="1" x14ac:dyDescent="0.3">
      <c r="A248" s="4" t="s">
        <v>496</v>
      </c>
      <c r="B248" s="4" t="s">
        <v>497</v>
      </c>
      <c r="C248" s="5" t="str">
        <f t="shared" si="2"/>
        <v xml:space="preserve">r, </v>
      </c>
      <c r="D248" s="5" t="str">
        <f t="shared" si="8"/>
        <v>Latim</v>
      </c>
      <c r="E248" s="5" t="str">
        <f t="shared" si="7"/>
        <v>hanie</v>
      </c>
    </row>
    <row r="249" spans="1:5" ht="15.75" customHeight="1" x14ac:dyDescent="0.3">
      <c r="A249" s="4" t="s">
        <v>498</v>
      </c>
      <c r="B249" s="4" t="s">
        <v>499</v>
      </c>
      <c r="C249" s="5" t="str">
        <f t="shared" si="2"/>
        <v xml:space="preserve">s. </v>
      </c>
      <c r="D249" s="5" t="str">
        <f t="shared" si="8"/>
        <v xml:space="preserve">Wei, </v>
      </c>
      <c r="E249" s="5" t="str">
        <f t="shared" si="7"/>
        <v>ssa Y</v>
      </c>
    </row>
    <row r="250" spans="1:5" ht="15.75" customHeight="1" x14ac:dyDescent="0.3">
      <c r="A250" s="4" t="s">
        <v>500</v>
      </c>
      <c r="B250" s="4" t="s">
        <v>501</v>
      </c>
      <c r="C250" s="5" t="str">
        <f t="shared" si="2"/>
        <v xml:space="preserve"> Ms</v>
      </c>
      <c r="D250" s="5" t="str">
        <f t="shared" si="8"/>
        <v>Hayes</v>
      </c>
      <c r="E250" s="5" t="str">
        <f t="shared" si="7"/>
        <v>shley</v>
      </c>
    </row>
    <row r="251" spans="1:5" ht="15.75" customHeight="1" x14ac:dyDescent="0.3">
      <c r="A251" s="4" t="s">
        <v>502</v>
      </c>
      <c r="B251" s="4" t="s">
        <v>503</v>
      </c>
      <c r="C251" s="5" t="str">
        <f t="shared" si="2"/>
        <v xml:space="preserve">o, </v>
      </c>
      <c r="D251" s="5" t="str">
        <f t="shared" si="8"/>
        <v>Velar</v>
      </c>
      <c r="E251" s="5" t="str">
        <f t="shared" si="7"/>
        <v>ie M.</v>
      </c>
    </row>
    <row r="252" spans="1:5" ht="15.75" customHeight="1" x14ac:dyDescent="0.3">
      <c r="A252" s="4" t="s">
        <v>504</v>
      </c>
      <c r="B252" s="4" t="s">
        <v>505</v>
      </c>
      <c r="C252" s="5" t="str">
        <f t="shared" si="2"/>
        <v>, M</v>
      </c>
      <c r="D252" s="5" t="str">
        <f t="shared" si="8"/>
        <v>Kaste</v>
      </c>
      <c r="E252" s="5" t="str">
        <f t="shared" si="7"/>
        <v>Kylie</v>
      </c>
    </row>
    <row r="253" spans="1:5" ht="15.75" customHeight="1" x14ac:dyDescent="0.3">
      <c r="A253" s="4" t="s">
        <v>506</v>
      </c>
      <c r="B253" s="4" t="s">
        <v>507</v>
      </c>
      <c r="C253" s="5" t="str">
        <f t="shared" si="2"/>
        <v>ia,</v>
      </c>
      <c r="D253" s="5" t="str">
        <f t="shared" si="8"/>
        <v>Escor</v>
      </c>
      <c r="E253" s="5" t="str">
        <f t="shared" si="7"/>
        <v>Kelly</v>
      </c>
    </row>
    <row r="254" spans="1:5" ht="15.75" customHeight="1" x14ac:dyDescent="0.3">
      <c r="A254" s="4" t="s">
        <v>508</v>
      </c>
      <c r="B254" s="4" t="s">
        <v>509</v>
      </c>
      <c r="C254" s="5" t="str">
        <f t="shared" si="2"/>
        <v>eid</v>
      </c>
      <c r="D254" s="5" t="str">
        <f t="shared" si="8"/>
        <v>Larsc</v>
      </c>
      <c r="E254" s="5" t="str">
        <f t="shared" si="7"/>
        <v>arrie</v>
      </c>
    </row>
    <row r="255" spans="1:5" ht="15.75" customHeight="1" x14ac:dyDescent="0.3">
      <c r="A255" s="4" t="s">
        <v>510</v>
      </c>
      <c r="B255" s="4" t="s">
        <v>511</v>
      </c>
      <c r="C255" s="5" t="str">
        <f t="shared" si="2"/>
        <v>on,</v>
      </c>
      <c r="D255" s="5" t="str">
        <f t="shared" si="8"/>
        <v>O'Ban</v>
      </c>
      <c r="E255" s="5" t="str">
        <f t="shared" si="7"/>
        <v xml:space="preserve"> Alex</v>
      </c>
    </row>
    <row r="256" spans="1:5" ht="15.75" customHeight="1" x14ac:dyDescent="0.3">
      <c r="A256" s="4" t="s">
        <v>512</v>
      </c>
      <c r="B256" s="4" t="s">
        <v>513</v>
      </c>
      <c r="C256" s="5" t="str">
        <f t="shared" si="2"/>
        <v xml:space="preserve">y, </v>
      </c>
      <c r="D256" s="5" t="str">
        <f t="shared" si="8"/>
        <v>Ridgw</v>
      </c>
      <c r="E256" s="5" t="str">
        <f t="shared" si="7"/>
        <v>ach S</v>
      </c>
    </row>
    <row r="257" spans="1:5" ht="15.75" customHeight="1" x14ac:dyDescent="0.3">
      <c r="A257" s="4" t="s">
        <v>514</v>
      </c>
      <c r="B257" s="4" t="s">
        <v>515</v>
      </c>
      <c r="C257" s="5" t="str">
        <f t="shared" si="2"/>
        <v xml:space="preserve"> Mr</v>
      </c>
      <c r="D257" s="5" t="str">
        <f t="shared" si="8"/>
        <v>Black</v>
      </c>
      <c r="E257" s="5" t="str">
        <f t="shared" si="7"/>
        <v xml:space="preserve"> Alan</v>
      </c>
    </row>
    <row r="258" spans="1:5" ht="15.75" customHeight="1" x14ac:dyDescent="0.3">
      <c r="A258" s="4" t="s">
        <v>516</v>
      </c>
      <c r="B258" s="4" t="s">
        <v>517</v>
      </c>
      <c r="C258" s="5" t="str">
        <f t="shared" si="2"/>
        <v>, M</v>
      </c>
      <c r="D258" s="5" t="str">
        <f t="shared" si="8"/>
        <v>Canto</v>
      </c>
      <c r="E258" s="5" t="str">
        <f t="shared" ref="E258:E321" si="9">RIGHT(B258,5)</f>
        <v xml:space="preserve"> Nate</v>
      </c>
    </row>
    <row r="259" spans="1:5" ht="15.75" customHeight="1" x14ac:dyDescent="0.3">
      <c r="A259" s="4" t="s">
        <v>518</v>
      </c>
      <c r="B259" s="4" t="s">
        <v>519</v>
      </c>
      <c r="C259" s="5" t="str">
        <f t="shared" si="2"/>
        <v>Mr.</v>
      </c>
      <c r="D259" s="5" t="str">
        <f t="shared" si="8"/>
        <v>Fine,</v>
      </c>
      <c r="E259" s="5" t="str">
        <f t="shared" si="9"/>
        <v>se G.</v>
      </c>
    </row>
    <row r="260" spans="1:5" ht="15.75" customHeight="1" x14ac:dyDescent="0.3">
      <c r="A260" s="4" t="s">
        <v>520</v>
      </c>
      <c r="B260" s="4" t="s">
        <v>521</v>
      </c>
      <c r="C260" s="5" t="str">
        <f t="shared" si="2"/>
        <v xml:space="preserve">r. </v>
      </c>
      <c r="D260" s="5" t="str">
        <f t="shared" si="8"/>
        <v xml:space="preserve">Bui, </v>
      </c>
      <c r="E260" s="5" t="str">
        <f t="shared" si="9"/>
        <v>Jason</v>
      </c>
    </row>
    <row r="261" spans="1:5" ht="15.75" customHeight="1" x14ac:dyDescent="0.3">
      <c r="A261" s="4" t="s">
        <v>522</v>
      </c>
      <c r="B261" s="4" t="s">
        <v>523</v>
      </c>
      <c r="C261" s="5" t="str">
        <f t="shared" si="2"/>
        <v>, M</v>
      </c>
      <c r="D261" s="5" t="str">
        <f t="shared" si="8"/>
        <v>Riepm</v>
      </c>
      <c r="E261" s="5" t="str">
        <f t="shared" si="9"/>
        <v>an A.</v>
      </c>
    </row>
    <row r="262" spans="1:5" ht="15.75" customHeight="1" x14ac:dyDescent="0.3">
      <c r="A262" s="4" t="s">
        <v>524</v>
      </c>
      <c r="B262" s="4" t="s">
        <v>525</v>
      </c>
      <c r="C262" s="5" t="str">
        <f t="shared" si="2"/>
        <v xml:space="preserve"> Mr</v>
      </c>
      <c r="D262" s="5" t="str">
        <f t="shared" si="8"/>
        <v>Inman</v>
      </c>
      <c r="E262" s="5" t="str">
        <f t="shared" si="9"/>
        <v>uke M</v>
      </c>
    </row>
    <row r="263" spans="1:5" ht="15.75" customHeight="1" x14ac:dyDescent="0.3">
      <c r="A263" s="4" t="s">
        <v>526</v>
      </c>
      <c r="B263" s="4" t="s">
        <v>527</v>
      </c>
      <c r="C263" s="5" t="str">
        <f t="shared" si="2"/>
        <v>, M</v>
      </c>
      <c r="D263" s="5" t="str">
        <f t="shared" si="8"/>
        <v>Kruze</v>
      </c>
      <c r="E263" s="5" t="str">
        <f t="shared" si="9"/>
        <v>acy D</v>
      </c>
    </row>
    <row r="264" spans="1:5" ht="15.75" customHeight="1" x14ac:dyDescent="0.3">
      <c r="A264" s="4" t="s">
        <v>528</v>
      </c>
      <c r="B264" s="4" t="s">
        <v>529</v>
      </c>
      <c r="C264" s="5" t="str">
        <f t="shared" si="2"/>
        <v xml:space="preserve">y, </v>
      </c>
      <c r="D264" s="5" t="str">
        <f t="shared" si="8"/>
        <v>Linds</v>
      </c>
      <c r="E264" s="5" t="str">
        <f t="shared" si="9"/>
        <v>on G.</v>
      </c>
    </row>
    <row r="265" spans="1:5" ht="15.75" customHeight="1" x14ac:dyDescent="0.3">
      <c r="A265" s="4" t="s">
        <v>530</v>
      </c>
      <c r="B265" s="4" t="s">
        <v>531</v>
      </c>
      <c r="C265" s="5" t="str">
        <f t="shared" si="2"/>
        <v>Ms.</v>
      </c>
      <c r="D265" s="5" t="str">
        <f t="shared" si="8"/>
        <v>Land,</v>
      </c>
      <c r="E265" s="5" t="str">
        <f t="shared" si="9"/>
        <v>ey E.</v>
      </c>
    </row>
    <row r="266" spans="1:5" ht="15.75" customHeight="1" x14ac:dyDescent="0.3">
      <c r="A266" s="4" t="s">
        <v>532</v>
      </c>
      <c r="B266" s="4" t="s">
        <v>533</v>
      </c>
      <c r="C266" s="5" t="str">
        <f t="shared" si="2"/>
        <v xml:space="preserve">r, </v>
      </c>
      <c r="D266" s="5" t="str">
        <f t="shared" si="8"/>
        <v>Brech</v>
      </c>
      <c r="E266" s="5" t="str">
        <f t="shared" si="9"/>
        <v>ca A.</v>
      </c>
    </row>
    <row r="267" spans="1:5" ht="15.75" customHeight="1" x14ac:dyDescent="0.3">
      <c r="A267" s="4" t="s">
        <v>534</v>
      </c>
      <c r="B267" s="4" t="s">
        <v>535</v>
      </c>
      <c r="C267" s="5" t="str">
        <f t="shared" si="2"/>
        <v>, M</v>
      </c>
      <c r="D267" s="5" t="str">
        <f t="shared" si="8"/>
        <v>Debol</v>
      </c>
      <c r="E267" s="5" t="str">
        <f t="shared" si="9"/>
        <v xml:space="preserve"> Erik</v>
      </c>
    </row>
    <row r="268" spans="1:5" ht="15.75" customHeight="1" x14ac:dyDescent="0.3">
      <c r="A268" s="4" t="s">
        <v>536</v>
      </c>
      <c r="B268" s="4" t="s">
        <v>537</v>
      </c>
      <c r="C268" s="5" t="str">
        <f t="shared" si="2"/>
        <v>, M</v>
      </c>
      <c r="D268" s="5" t="str">
        <f t="shared" si="8"/>
        <v>Oswal</v>
      </c>
      <c r="E268" s="5" t="str">
        <f t="shared" si="9"/>
        <v>in C.</v>
      </c>
    </row>
    <row r="269" spans="1:5" ht="15.75" customHeight="1" x14ac:dyDescent="0.3">
      <c r="A269" s="4" t="s">
        <v>538</v>
      </c>
      <c r="B269" s="4" t="s">
        <v>539</v>
      </c>
      <c r="C269" s="5" t="str">
        <f t="shared" si="2"/>
        <v>Ms.</v>
      </c>
      <c r="D269" s="5" t="str">
        <f t="shared" si="8"/>
        <v>Boyd,</v>
      </c>
      <c r="E269" s="5" t="str">
        <f t="shared" si="9"/>
        <v>ienne</v>
      </c>
    </row>
    <row r="270" spans="1:5" ht="15.75" customHeight="1" x14ac:dyDescent="0.3">
      <c r="A270" s="4" t="s">
        <v>540</v>
      </c>
      <c r="B270" s="4" t="s">
        <v>541</v>
      </c>
      <c r="C270" s="5" t="str">
        <f t="shared" si="2"/>
        <v>ch,</v>
      </c>
      <c r="D270" s="5" t="str">
        <f t="shared" si="8"/>
        <v>Bulew</v>
      </c>
      <c r="E270" s="5" t="str">
        <f t="shared" si="9"/>
        <v xml:space="preserve"> Adam</v>
      </c>
    </row>
    <row r="271" spans="1:5" ht="15.75" customHeight="1" x14ac:dyDescent="0.3">
      <c r="A271" s="4" t="s">
        <v>542</v>
      </c>
      <c r="B271" s="4" t="s">
        <v>543</v>
      </c>
      <c r="C271" s="5" t="str">
        <f t="shared" si="2"/>
        <v>, M</v>
      </c>
      <c r="D271" s="5" t="str">
        <f t="shared" si="8"/>
        <v>Fukud</v>
      </c>
      <c r="E271" s="5" t="str">
        <f t="shared" si="9"/>
        <v>utaka</v>
      </c>
    </row>
    <row r="272" spans="1:5" ht="15.75" customHeight="1" x14ac:dyDescent="0.3">
      <c r="A272" s="4" t="s">
        <v>544</v>
      </c>
      <c r="B272" s="4" t="s">
        <v>545</v>
      </c>
      <c r="C272" s="5" t="str">
        <f t="shared" si="2"/>
        <v>ps,</v>
      </c>
      <c r="D272" s="5" t="str">
        <f t="shared" si="8"/>
        <v>Phill</v>
      </c>
      <c r="E272" s="5" t="str">
        <f t="shared" si="9"/>
        <v>ler M</v>
      </c>
    </row>
    <row r="273" spans="1:5" ht="15.75" customHeight="1" x14ac:dyDescent="0.3">
      <c r="A273" s="4" t="s">
        <v>546</v>
      </c>
      <c r="B273" s="4" t="s">
        <v>547</v>
      </c>
      <c r="C273" s="5" t="str">
        <f t="shared" ref="C273:C527" si="10">MID(B273,7,3)</f>
        <v>on,</v>
      </c>
      <c r="D273" s="5" t="str">
        <f t="shared" ref="D273:D336" si="11">LEFT(B273,5)</f>
        <v>Maddi</v>
      </c>
      <c r="E273" s="5" t="str">
        <f t="shared" si="9"/>
        <v>ephen</v>
      </c>
    </row>
    <row r="274" spans="1:5" ht="15.75" customHeight="1" x14ac:dyDescent="0.3">
      <c r="A274" s="4" t="s">
        <v>548</v>
      </c>
      <c r="B274" s="4" t="s">
        <v>549</v>
      </c>
      <c r="C274" s="5" t="str">
        <f t="shared" si="10"/>
        <v>od,</v>
      </c>
      <c r="D274" s="5" t="str">
        <f t="shared" si="11"/>
        <v>Lockw</v>
      </c>
      <c r="E274" s="5" t="str">
        <f t="shared" si="9"/>
        <v>ew B.</v>
      </c>
    </row>
    <row r="275" spans="1:5" ht="15.75" customHeight="1" x14ac:dyDescent="0.3">
      <c r="A275" s="4" t="s">
        <v>550</v>
      </c>
      <c r="B275" s="4" t="s">
        <v>551</v>
      </c>
      <c r="C275" s="5" t="str">
        <f t="shared" si="10"/>
        <v>ppi</v>
      </c>
      <c r="D275" s="5" t="str">
        <f t="shared" si="11"/>
        <v>Defil</v>
      </c>
      <c r="E275" s="5" t="str">
        <f t="shared" si="9"/>
        <v>James</v>
      </c>
    </row>
    <row r="276" spans="1:5" ht="15.75" customHeight="1" x14ac:dyDescent="0.3">
      <c r="A276" s="4" t="s">
        <v>552</v>
      </c>
      <c r="B276" s="4" t="s">
        <v>553</v>
      </c>
      <c r="C276" s="5" t="str">
        <f t="shared" si="10"/>
        <v xml:space="preserve">n, </v>
      </c>
      <c r="D276" s="5" t="str">
        <f t="shared" si="11"/>
        <v>Jacks</v>
      </c>
      <c r="E276" s="5" t="str">
        <f t="shared" si="9"/>
        <v>wn P.</v>
      </c>
    </row>
    <row r="277" spans="1:5" ht="15.75" customHeight="1" x14ac:dyDescent="0.3">
      <c r="A277" s="4" t="s">
        <v>554</v>
      </c>
      <c r="B277" s="4" t="s">
        <v>555</v>
      </c>
      <c r="C277" s="5" t="str">
        <f t="shared" si="10"/>
        <v>ski</v>
      </c>
      <c r="D277" s="5" t="str">
        <f t="shared" si="11"/>
        <v>Ozaho</v>
      </c>
      <c r="E277" s="5" t="str">
        <f t="shared" si="9"/>
        <v xml:space="preserve"> Matt</v>
      </c>
    </row>
    <row r="278" spans="1:5" ht="15.75" customHeight="1" x14ac:dyDescent="0.3">
      <c r="A278" s="4" t="s">
        <v>556</v>
      </c>
      <c r="B278" s="4" t="s">
        <v>557</v>
      </c>
      <c r="C278" s="5" t="str">
        <f t="shared" si="10"/>
        <v xml:space="preserve">s, </v>
      </c>
      <c r="D278" s="5" t="str">
        <f t="shared" si="11"/>
        <v>Gutha</v>
      </c>
      <c r="E278" s="5" t="str">
        <f t="shared" si="9"/>
        <v>aniel</v>
      </c>
    </row>
    <row r="279" spans="1:5" ht="15.75" customHeight="1" x14ac:dyDescent="0.3">
      <c r="A279" s="4" t="s">
        <v>558</v>
      </c>
      <c r="B279" s="4" t="s">
        <v>559</v>
      </c>
      <c r="C279" s="5" t="str">
        <f t="shared" si="10"/>
        <v xml:space="preserve"> Mr</v>
      </c>
      <c r="D279" s="5" t="str">
        <f t="shared" si="11"/>
        <v>Yates</v>
      </c>
      <c r="E279" s="5" t="str">
        <f t="shared" si="9"/>
        <v>in D.</v>
      </c>
    </row>
    <row r="280" spans="1:5" ht="15.75" customHeight="1" x14ac:dyDescent="0.3">
      <c r="A280" s="4" t="s">
        <v>560</v>
      </c>
      <c r="B280" s="4" t="s">
        <v>561</v>
      </c>
      <c r="C280" s="5" t="str">
        <f t="shared" si="10"/>
        <v>son</v>
      </c>
      <c r="D280" s="5" t="str">
        <f t="shared" si="11"/>
        <v>Samue</v>
      </c>
      <c r="E280" s="5" t="str">
        <f t="shared" si="9"/>
        <v xml:space="preserve"> Joan</v>
      </c>
    </row>
    <row r="281" spans="1:5" ht="15.75" customHeight="1" x14ac:dyDescent="0.3">
      <c r="A281" s="4" t="s">
        <v>562</v>
      </c>
      <c r="B281" s="4" t="s">
        <v>563</v>
      </c>
      <c r="C281" s="5" t="str">
        <f t="shared" si="10"/>
        <v xml:space="preserve"> Mr</v>
      </c>
      <c r="D281" s="5" t="str">
        <f t="shared" si="11"/>
        <v>Lemos</v>
      </c>
      <c r="E281" s="5" t="str">
        <f t="shared" si="9"/>
        <v>her A</v>
      </c>
    </row>
    <row r="282" spans="1:5" ht="15.75" customHeight="1" x14ac:dyDescent="0.3">
      <c r="A282" s="4" t="s">
        <v>564</v>
      </c>
      <c r="B282" s="4" t="s">
        <v>565</v>
      </c>
      <c r="C282" s="5" t="str">
        <f t="shared" si="10"/>
        <v>rs,</v>
      </c>
      <c r="D282" s="5" t="str">
        <f t="shared" si="11"/>
        <v>Seynd</v>
      </c>
      <c r="E282" s="5" t="str">
        <f t="shared" si="9"/>
        <v>cy L.</v>
      </c>
    </row>
    <row r="283" spans="1:5" ht="15.75" customHeight="1" x14ac:dyDescent="0.3">
      <c r="A283" s="4" t="s">
        <v>566</v>
      </c>
      <c r="B283" s="4" t="s">
        <v>567</v>
      </c>
      <c r="C283" s="5" t="str">
        <f t="shared" si="10"/>
        <v>rs,</v>
      </c>
      <c r="D283" s="5" t="str">
        <f t="shared" si="11"/>
        <v>Saund</v>
      </c>
      <c r="E283" s="5" t="str">
        <f t="shared" si="9"/>
        <v>in H.</v>
      </c>
    </row>
    <row r="284" spans="1:5" ht="15.75" customHeight="1" x14ac:dyDescent="0.3">
      <c r="A284" s="4" t="s">
        <v>568</v>
      </c>
      <c r="B284" s="4" t="s">
        <v>569</v>
      </c>
      <c r="C284" s="5" t="str">
        <f t="shared" si="10"/>
        <v>, M</v>
      </c>
      <c r="D284" s="5" t="str">
        <f t="shared" si="11"/>
        <v>Walke</v>
      </c>
      <c r="E284" s="5" t="str">
        <f t="shared" si="9"/>
        <v>ur J.</v>
      </c>
    </row>
    <row r="285" spans="1:5" ht="15.75" customHeight="1" x14ac:dyDescent="0.3">
      <c r="A285" s="4" t="s">
        <v>570</v>
      </c>
      <c r="B285" s="4" t="s">
        <v>571</v>
      </c>
      <c r="C285" s="5" t="str">
        <f t="shared" si="10"/>
        <v xml:space="preserve">r. </v>
      </c>
      <c r="D285" s="5" t="str">
        <f t="shared" si="11"/>
        <v xml:space="preserve">Lam, </v>
      </c>
      <c r="E285" s="5" t="str">
        <f t="shared" si="9"/>
        <v>el T.</v>
      </c>
    </row>
    <row r="286" spans="1:5" ht="15.75" customHeight="1" x14ac:dyDescent="0.3">
      <c r="A286" s="4" t="s">
        <v>572</v>
      </c>
      <c r="B286" s="4" t="s">
        <v>573</v>
      </c>
      <c r="C286" s="5" t="str">
        <f t="shared" si="10"/>
        <v>rt,</v>
      </c>
      <c r="D286" s="5" t="str">
        <f t="shared" si="11"/>
        <v>Sweig</v>
      </c>
      <c r="E286" s="5" t="str">
        <f t="shared" si="9"/>
        <v>adley</v>
      </c>
    </row>
    <row r="287" spans="1:5" ht="15.75" customHeight="1" x14ac:dyDescent="0.3">
      <c r="A287" s="4" t="s">
        <v>574</v>
      </c>
      <c r="B287" s="4" t="s">
        <v>575</v>
      </c>
      <c r="C287" s="5" t="str">
        <f t="shared" si="10"/>
        <v>ows</v>
      </c>
      <c r="D287" s="5" t="str">
        <f t="shared" si="11"/>
        <v>Siecz</v>
      </c>
      <c r="E287" s="5" t="str">
        <f t="shared" si="9"/>
        <v>ndrea</v>
      </c>
    </row>
    <row r="288" spans="1:5" ht="15.75" customHeight="1" x14ac:dyDescent="0.3">
      <c r="A288" s="4" t="s">
        <v>576</v>
      </c>
      <c r="B288" s="4" t="s">
        <v>577</v>
      </c>
      <c r="C288" s="5" t="str">
        <f t="shared" si="10"/>
        <v xml:space="preserve">s, </v>
      </c>
      <c r="D288" s="5" t="str">
        <f t="shared" si="11"/>
        <v>Jurge</v>
      </c>
      <c r="E288" s="5" t="str">
        <f t="shared" si="9"/>
        <v>ncy M</v>
      </c>
    </row>
    <row r="289" spans="1:5" ht="15.75" customHeight="1" x14ac:dyDescent="0.3">
      <c r="A289" s="4" t="s">
        <v>578</v>
      </c>
      <c r="B289" s="4" t="s">
        <v>579</v>
      </c>
      <c r="C289" s="5" t="str">
        <f t="shared" si="10"/>
        <v xml:space="preserve">n, </v>
      </c>
      <c r="D289" s="5" t="str">
        <f t="shared" si="11"/>
        <v>Hackm</v>
      </c>
      <c r="E289" s="5" t="str">
        <f t="shared" si="9"/>
        <v xml:space="preserve"> Matt</v>
      </c>
    </row>
    <row r="290" spans="1:5" ht="15.75" customHeight="1" x14ac:dyDescent="0.3">
      <c r="A290" s="4" t="s">
        <v>580</v>
      </c>
      <c r="B290" s="4" t="s">
        <v>581</v>
      </c>
      <c r="C290" s="5" t="str">
        <f t="shared" si="10"/>
        <v xml:space="preserve">h, </v>
      </c>
      <c r="D290" s="5" t="str">
        <f t="shared" si="11"/>
        <v>Klari</v>
      </c>
      <c r="E290" s="5" t="str">
        <f t="shared" si="9"/>
        <v xml:space="preserve">  Lee</v>
      </c>
    </row>
    <row r="291" spans="1:5" ht="15.75" customHeight="1" x14ac:dyDescent="0.3">
      <c r="A291" s="4" t="s">
        <v>582</v>
      </c>
      <c r="B291" s="4" t="s">
        <v>583</v>
      </c>
      <c r="C291" s="5" t="str">
        <f t="shared" si="10"/>
        <v>en,</v>
      </c>
      <c r="D291" s="5" t="str">
        <f t="shared" si="11"/>
        <v>Schul</v>
      </c>
      <c r="E291" s="5" t="str">
        <f t="shared" si="9"/>
        <v>Chris</v>
      </c>
    </row>
    <row r="292" spans="1:5" ht="15.75" customHeight="1" x14ac:dyDescent="0.3">
      <c r="A292" s="4" t="s">
        <v>584</v>
      </c>
      <c r="B292" s="4" t="s">
        <v>585</v>
      </c>
      <c r="C292" s="5" t="str">
        <f t="shared" si="10"/>
        <v>tro</v>
      </c>
      <c r="D292" s="5" t="str">
        <f t="shared" si="11"/>
        <v>Fager</v>
      </c>
      <c r="E292" s="5" t="str">
        <f t="shared" si="9"/>
        <v>ik T.</v>
      </c>
    </row>
    <row r="293" spans="1:5" ht="15.75" customHeight="1" x14ac:dyDescent="0.3">
      <c r="A293" s="4" t="s">
        <v>586</v>
      </c>
      <c r="B293" s="4" t="s">
        <v>587</v>
      </c>
      <c r="C293" s="5" t="str">
        <f t="shared" si="10"/>
        <v>Mr.</v>
      </c>
      <c r="D293" s="5" t="str">
        <f t="shared" si="11"/>
        <v>Bien,</v>
      </c>
      <c r="E293" s="5" t="str">
        <f t="shared" si="9"/>
        <v>Rod W</v>
      </c>
    </row>
    <row r="294" spans="1:5" ht="15.75" customHeight="1" x14ac:dyDescent="0.3">
      <c r="A294" s="4" t="s">
        <v>588</v>
      </c>
      <c r="B294" s="4" t="s">
        <v>589</v>
      </c>
      <c r="C294" s="5" t="str">
        <f t="shared" si="10"/>
        <v>Mr.</v>
      </c>
      <c r="D294" s="5" t="str">
        <f t="shared" si="11"/>
        <v>Hess,</v>
      </c>
      <c r="E294" s="5" t="str">
        <f t="shared" si="9"/>
        <v xml:space="preserve"> Joey</v>
      </c>
    </row>
    <row r="295" spans="1:5" ht="15.75" customHeight="1" x14ac:dyDescent="0.3">
      <c r="A295" s="4" t="s">
        <v>590</v>
      </c>
      <c r="B295" s="4" t="s">
        <v>591</v>
      </c>
      <c r="C295" s="5" t="str">
        <f t="shared" si="10"/>
        <v>Ms.</v>
      </c>
      <c r="D295" s="5" t="str">
        <f t="shared" si="11"/>
        <v>Shaw,</v>
      </c>
      <c r="E295" s="5" t="str">
        <f t="shared" si="9"/>
        <v>ry L.</v>
      </c>
    </row>
    <row r="296" spans="1:5" ht="15.75" customHeight="1" x14ac:dyDescent="0.3">
      <c r="A296" s="4" t="s">
        <v>592</v>
      </c>
      <c r="B296" s="4" t="s">
        <v>593</v>
      </c>
      <c r="C296" s="5" t="str">
        <f t="shared" si="10"/>
        <v>ms,</v>
      </c>
      <c r="D296" s="5" t="str">
        <f t="shared" si="11"/>
        <v>Willi</v>
      </c>
      <c r="E296" s="5" t="str">
        <f t="shared" si="9"/>
        <v>ric J</v>
      </c>
    </row>
    <row r="297" spans="1:5" ht="15.75" customHeight="1" x14ac:dyDescent="0.3">
      <c r="A297" s="4" t="s">
        <v>594</v>
      </c>
      <c r="B297" s="4" t="s">
        <v>595</v>
      </c>
      <c r="C297" s="5" t="str">
        <f t="shared" si="10"/>
        <v xml:space="preserve">s, </v>
      </c>
      <c r="D297" s="5" t="str">
        <f t="shared" si="11"/>
        <v>Menzi</v>
      </c>
      <c r="E297" s="5" t="str">
        <f t="shared" si="9"/>
        <v>colas</v>
      </c>
    </row>
    <row r="298" spans="1:5" ht="15.75" customHeight="1" x14ac:dyDescent="0.3">
      <c r="A298" s="4" t="s">
        <v>596</v>
      </c>
      <c r="B298" s="4" t="s">
        <v>597</v>
      </c>
      <c r="C298" s="5" t="str">
        <f t="shared" si="10"/>
        <v xml:space="preserve">r, </v>
      </c>
      <c r="D298" s="5" t="str">
        <f t="shared" si="11"/>
        <v>Buehl</v>
      </c>
      <c r="E298" s="5" t="str">
        <f t="shared" si="9"/>
        <v>arcel</v>
      </c>
    </row>
    <row r="299" spans="1:5" ht="15.75" customHeight="1" x14ac:dyDescent="0.3">
      <c r="A299" s="4" t="s">
        <v>598</v>
      </c>
      <c r="B299" s="4" t="s">
        <v>599</v>
      </c>
      <c r="C299" s="5" t="str">
        <f t="shared" si="10"/>
        <v xml:space="preserve"> Ms</v>
      </c>
      <c r="D299" s="5" t="str">
        <f t="shared" si="11"/>
        <v>Degen</v>
      </c>
      <c r="E299" s="5" t="str">
        <f t="shared" si="9"/>
        <v>ley N</v>
      </c>
    </row>
    <row r="300" spans="1:5" ht="15.75" customHeight="1" x14ac:dyDescent="0.3">
      <c r="A300" s="4" t="s">
        <v>600</v>
      </c>
      <c r="B300" s="4" t="s">
        <v>601</v>
      </c>
      <c r="C300" s="5" t="str">
        <f t="shared" si="10"/>
        <v>ult</v>
      </c>
      <c r="D300" s="5" t="str">
        <f t="shared" si="11"/>
        <v>Arsen</v>
      </c>
      <c r="E300" s="5" t="str">
        <f t="shared" si="9"/>
        <v>van D</v>
      </c>
    </row>
    <row r="301" spans="1:5" ht="15.75" customHeight="1" x14ac:dyDescent="0.3">
      <c r="A301" s="4" t="s">
        <v>602</v>
      </c>
      <c r="B301" s="4" t="s">
        <v>603</v>
      </c>
      <c r="C301" s="5" t="str">
        <f t="shared" si="10"/>
        <v>Ms.</v>
      </c>
      <c r="D301" s="5" t="str">
        <f t="shared" si="11"/>
        <v>Hoff,</v>
      </c>
      <c r="E301" s="5" t="str">
        <f t="shared" si="9"/>
        <v>isana</v>
      </c>
    </row>
    <row r="302" spans="1:5" ht="15.75" customHeight="1" x14ac:dyDescent="0.3">
      <c r="A302" s="4" t="s">
        <v>604</v>
      </c>
      <c r="B302" s="4" t="s">
        <v>605</v>
      </c>
      <c r="C302" s="5" t="str">
        <f t="shared" si="10"/>
        <v>Mr.</v>
      </c>
      <c r="D302" s="5" t="str">
        <f t="shared" si="11"/>
        <v>Hall,</v>
      </c>
      <c r="E302" s="5" t="str">
        <f t="shared" si="9"/>
        <v xml:space="preserve"> Kyle</v>
      </c>
    </row>
    <row r="303" spans="1:5" ht="15.75" customHeight="1" x14ac:dyDescent="0.3">
      <c r="A303" s="4" t="s">
        <v>606</v>
      </c>
      <c r="B303" s="4" t="s">
        <v>607</v>
      </c>
      <c r="C303" s="5" t="str">
        <f t="shared" si="10"/>
        <v>, M</v>
      </c>
      <c r="D303" s="5" t="str">
        <f t="shared" si="11"/>
        <v>Ashle</v>
      </c>
      <c r="E303" s="5" t="str">
        <f t="shared" si="9"/>
        <v xml:space="preserve"> Kate</v>
      </c>
    </row>
    <row r="304" spans="1:5" ht="15.75" customHeight="1" x14ac:dyDescent="0.3">
      <c r="A304" s="4" t="s">
        <v>608</v>
      </c>
      <c r="B304" s="4" t="s">
        <v>609</v>
      </c>
      <c r="C304" s="5" t="str">
        <f t="shared" si="10"/>
        <v xml:space="preserve">l, </v>
      </c>
      <c r="D304" s="5" t="str">
        <f t="shared" si="11"/>
        <v>Rinda</v>
      </c>
      <c r="E304" s="5" t="str">
        <f t="shared" si="9"/>
        <v>in A.</v>
      </c>
    </row>
    <row r="305" spans="1:5" ht="15.75" customHeight="1" x14ac:dyDescent="0.3">
      <c r="A305" s="4" t="s">
        <v>610</v>
      </c>
      <c r="B305" s="4" t="s">
        <v>611</v>
      </c>
      <c r="C305" s="5" t="str">
        <f t="shared" si="10"/>
        <v xml:space="preserve"> Ms</v>
      </c>
      <c r="D305" s="5" t="str">
        <f t="shared" si="11"/>
        <v>Clark</v>
      </c>
      <c r="E305" s="5" t="str">
        <f t="shared" si="9"/>
        <v>tacey</v>
      </c>
    </row>
    <row r="306" spans="1:5" ht="15.75" customHeight="1" x14ac:dyDescent="0.3">
      <c r="A306" s="4" t="s">
        <v>612</v>
      </c>
      <c r="B306" s="4" t="s">
        <v>613</v>
      </c>
      <c r="C306" s="5" t="str">
        <f t="shared" si="10"/>
        <v xml:space="preserve"> Ms</v>
      </c>
      <c r="D306" s="5" t="str">
        <f t="shared" si="11"/>
        <v>Irish</v>
      </c>
      <c r="E306" s="5" t="str">
        <f t="shared" si="9"/>
        <v>stine</v>
      </c>
    </row>
    <row r="307" spans="1:5" ht="15.75" customHeight="1" x14ac:dyDescent="0.3">
      <c r="A307" s="4" t="s">
        <v>614</v>
      </c>
      <c r="B307" s="4" t="s">
        <v>615</v>
      </c>
      <c r="C307" s="5" t="str">
        <f t="shared" si="10"/>
        <v>dso</v>
      </c>
      <c r="D307" s="5" t="str">
        <f t="shared" si="11"/>
        <v>Richa</v>
      </c>
      <c r="E307" s="5" t="str">
        <f t="shared" si="9"/>
        <v>ah C.</v>
      </c>
    </row>
    <row r="308" spans="1:5" ht="15.75" customHeight="1" x14ac:dyDescent="0.3">
      <c r="A308" s="4" t="s">
        <v>616</v>
      </c>
      <c r="B308" s="4" t="s">
        <v>617</v>
      </c>
      <c r="C308" s="5" t="str">
        <f t="shared" si="10"/>
        <v>, M</v>
      </c>
      <c r="D308" s="5" t="str">
        <f t="shared" si="11"/>
        <v>Dewit</v>
      </c>
      <c r="E308" s="5" t="str">
        <f t="shared" si="9"/>
        <v>Megan</v>
      </c>
    </row>
    <row r="309" spans="1:5" ht="15.75" customHeight="1" x14ac:dyDescent="0.3">
      <c r="A309" s="4" t="s">
        <v>618</v>
      </c>
      <c r="B309" s="4" t="s">
        <v>619</v>
      </c>
      <c r="C309" s="5" t="str">
        <f t="shared" si="10"/>
        <v xml:space="preserve">n, </v>
      </c>
      <c r="D309" s="5" t="str">
        <f t="shared" si="11"/>
        <v>Hickm</v>
      </c>
      <c r="E309" s="5" t="str">
        <f t="shared" si="9"/>
        <v>son W</v>
      </c>
    </row>
    <row r="310" spans="1:5" ht="15.75" customHeight="1" x14ac:dyDescent="0.3">
      <c r="A310" s="4" t="s">
        <v>620</v>
      </c>
      <c r="B310" s="4" t="s">
        <v>621</v>
      </c>
      <c r="C310" s="5" t="str">
        <f t="shared" si="10"/>
        <v>ez,</v>
      </c>
      <c r="D310" s="5" t="str">
        <f t="shared" si="11"/>
        <v>Gonza</v>
      </c>
      <c r="E310" s="5" t="str">
        <f t="shared" si="9"/>
        <v>chele</v>
      </c>
    </row>
    <row r="311" spans="1:5" ht="15.75" customHeight="1" x14ac:dyDescent="0.3">
      <c r="A311" s="4" t="s">
        <v>622</v>
      </c>
      <c r="B311" s="4" t="s">
        <v>623</v>
      </c>
      <c r="C311" s="5" t="str">
        <f t="shared" si="10"/>
        <v>, M</v>
      </c>
      <c r="D311" s="5" t="str">
        <f t="shared" si="11"/>
        <v>Difan</v>
      </c>
      <c r="E311" s="5" t="str">
        <f t="shared" si="9"/>
        <v>Nikki</v>
      </c>
    </row>
    <row r="312" spans="1:5" ht="15.75" customHeight="1" x14ac:dyDescent="0.3">
      <c r="A312" s="4" t="s">
        <v>624</v>
      </c>
      <c r="B312" s="4" t="s">
        <v>625</v>
      </c>
      <c r="C312" s="5" t="str">
        <f t="shared" si="10"/>
        <v>, M</v>
      </c>
      <c r="D312" s="5" t="str">
        <f t="shared" si="11"/>
        <v>Turne</v>
      </c>
      <c r="E312" s="5" t="str">
        <f t="shared" si="9"/>
        <v>ip J.</v>
      </c>
    </row>
    <row r="313" spans="1:5" ht="15.75" customHeight="1" x14ac:dyDescent="0.3">
      <c r="A313" s="4" t="s">
        <v>626</v>
      </c>
      <c r="B313" s="4" t="s">
        <v>627</v>
      </c>
      <c r="C313" s="5" t="str">
        <f t="shared" si="10"/>
        <v xml:space="preserve">n, </v>
      </c>
      <c r="D313" s="5" t="str">
        <f t="shared" si="11"/>
        <v>Widma</v>
      </c>
      <c r="E313" s="5" t="str">
        <f t="shared" si="9"/>
        <v>yan L</v>
      </c>
    </row>
    <row r="314" spans="1:5" ht="15.75" customHeight="1" x14ac:dyDescent="0.3">
      <c r="A314" s="4" t="s">
        <v>628</v>
      </c>
      <c r="B314" s="4" t="s">
        <v>629</v>
      </c>
      <c r="C314" s="5" t="str">
        <f t="shared" si="10"/>
        <v>, M</v>
      </c>
      <c r="D314" s="5" t="str">
        <f t="shared" si="11"/>
        <v>Tunne</v>
      </c>
      <c r="E314" s="5" t="str">
        <f t="shared" si="9"/>
        <v>thy F</v>
      </c>
    </row>
    <row r="315" spans="1:5" ht="15.75" customHeight="1" x14ac:dyDescent="0.3">
      <c r="A315" s="4" t="s">
        <v>630</v>
      </c>
      <c r="B315" s="4" t="s">
        <v>631</v>
      </c>
      <c r="C315" s="5" t="str">
        <f t="shared" si="10"/>
        <v>an,</v>
      </c>
      <c r="D315" s="5" t="str">
        <f t="shared" si="11"/>
        <v>San J</v>
      </c>
      <c r="E315" s="5" t="str">
        <f t="shared" si="9"/>
        <v>lyn M</v>
      </c>
    </row>
    <row r="316" spans="1:5" ht="15.75" customHeight="1" x14ac:dyDescent="0.3">
      <c r="A316" s="4" t="s">
        <v>632</v>
      </c>
      <c r="B316" s="4" t="s">
        <v>633</v>
      </c>
      <c r="C316" s="5" t="str">
        <f t="shared" si="10"/>
        <v xml:space="preserve"> Ms</v>
      </c>
      <c r="D316" s="5" t="str">
        <f t="shared" si="11"/>
        <v>Croll</v>
      </c>
      <c r="E316" s="5" t="str">
        <f t="shared" si="9"/>
        <v>ie M.</v>
      </c>
    </row>
    <row r="317" spans="1:5" ht="15.75" customHeight="1" x14ac:dyDescent="0.3">
      <c r="A317" s="4" t="s">
        <v>634</v>
      </c>
      <c r="B317" s="4" t="s">
        <v>635</v>
      </c>
      <c r="C317" s="5" t="str">
        <f t="shared" si="10"/>
        <v>, M</v>
      </c>
      <c r="D317" s="5" t="str">
        <f t="shared" si="11"/>
        <v>Rolfe</v>
      </c>
      <c r="E317" s="5" t="str">
        <f t="shared" si="9"/>
        <v xml:space="preserve"> Greg</v>
      </c>
    </row>
    <row r="318" spans="1:5" ht="15.75" customHeight="1" x14ac:dyDescent="0.3">
      <c r="A318" s="4" t="s">
        <v>636</v>
      </c>
      <c r="B318" s="4" t="s">
        <v>637</v>
      </c>
      <c r="C318" s="5" t="str">
        <f t="shared" si="10"/>
        <v>, M</v>
      </c>
      <c r="D318" s="5" t="str">
        <f t="shared" si="11"/>
        <v>Hinkl</v>
      </c>
      <c r="E318" s="5" t="str">
        <f t="shared" si="9"/>
        <v xml:space="preserve"> John</v>
      </c>
    </row>
    <row r="319" spans="1:5" ht="15.75" customHeight="1" x14ac:dyDescent="0.3">
      <c r="A319" s="4" t="s">
        <v>638</v>
      </c>
      <c r="B319" s="4" t="s">
        <v>639</v>
      </c>
      <c r="C319" s="5" t="str">
        <f t="shared" si="10"/>
        <v>nka</v>
      </c>
      <c r="D319" s="5" t="str">
        <f t="shared" si="11"/>
        <v>Leuch</v>
      </c>
      <c r="E319" s="5" t="str">
        <f t="shared" si="9"/>
        <v>sandr</v>
      </c>
    </row>
    <row r="320" spans="1:5" ht="15.75" customHeight="1" x14ac:dyDescent="0.3">
      <c r="A320" s="4" t="s">
        <v>640</v>
      </c>
      <c r="B320" s="4" t="s">
        <v>641</v>
      </c>
      <c r="C320" s="5" t="str">
        <f t="shared" si="10"/>
        <v xml:space="preserve">r. </v>
      </c>
      <c r="D320" s="5" t="str">
        <f t="shared" si="11"/>
        <v xml:space="preserve">Ayr, </v>
      </c>
      <c r="E320" s="5" t="str">
        <f t="shared" si="9"/>
        <v>on M.</v>
      </c>
    </row>
    <row r="321" spans="1:5" ht="15.75" customHeight="1" x14ac:dyDescent="0.3">
      <c r="A321" s="4" t="s">
        <v>642</v>
      </c>
      <c r="B321" s="4" t="s">
        <v>643</v>
      </c>
      <c r="C321" s="5" t="str">
        <f t="shared" si="10"/>
        <v>, M</v>
      </c>
      <c r="D321" s="5" t="str">
        <f t="shared" si="11"/>
        <v>Siege</v>
      </c>
      <c r="E321" s="5" t="str">
        <f t="shared" si="9"/>
        <v>era K</v>
      </c>
    </row>
    <row r="322" spans="1:5" ht="15.75" customHeight="1" x14ac:dyDescent="0.3">
      <c r="A322" s="4" t="s">
        <v>644</v>
      </c>
      <c r="B322" s="4" t="s">
        <v>645</v>
      </c>
      <c r="C322" s="5" t="str">
        <f t="shared" si="10"/>
        <v xml:space="preserve">e, </v>
      </c>
      <c r="D322" s="5" t="str">
        <f t="shared" si="11"/>
        <v>Penro</v>
      </c>
      <c r="E322" s="5" t="str">
        <f t="shared" ref="E322:E385" si="12">RIGHT(B322,5)</f>
        <v>anice</v>
      </c>
    </row>
    <row r="323" spans="1:5" ht="15.75" customHeight="1" x14ac:dyDescent="0.3">
      <c r="A323" s="4" t="s">
        <v>646</v>
      </c>
      <c r="B323" s="4" t="s">
        <v>647</v>
      </c>
      <c r="C323" s="5" t="str">
        <f t="shared" si="10"/>
        <v xml:space="preserve">r, </v>
      </c>
      <c r="D323" s="5" t="str">
        <f t="shared" si="11"/>
        <v>Schul</v>
      </c>
      <c r="E323" s="5" t="str">
        <f t="shared" si="12"/>
        <v>hy G.</v>
      </c>
    </row>
    <row r="324" spans="1:5" ht="15.75" customHeight="1" x14ac:dyDescent="0.3">
      <c r="A324" s="4" t="s">
        <v>648</v>
      </c>
      <c r="B324" s="4" t="s">
        <v>649</v>
      </c>
      <c r="C324" s="5" t="str">
        <f t="shared" si="10"/>
        <v>, M</v>
      </c>
      <c r="D324" s="5" t="str">
        <f t="shared" si="11"/>
        <v>Walke</v>
      </c>
      <c r="E324" s="5" t="str">
        <f t="shared" si="12"/>
        <v>lan R</v>
      </c>
    </row>
    <row r="325" spans="1:5" ht="15.75" customHeight="1" x14ac:dyDescent="0.3">
      <c r="A325" s="4" t="s">
        <v>650</v>
      </c>
      <c r="B325" s="4" t="s">
        <v>651</v>
      </c>
      <c r="C325" s="5" t="str">
        <f t="shared" si="10"/>
        <v>, M</v>
      </c>
      <c r="D325" s="5" t="str">
        <f t="shared" si="11"/>
        <v>Stang</v>
      </c>
      <c r="E325" s="5" t="str">
        <f t="shared" si="12"/>
        <v>chael</v>
      </c>
    </row>
    <row r="326" spans="1:5" ht="15.75" customHeight="1" x14ac:dyDescent="0.3">
      <c r="A326" s="4" t="s">
        <v>652</v>
      </c>
      <c r="B326" s="4" t="s">
        <v>653</v>
      </c>
      <c r="C326" s="5" t="str">
        <f t="shared" si="10"/>
        <v xml:space="preserve">s. </v>
      </c>
      <c r="D326" s="5" t="str">
        <f t="shared" si="11"/>
        <v xml:space="preserve">Roy, </v>
      </c>
      <c r="E326" s="5" t="str">
        <f t="shared" si="12"/>
        <v>rance</v>
      </c>
    </row>
    <row r="327" spans="1:5" ht="15.75" customHeight="1" x14ac:dyDescent="0.3">
      <c r="A327" s="4" t="s">
        <v>654</v>
      </c>
      <c r="B327" s="4" t="s">
        <v>655</v>
      </c>
      <c r="C327" s="5" t="str">
        <f t="shared" si="10"/>
        <v>, M</v>
      </c>
      <c r="D327" s="5" t="str">
        <f t="shared" si="11"/>
        <v>Poter</v>
      </c>
      <c r="E327" s="5" t="str">
        <f t="shared" si="12"/>
        <v>ik F.</v>
      </c>
    </row>
    <row r="328" spans="1:5" ht="15.75" customHeight="1" x14ac:dyDescent="0.3">
      <c r="A328" s="4" t="s">
        <v>656</v>
      </c>
      <c r="B328" s="4" t="s">
        <v>657</v>
      </c>
      <c r="C328" s="5" t="str">
        <f t="shared" si="10"/>
        <v>ski</v>
      </c>
      <c r="D328" s="5" t="str">
        <f t="shared" si="11"/>
        <v>Podgu</v>
      </c>
      <c r="E328" s="5" t="str">
        <f t="shared" si="12"/>
        <v>ndrew</v>
      </c>
    </row>
    <row r="329" spans="1:5" ht="15.75" customHeight="1" x14ac:dyDescent="0.3">
      <c r="A329" s="4" t="s">
        <v>658</v>
      </c>
      <c r="B329" s="4" t="s">
        <v>659</v>
      </c>
      <c r="C329" s="5" t="str">
        <f t="shared" si="10"/>
        <v xml:space="preserve">d, </v>
      </c>
      <c r="D329" s="5" t="str">
        <f t="shared" si="11"/>
        <v>Diamo</v>
      </c>
      <c r="E329" s="5" t="str">
        <f t="shared" si="12"/>
        <v>thony</v>
      </c>
    </row>
    <row r="330" spans="1:5" ht="15.75" customHeight="1" x14ac:dyDescent="0.3">
      <c r="A330" s="4" t="s">
        <v>660</v>
      </c>
      <c r="B330" s="4" t="s">
        <v>661</v>
      </c>
      <c r="C330" s="5" t="str">
        <f t="shared" si="10"/>
        <v xml:space="preserve">e, </v>
      </c>
      <c r="D330" s="5" t="str">
        <f t="shared" si="11"/>
        <v>Salla</v>
      </c>
      <c r="E330" s="5" t="str">
        <f t="shared" si="12"/>
        <v>Chris</v>
      </c>
    </row>
    <row r="331" spans="1:5" ht="15.75" customHeight="1" x14ac:dyDescent="0.3">
      <c r="A331" s="4" t="s">
        <v>662</v>
      </c>
      <c r="B331" s="4" t="s">
        <v>663</v>
      </c>
      <c r="C331" s="5" t="str">
        <f t="shared" si="10"/>
        <v xml:space="preserve"> Mr</v>
      </c>
      <c r="D331" s="5" t="str">
        <f t="shared" si="11"/>
        <v>Zhang</v>
      </c>
      <c r="E331" s="5" t="str">
        <f t="shared" si="12"/>
        <v>.  Yu</v>
      </c>
    </row>
    <row r="332" spans="1:5" ht="15.75" customHeight="1" x14ac:dyDescent="0.3">
      <c r="A332" s="4" t="s">
        <v>664</v>
      </c>
      <c r="B332" s="4" t="s">
        <v>665</v>
      </c>
      <c r="C332" s="5" t="str">
        <f t="shared" si="10"/>
        <v>eld</v>
      </c>
      <c r="D332" s="5" t="str">
        <f t="shared" si="11"/>
        <v>Chatf</v>
      </c>
      <c r="E332" s="5" t="str">
        <f t="shared" si="12"/>
        <v>leb N</v>
      </c>
    </row>
    <row r="333" spans="1:5" ht="15.75" customHeight="1" x14ac:dyDescent="0.3">
      <c r="A333" s="4" t="s">
        <v>666</v>
      </c>
      <c r="B333" s="4" t="s">
        <v>667</v>
      </c>
      <c r="C333" s="5" t="str">
        <f t="shared" si="10"/>
        <v xml:space="preserve"> Mr</v>
      </c>
      <c r="D333" s="5" t="str">
        <f t="shared" si="11"/>
        <v>Bruns</v>
      </c>
      <c r="E333" s="5" t="str">
        <f t="shared" si="12"/>
        <v>on M.</v>
      </c>
    </row>
    <row r="334" spans="1:5" ht="15.75" customHeight="1" x14ac:dyDescent="0.3">
      <c r="A334" s="4" t="s">
        <v>668</v>
      </c>
      <c r="B334" s="4" t="s">
        <v>669</v>
      </c>
      <c r="C334" s="5" t="str">
        <f t="shared" si="10"/>
        <v>, M</v>
      </c>
      <c r="D334" s="5" t="str">
        <f t="shared" si="11"/>
        <v>Yochu</v>
      </c>
      <c r="E334" s="5" t="str">
        <f t="shared" si="12"/>
        <v>ela R</v>
      </c>
    </row>
    <row r="335" spans="1:5" ht="15.75" customHeight="1" x14ac:dyDescent="0.3">
      <c r="A335" s="4" t="s">
        <v>670</v>
      </c>
      <c r="B335" s="4" t="s">
        <v>671</v>
      </c>
      <c r="C335" s="5" t="str">
        <f t="shared" si="10"/>
        <v>rn,</v>
      </c>
      <c r="D335" s="5" t="str">
        <f t="shared" si="11"/>
        <v>Freeb</v>
      </c>
      <c r="E335" s="5" t="str">
        <f t="shared" si="12"/>
        <v>ith J</v>
      </c>
    </row>
    <row r="336" spans="1:5" ht="15.75" customHeight="1" x14ac:dyDescent="0.3">
      <c r="A336" s="4" t="s">
        <v>672</v>
      </c>
      <c r="B336" s="4" t="s">
        <v>673</v>
      </c>
      <c r="C336" s="5" t="str">
        <f t="shared" si="10"/>
        <v xml:space="preserve">r, </v>
      </c>
      <c r="D336" s="5" t="str">
        <f t="shared" si="11"/>
        <v>Spenc</v>
      </c>
      <c r="E336" s="5" t="str">
        <f t="shared" si="12"/>
        <v xml:space="preserve"> Emma</v>
      </c>
    </row>
    <row r="337" spans="1:5" ht="15.75" customHeight="1" x14ac:dyDescent="0.3">
      <c r="A337" s="4" t="s">
        <v>674</v>
      </c>
      <c r="B337" s="4" t="s">
        <v>675</v>
      </c>
      <c r="C337" s="5" t="str">
        <f t="shared" si="10"/>
        <v xml:space="preserve">k, </v>
      </c>
      <c r="D337" s="5" t="str">
        <f t="shared" ref="D337:D400" si="13">LEFT(B337,5)</f>
        <v>Jaros</v>
      </c>
      <c r="E337" s="5" t="str">
        <f t="shared" si="12"/>
        <v>han A</v>
      </c>
    </row>
    <row r="338" spans="1:5" ht="15.75" customHeight="1" x14ac:dyDescent="0.3">
      <c r="A338" s="4" t="s">
        <v>676</v>
      </c>
      <c r="B338" s="4" t="s">
        <v>677</v>
      </c>
      <c r="C338" s="5" t="str">
        <f t="shared" si="10"/>
        <v xml:space="preserve">n, </v>
      </c>
      <c r="D338" s="5" t="str">
        <f t="shared" si="13"/>
        <v>Heinz</v>
      </c>
      <c r="E338" s="5" t="str">
        <f t="shared" si="12"/>
        <v>thryn</v>
      </c>
    </row>
    <row r="339" spans="1:5" ht="15.75" customHeight="1" x14ac:dyDescent="0.3">
      <c r="A339" s="4" t="s">
        <v>678</v>
      </c>
      <c r="B339" s="4" t="s">
        <v>679</v>
      </c>
      <c r="C339" s="5" t="str">
        <f t="shared" si="10"/>
        <v>, M</v>
      </c>
      <c r="D339" s="5" t="str">
        <f t="shared" si="13"/>
        <v>Kelle</v>
      </c>
      <c r="E339" s="5" t="str">
        <f t="shared" si="12"/>
        <v>th H.</v>
      </c>
    </row>
    <row r="340" spans="1:5" ht="15.75" customHeight="1" x14ac:dyDescent="0.3">
      <c r="A340" s="4" t="s">
        <v>680</v>
      </c>
      <c r="B340" s="4" t="s">
        <v>681</v>
      </c>
      <c r="C340" s="5" t="str">
        <f t="shared" si="10"/>
        <v xml:space="preserve">r, </v>
      </c>
      <c r="D340" s="5" t="str">
        <f t="shared" si="13"/>
        <v>Thack</v>
      </c>
      <c r="E340" s="5" t="str">
        <f t="shared" si="12"/>
        <v xml:space="preserve">  Ben</v>
      </c>
    </row>
    <row r="341" spans="1:5" ht="15.75" customHeight="1" x14ac:dyDescent="0.3">
      <c r="A341" s="4" t="s">
        <v>682</v>
      </c>
      <c r="B341" s="4" t="s">
        <v>683</v>
      </c>
      <c r="C341" s="5" t="str">
        <f t="shared" si="10"/>
        <v>tz,</v>
      </c>
      <c r="D341" s="5" t="str">
        <f t="shared" si="13"/>
        <v>Jeser</v>
      </c>
      <c r="E341" s="5" t="str">
        <f t="shared" si="12"/>
        <v>ryl A</v>
      </c>
    </row>
    <row r="342" spans="1:5" ht="15.75" customHeight="1" x14ac:dyDescent="0.3">
      <c r="A342" s="4" t="s">
        <v>684</v>
      </c>
      <c r="B342" s="4" t="s">
        <v>685</v>
      </c>
      <c r="C342" s="5" t="str">
        <f t="shared" si="10"/>
        <v>, M</v>
      </c>
      <c r="D342" s="5" t="str">
        <f t="shared" si="13"/>
        <v>Hohma</v>
      </c>
      <c r="E342" s="5" t="str">
        <f t="shared" si="12"/>
        <v>rly A</v>
      </c>
    </row>
    <row r="343" spans="1:5" ht="15.75" customHeight="1" x14ac:dyDescent="0.3">
      <c r="A343" s="4" t="s">
        <v>686</v>
      </c>
      <c r="B343" s="4" t="s">
        <v>687</v>
      </c>
      <c r="C343" s="5" t="str">
        <f t="shared" si="10"/>
        <v>Ms.</v>
      </c>
      <c r="D343" s="5" t="str">
        <f t="shared" si="13"/>
        <v>Hill,</v>
      </c>
      <c r="E343" s="5" t="str">
        <f t="shared" si="12"/>
        <v>nthia</v>
      </c>
    </row>
    <row r="344" spans="1:5" ht="15.75" customHeight="1" x14ac:dyDescent="0.3">
      <c r="A344" s="4" t="s">
        <v>688</v>
      </c>
      <c r="B344" s="4" t="s">
        <v>689</v>
      </c>
      <c r="C344" s="5" t="str">
        <f t="shared" si="10"/>
        <v xml:space="preserve">r, </v>
      </c>
      <c r="D344" s="5" t="str">
        <f t="shared" si="13"/>
        <v>Kuepf</v>
      </c>
      <c r="E344" s="5" t="str">
        <f t="shared" si="12"/>
        <v>ssica</v>
      </c>
    </row>
    <row r="345" spans="1:5" ht="15.75" customHeight="1" x14ac:dyDescent="0.3">
      <c r="A345" s="4" t="s">
        <v>690</v>
      </c>
      <c r="B345" s="4" t="s">
        <v>691</v>
      </c>
      <c r="C345" s="5" t="str">
        <f t="shared" si="10"/>
        <v>rek</v>
      </c>
      <c r="D345" s="5" t="str">
        <f t="shared" si="13"/>
        <v>Kaczm</v>
      </c>
      <c r="E345" s="5" t="str">
        <f t="shared" si="12"/>
        <v>Bruce</v>
      </c>
    </row>
    <row r="346" spans="1:5" ht="15.75" customHeight="1" x14ac:dyDescent="0.3">
      <c r="A346" s="4" t="s">
        <v>692</v>
      </c>
      <c r="B346" s="4" t="s">
        <v>693</v>
      </c>
      <c r="C346" s="5" t="str">
        <f t="shared" si="10"/>
        <v>Ms.</v>
      </c>
      <c r="D346" s="5" t="str">
        <f t="shared" si="13"/>
        <v>Pitt,</v>
      </c>
      <c r="E346" s="5" t="str">
        <f t="shared" si="12"/>
        <v>lison</v>
      </c>
    </row>
    <row r="347" spans="1:5" ht="15.75" customHeight="1" x14ac:dyDescent="0.3">
      <c r="A347" s="4" t="s">
        <v>694</v>
      </c>
      <c r="B347" s="4" t="s">
        <v>695</v>
      </c>
      <c r="C347" s="5" t="str">
        <f t="shared" si="10"/>
        <v>, M</v>
      </c>
      <c r="D347" s="5" t="str">
        <f t="shared" si="13"/>
        <v>Lorto</v>
      </c>
      <c r="E347" s="5" t="str">
        <f t="shared" si="12"/>
        <v xml:space="preserve"> Alex</v>
      </c>
    </row>
    <row r="348" spans="1:5" ht="15.75" customHeight="1" x14ac:dyDescent="0.3">
      <c r="A348" s="4" t="s">
        <v>696</v>
      </c>
      <c r="B348" s="4" t="s">
        <v>697</v>
      </c>
      <c r="C348" s="5" t="str">
        <f t="shared" si="10"/>
        <v>eda</v>
      </c>
      <c r="D348" s="5" t="str">
        <f t="shared" si="13"/>
        <v>Casta</v>
      </c>
      <c r="E348" s="5" t="str">
        <f t="shared" si="12"/>
        <v>riela</v>
      </c>
    </row>
    <row r="349" spans="1:5" ht="15.75" customHeight="1" x14ac:dyDescent="0.3">
      <c r="A349" s="4" t="s">
        <v>698</v>
      </c>
      <c r="B349" s="4" t="s">
        <v>699</v>
      </c>
      <c r="C349" s="5" t="str">
        <f t="shared" si="10"/>
        <v>, M</v>
      </c>
      <c r="D349" s="5" t="str">
        <f t="shared" si="13"/>
        <v>Chero</v>
      </c>
      <c r="E349" s="5" t="str">
        <f t="shared" si="12"/>
        <v>haron</v>
      </c>
    </row>
    <row r="350" spans="1:5" ht="15.75" customHeight="1" x14ac:dyDescent="0.3">
      <c r="A350" s="4" t="s">
        <v>700</v>
      </c>
      <c r="B350" s="4" t="s">
        <v>701</v>
      </c>
      <c r="C350" s="5" t="str">
        <f t="shared" si="10"/>
        <v>, M</v>
      </c>
      <c r="D350" s="5" t="str">
        <f t="shared" si="13"/>
        <v>Howel</v>
      </c>
      <c r="E350" s="5" t="str">
        <f t="shared" si="12"/>
        <v>son A</v>
      </c>
    </row>
    <row r="351" spans="1:5" ht="15.75" customHeight="1" x14ac:dyDescent="0.3">
      <c r="A351" s="4" t="s">
        <v>702</v>
      </c>
      <c r="B351" s="4" t="s">
        <v>703</v>
      </c>
      <c r="C351" s="5" t="str">
        <f t="shared" si="10"/>
        <v>, M</v>
      </c>
      <c r="D351" s="5" t="str">
        <f t="shared" si="13"/>
        <v>Palme</v>
      </c>
      <c r="E351" s="5" t="str">
        <f t="shared" si="12"/>
        <v>ey C.</v>
      </c>
    </row>
    <row r="352" spans="1:5" ht="15.75" customHeight="1" x14ac:dyDescent="0.3">
      <c r="A352" s="4" t="s">
        <v>704</v>
      </c>
      <c r="B352" s="4" t="s">
        <v>705</v>
      </c>
      <c r="C352" s="5" t="str">
        <f t="shared" si="10"/>
        <v xml:space="preserve"> Mr</v>
      </c>
      <c r="D352" s="5" t="str">
        <f t="shared" si="13"/>
        <v>Olson</v>
      </c>
      <c r="E352" s="5" t="str">
        <f t="shared" si="12"/>
        <v>on A.</v>
      </c>
    </row>
    <row r="353" spans="1:5" ht="15.75" customHeight="1" x14ac:dyDescent="0.3">
      <c r="A353" s="4" t="s">
        <v>706</v>
      </c>
      <c r="B353" s="4" t="s">
        <v>707</v>
      </c>
      <c r="C353" s="5" t="str">
        <f t="shared" si="10"/>
        <v xml:space="preserve">n, </v>
      </c>
      <c r="D353" s="5" t="str">
        <f t="shared" si="13"/>
        <v>Waldr</v>
      </c>
      <c r="E353" s="5" t="str">
        <f t="shared" si="12"/>
        <v>oni L</v>
      </c>
    </row>
    <row r="354" spans="1:5" ht="15.75" customHeight="1" x14ac:dyDescent="0.3">
      <c r="A354" s="4" t="s">
        <v>708</v>
      </c>
      <c r="B354" s="4" t="s">
        <v>709</v>
      </c>
      <c r="C354" s="5" t="str">
        <f t="shared" si="10"/>
        <v xml:space="preserve"> Mr</v>
      </c>
      <c r="D354" s="5" t="str">
        <f t="shared" si="13"/>
        <v>Meyer</v>
      </c>
      <c r="E354" s="5" t="str">
        <f t="shared" si="12"/>
        <v>Colin</v>
      </c>
    </row>
    <row r="355" spans="1:5" ht="15.75" customHeight="1" x14ac:dyDescent="0.3">
      <c r="A355" s="4" t="s">
        <v>710</v>
      </c>
      <c r="B355" s="4" t="s">
        <v>711</v>
      </c>
      <c r="C355" s="5" t="str">
        <f t="shared" si="10"/>
        <v xml:space="preserve"> Ms</v>
      </c>
      <c r="D355" s="5" t="str">
        <f t="shared" si="13"/>
        <v>Stack</v>
      </c>
      <c r="E355" s="5" t="str">
        <f t="shared" si="12"/>
        <v>chael</v>
      </c>
    </row>
    <row r="356" spans="1:5" ht="15.75" customHeight="1" x14ac:dyDescent="0.3">
      <c r="A356" s="4" t="s">
        <v>712</v>
      </c>
      <c r="B356" s="4" t="s">
        <v>713</v>
      </c>
      <c r="C356" s="5" t="str">
        <f t="shared" si="10"/>
        <v>z Y</v>
      </c>
      <c r="D356" s="5" t="str">
        <f t="shared" si="13"/>
        <v>Sanch</v>
      </c>
      <c r="E356" s="5" t="str">
        <f t="shared" si="12"/>
        <v>icela</v>
      </c>
    </row>
    <row r="357" spans="1:5" ht="15.75" customHeight="1" x14ac:dyDescent="0.3">
      <c r="A357" s="4" t="s">
        <v>714</v>
      </c>
      <c r="B357" s="4" t="s">
        <v>715</v>
      </c>
      <c r="C357" s="5" t="str">
        <f t="shared" si="10"/>
        <v xml:space="preserve">s, </v>
      </c>
      <c r="D357" s="5" t="str">
        <f t="shared" si="13"/>
        <v>Danie</v>
      </c>
      <c r="E357" s="5" t="str">
        <f t="shared" si="12"/>
        <v>Marie</v>
      </c>
    </row>
    <row r="358" spans="1:5" ht="15.75" customHeight="1" x14ac:dyDescent="0.3">
      <c r="A358" s="4" t="s">
        <v>716</v>
      </c>
      <c r="B358" s="4" t="s">
        <v>717</v>
      </c>
      <c r="C358" s="5" t="str">
        <f t="shared" si="10"/>
        <v>Mr.</v>
      </c>
      <c r="D358" s="5" t="str">
        <f t="shared" si="13"/>
        <v>Pepp,</v>
      </c>
      <c r="E358" s="5" t="str">
        <f t="shared" si="12"/>
        <v>Frank</v>
      </c>
    </row>
    <row r="359" spans="1:5" ht="15.75" customHeight="1" x14ac:dyDescent="0.3">
      <c r="A359" s="4" t="s">
        <v>718</v>
      </c>
      <c r="B359" s="4" t="s">
        <v>719</v>
      </c>
      <c r="C359" s="5" t="str">
        <f t="shared" si="10"/>
        <v>er,</v>
      </c>
      <c r="D359" s="5" t="str">
        <f t="shared" si="13"/>
        <v>Buech</v>
      </c>
      <c r="E359" s="5" t="str">
        <f t="shared" si="12"/>
        <v>effry</v>
      </c>
    </row>
    <row r="360" spans="1:5" ht="15.75" customHeight="1" x14ac:dyDescent="0.3">
      <c r="A360" s="4" t="s">
        <v>720</v>
      </c>
      <c r="B360" s="4" t="s">
        <v>721</v>
      </c>
      <c r="C360" s="5" t="str">
        <f t="shared" si="10"/>
        <v>ng,</v>
      </c>
      <c r="D360" s="5" t="str">
        <f t="shared" si="13"/>
        <v>Buent</v>
      </c>
      <c r="E360" s="5" t="str">
        <f t="shared" si="12"/>
        <v xml:space="preserve"> Mike</v>
      </c>
    </row>
    <row r="361" spans="1:5" ht="15.75" customHeight="1" x14ac:dyDescent="0.3">
      <c r="A361" s="4" t="s">
        <v>722</v>
      </c>
      <c r="B361" s="4" t="s">
        <v>723</v>
      </c>
      <c r="C361" s="5" t="str">
        <f t="shared" si="10"/>
        <v xml:space="preserve"> Mr</v>
      </c>
      <c r="D361" s="5" t="str">
        <f t="shared" si="13"/>
        <v>Evans</v>
      </c>
      <c r="E361" s="5" t="str">
        <f t="shared" si="12"/>
        <v xml:space="preserve"> Rick</v>
      </c>
    </row>
    <row r="362" spans="1:5" ht="15.75" customHeight="1" x14ac:dyDescent="0.3">
      <c r="A362" s="4" t="s">
        <v>724</v>
      </c>
      <c r="B362" s="4" t="s">
        <v>725</v>
      </c>
      <c r="C362" s="5" t="str">
        <f t="shared" si="10"/>
        <v>, M</v>
      </c>
      <c r="D362" s="5" t="str">
        <f t="shared" si="13"/>
        <v>Arcan</v>
      </c>
      <c r="E362" s="5" t="str">
        <f t="shared" si="12"/>
        <v>ichel</v>
      </c>
    </row>
    <row r="363" spans="1:5" ht="15.75" customHeight="1" x14ac:dyDescent="0.3">
      <c r="A363" s="4" t="s">
        <v>726</v>
      </c>
      <c r="B363" s="4" t="s">
        <v>727</v>
      </c>
      <c r="C363" s="5" t="str">
        <f t="shared" si="10"/>
        <v>, M</v>
      </c>
      <c r="D363" s="5" t="str">
        <f t="shared" si="13"/>
        <v>Kesac</v>
      </c>
      <c r="E363" s="5" t="str">
        <f t="shared" si="12"/>
        <v>aniel</v>
      </c>
    </row>
    <row r="364" spans="1:5" ht="15.75" customHeight="1" x14ac:dyDescent="0.3">
      <c r="A364" s="4" t="s">
        <v>728</v>
      </c>
      <c r="B364" s="4" t="s">
        <v>729</v>
      </c>
      <c r="C364" s="5" t="str">
        <f t="shared" si="10"/>
        <v>Mr.</v>
      </c>
      <c r="D364" s="5" t="str">
        <f t="shared" si="13"/>
        <v>Post,</v>
      </c>
      <c r="E364" s="5" t="str">
        <f t="shared" si="12"/>
        <v>an L.</v>
      </c>
    </row>
    <row r="365" spans="1:5" ht="15.75" customHeight="1" x14ac:dyDescent="0.3">
      <c r="A365" s="4" t="s">
        <v>730</v>
      </c>
      <c r="B365" s="4" t="s">
        <v>731</v>
      </c>
      <c r="C365" s="5" t="str">
        <f t="shared" si="10"/>
        <v xml:space="preserve"> Ms</v>
      </c>
      <c r="D365" s="5" t="str">
        <f t="shared" si="13"/>
        <v>Dunne</v>
      </c>
      <c r="E365" s="5" t="str">
        <f t="shared" si="12"/>
        <v>an M.</v>
      </c>
    </row>
    <row r="366" spans="1:5" ht="15.75" customHeight="1" x14ac:dyDescent="0.3">
      <c r="A366" s="4" t="s">
        <v>732</v>
      </c>
      <c r="B366" s="4" t="s">
        <v>733</v>
      </c>
      <c r="C366" s="5" t="str">
        <f t="shared" si="10"/>
        <v xml:space="preserve"> Ms</v>
      </c>
      <c r="D366" s="5" t="str">
        <f t="shared" si="13"/>
        <v>Kilel</v>
      </c>
      <c r="E366" s="5" t="str">
        <f t="shared" si="12"/>
        <v>oline</v>
      </c>
    </row>
    <row r="367" spans="1:5" ht="15.75" customHeight="1" x14ac:dyDescent="0.3">
      <c r="A367" s="4" t="s">
        <v>734</v>
      </c>
      <c r="B367" s="4" t="s">
        <v>735</v>
      </c>
      <c r="C367" s="5" t="str">
        <f t="shared" si="10"/>
        <v>son</v>
      </c>
      <c r="D367" s="5" t="str">
        <f t="shared" si="13"/>
        <v>Nicho</v>
      </c>
      <c r="E367" s="5" t="str">
        <f t="shared" si="12"/>
        <v>ew T.</v>
      </c>
    </row>
    <row r="368" spans="1:5" ht="15.75" customHeight="1" x14ac:dyDescent="0.3">
      <c r="A368" s="4" t="s">
        <v>736</v>
      </c>
      <c r="B368" s="4" t="s">
        <v>737</v>
      </c>
      <c r="C368" s="5" t="str">
        <f t="shared" si="10"/>
        <v xml:space="preserve">n, </v>
      </c>
      <c r="D368" s="5" t="str">
        <f t="shared" si="13"/>
        <v>Susma</v>
      </c>
      <c r="E368" s="5" t="str">
        <f t="shared" si="12"/>
        <v>tin W</v>
      </c>
    </row>
    <row r="369" spans="1:5" ht="15.75" customHeight="1" x14ac:dyDescent="0.3">
      <c r="A369" s="4" t="s">
        <v>738</v>
      </c>
      <c r="B369" s="4" t="s">
        <v>739</v>
      </c>
      <c r="C369" s="5" t="str">
        <f t="shared" si="10"/>
        <v xml:space="preserve"> Ms</v>
      </c>
      <c r="D369" s="5" t="str">
        <f t="shared" si="13"/>
        <v>Harsh</v>
      </c>
      <c r="E369" s="5" t="str">
        <f t="shared" si="12"/>
        <v>enice</v>
      </c>
    </row>
    <row r="370" spans="1:5" ht="15.75" customHeight="1" x14ac:dyDescent="0.3">
      <c r="A370" s="4" t="s">
        <v>740</v>
      </c>
      <c r="B370" s="4" t="s">
        <v>741</v>
      </c>
      <c r="C370" s="5" t="str">
        <f t="shared" si="10"/>
        <v>ngr</v>
      </c>
      <c r="D370" s="5" t="str">
        <f t="shared" si="13"/>
        <v>Pocas</v>
      </c>
      <c r="E370" s="5" t="str">
        <f t="shared" si="12"/>
        <v>eth A</v>
      </c>
    </row>
    <row r="371" spans="1:5" ht="15.75" customHeight="1" x14ac:dyDescent="0.3">
      <c r="A371" s="4" t="s">
        <v>742</v>
      </c>
      <c r="B371" s="4" t="s">
        <v>743</v>
      </c>
      <c r="C371" s="5" t="str">
        <f t="shared" si="10"/>
        <v xml:space="preserve">ez </v>
      </c>
      <c r="D371" s="5" t="str">
        <f t="shared" si="13"/>
        <v>Marti</v>
      </c>
      <c r="E371" s="5" t="str">
        <f t="shared" si="12"/>
        <v>iguel</v>
      </c>
    </row>
    <row r="372" spans="1:5" ht="15.75" customHeight="1" x14ac:dyDescent="0.3">
      <c r="A372" s="4" t="s">
        <v>744</v>
      </c>
      <c r="B372" s="4" t="s">
        <v>745</v>
      </c>
      <c r="C372" s="5" t="str">
        <f t="shared" si="10"/>
        <v>, M</v>
      </c>
      <c r="D372" s="5" t="str">
        <f t="shared" si="13"/>
        <v>Riege</v>
      </c>
      <c r="E372" s="5" t="str">
        <f t="shared" si="12"/>
        <v>ey T.</v>
      </c>
    </row>
    <row r="373" spans="1:5" ht="15.75" customHeight="1" x14ac:dyDescent="0.3">
      <c r="A373" s="4" t="s">
        <v>746</v>
      </c>
      <c r="B373" s="4" t="s">
        <v>747</v>
      </c>
      <c r="C373" s="5" t="str">
        <f t="shared" si="10"/>
        <v>, M</v>
      </c>
      <c r="D373" s="5" t="str">
        <f t="shared" si="13"/>
        <v>Monso</v>
      </c>
      <c r="E373" s="5" t="str">
        <f t="shared" si="12"/>
        <v>aylor</v>
      </c>
    </row>
    <row r="374" spans="1:5" ht="15.75" customHeight="1" x14ac:dyDescent="0.3">
      <c r="A374" s="4" t="s">
        <v>748</v>
      </c>
      <c r="B374" s="4" t="s">
        <v>749</v>
      </c>
      <c r="C374" s="5" t="str">
        <f t="shared" si="10"/>
        <v xml:space="preserve">n, </v>
      </c>
      <c r="D374" s="5" t="str">
        <f t="shared" si="13"/>
        <v>Klubb</v>
      </c>
      <c r="E374" s="5" t="str">
        <f t="shared" si="12"/>
        <v>lle M</v>
      </c>
    </row>
    <row r="375" spans="1:5" ht="15.75" customHeight="1" x14ac:dyDescent="0.3">
      <c r="A375" s="4" t="s">
        <v>750</v>
      </c>
      <c r="B375" s="4" t="s">
        <v>751</v>
      </c>
      <c r="C375" s="5" t="str">
        <f t="shared" si="10"/>
        <v xml:space="preserve">o, </v>
      </c>
      <c r="D375" s="5" t="str">
        <f t="shared" si="13"/>
        <v>Masca</v>
      </c>
      <c r="E375" s="5" t="str">
        <f t="shared" si="12"/>
        <v>ndrea</v>
      </c>
    </row>
    <row r="376" spans="1:5" ht="15.75" customHeight="1" x14ac:dyDescent="0.3">
      <c r="A376" s="4" t="s">
        <v>752</v>
      </c>
      <c r="B376" s="4" t="s">
        <v>753</v>
      </c>
      <c r="C376" s="5" t="str">
        <f t="shared" si="10"/>
        <v xml:space="preserve">l, </v>
      </c>
      <c r="D376" s="5" t="str">
        <f t="shared" si="13"/>
        <v>Norve</v>
      </c>
      <c r="E376" s="5" t="str">
        <f t="shared" si="12"/>
        <v>ora P</v>
      </c>
    </row>
    <row r="377" spans="1:5" ht="15.75" customHeight="1" x14ac:dyDescent="0.3">
      <c r="A377" s="4" t="s">
        <v>754</v>
      </c>
      <c r="B377" s="4" t="s">
        <v>755</v>
      </c>
      <c r="C377" s="5" t="str">
        <f t="shared" si="10"/>
        <v xml:space="preserve">s, </v>
      </c>
      <c r="D377" s="5" t="str">
        <f t="shared" si="13"/>
        <v>Ornel</v>
      </c>
      <c r="E377" s="5" t="str">
        <f t="shared" si="12"/>
        <v>chary</v>
      </c>
    </row>
    <row r="378" spans="1:5" ht="15.75" customHeight="1" x14ac:dyDescent="0.3">
      <c r="A378" s="4" t="s">
        <v>756</v>
      </c>
      <c r="B378" s="4" t="s">
        <v>757</v>
      </c>
      <c r="C378" s="5" t="str">
        <f t="shared" si="10"/>
        <v>tri</v>
      </c>
      <c r="D378" s="5" t="str">
        <f t="shared" si="13"/>
        <v>Fitzp</v>
      </c>
      <c r="E378" s="5" t="str">
        <f t="shared" si="12"/>
        <v>chael</v>
      </c>
    </row>
    <row r="379" spans="1:5" ht="15.75" customHeight="1" x14ac:dyDescent="0.3">
      <c r="A379" s="4" t="s">
        <v>758</v>
      </c>
      <c r="B379" s="4" t="s">
        <v>759</v>
      </c>
      <c r="C379" s="5" t="str">
        <f t="shared" si="10"/>
        <v>uis</v>
      </c>
      <c r="D379" s="5" t="str">
        <f t="shared" si="13"/>
        <v>Bloom</v>
      </c>
      <c r="E379" s="5" t="str">
        <f t="shared" si="12"/>
        <v>sa K.</v>
      </c>
    </row>
    <row r="380" spans="1:5" ht="15.75" customHeight="1" x14ac:dyDescent="0.3">
      <c r="A380" s="4" t="s">
        <v>760</v>
      </c>
      <c r="B380" s="4" t="s">
        <v>761</v>
      </c>
      <c r="C380" s="5" t="str">
        <f t="shared" si="10"/>
        <v>Ms.</v>
      </c>
      <c r="D380" s="5" t="str">
        <f t="shared" si="13"/>
        <v>Wick,</v>
      </c>
      <c r="E380" s="5" t="str">
        <f t="shared" si="12"/>
        <v>ather</v>
      </c>
    </row>
    <row r="381" spans="1:5" ht="15.75" customHeight="1" x14ac:dyDescent="0.3">
      <c r="A381" s="4" t="s">
        <v>762</v>
      </c>
      <c r="B381" s="4" t="s">
        <v>763</v>
      </c>
      <c r="C381" s="5" t="str">
        <f t="shared" si="10"/>
        <v xml:space="preserve">a, </v>
      </c>
      <c r="D381" s="5" t="str">
        <f t="shared" si="13"/>
        <v>Zappa</v>
      </c>
      <c r="E381" s="5" t="str">
        <f t="shared" si="12"/>
        <v>Dante</v>
      </c>
    </row>
    <row r="382" spans="1:5" ht="15.75" customHeight="1" x14ac:dyDescent="0.3">
      <c r="A382" s="4" t="s">
        <v>764</v>
      </c>
      <c r="B382" s="4" t="s">
        <v>765</v>
      </c>
      <c r="C382" s="5" t="str">
        <f t="shared" si="10"/>
        <v xml:space="preserve"> Ms</v>
      </c>
      <c r="D382" s="5" t="str">
        <f t="shared" si="13"/>
        <v>Earle</v>
      </c>
      <c r="E382" s="5" t="str">
        <f t="shared" si="12"/>
        <v>ra E.</v>
      </c>
    </row>
    <row r="383" spans="1:5" ht="15.75" customHeight="1" x14ac:dyDescent="0.3">
      <c r="A383" s="4" t="s">
        <v>766</v>
      </c>
      <c r="B383" s="4" t="s">
        <v>767</v>
      </c>
      <c r="C383" s="5" t="str">
        <f t="shared" si="10"/>
        <v>ki,</v>
      </c>
      <c r="D383" s="5" t="str">
        <f t="shared" si="13"/>
        <v>Majew</v>
      </c>
      <c r="E383" s="5" t="str">
        <f t="shared" si="12"/>
        <v>Scott</v>
      </c>
    </row>
    <row r="384" spans="1:5" ht="15.75" customHeight="1" x14ac:dyDescent="0.3">
      <c r="A384" s="4" t="s">
        <v>768</v>
      </c>
      <c r="B384" s="4" t="s">
        <v>769</v>
      </c>
      <c r="C384" s="5" t="str">
        <f t="shared" si="10"/>
        <v>aum</v>
      </c>
      <c r="D384" s="5" t="str">
        <f t="shared" si="13"/>
        <v>Apfel</v>
      </c>
      <c r="E384" s="5" t="str">
        <f t="shared" si="12"/>
        <v xml:space="preserve"> Sean</v>
      </c>
    </row>
    <row r="385" spans="1:5" ht="15.75" customHeight="1" x14ac:dyDescent="0.3">
      <c r="A385" s="4" t="s">
        <v>770</v>
      </c>
      <c r="B385" s="4" t="s">
        <v>771</v>
      </c>
      <c r="C385" s="5" t="str">
        <f t="shared" si="10"/>
        <v>, M</v>
      </c>
      <c r="D385" s="5" t="str">
        <f t="shared" si="13"/>
        <v>Graha</v>
      </c>
      <c r="E385" s="5" t="str">
        <f t="shared" si="12"/>
        <v>ielle</v>
      </c>
    </row>
    <row r="386" spans="1:5" ht="15.75" customHeight="1" x14ac:dyDescent="0.3">
      <c r="A386" s="4" t="s">
        <v>772</v>
      </c>
      <c r="B386" s="4" t="s">
        <v>773</v>
      </c>
      <c r="C386" s="5" t="str">
        <f t="shared" si="10"/>
        <v>re,</v>
      </c>
      <c r="D386" s="5" t="str">
        <f t="shared" si="13"/>
        <v>Whita</v>
      </c>
      <c r="E386" s="5" t="str">
        <f t="shared" ref="E386:E449" si="14">RIGHT(B386,5)</f>
        <v>ew D.</v>
      </c>
    </row>
    <row r="387" spans="1:5" ht="15.75" customHeight="1" x14ac:dyDescent="0.3">
      <c r="A387" s="4" t="s">
        <v>774</v>
      </c>
      <c r="B387" s="4" t="s">
        <v>775</v>
      </c>
      <c r="C387" s="5" t="str">
        <f t="shared" si="10"/>
        <v xml:space="preserve">r, </v>
      </c>
      <c r="D387" s="5" t="str">
        <f t="shared" si="13"/>
        <v>Wegen</v>
      </c>
      <c r="E387" s="5" t="str">
        <f t="shared" si="14"/>
        <v>oel D</v>
      </c>
    </row>
    <row r="388" spans="1:5" ht="15.75" customHeight="1" x14ac:dyDescent="0.3">
      <c r="A388" s="4" t="s">
        <v>776</v>
      </c>
      <c r="B388" s="4" t="s">
        <v>777</v>
      </c>
      <c r="C388" s="5" t="str">
        <f t="shared" si="10"/>
        <v>, M</v>
      </c>
      <c r="D388" s="5" t="str">
        <f t="shared" si="13"/>
        <v>Colli</v>
      </c>
      <c r="E388" s="5" t="str">
        <f t="shared" si="14"/>
        <v>helle</v>
      </c>
    </row>
    <row r="389" spans="1:5" ht="15.75" customHeight="1" x14ac:dyDescent="0.3">
      <c r="A389" s="4" t="s">
        <v>778</v>
      </c>
      <c r="B389" s="4" t="s">
        <v>779</v>
      </c>
      <c r="C389" s="5" t="str">
        <f t="shared" si="10"/>
        <v>, M</v>
      </c>
      <c r="D389" s="5" t="str">
        <f t="shared" si="13"/>
        <v>Murph</v>
      </c>
      <c r="E389" s="5" t="str">
        <f t="shared" si="14"/>
        <v>el J.</v>
      </c>
    </row>
    <row r="390" spans="1:5" ht="15.75" customHeight="1" x14ac:dyDescent="0.3">
      <c r="A390" s="4" t="s">
        <v>780</v>
      </c>
      <c r="B390" s="4" t="s">
        <v>781</v>
      </c>
      <c r="C390" s="5" t="str">
        <f t="shared" si="10"/>
        <v xml:space="preserve">s, </v>
      </c>
      <c r="D390" s="5" t="str">
        <f t="shared" si="13"/>
        <v>Butte</v>
      </c>
      <c r="E390" s="5" t="str">
        <f t="shared" si="14"/>
        <v>Nikki</v>
      </c>
    </row>
    <row r="391" spans="1:5" ht="15.75" customHeight="1" x14ac:dyDescent="0.3">
      <c r="A391" s="4" t="s">
        <v>782</v>
      </c>
      <c r="B391" s="4" t="s">
        <v>783</v>
      </c>
      <c r="C391" s="5" t="str">
        <f t="shared" si="10"/>
        <v>Ms.</v>
      </c>
      <c r="D391" s="5" t="str">
        <f t="shared" si="13"/>
        <v>Cook,</v>
      </c>
      <c r="E391" s="5" t="str">
        <f t="shared" si="14"/>
        <v>er B.</v>
      </c>
    </row>
    <row r="392" spans="1:5" ht="15.75" customHeight="1" x14ac:dyDescent="0.3">
      <c r="A392" s="4" t="s">
        <v>784</v>
      </c>
      <c r="B392" s="4" t="s">
        <v>785</v>
      </c>
      <c r="C392" s="5" t="str">
        <f t="shared" si="10"/>
        <v xml:space="preserve"> Mr</v>
      </c>
      <c r="D392" s="5" t="str">
        <f t="shared" si="13"/>
        <v>Breen</v>
      </c>
      <c r="E392" s="5" t="str">
        <f t="shared" si="14"/>
        <v>dward</v>
      </c>
    </row>
    <row r="393" spans="1:5" ht="15.75" customHeight="1" x14ac:dyDescent="0.3">
      <c r="A393" s="4" t="s">
        <v>786</v>
      </c>
      <c r="B393" s="4" t="s">
        <v>787</v>
      </c>
      <c r="C393" s="5" t="str">
        <f t="shared" si="10"/>
        <v>mon</v>
      </c>
      <c r="D393" s="5" t="str">
        <f t="shared" si="13"/>
        <v>Fitzs</v>
      </c>
      <c r="E393" s="5" t="str">
        <f t="shared" si="14"/>
        <v xml:space="preserve"> Ryan</v>
      </c>
    </row>
    <row r="394" spans="1:5" ht="15.75" customHeight="1" x14ac:dyDescent="0.3">
      <c r="A394" s="4" t="s">
        <v>788</v>
      </c>
      <c r="B394" s="4" t="s">
        <v>789</v>
      </c>
      <c r="C394" s="5" t="str">
        <f t="shared" si="10"/>
        <v xml:space="preserve"> Ms</v>
      </c>
      <c r="D394" s="5" t="str">
        <f t="shared" si="13"/>
        <v>Houle</v>
      </c>
      <c r="E394" s="5" t="str">
        <f t="shared" si="14"/>
        <v>Kacee</v>
      </c>
    </row>
    <row r="395" spans="1:5" ht="15.75" customHeight="1" x14ac:dyDescent="0.3">
      <c r="A395" s="4" t="s">
        <v>790</v>
      </c>
      <c r="B395" s="4" t="s">
        <v>791</v>
      </c>
      <c r="C395" s="5" t="str">
        <f t="shared" si="10"/>
        <v>rd,</v>
      </c>
      <c r="D395" s="5" t="str">
        <f t="shared" si="13"/>
        <v>Woodw</v>
      </c>
      <c r="E395" s="5" t="str">
        <f t="shared" si="14"/>
        <v xml:space="preserve"> Dave</v>
      </c>
    </row>
    <row r="396" spans="1:5" ht="15.75" customHeight="1" x14ac:dyDescent="0.3">
      <c r="A396" s="4" t="s">
        <v>792</v>
      </c>
      <c r="B396" s="4" t="s">
        <v>793</v>
      </c>
      <c r="C396" s="5" t="str">
        <f t="shared" si="10"/>
        <v xml:space="preserve">s. </v>
      </c>
      <c r="D396" s="5" t="str">
        <f t="shared" si="13"/>
        <v xml:space="preserve">Ray, </v>
      </c>
      <c r="E396" s="5" t="str">
        <f t="shared" si="14"/>
        <v>yanna</v>
      </c>
    </row>
    <row r="397" spans="1:5" ht="15.75" customHeight="1" x14ac:dyDescent="0.3">
      <c r="A397" s="4" t="s">
        <v>794</v>
      </c>
      <c r="B397" s="4" t="s">
        <v>795</v>
      </c>
      <c r="C397" s="5" t="str">
        <f t="shared" si="10"/>
        <v>gs,</v>
      </c>
      <c r="D397" s="5" t="str">
        <f t="shared" si="13"/>
        <v>Jenni</v>
      </c>
      <c r="E397" s="5" t="str">
        <f t="shared" si="14"/>
        <v>ca H.</v>
      </c>
    </row>
    <row r="398" spans="1:5" ht="15.75" customHeight="1" x14ac:dyDescent="0.3">
      <c r="A398" s="4" t="s">
        <v>796</v>
      </c>
      <c r="B398" s="4" t="s">
        <v>797</v>
      </c>
      <c r="C398" s="5" t="str">
        <f t="shared" si="10"/>
        <v>, M</v>
      </c>
      <c r="D398" s="5" t="str">
        <f t="shared" si="13"/>
        <v>Fulle</v>
      </c>
      <c r="E398" s="5" t="str">
        <f t="shared" si="14"/>
        <v>eanna</v>
      </c>
    </row>
    <row r="399" spans="1:5" ht="15.75" customHeight="1" x14ac:dyDescent="0.3">
      <c r="A399" s="4" t="s">
        <v>798</v>
      </c>
      <c r="B399" s="4" t="s">
        <v>799</v>
      </c>
      <c r="C399" s="5" t="str">
        <f t="shared" si="10"/>
        <v xml:space="preserve">k, </v>
      </c>
      <c r="D399" s="5" t="str">
        <f t="shared" si="13"/>
        <v>Lovis</v>
      </c>
      <c r="E399" s="5" t="str">
        <f t="shared" si="14"/>
        <v>Peter</v>
      </c>
    </row>
    <row r="400" spans="1:5" ht="15.75" customHeight="1" x14ac:dyDescent="0.3">
      <c r="A400" s="4" t="s">
        <v>800</v>
      </c>
      <c r="B400" s="4" t="s">
        <v>801</v>
      </c>
      <c r="C400" s="5" t="str">
        <f t="shared" si="10"/>
        <v xml:space="preserve">r, </v>
      </c>
      <c r="D400" s="5" t="str">
        <f t="shared" si="13"/>
        <v>Paint</v>
      </c>
      <c r="E400" s="5" t="str">
        <f t="shared" si="14"/>
        <v>becca</v>
      </c>
    </row>
    <row r="401" spans="1:5" ht="15.75" customHeight="1" x14ac:dyDescent="0.3">
      <c r="A401" s="4" t="s">
        <v>802</v>
      </c>
      <c r="B401" s="4" t="s">
        <v>803</v>
      </c>
      <c r="C401" s="5" t="str">
        <f t="shared" si="10"/>
        <v xml:space="preserve">s, </v>
      </c>
      <c r="D401" s="5" t="str">
        <f t="shared" ref="D401:D464" si="15">LEFT(B401,5)</f>
        <v>Edwar</v>
      </c>
      <c r="E401" s="5" t="str">
        <f t="shared" si="14"/>
        <v>th M.</v>
      </c>
    </row>
    <row r="402" spans="1:5" ht="15.75" customHeight="1" x14ac:dyDescent="0.3">
      <c r="A402" s="4" t="s">
        <v>804</v>
      </c>
      <c r="B402" s="4" t="s">
        <v>805</v>
      </c>
      <c r="C402" s="5" t="str">
        <f t="shared" si="10"/>
        <v xml:space="preserve"> Mr</v>
      </c>
      <c r="D402" s="5" t="str">
        <f t="shared" si="15"/>
        <v>Liebl</v>
      </c>
      <c r="E402" s="5" t="str">
        <f t="shared" si="14"/>
        <v>egory</v>
      </c>
    </row>
    <row r="403" spans="1:5" ht="15.75" customHeight="1" x14ac:dyDescent="0.3">
      <c r="A403" s="4" t="s">
        <v>806</v>
      </c>
      <c r="B403" s="4" t="s">
        <v>807</v>
      </c>
      <c r="C403" s="5" t="str">
        <f t="shared" si="10"/>
        <v>an-</v>
      </c>
      <c r="D403" s="5" t="str">
        <f t="shared" si="15"/>
        <v>Kasab</v>
      </c>
      <c r="E403" s="5" t="str">
        <f t="shared" si="14"/>
        <v>ah E.</v>
      </c>
    </row>
    <row r="404" spans="1:5" ht="15.75" customHeight="1" x14ac:dyDescent="0.3">
      <c r="A404" s="4" t="s">
        <v>808</v>
      </c>
      <c r="B404" s="4" t="s">
        <v>809</v>
      </c>
      <c r="C404" s="5" t="str">
        <f t="shared" si="10"/>
        <v xml:space="preserve">r, </v>
      </c>
      <c r="D404" s="5" t="str">
        <f t="shared" si="15"/>
        <v>Cream</v>
      </c>
      <c r="E404" s="5" t="str">
        <f t="shared" si="14"/>
        <v>Elise</v>
      </c>
    </row>
    <row r="405" spans="1:5" ht="15.75" customHeight="1" x14ac:dyDescent="0.3">
      <c r="A405" s="4" t="s">
        <v>810</v>
      </c>
      <c r="B405" s="4" t="s">
        <v>811</v>
      </c>
      <c r="C405" s="5" t="str">
        <f t="shared" si="10"/>
        <v>, M</v>
      </c>
      <c r="D405" s="5" t="str">
        <f t="shared" si="15"/>
        <v>Kimbe</v>
      </c>
      <c r="E405" s="5" t="str">
        <f t="shared" si="14"/>
        <v>her R</v>
      </c>
    </row>
    <row r="406" spans="1:5" ht="15.75" customHeight="1" x14ac:dyDescent="0.3">
      <c r="A406" s="4" t="s">
        <v>812</v>
      </c>
      <c r="B406" s="4" t="s">
        <v>813</v>
      </c>
      <c r="C406" s="5" t="str">
        <f t="shared" si="10"/>
        <v>par</v>
      </c>
      <c r="D406" s="5" t="str">
        <f t="shared" si="15"/>
        <v>Liven</v>
      </c>
      <c r="E406" s="5" t="str">
        <f t="shared" si="14"/>
        <v>lliot</v>
      </c>
    </row>
    <row r="407" spans="1:5" ht="15.75" customHeight="1" x14ac:dyDescent="0.3">
      <c r="A407" s="4" t="s">
        <v>814</v>
      </c>
      <c r="B407" s="4" t="s">
        <v>815</v>
      </c>
      <c r="C407" s="5" t="str">
        <f t="shared" si="10"/>
        <v>, M</v>
      </c>
      <c r="D407" s="5" t="str">
        <f t="shared" si="15"/>
        <v>Grang</v>
      </c>
      <c r="E407" s="5" t="str">
        <f t="shared" si="14"/>
        <v>er D.</v>
      </c>
    </row>
    <row r="408" spans="1:5" ht="15.75" customHeight="1" x14ac:dyDescent="0.3">
      <c r="A408" s="4" t="s">
        <v>816</v>
      </c>
      <c r="B408" s="4" t="s">
        <v>817</v>
      </c>
      <c r="C408" s="5" t="str">
        <f t="shared" si="10"/>
        <v xml:space="preserve">t, </v>
      </c>
      <c r="D408" s="5" t="str">
        <f t="shared" si="15"/>
        <v>Nunli</v>
      </c>
      <c r="E408" s="5" t="str">
        <f t="shared" si="14"/>
        <v>Corey</v>
      </c>
    </row>
    <row r="409" spans="1:5" ht="15.75" customHeight="1" x14ac:dyDescent="0.3">
      <c r="A409" s="4" t="s">
        <v>818</v>
      </c>
      <c r="B409" s="4" t="s">
        <v>819</v>
      </c>
      <c r="C409" s="5" t="str">
        <f t="shared" si="10"/>
        <v>, M</v>
      </c>
      <c r="D409" s="5" t="str">
        <f t="shared" si="15"/>
        <v>Cutte</v>
      </c>
      <c r="E409" s="5" t="str">
        <f t="shared" si="14"/>
        <v>ck D.</v>
      </c>
    </row>
    <row r="410" spans="1:5" ht="15.75" customHeight="1" x14ac:dyDescent="0.3">
      <c r="A410" s="4" t="s">
        <v>820</v>
      </c>
      <c r="B410" s="4" t="s">
        <v>821</v>
      </c>
      <c r="C410" s="5" t="str">
        <f t="shared" si="10"/>
        <v>, M</v>
      </c>
      <c r="D410" s="5" t="str">
        <f t="shared" si="15"/>
        <v>Marti</v>
      </c>
      <c r="E410" s="5" t="str">
        <f t="shared" si="14"/>
        <v>ny D.</v>
      </c>
    </row>
    <row r="411" spans="1:5" ht="15.75" customHeight="1" x14ac:dyDescent="0.3">
      <c r="A411" s="4" t="s">
        <v>822</v>
      </c>
      <c r="B411" s="4" t="s">
        <v>823</v>
      </c>
      <c r="C411" s="5" t="str">
        <f t="shared" si="10"/>
        <v>, M</v>
      </c>
      <c r="D411" s="5" t="str">
        <f t="shared" si="15"/>
        <v>Coone</v>
      </c>
      <c r="E411" s="5" t="str">
        <f t="shared" si="14"/>
        <v>lissa</v>
      </c>
    </row>
    <row r="412" spans="1:5" ht="15.75" customHeight="1" x14ac:dyDescent="0.3">
      <c r="A412" s="4" t="s">
        <v>824</v>
      </c>
      <c r="B412" s="4" t="s">
        <v>825</v>
      </c>
      <c r="C412" s="5" t="str">
        <f t="shared" si="10"/>
        <v>Ms.</v>
      </c>
      <c r="D412" s="5" t="str">
        <f t="shared" si="15"/>
        <v>Bier,</v>
      </c>
      <c r="E412" s="5" t="str">
        <f t="shared" si="14"/>
        <v>Raven</v>
      </c>
    </row>
    <row r="413" spans="1:5" ht="15.75" customHeight="1" x14ac:dyDescent="0.3">
      <c r="A413" s="4" t="s">
        <v>826</v>
      </c>
      <c r="B413" s="4" t="s">
        <v>827</v>
      </c>
      <c r="C413" s="5" t="str">
        <f t="shared" si="10"/>
        <v xml:space="preserve">f, </v>
      </c>
      <c r="D413" s="5" t="str">
        <f t="shared" si="15"/>
        <v>Musko</v>
      </c>
      <c r="E413" s="5" t="str">
        <f t="shared" si="14"/>
        <v>opher</v>
      </c>
    </row>
    <row r="414" spans="1:5" ht="15.75" customHeight="1" x14ac:dyDescent="0.3">
      <c r="A414" s="4" t="s">
        <v>828</v>
      </c>
      <c r="B414" s="4" t="s">
        <v>829</v>
      </c>
      <c r="C414" s="5" t="str">
        <f t="shared" si="10"/>
        <v xml:space="preserve"> Ms</v>
      </c>
      <c r="D414" s="5" t="str">
        <f t="shared" si="15"/>
        <v>Sirak</v>
      </c>
      <c r="E414" s="5" t="str">
        <f t="shared" si="14"/>
        <v>dra A</v>
      </c>
    </row>
    <row r="415" spans="1:5" ht="15.75" customHeight="1" x14ac:dyDescent="0.3">
      <c r="A415" s="4" t="s">
        <v>830</v>
      </c>
      <c r="B415" s="4" t="s">
        <v>831</v>
      </c>
      <c r="C415" s="5" t="str">
        <f t="shared" si="10"/>
        <v>, M</v>
      </c>
      <c r="D415" s="5" t="str">
        <f t="shared" si="15"/>
        <v>Nelse</v>
      </c>
      <c r="E415" s="5" t="str">
        <f t="shared" si="14"/>
        <v>ordan</v>
      </c>
    </row>
    <row r="416" spans="1:5" ht="15.75" customHeight="1" x14ac:dyDescent="0.3">
      <c r="A416" s="4" t="s">
        <v>832</v>
      </c>
      <c r="B416" s="4" t="s">
        <v>833</v>
      </c>
      <c r="C416" s="5" t="str">
        <f t="shared" si="10"/>
        <v>ner</v>
      </c>
      <c r="D416" s="5" t="str">
        <f t="shared" si="15"/>
        <v>Schal</v>
      </c>
      <c r="E416" s="5" t="str">
        <f t="shared" si="14"/>
        <v xml:space="preserve"> Nils</v>
      </c>
    </row>
    <row r="417" spans="1:5" ht="15.75" customHeight="1" x14ac:dyDescent="0.3">
      <c r="A417" s="4" t="s">
        <v>834</v>
      </c>
      <c r="B417" s="4" t="s">
        <v>835</v>
      </c>
      <c r="C417" s="5" t="str">
        <f t="shared" si="10"/>
        <v>, M</v>
      </c>
      <c r="D417" s="5" t="str">
        <f t="shared" si="15"/>
        <v>Dunla</v>
      </c>
      <c r="E417" s="5" t="str">
        <f t="shared" si="14"/>
        <v>Scott</v>
      </c>
    </row>
    <row r="418" spans="1:5" ht="15.75" customHeight="1" x14ac:dyDescent="0.3">
      <c r="A418" s="4" t="s">
        <v>836</v>
      </c>
      <c r="B418" s="4" t="s">
        <v>837</v>
      </c>
      <c r="C418" s="5" t="str">
        <f t="shared" si="10"/>
        <v xml:space="preserve">g, </v>
      </c>
      <c r="D418" s="5" t="str">
        <f t="shared" si="15"/>
        <v>Messi</v>
      </c>
      <c r="E418" s="5" t="str">
        <f t="shared" si="14"/>
        <v>ngela</v>
      </c>
    </row>
    <row r="419" spans="1:5" ht="15.75" customHeight="1" x14ac:dyDescent="0.3">
      <c r="A419" s="4" t="s">
        <v>838</v>
      </c>
      <c r="B419" s="4" t="s">
        <v>839</v>
      </c>
      <c r="C419" s="5" t="str">
        <f t="shared" si="10"/>
        <v xml:space="preserve">l, </v>
      </c>
      <c r="D419" s="5" t="str">
        <f t="shared" si="15"/>
        <v>Bonde</v>
      </c>
      <c r="E419" s="5" t="str">
        <f t="shared" si="14"/>
        <v>lison</v>
      </c>
    </row>
    <row r="420" spans="1:5" ht="15.75" customHeight="1" x14ac:dyDescent="0.3">
      <c r="A420" s="4" t="s">
        <v>840</v>
      </c>
      <c r="B420" s="4" t="s">
        <v>841</v>
      </c>
      <c r="C420" s="5" t="str">
        <f t="shared" si="10"/>
        <v xml:space="preserve">n, </v>
      </c>
      <c r="D420" s="5" t="str">
        <f t="shared" si="15"/>
        <v>Gaugh</v>
      </c>
      <c r="E420" s="5" t="str">
        <f t="shared" si="14"/>
        <v>in O.</v>
      </c>
    </row>
    <row r="421" spans="1:5" ht="15.75" customHeight="1" x14ac:dyDescent="0.3">
      <c r="A421" s="4" t="s">
        <v>842</v>
      </c>
      <c r="B421" s="4" t="s">
        <v>843</v>
      </c>
      <c r="C421" s="5" t="str">
        <f t="shared" si="10"/>
        <v>, M</v>
      </c>
      <c r="D421" s="5" t="str">
        <f t="shared" si="15"/>
        <v>Gruma</v>
      </c>
      <c r="E421" s="5" t="str">
        <f t="shared" si="14"/>
        <v>acy M</v>
      </c>
    </row>
    <row r="422" spans="1:5" ht="15.75" customHeight="1" x14ac:dyDescent="0.3">
      <c r="A422" s="4" t="s">
        <v>844</v>
      </c>
      <c r="B422" s="4" t="s">
        <v>845</v>
      </c>
      <c r="C422" s="5" t="str">
        <f t="shared" si="10"/>
        <v xml:space="preserve">w, </v>
      </c>
      <c r="D422" s="5" t="str">
        <f t="shared" si="15"/>
        <v>Whitl</v>
      </c>
      <c r="E422" s="5" t="str">
        <f t="shared" si="14"/>
        <v>in M.</v>
      </c>
    </row>
    <row r="423" spans="1:5" ht="15.75" customHeight="1" x14ac:dyDescent="0.3">
      <c r="A423" s="4" t="s">
        <v>846</v>
      </c>
      <c r="B423" s="4" t="s">
        <v>847</v>
      </c>
      <c r="C423" s="5" t="str">
        <f t="shared" si="10"/>
        <v>on,</v>
      </c>
      <c r="D423" s="5" t="str">
        <f t="shared" si="15"/>
        <v>Robin</v>
      </c>
      <c r="E423" s="5" t="str">
        <f t="shared" si="14"/>
        <v>Jenny</v>
      </c>
    </row>
    <row r="424" spans="1:5" ht="15.75" customHeight="1" x14ac:dyDescent="0.3">
      <c r="A424" s="4" t="s">
        <v>848</v>
      </c>
      <c r="B424" s="4" t="s">
        <v>849</v>
      </c>
      <c r="C424" s="5" t="str">
        <f t="shared" si="10"/>
        <v>Ms.</v>
      </c>
      <c r="D424" s="5" t="str">
        <f t="shared" si="15"/>
        <v>Sabo,</v>
      </c>
      <c r="E424" s="5" t="str">
        <f t="shared" si="14"/>
        <v>Emily</v>
      </c>
    </row>
    <row r="425" spans="1:5" ht="15.75" customHeight="1" x14ac:dyDescent="0.3">
      <c r="A425" s="4" t="s">
        <v>850</v>
      </c>
      <c r="B425" s="4" t="s">
        <v>851</v>
      </c>
      <c r="C425" s="5" t="str">
        <f t="shared" si="10"/>
        <v>an,</v>
      </c>
      <c r="D425" s="5" t="str">
        <f t="shared" si="15"/>
        <v>Nazar</v>
      </c>
      <c r="E425" s="5" t="str">
        <f t="shared" si="14"/>
        <v>ienne</v>
      </c>
    </row>
    <row r="426" spans="1:5" ht="15.75" customHeight="1" x14ac:dyDescent="0.3">
      <c r="A426" s="4" t="s">
        <v>852</v>
      </c>
      <c r="B426" s="4" t="s">
        <v>853</v>
      </c>
      <c r="C426" s="5" t="str">
        <f t="shared" si="10"/>
        <v xml:space="preserve"> Mr</v>
      </c>
      <c r="D426" s="5" t="str">
        <f t="shared" si="15"/>
        <v>Lerma</v>
      </c>
      <c r="E426" s="5" t="str">
        <f t="shared" si="14"/>
        <v>ordan</v>
      </c>
    </row>
    <row r="427" spans="1:5" ht="15.75" customHeight="1" x14ac:dyDescent="0.3">
      <c r="A427" s="4" t="s">
        <v>854</v>
      </c>
      <c r="B427" s="4" t="s">
        <v>855</v>
      </c>
      <c r="C427" s="5" t="str">
        <f t="shared" si="10"/>
        <v>Mr.</v>
      </c>
      <c r="D427" s="5" t="str">
        <f t="shared" si="15"/>
        <v>Dahl,</v>
      </c>
      <c r="E427" s="5" t="str">
        <f t="shared" si="14"/>
        <v xml:space="preserve"> Matt</v>
      </c>
    </row>
    <row r="428" spans="1:5" ht="15.75" customHeight="1" x14ac:dyDescent="0.3">
      <c r="A428" s="4" t="s">
        <v>856</v>
      </c>
      <c r="B428" s="4" t="s">
        <v>857</v>
      </c>
      <c r="C428" s="5" t="str">
        <f t="shared" si="10"/>
        <v xml:space="preserve">s, </v>
      </c>
      <c r="D428" s="5" t="str">
        <f t="shared" si="15"/>
        <v>Surte</v>
      </c>
      <c r="E428" s="5" t="str">
        <f t="shared" si="14"/>
        <v>ryn L</v>
      </c>
    </row>
    <row r="429" spans="1:5" ht="15.75" customHeight="1" x14ac:dyDescent="0.3">
      <c r="A429" s="4" t="s">
        <v>858</v>
      </c>
      <c r="B429" s="4" t="s">
        <v>859</v>
      </c>
      <c r="C429" s="5" t="str">
        <f t="shared" si="10"/>
        <v xml:space="preserve">r, </v>
      </c>
      <c r="D429" s="5" t="str">
        <f t="shared" si="15"/>
        <v>Spetn</v>
      </c>
      <c r="E429" s="5" t="str">
        <f t="shared" si="14"/>
        <v>emima</v>
      </c>
    </row>
    <row r="430" spans="1:5" ht="15.75" customHeight="1" x14ac:dyDescent="0.3">
      <c r="A430" s="4" t="s">
        <v>860</v>
      </c>
      <c r="B430" s="4" t="s">
        <v>861</v>
      </c>
      <c r="C430" s="5" t="str">
        <f t="shared" si="10"/>
        <v xml:space="preserve">n, </v>
      </c>
      <c r="D430" s="5" t="str">
        <f t="shared" si="15"/>
        <v>Brand</v>
      </c>
      <c r="E430" s="5" t="str">
        <f t="shared" si="14"/>
        <v>nifer</v>
      </c>
    </row>
    <row r="431" spans="1:5" ht="15.75" customHeight="1" x14ac:dyDescent="0.3">
      <c r="A431" s="4" t="s">
        <v>862</v>
      </c>
      <c r="B431" s="4" t="s">
        <v>863</v>
      </c>
      <c r="C431" s="5" t="str">
        <f t="shared" si="10"/>
        <v>Ms.</v>
      </c>
      <c r="D431" s="5" t="str">
        <f t="shared" si="15"/>
        <v>Eley,</v>
      </c>
      <c r="E431" s="5" t="str">
        <f t="shared" si="14"/>
        <v>na M.</v>
      </c>
    </row>
    <row r="432" spans="1:5" ht="15.75" customHeight="1" x14ac:dyDescent="0.3">
      <c r="A432" s="4" t="s">
        <v>864</v>
      </c>
      <c r="B432" s="4" t="s">
        <v>865</v>
      </c>
      <c r="C432" s="5" t="str">
        <f t="shared" si="10"/>
        <v xml:space="preserve">m, </v>
      </c>
      <c r="D432" s="5" t="str">
        <f t="shared" si="15"/>
        <v>Sedic</v>
      </c>
      <c r="E432" s="5" t="str">
        <f t="shared" si="14"/>
        <v>ia M.</v>
      </c>
    </row>
    <row r="433" spans="1:5" ht="15.75" customHeight="1" x14ac:dyDescent="0.3">
      <c r="A433" s="4" t="s">
        <v>866</v>
      </c>
      <c r="B433" s="4" t="s">
        <v>867</v>
      </c>
      <c r="C433" s="5" t="str">
        <f t="shared" si="10"/>
        <v>, M</v>
      </c>
      <c r="D433" s="5" t="str">
        <f t="shared" si="15"/>
        <v>Markl</v>
      </c>
      <c r="E433" s="5" t="str">
        <f t="shared" si="14"/>
        <v>hoebe</v>
      </c>
    </row>
    <row r="434" spans="1:5" ht="15.75" customHeight="1" x14ac:dyDescent="0.3">
      <c r="A434" s="4" t="s">
        <v>868</v>
      </c>
      <c r="B434" s="4" t="s">
        <v>869</v>
      </c>
      <c r="C434" s="5" t="str">
        <f t="shared" si="10"/>
        <v>Mr.</v>
      </c>
      <c r="D434" s="5" t="str">
        <f t="shared" si="15"/>
        <v>Kunz,</v>
      </c>
      <c r="E434" s="5" t="str">
        <f t="shared" si="14"/>
        <v>Corey</v>
      </c>
    </row>
    <row r="435" spans="1:5" ht="15.75" customHeight="1" x14ac:dyDescent="0.3">
      <c r="A435" s="4" t="s">
        <v>870</v>
      </c>
      <c r="B435" s="4" t="s">
        <v>871</v>
      </c>
      <c r="C435" s="5" t="str">
        <f t="shared" si="10"/>
        <v>, M</v>
      </c>
      <c r="D435" s="5" t="str">
        <f t="shared" si="15"/>
        <v>Wimer</v>
      </c>
      <c r="E435" s="5" t="str">
        <f t="shared" si="14"/>
        <v>becca</v>
      </c>
    </row>
    <row r="436" spans="1:5" ht="15.75" customHeight="1" x14ac:dyDescent="0.3">
      <c r="A436" s="4" t="s">
        <v>872</v>
      </c>
      <c r="B436" s="4" t="s">
        <v>873</v>
      </c>
      <c r="C436" s="5" t="str">
        <f t="shared" si="10"/>
        <v>on,</v>
      </c>
      <c r="D436" s="5" t="str">
        <f t="shared" si="15"/>
        <v>Peter</v>
      </c>
      <c r="E436" s="5" t="str">
        <f t="shared" si="14"/>
        <v>las D</v>
      </c>
    </row>
    <row r="437" spans="1:5" ht="15.75" customHeight="1" x14ac:dyDescent="0.3">
      <c r="A437" s="4" t="s">
        <v>874</v>
      </c>
      <c r="B437" s="4" t="s">
        <v>875</v>
      </c>
      <c r="C437" s="5" t="str">
        <f t="shared" si="10"/>
        <v xml:space="preserve">r, </v>
      </c>
      <c r="D437" s="5" t="str">
        <f t="shared" si="15"/>
        <v>Merci</v>
      </c>
      <c r="E437" s="5" t="str">
        <f t="shared" si="14"/>
        <v>stian</v>
      </c>
    </row>
    <row r="438" spans="1:5" ht="15.75" customHeight="1" x14ac:dyDescent="0.3">
      <c r="A438" s="4" t="s">
        <v>876</v>
      </c>
      <c r="B438" s="4" t="s">
        <v>877</v>
      </c>
      <c r="C438" s="5" t="str">
        <f t="shared" si="10"/>
        <v>, M</v>
      </c>
      <c r="D438" s="5" t="str">
        <f t="shared" si="15"/>
        <v>Lauri</v>
      </c>
      <c r="E438" s="5" t="str">
        <f t="shared" si="14"/>
        <v>on S.</v>
      </c>
    </row>
    <row r="439" spans="1:5" ht="15.75" customHeight="1" x14ac:dyDescent="0.3">
      <c r="A439" s="4" t="s">
        <v>878</v>
      </c>
      <c r="B439" s="4" t="s">
        <v>879</v>
      </c>
      <c r="C439" s="5" t="str">
        <f t="shared" si="10"/>
        <v>apt</v>
      </c>
      <c r="D439" s="5" t="str">
        <f t="shared" si="15"/>
        <v>Sekaq</v>
      </c>
      <c r="E439" s="5" t="str">
        <f t="shared" si="14"/>
        <v>oline</v>
      </c>
    </row>
    <row r="440" spans="1:5" ht="15.75" customHeight="1" x14ac:dyDescent="0.3">
      <c r="A440" s="4" t="s">
        <v>880</v>
      </c>
      <c r="B440" s="4" t="s">
        <v>881</v>
      </c>
      <c r="C440" s="5" t="str">
        <f t="shared" si="10"/>
        <v xml:space="preserve"> Mr</v>
      </c>
      <c r="D440" s="5" t="str">
        <f t="shared" si="15"/>
        <v>Frash</v>
      </c>
      <c r="E440" s="5" t="str">
        <f t="shared" si="14"/>
        <v>ua D.</v>
      </c>
    </row>
    <row r="441" spans="1:5" ht="15.75" customHeight="1" x14ac:dyDescent="0.3">
      <c r="A441" s="4" t="s">
        <v>882</v>
      </c>
      <c r="B441" s="4" t="s">
        <v>883</v>
      </c>
      <c r="C441" s="5" t="str">
        <f t="shared" si="10"/>
        <v>ki,</v>
      </c>
      <c r="D441" s="5" t="str">
        <f t="shared" si="15"/>
        <v>Bukow</v>
      </c>
      <c r="E441" s="5" t="str">
        <f t="shared" si="14"/>
        <v>chole</v>
      </c>
    </row>
    <row r="442" spans="1:5" ht="15.75" customHeight="1" x14ac:dyDescent="0.3">
      <c r="A442" s="4" t="s">
        <v>884</v>
      </c>
      <c r="B442" s="4" t="s">
        <v>885</v>
      </c>
      <c r="C442" s="5" t="str">
        <f t="shared" si="10"/>
        <v xml:space="preserve">l, </v>
      </c>
      <c r="D442" s="5" t="str">
        <f t="shared" si="15"/>
        <v>Sanda</v>
      </c>
      <c r="E442" s="5" t="str">
        <f t="shared" si="14"/>
        <v>ise M</v>
      </c>
    </row>
    <row r="443" spans="1:5" ht="15.75" customHeight="1" x14ac:dyDescent="0.3">
      <c r="A443" s="4" t="s">
        <v>886</v>
      </c>
      <c r="B443" s="4" t="s">
        <v>887</v>
      </c>
      <c r="C443" s="5" t="str">
        <f t="shared" si="10"/>
        <v xml:space="preserve">t, </v>
      </c>
      <c r="D443" s="5" t="str">
        <f t="shared" si="15"/>
        <v>Speig</v>
      </c>
      <c r="E443" s="5" t="str">
        <f t="shared" si="14"/>
        <v>er R.</v>
      </c>
    </row>
    <row r="444" spans="1:5" ht="15.75" customHeight="1" x14ac:dyDescent="0.3">
      <c r="A444" s="4" t="s">
        <v>888</v>
      </c>
      <c r="B444" s="4" t="s">
        <v>889</v>
      </c>
      <c r="C444" s="5" t="str">
        <f t="shared" si="10"/>
        <v xml:space="preserve">r. </v>
      </c>
      <c r="D444" s="5" t="str">
        <f t="shared" si="15"/>
        <v xml:space="preserve">Lee, </v>
      </c>
      <c r="E444" s="5" t="str">
        <f t="shared" si="14"/>
        <v>son K</v>
      </c>
    </row>
    <row r="445" spans="1:5" ht="15.75" customHeight="1" x14ac:dyDescent="0.3">
      <c r="A445" s="4" t="s">
        <v>890</v>
      </c>
      <c r="B445" s="4" t="s">
        <v>891</v>
      </c>
      <c r="C445" s="5" t="str">
        <f t="shared" si="10"/>
        <v xml:space="preserve">n, </v>
      </c>
      <c r="D445" s="5" t="str">
        <f t="shared" si="15"/>
        <v>Niels</v>
      </c>
      <c r="E445" s="5" t="str">
        <f t="shared" si="14"/>
        <v>erine</v>
      </c>
    </row>
    <row r="446" spans="1:5" ht="15.75" customHeight="1" x14ac:dyDescent="0.3">
      <c r="A446" s="4" t="s">
        <v>892</v>
      </c>
      <c r="B446" s="4" t="s">
        <v>893</v>
      </c>
      <c r="C446" s="5" t="str">
        <f t="shared" si="10"/>
        <v>, M</v>
      </c>
      <c r="D446" s="5" t="str">
        <f t="shared" si="15"/>
        <v>Zirdo</v>
      </c>
      <c r="E446" s="5" t="str">
        <f t="shared" si="14"/>
        <v>Lynda</v>
      </c>
    </row>
    <row r="447" spans="1:5" ht="15.75" customHeight="1" x14ac:dyDescent="0.3">
      <c r="A447" s="4" t="s">
        <v>894</v>
      </c>
      <c r="B447" s="4" t="s">
        <v>895</v>
      </c>
      <c r="C447" s="5" t="str">
        <f t="shared" si="10"/>
        <v xml:space="preserve">e, </v>
      </c>
      <c r="D447" s="5" t="str">
        <f t="shared" si="15"/>
        <v>Cruda</v>
      </c>
      <c r="E447" s="5" t="str">
        <f t="shared" si="14"/>
        <v>thony</v>
      </c>
    </row>
    <row r="448" spans="1:5" ht="15.75" customHeight="1" x14ac:dyDescent="0.3">
      <c r="A448" s="4" t="s">
        <v>896</v>
      </c>
      <c r="B448" s="4" t="s">
        <v>897</v>
      </c>
      <c r="C448" s="5" t="str">
        <f t="shared" si="10"/>
        <v>ns,</v>
      </c>
      <c r="D448" s="5" t="str">
        <f t="shared" si="15"/>
        <v>Koopm</v>
      </c>
      <c r="E448" s="5" t="str">
        <f t="shared" si="14"/>
        <v>ea C.</v>
      </c>
    </row>
    <row r="449" spans="1:5" ht="15.75" customHeight="1" x14ac:dyDescent="0.3">
      <c r="A449" s="4" t="s">
        <v>898</v>
      </c>
      <c r="B449" s="4" t="s">
        <v>899</v>
      </c>
      <c r="C449" s="5" t="str">
        <f t="shared" si="10"/>
        <v>, M</v>
      </c>
      <c r="D449" s="5" t="str">
        <f t="shared" si="15"/>
        <v>Milan</v>
      </c>
      <c r="E449" s="5" t="str">
        <f t="shared" si="14"/>
        <v>no A.</v>
      </c>
    </row>
    <row r="450" spans="1:5" ht="15.75" customHeight="1" x14ac:dyDescent="0.3">
      <c r="A450" s="4" t="s">
        <v>900</v>
      </c>
      <c r="B450" s="4" t="s">
        <v>901</v>
      </c>
      <c r="C450" s="5" t="str">
        <f t="shared" si="10"/>
        <v xml:space="preserve"> Mr</v>
      </c>
      <c r="D450" s="5" t="str">
        <f t="shared" si="15"/>
        <v>Kelly</v>
      </c>
      <c r="E450" s="5" t="str">
        <f t="shared" ref="E450:E513" si="16">RIGHT(B450,5)</f>
        <v>es M.</v>
      </c>
    </row>
    <row r="451" spans="1:5" ht="15.75" customHeight="1" x14ac:dyDescent="0.3">
      <c r="A451" s="4" t="s">
        <v>902</v>
      </c>
      <c r="B451" s="4" t="s">
        <v>903</v>
      </c>
      <c r="C451" s="5" t="str">
        <f t="shared" si="10"/>
        <v xml:space="preserve">i, </v>
      </c>
      <c r="D451" s="5" t="str">
        <f t="shared" si="15"/>
        <v>Finel</v>
      </c>
      <c r="E451" s="5" t="str">
        <f t="shared" si="16"/>
        <v>auren</v>
      </c>
    </row>
    <row r="452" spans="1:5" ht="15.75" customHeight="1" x14ac:dyDescent="0.3">
      <c r="A452" s="4" t="s">
        <v>904</v>
      </c>
      <c r="B452" s="4" t="s">
        <v>905</v>
      </c>
      <c r="C452" s="5" t="str">
        <f t="shared" si="10"/>
        <v>, M</v>
      </c>
      <c r="D452" s="5" t="str">
        <f t="shared" si="15"/>
        <v>Palme</v>
      </c>
      <c r="E452" s="5" t="str">
        <f t="shared" si="16"/>
        <v>le V.</v>
      </c>
    </row>
    <row r="453" spans="1:5" ht="15.75" customHeight="1" x14ac:dyDescent="0.3">
      <c r="A453" s="4" t="s">
        <v>906</v>
      </c>
      <c r="B453" s="4" t="s">
        <v>907</v>
      </c>
      <c r="C453" s="5" t="str">
        <f t="shared" si="10"/>
        <v>Mr.</v>
      </c>
      <c r="D453" s="5" t="str">
        <f t="shared" si="15"/>
        <v>Wang,</v>
      </c>
      <c r="E453" s="5" t="str">
        <f t="shared" si="16"/>
        <v xml:space="preserve"> Xiao</v>
      </c>
    </row>
    <row r="454" spans="1:5" ht="15.75" customHeight="1" x14ac:dyDescent="0.3">
      <c r="A454" s="4" t="s">
        <v>908</v>
      </c>
      <c r="B454" s="4" t="s">
        <v>909</v>
      </c>
      <c r="C454" s="5" t="str">
        <f t="shared" si="10"/>
        <v xml:space="preserve">y, </v>
      </c>
      <c r="D454" s="5" t="str">
        <f t="shared" si="15"/>
        <v>Beasl</v>
      </c>
      <c r="E454" s="5" t="str">
        <f t="shared" si="16"/>
        <v>per L</v>
      </c>
    </row>
    <row r="455" spans="1:5" ht="15.75" customHeight="1" x14ac:dyDescent="0.3">
      <c r="A455" s="4" t="s">
        <v>910</v>
      </c>
      <c r="B455" s="4" t="s">
        <v>911</v>
      </c>
      <c r="C455" s="5" t="str">
        <f t="shared" si="10"/>
        <v xml:space="preserve">y, </v>
      </c>
      <c r="D455" s="5" t="str">
        <f t="shared" si="15"/>
        <v>Bedbu</v>
      </c>
      <c r="E455" s="5" t="str">
        <f t="shared" si="16"/>
        <v xml:space="preserve"> Nick</v>
      </c>
    </row>
    <row r="456" spans="1:5" ht="15.75" customHeight="1" x14ac:dyDescent="0.3">
      <c r="A456" s="4" t="s">
        <v>912</v>
      </c>
      <c r="B456" s="4" t="s">
        <v>913</v>
      </c>
      <c r="C456" s="5" t="str">
        <f t="shared" si="10"/>
        <v>rge</v>
      </c>
      <c r="D456" s="5" t="str">
        <f t="shared" si="15"/>
        <v>Stemb</v>
      </c>
      <c r="E456" s="5" t="str">
        <f t="shared" si="16"/>
        <v>Scott</v>
      </c>
    </row>
    <row r="457" spans="1:5" ht="15.75" customHeight="1" x14ac:dyDescent="0.3">
      <c r="A457" s="4" t="s">
        <v>914</v>
      </c>
      <c r="B457" s="4" t="s">
        <v>915</v>
      </c>
      <c r="C457" s="5" t="str">
        <f t="shared" si="10"/>
        <v>, M</v>
      </c>
      <c r="D457" s="5" t="str">
        <f t="shared" si="15"/>
        <v>Chebe</v>
      </c>
      <c r="E457" s="5" t="str">
        <f t="shared" si="16"/>
        <v>ilson</v>
      </c>
    </row>
    <row r="458" spans="1:5" ht="15.75" customHeight="1" x14ac:dyDescent="0.3">
      <c r="A458" s="4" t="s">
        <v>916</v>
      </c>
      <c r="B458" s="4" t="s">
        <v>917</v>
      </c>
      <c r="C458" s="5" t="str">
        <f t="shared" si="10"/>
        <v>Mr.</v>
      </c>
      <c r="D458" s="5" t="str">
        <f t="shared" si="15"/>
        <v>Muir,</v>
      </c>
      <c r="E458" s="5" t="str">
        <f t="shared" si="16"/>
        <v xml:space="preserve">  Lee</v>
      </c>
    </row>
    <row r="459" spans="1:5" ht="15.75" customHeight="1" x14ac:dyDescent="0.3">
      <c r="A459" s="4" t="s">
        <v>918</v>
      </c>
      <c r="B459" s="4" t="s">
        <v>919</v>
      </c>
      <c r="C459" s="5" t="str">
        <f t="shared" si="10"/>
        <v>Mr.</v>
      </c>
      <c r="D459" s="5" t="str">
        <f t="shared" si="15"/>
        <v>Yang,</v>
      </c>
      <c r="E459" s="5" t="str">
        <f t="shared" si="16"/>
        <v>zhong</v>
      </c>
    </row>
    <row r="460" spans="1:5" ht="15.75" customHeight="1" x14ac:dyDescent="0.3">
      <c r="A460" s="4" t="s">
        <v>920</v>
      </c>
      <c r="B460" s="4" t="s">
        <v>921</v>
      </c>
      <c r="C460" s="5" t="str">
        <f t="shared" si="10"/>
        <v>, M</v>
      </c>
      <c r="D460" s="5" t="str">
        <f t="shared" si="15"/>
        <v>Grave</v>
      </c>
      <c r="E460" s="5" t="str">
        <f t="shared" si="16"/>
        <v>laire</v>
      </c>
    </row>
    <row r="461" spans="1:5" ht="15.75" customHeight="1" x14ac:dyDescent="0.3">
      <c r="A461" s="4" t="s">
        <v>922</v>
      </c>
      <c r="B461" s="4" t="s">
        <v>923</v>
      </c>
      <c r="C461" s="5" t="str">
        <f t="shared" si="10"/>
        <v xml:space="preserve"> Mr</v>
      </c>
      <c r="D461" s="5" t="str">
        <f t="shared" si="15"/>
        <v>Smith</v>
      </c>
      <c r="E461" s="5" t="str">
        <f t="shared" si="16"/>
        <v>dd J.</v>
      </c>
    </row>
    <row r="462" spans="1:5" ht="15.75" customHeight="1" x14ac:dyDescent="0.3">
      <c r="A462" s="4" t="s">
        <v>924</v>
      </c>
      <c r="B462" s="4" t="s">
        <v>925</v>
      </c>
      <c r="C462" s="5" t="str">
        <f t="shared" si="10"/>
        <v>ms,</v>
      </c>
      <c r="D462" s="5" t="str">
        <f t="shared" si="15"/>
        <v>Willi</v>
      </c>
      <c r="E462" s="5" t="str">
        <f t="shared" si="16"/>
        <v>rolyn</v>
      </c>
    </row>
    <row r="463" spans="1:5" ht="15.75" customHeight="1" x14ac:dyDescent="0.3">
      <c r="A463" s="4" t="s">
        <v>926</v>
      </c>
      <c r="B463" s="4" t="s">
        <v>927</v>
      </c>
      <c r="C463" s="5" t="str">
        <f t="shared" si="10"/>
        <v xml:space="preserve"> Ms</v>
      </c>
      <c r="D463" s="5" t="str">
        <f t="shared" si="15"/>
        <v>Meyer</v>
      </c>
      <c r="E463" s="5" t="str">
        <f t="shared" si="16"/>
        <v>ndsey</v>
      </c>
    </row>
    <row r="464" spans="1:5" ht="15.75" customHeight="1" x14ac:dyDescent="0.3">
      <c r="A464" s="4" t="s">
        <v>928</v>
      </c>
      <c r="B464" s="4" t="s">
        <v>929</v>
      </c>
      <c r="C464" s="5" t="str">
        <f t="shared" si="10"/>
        <v>on,</v>
      </c>
      <c r="D464" s="5" t="str">
        <f t="shared" si="15"/>
        <v>Jamie</v>
      </c>
      <c r="E464" s="5" t="str">
        <f t="shared" si="16"/>
        <v>ssa D</v>
      </c>
    </row>
    <row r="465" spans="1:5" ht="15.75" customHeight="1" x14ac:dyDescent="0.3">
      <c r="A465" s="4" t="s">
        <v>930</v>
      </c>
      <c r="B465" s="4" t="s">
        <v>931</v>
      </c>
      <c r="C465" s="5" t="str">
        <f t="shared" si="10"/>
        <v>, M</v>
      </c>
      <c r="D465" s="5" t="str">
        <f t="shared" ref="D465:D528" si="17">LEFT(B465,5)</f>
        <v>Dufea</v>
      </c>
      <c r="E465" s="5" t="str">
        <f t="shared" si="16"/>
        <v>n Luc</v>
      </c>
    </row>
    <row r="466" spans="1:5" ht="15.75" customHeight="1" x14ac:dyDescent="0.3">
      <c r="A466" s="4" t="s">
        <v>932</v>
      </c>
      <c r="B466" s="4" t="s">
        <v>933</v>
      </c>
      <c r="C466" s="5" t="str">
        <f t="shared" si="10"/>
        <v>ett</v>
      </c>
      <c r="D466" s="5" t="str">
        <f t="shared" si="17"/>
        <v>Sanso</v>
      </c>
      <c r="E466" s="5" t="str">
        <f t="shared" si="16"/>
        <v>ielle</v>
      </c>
    </row>
    <row r="467" spans="1:5" ht="15.75" customHeight="1" x14ac:dyDescent="0.3">
      <c r="A467" s="4" t="s">
        <v>934</v>
      </c>
      <c r="B467" s="4" t="s">
        <v>935</v>
      </c>
      <c r="C467" s="5" t="str">
        <f t="shared" si="10"/>
        <v>ny,</v>
      </c>
      <c r="D467" s="5" t="str">
        <f t="shared" si="17"/>
        <v>Konea</v>
      </c>
      <c r="E467" s="5" t="str">
        <f t="shared" si="16"/>
        <v xml:space="preserve">  Jim</v>
      </c>
    </row>
    <row r="468" spans="1:5" ht="15.75" customHeight="1" x14ac:dyDescent="0.3">
      <c r="A468" s="4" t="s">
        <v>936</v>
      </c>
      <c r="B468" s="4" t="s">
        <v>937</v>
      </c>
      <c r="C468" s="5" t="str">
        <f t="shared" si="10"/>
        <v xml:space="preserve">n, </v>
      </c>
      <c r="D468" s="5" t="str">
        <f t="shared" si="17"/>
        <v>Johns</v>
      </c>
      <c r="E468" s="5" t="str">
        <f t="shared" si="16"/>
        <v>hew T</v>
      </c>
    </row>
    <row r="469" spans="1:5" ht="15.75" customHeight="1" x14ac:dyDescent="0.3">
      <c r="A469" s="4" t="s">
        <v>938</v>
      </c>
      <c r="B469" s="4" t="s">
        <v>939</v>
      </c>
      <c r="C469" s="5" t="str">
        <f t="shared" si="10"/>
        <v xml:space="preserve">n, </v>
      </c>
      <c r="D469" s="5" t="str">
        <f t="shared" si="17"/>
        <v>Glass</v>
      </c>
      <c r="E469" s="5" t="str">
        <f t="shared" si="16"/>
        <v>el L.</v>
      </c>
    </row>
    <row r="470" spans="1:5" ht="15.75" customHeight="1" x14ac:dyDescent="0.3">
      <c r="A470" s="4" t="s">
        <v>940</v>
      </c>
      <c r="B470" s="4" t="s">
        <v>941</v>
      </c>
      <c r="C470" s="5" t="str">
        <f t="shared" si="10"/>
        <v>, M</v>
      </c>
      <c r="D470" s="5" t="str">
        <f t="shared" si="17"/>
        <v>Canit</v>
      </c>
      <c r="E470" s="5" t="str">
        <f t="shared" si="16"/>
        <v>orina</v>
      </c>
    </row>
    <row r="471" spans="1:5" ht="15.75" customHeight="1" x14ac:dyDescent="0.3">
      <c r="A471" s="4" t="s">
        <v>942</v>
      </c>
      <c r="B471" s="4" t="s">
        <v>943</v>
      </c>
      <c r="C471" s="5" t="str">
        <f t="shared" si="10"/>
        <v xml:space="preserve">.  </v>
      </c>
      <c r="D471" s="5" t="str">
        <f t="shared" si="17"/>
        <v>Li, M</v>
      </c>
      <c r="E471" s="5" t="str">
        <f t="shared" si="16"/>
        <v>annan</v>
      </c>
    </row>
    <row r="472" spans="1:5" ht="15.75" customHeight="1" x14ac:dyDescent="0.3">
      <c r="A472" s="4" t="s">
        <v>944</v>
      </c>
      <c r="B472" s="4" t="s">
        <v>945</v>
      </c>
      <c r="C472" s="5" t="str">
        <f t="shared" si="10"/>
        <v xml:space="preserve">s, </v>
      </c>
      <c r="D472" s="5" t="str">
        <f t="shared" si="17"/>
        <v>Parso</v>
      </c>
      <c r="E472" s="5" t="str">
        <f t="shared" si="16"/>
        <v xml:space="preserve">  Don</v>
      </c>
    </row>
    <row r="473" spans="1:5" ht="15.75" customHeight="1" x14ac:dyDescent="0.3">
      <c r="A473" s="4" t="s">
        <v>946</v>
      </c>
      <c r="B473" s="4" t="s">
        <v>947</v>
      </c>
      <c r="C473" s="5" t="str">
        <f t="shared" si="10"/>
        <v>, M</v>
      </c>
      <c r="D473" s="5" t="str">
        <f t="shared" si="17"/>
        <v>Raull</v>
      </c>
      <c r="E473" s="5" t="str">
        <f t="shared" si="16"/>
        <v>Chris</v>
      </c>
    </row>
    <row r="474" spans="1:5" ht="15.75" customHeight="1" x14ac:dyDescent="0.3">
      <c r="A474" s="4" t="s">
        <v>948</v>
      </c>
      <c r="B474" s="4" t="s">
        <v>949</v>
      </c>
      <c r="C474" s="5" t="str">
        <f t="shared" si="10"/>
        <v xml:space="preserve"> Mr</v>
      </c>
      <c r="D474" s="5" t="str">
        <f t="shared" si="17"/>
        <v>Frome</v>
      </c>
      <c r="E474" s="5" t="str">
        <f t="shared" si="16"/>
        <v>in V.</v>
      </c>
    </row>
    <row r="475" spans="1:5" ht="15.75" customHeight="1" x14ac:dyDescent="0.3">
      <c r="A475" s="4" t="s">
        <v>950</v>
      </c>
      <c r="B475" s="4" t="s">
        <v>951</v>
      </c>
      <c r="C475" s="5" t="str">
        <f t="shared" si="10"/>
        <v>, M</v>
      </c>
      <c r="D475" s="5" t="str">
        <f t="shared" si="17"/>
        <v>Sevci</v>
      </c>
      <c r="E475" s="5" t="str">
        <f t="shared" si="16"/>
        <v>David</v>
      </c>
    </row>
    <row r="476" spans="1:5" ht="15.75" customHeight="1" x14ac:dyDescent="0.3">
      <c r="A476" s="4" t="s">
        <v>952</v>
      </c>
      <c r="B476" s="4" t="s">
        <v>953</v>
      </c>
      <c r="C476" s="5" t="str">
        <f t="shared" si="10"/>
        <v>, M</v>
      </c>
      <c r="D476" s="5" t="str">
        <f t="shared" si="17"/>
        <v>Naran</v>
      </c>
      <c r="E476" s="5" t="str">
        <f t="shared" si="16"/>
        <v>Jatin</v>
      </c>
    </row>
    <row r="477" spans="1:5" ht="15.75" customHeight="1" x14ac:dyDescent="0.3">
      <c r="A477" s="4" t="s">
        <v>954</v>
      </c>
      <c r="B477" s="4" t="s">
        <v>955</v>
      </c>
      <c r="C477" s="5" t="str">
        <f t="shared" si="10"/>
        <v xml:space="preserve">n, </v>
      </c>
      <c r="D477" s="5" t="str">
        <f t="shared" si="17"/>
        <v>Royst</v>
      </c>
      <c r="E477" s="5" t="str">
        <f t="shared" si="16"/>
        <v>P. II</v>
      </c>
    </row>
    <row r="478" spans="1:5" ht="15.75" customHeight="1" x14ac:dyDescent="0.3">
      <c r="A478" s="4" t="s">
        <v>956</v>
      </c>
      <c r="B478" s="4" t="s">
        <v>957</v>
      </c>
      <c r="C478" s="5" t="str">
        <f t="shared" si="10"/>
        <v xml:space="preserve"> Ms</v>
      </c>
      <c r="D478" s="5" t="str">
        <f t="shared" si="17"/>
        <v>Tieri</v>
      </c>
      <c r="E478" s="5" t="str">
        <f t="shared" si="16"/>
        <v>la M.</v>
      </c>
    </row>
    <row r="479" spans="1:5" ht="15.75" customHeight="1" x14ac:dyDescent="0.3">
      <c r="A479" s="4" t="s">
        <v>958</v>
      </c>
      <c r="B479" s="4" t="s">
        <v>959</v>
      </c>
      <c r="C479" s="5" t="str">
        <f t="shared" si="10"/>
        <v xml:space="preserve">y, </v>
      </c>
      <c r="D479" s="5" t="str">
        <f t="shared" si="17"/>
        <v>Whitn</v>
      </c>
      <c r="E479" s="5" t="str">
        <f t="shared" si="16"/>
        <v>ke K.</v>
      </c>
    </row>
    <row r="480" spans="1:5" ht="15.75" customHeight="1" x14ac:dyDescent="0.3">
      <c r="A480" s="4" t="s">
        <v>960</v>
      </c>
      <c r="B480" s="4" t="s">
        <v>961</v>
      </c>
      <c r="C480" s="5" t="str">
        <f t="shared" si="10"/>
        <v>lak</v>
      </c>
      <c r="D480" s="5" t="str">
        <f t="shared" si="17"/>
        <v>Wandz</v>
      </c>
      <c r="E480" s="5" t="str">
        <f t="shared" si="16"/>
        <v>an T.</v>
      </c>
    </row>
    <row r="481" spans="1:5" ht="15.75" customHeight="1" x14ac:dyDescent="0.3">
      <c r="A481" s="4" t="s">
        <v>962</v>
      </c>
      <c r="B481" s="4" t="s">
        <v>963</v>
      </c>
      <c r="C481" s="5" t="str">
        <f t="shared" si="10"/>
        <v>ona</v>
      </c>
      <c r="D481" s="5" t="str">
        <f t="shared" si="17"/>
        <v>Valen</v>
      </c>
      <c r="E481" s="5" t="str">
        <f t="shared" si="16"/>
        <v>Damon</v>
      </c>
    </row>
    <row r="482" spans="1:5" ht="15.75" customHeight="1" x14ac:dyDescent="0.3">
      <c r="A482" s="4" t="s">
        <v>964</v>
      </c>
      <c r="B482" s="4" t="s">
        <v>965</v>
      </c>
      <c r="C482" s="5" t="str">
        <f t="shared" si="10"/>
        <v xml:space="preserve"> Mr</v>
      </c>
      <c r="D482" s="5" t="str">
        <f t="shared" si="17"/>
        <v>Young</v>
      </c>
      <c r="E482" s="5" t="str">
        <f t="shared" si="16"/>
        <v>ffrey</v>
      </c>
    </row>
    <row r="483" spans="1:5" ht="15.75" customHeight="1" x14ac:dyDescent="0.3">
      <c r="A483" s="4" t="s">
        <v>966</v>
      </c>
      <c r="B483" s="4" t="s">
        <v>967</v>
      </c>
      <c r="C483" s="5" t="str">
        <f t="shared" si="10"/>
        <v>ds,</v>
      </c>
      <c r="D483" s="5" t="str">
        <f t="shared" si="17"/>
        <v>Richa</v>
      </c>
      <c r="E483" s="5" t="str">
        <f t="shared" si="16"/>
        <v>lm J.</v>
      </c>
    </row>
    <row r="484" spans="1:5" ht="15.75" customHeight="1" x14ac:dyDescent="0.3">
      <c r="A484" s="4" t="s">
        <v>968</v>
      </c>
      <c r="B484" s="4" t="s">
        <v>969</v>
      </c>
      <c r="C484" s="5" t="str">
        <f t="shared" si="10"/>
        <v xml:space="preserve">n, </v>
      </c>
      <c r="D484" s="5" t="str">
        <f t="shared" si="17"/>
        <v>Alexs</v>
      </c>
      <c r="E484" s="5" t="str">
        <f t="shared" si="16"/>
        <v>et B.</v>
      </c>
    </row>
    <row r="485" spans="1:5" ht="15.75" customHeight="1" x14ac:dyDescent="0.3">
      <c r="A485" s="4" t="s">
        <v>970</v>
      </c>
      <c r="B485" s="4" t="s">
        <v>971</v>
      </c>
      <c r="C485" s="5" t="str">
        <f t="shared" si="10"/>
        <v>, M</v>
      </c>
      <c r="D485" s="5" t="str">
        <f t="shared" si="17"/>
        <v>Wrigh</v>
      </c>
      <c r="E485" s="5" t="str">
        <f t="shared" si="16"/>
        <v>Helen</v>
      </c>
    </row>
    <row r="486" spans="1:5" ht="15.75" customHeight="1" x14ac:dyDescent="0.3">
      <c r="A486" s="4" t="s">
        <v>972</v>
      </c>
      <c r="B486" s="4" t="s">
        <v>973</v>
      </c>
      <c r="C486" s="5" t="str">
        <f t="shared" si="10"/>
        <v xml:space="preserve">a, </v>
      </c>
      <c r="D486" s="5" t="str">
        <f t="shared" si="17"/>
        <v>McKen</v>
      </c>
      <c r="E486" s="5" t="str">
        <f t="shared" si="16"/>
        <v>tthew</v>
      </c>
    </row>
    <row r="487" spans="1:5" ht="15.75" customHeight="1" x14ac:dyDescent="0.3">
      <c r="A487" s="4" t="s">
        <v>974</v>
      </c>
      <c r="B487" s="4" t="s">
        <v>975</v>
      </c>
      <c r="C487" s="5" t="str">
        <f t="shared" si="10"/>
        <v xml:space="preserve">e, </v>
      </c>
      <c r="D487" s="5" t="str">
        <f t="shared" si="17"/>
        <v>Salla</v>
      </c>
      <c r="E487" s="5" t="str">
        <f t="shared" si="16"/>
        <v xml:space="preserve"> Jeff</v>
      </c>
    </row>
    <row r="488" spans="1:5" ht="15.75" customHeight="1" x14ac:dyDescent="0.3">
      <c r="A488" s="4" t="s">
        <v>976</v>
      </c>
      <c r="B488" s="4" t="s">
        <v>977</v>
      </c>
      <c r="C488" s="5" t="str">
        <f t="shared" si="10"/>
        <v>, M</v>
      </c>
      <c r="D488" s="5" t="str">
        <f t="shared" si="17"/>
        <v>Argal</v>
      </c>
      <c r="E488" s="5" t="str">
        <f t="shared" si="16"/>
        <v>ara R</v>
      </c>
    </row>
    <row r="489" spans="1:5" ht="15.75" customHeight="1" x14ac:dyDescent="0.3">
      <c r="A489" s="4" t="s">
        <v>978</v>
      </c>
      <c r="B489" s="4" t="s">
        <v>979</v>
      </c>
      <c r="C489" s="5" t="str">
        <f t="shared" si="10"/>
        <v>ll,</v>
      </c>
      <c r="D489" s="5" t="str">
        <f t="shared" si="17"/>
        <v>Patch</v>
      </c>
      <c r="E489" s="5" t="str">
        <f t="shared" si="16"/>
        <v>istin</v>
      </c>
    </row>
    <row r="490" spans="1:5" ht="15.75" customHeight="1" x14ac:dyDescent="0.3">
      <c r="A490" s="4" t="s">
        <v>980</v>
      </c>
      <c r="B490" s="4" t="s">
        <v>981</v>
      </c>
      <c r="C490" s="5" t="str">
        <f t="shared" si="10"/>
        <v>io,</v>
      </c>
      <c r="D490" s="5" t="str">
        <f t="shared" si="17"/>
        <v>Catog</v>
      </c>
      <c r="E490" s="5" t="str">
        <f t="shared" si="16"/>
        <v>mothy</v>
      </c>
    </row>
    <row r="491" spans="1:5" ht="15.75" customHeight="1" x14ac:dyDescent="0.3">
      <c r="A491" s="4" t="s">
        <v>982</v>
      </c>
      <c r="B491" s="4" t="s">
        <v>983</v>
      </c>
      <c r="C491" s="5" t="str">
        <f t="shared" si="10"/>
        <v xml:space="preserve"> Mr</v>
      </c>
      <c r="D491" s="5" t="str">
        <f t="shared" si="17"/>
        <v>Adams</v>
      </c>
      <c r="E491" s="5" t="str">
        <f t="shared" si="16"/>
        <v>Scott</v>
      </c>
    </row>
    <row r="492" spans="1:5" ht="15.75" customHeight="1" x14ac:dyDescent="0.3">
      <c r="A492" s="4" t="s">
        <v>984</v>
      </c>
      <c r="B492" s="4" t="s">
        <v>985</v>
      </c>
      <c r="C492" s="5" t="str">
        <f t="shared" si="10"/>
        <v xml:space="preserve"> Ms</v>
      </c>
      <c r="D492" s="5" t="str">
        <f t="shared" si="17"/>
        <v>Windt</v>
      </c>
      <c r="E492" s="5" t="str">
        <f t="shared" si="16"/>
        <v>rly E</v>
      </c>
    </row>
    <row r="493" spans="1:5" ht="15.75" customHeight="1" x14ac:dyDescent="0.3">
      <c r="A493" s="4" t="s">
        <v>986</v>
      </c>
      <c r="B493" s="4" t="s">
        <v>987</v>
      </c>
      <c r="C493" s="5" t="str">
        <f t="shared" si="10"/>
        <v>Ms.</v>
      </c>
      <c r="D493" s="5" t="str">
        <f t="shared" si="17"/>
        <v>Ryan,</v>
      </c>
      <c r="E493" s="5" t="str">
        <f t="shared" si="16"/>
        <v xml:space="preserve"> Lisa</v>
      </c>
    </row>
    <row r="494" spans="1:5" ht="15.75" customHeight="1" x14ac:dyDescent="0.3">
      <c r="A494" s="4" t="s">
        <v>988</v>
      </c>
      <c r="B494" s="4" t="s">
        <v>989</v>
      </c>
      <c r="C494" s="5" t="str">
        <f t="shared" si="10"/>
        <v>, M</v>
      </c>
      <c r="D494" s="5" t="str">
        <f t="shared" si="17"/>
        <v>Mario</v>
      </c>
      <c r="E494" s="5" t="str">
        <f t="shared" si="16"/>
        <v>tacey</v>
      </c>
    </row>
    <row r="495" spans="1:5" ht="15.75" customHeight="1" x14ac:dyDescent="0.3">
      <c r="A495" s="4" t="s">
        <v>990</v>
      </c>
      <c r="B495" s="4" t="s">
        <v>991</v>
      </c>
      <c r="C495" s="5" t="str">
        <f t="shared" si="10"/>
        <v>to,</v>
      </c>
      <c r="D495" s="5" t="str">
        <f t="shared" si="17"/>
        <v>Raffe</v>
      </c>
      <c r="E495" s="5" t="str">
        <f t="shared" si="16"/>
        <v>Louis</v>
      </c>
    </row>
    <row r="496" spans="1:5" ht="15.75" customHeight="1" x14ac:dyDescent="0.3">
      <c r="A496" s="4" t="s">
        <v>992</v>
      </c>
      <c r="B496" s="4" t="s">
        <v>993</v>
      </c>
      <c r="C496" s="5" t="str">
        <f t="shared" si="10"/>
        <v xml:space="preserve"> Mr</v>
      </c>
      <c r="D496" s="5" t="str">
        <f t="shared" si="17"/>
        <v>Young</v>
      </c>
      <c r="E496" s="5" t="str">
        <f t="shared" si="16"/>
        <v>an R.</v>
      </c>
    </row>
    <row r="497" spans="1:5" ht="15.75" customHeight="1" x14ac:dyDescent="0.3">
      <c r="A497" s="4" t="s">
        <v>994</v>
      </c>
      <c r="B497" s="4" t="s">
        <v>995</v>
      </c>
      <c r="C497" s="5" t="str">
        <f t="shared" si="10"/>
        <v>, M</v>
      </c>
      <c r="D497" s="5" t="str">
        <f t="shared" si="17"/>
        <v>Oehlk</v>
      </c>
      <c r="E497" s="5" t="str">
        <f t="shared" si="16"/>
        <v>ssica</v>
      </c>
    </row>
    <row r="498" spans="1:5" ht="15.75" customHeight="1" x14ac:dyDescent="0.3">
      <c r="A498" s="4" t="s">
        <v>996</v>
      </c>
      <c r="B498" s="4" t="s">
        <v>997</v>
      </c>
      <c r="C498" s="5" t="str">
        <f t="shared" si="10"/>
        <v xml:space="preserve"> Ms</v>
      </c>
      <c r="D498" s="5" t="str">
        <f t="shared" si="17"/>
        <v>Sudol</v>
      </c>
      <c r="E498" s="5" t="str">
        <f t="shared" si="16"/>
        <v>wn M.</v>
      </c>
    </row>
    <row r="499" spans="1:5" ht="15.75" customHeight="1" x14ac:dyDescent="0.3">
      <c r="A499" s="4" t="s">
        <v>998</v>
      </c>
      <c r="B499" s="4" t="s">
        <v>999</v>
      </c>
      <c r="C499" s="5" t="str">
        <f t="shared" si="10"/>
        <v>, M</v>
      </c>
      <c r="D499" s="5" t="str">
        <f t="shared" si="17"/>
        <v>Van E</v>
      </c>
      <c r="E499" s="5" t="str">
        <f t="shared" si="16"/>
        <v>Chris</v>
      </c>
    </row>
    <row r="500" spans="1:5" ht="15.75" customHeight="1" x14ac:dyDescent="0.3">
      <c r="A500" s="4" t="s">
        <v>1000</v>
      </c>
      <c r="B500" s="4" t="s">
        <v>1001</v>
      </c>
      <c r="C500" s="5" t="str">
        <f t="shared" si="10"/>
        <v xml:space="preserve"> Ms</v>
      </c>
      <c r="D500" s="5" t="str">
        <f t="shared" si="17"/>
        <v>Dolge</v>
      </c>
      <c r="E500" s="5" t="str">
        <f t="shared" si="16"/>
        <v>Karen</v>
      </c>
    </row>
    <row r="501" spans="1:5" ht="15.75" customHeight="1" x14ac:dyDescent="0.3">
      <c r="A501" s="4" t="s">
        <v>1002</v>
      </c>
      <c r="B501" s="4" t="s">
        <v>1003</v>
      </c>
      <c r="C501" s="5" t="str">
        <f t="shared" si="10"/>
        <v xml:space="preserve">r, </v>
      </c>
      <c r="D501" s="5" t="str">
        <f t="shared" si="17"/>
        <v>Marli</v>
      </c>
      <c r="E501" s="5" t="str">
        <f t="shared" si="16"/>
        <v>ssica</v>
      </c>
    </row>
    <row r="502" spans="1:5" ht="15.75" customHeight="1" x14ac:dyDescent="0.3">
      <c r="A502" s="4" t="s">
        <v>1004</v>
      </c>
      <c r="B502" s="4" t="s">
        <v>1005</v>
      </c>
      <c r="C502" s="5" t="str">
        <f t="shared" si="10"/>
        <v>, M</v>
      </c>
      <c r="D502" s="5" t="str">
        <f t="shared" si="17"/>
        <v>Girar</v>
      </c>
      <c r="E502" s="5" t="str">
        <f t="shared" si="16"/>
        <v>thieu</v>
      </c>
    </row>
    <row r="503" spans="1:5" ht="15.75" customHeight="1" x14ac:dyDescent="0.3">
      <c r="A503" s="4" t="s">
        <v>1006</v>
      </c>
      <c r="B503" s="4" t="s">
        <v>1007</v>
      </c>
      <c r="C503" s="5" t="str">
        <f t="shared" si="10"/>
        <v xml:space="preserve">r. </v>
      </c>
      <c r="D503" s="5" t="str">
        <f t="shared" si="17"/>
        <v xml:space="preserve">Lee, </v>
      </c>
      <c r="E503" s="5" t="str">
        <f t="shared" si="16"/>
        <v>am S.</v>
      </c>
    </row>
    <row r="504" spans="1:5" ht="15.75" customHeight="1" x14ac:dyDescent="0.3">
      <c r="A504" s="4" t="s">
        <v>1008</v>
      </c>
      <c r="B504" s="4" t="s">
        <v>1009</v>
      </c>
      <c r="C504" s="5" t="str">
        <f t="shared" si="10"/>
        <v xml:space="preserve">d, </v>
      </c>
      <c r="D504" s="5" t="str">
        <f t="shared" si="17"/>
        <v>Hubba</v>
      </c>
      <c r="E504" s="5" t="str">
        <f t="shared" si="16"/>
        <v>rie A</v>
      </c>
    </row>
    <row r="505" spans="1:5" ht="15.75" customHeight="1" x14ac:dyDescent="0.3">
      <c r="A505" s="4" t="s">
        <v>1010</v>
      </c>
      <c r="B505" s="4" t="s">
        <v>1011</v>
      </c>
      <c r="C505" s="5" t="str">
        <f t="shared" si="10"/>
        <v xml:space="preserve">r, </v>
      </c>
      <c r="D505" s="5" t="str">
        <f t="shared" si="17"/>
        <v>Koest</v>
      </c>
      <c r="E505" s="5" t="str">
        <f t="shared" si="16"/>
        <v>eya R</v>
      </c>
    </row>
    <row r="506" spans="1:5" ht="15.75" customHeight="1" x14ac:dyDescent="0.3">
      <c r="A506" s="4" t="s">
        <v>1012</v>
      </c>
      <c r="B506" s="4" t="s">
        <v>1013</v>
      </c>
      <c r="C506" s="5" t="str">
        <f t="shared" si="10"/>
        <v>ws,</v>
      </c>
      <c r="D506" s="5" t="str">
        <f t="shared" si="17"/>
        <v>Matth</v>
      </c>
      <c r="E506" s="5" t="str">
        <f t="shared" si="16"/>
        <v>nifer</v>
      </c>
    </row>
    <row r="507" spans="1:5" ht="15.75" customHeight="1" x14ac:dyDescent="0.3">
      <c r="A507" s="4" t="s">
        <v>1014</v>
      </c>
      <c r="B507" s="4" t="s">
        <v>1015</v>
      </c>
      <c r="C507" s="5" t="str">
        <f t="shared" si="10"/>
        <v>ch,</v>
      </c>
      <c r="D507" s="5" t="str">
        <f t="shared" si="17"/>
        <v>Rubin</v>
      </c>
      <c r="E507" s="5" t="str">
        <f t="shared" si="16"/>
        <v xml:space="preserve"> Kara</v>
      </c>
    </row>
    <row r="508" spans="1:5" ht="15.75" customHeight="1" x14ac:dyDescent="0.3">
      <c r="A508" s="4" t="s">
        <v>1016</v>
      </c>
      <c r="B508" s="4" t="s">
        <v>1017</v>
      </c>
      <c r="C508" s="5" t="str">
        <f t="shared" si="10"/>
        <v xml:space="preserve"> Mr</v>
      </c>
      <c r="D508" s="5" t="str">
        <f t="shared" si="17"/>
        <v>Alban</v>
      </c>
      <c r="E508" s="5" t="str">
        <f t="shared" si="16"/>
        <v>ey A.</v>
      </c>
    </row>
    <row r="509" spans="1:5" ht="15.75" customHeight="1" x14ac:dyDescent="0.3">
      <c r="A509" s="4" t="s">
        <v>1018</v>
      </c>
      <c r="B509" s="4" t="s">
        <v>1019</v>
      </c>
      <c r="C509" s="5" t="str">
        <f t="shared" si="10"/>
        <v>an,</v>
      </c>
      <c r="D509" s="5" t="str">
        <f t="shared" si="17"/>
        <v>Corco</v>
      </c>
      <c r="E509" s="5" t="str">
        <f t="shared" si="16"/>
        <v>endan</v>
      </c>
    </row>
    <row r="510" spans="1:5" ht="15.75" customHeight="1" x14ac:dyDescent="0.3">
      <c r="A510" s="4" t="s">
        <v>1020</v>
      </c>
      <c r="B510" s="4" t="s">
        <v>1021</v>
      </c>
      <c r="C510" s="5" t="str">
        <f t="shared" si="10"/>
        <v xml:space="preserve">t, </v>
      </c>
      <c r="D510" s="5" t="str">
        <f t="shared" si="17"/>
        <v>Sarge</v>
      </c>
      <c r="E510" s="5" t="str">
        <f t="shared" si="16"/>
        <v>ber R</v>
      </c>
    </row>
    <row r="511" spans="1:5" ht="15.75" customHeight="1" x14ac:dyDescent="0.3">
      <c r="A511" s="4" t="s">
        <v>1022</v>
      </c>
      <c r="B511" s="4" t="s">
        <v>1023</v>
      </c>
      <c r="C511" s="5" t="str">
        <f t="shared" si="10"/>
        <v>, M</v>
      </c>
      <c r="D511" s="5" t="str">
        <f t="shared" si="17"/>
        <v>Watso</v>
      </c>
      <c r="E511" s="5" t="str">
        <f t="shared" si="16"/>
        <v>ean K</v>
      </c>
    </row>
    <row r="512" spans="1:5" ht="15.75" customHeight="1" x14ac:dyDescent="0.3">
      <c r="A512" s="4" t="s">
        <v>1024</v>
      </c>
      <c r="B512" s="4" t="s">
        <v>1025</v>
      </c>
      <c r="C512" s="5" t="str">
        <f t="shared" si="10"/>
        <v xml:space="preserve">a, </v>
      </c>
      <c r="D512" s="5" t="str">
        <f t="shared" si="17"/>
        <v>Espon</v>
      </c>
      <c r="E512" s="5" t="str">
        <f t="shared" si="16"/>
        <v xml:space="preserve"> Rick</v>
      </c>
    </row>
    <row r="513" spans="1:5" ht="15.75" customHeight="1" x14ac:dyDescent="0.3">
      <c r="A513" s="4" t="s">
        <v>1026</v>
      </c>
      <c r="B513" s="4" t="s">
        <v>1027</v>
      </c>
      <c r="C513" s="5" t="str">
        <f t="shared" si="10"/>
        <v xml:space="preserve"> Mr</v>
      </c>
      <c r="D513" s="5" t="str">
        <f t="shared" si="17"/>
        <v>Krall</v>
      </c>
      <c r="E513" s="5" t="str">
        <f t="shared" si="16"/>
        <v>tthew</v>
      </c>
    </row>
    <row r="514" spans="1:5" ht="15.75" customHeight="1" x14ac:dyDescent="0.3">
      <c r="A514" s="4" t="s">
        <v>1028</v>
      </c>
      <c r="B514" s="4" t="s">
        <v>1029</v>
      </c>
      <c r="C514" s="5" t="str">
        <f t="shared" si="10"/>
        <v>, M</v>
      </c>
      <c r="D514" s="5" t="str">
        <f t="shared" si="17"/>
        <v>Poski</v>
      </c>
      <c r="E514" s="5" t="str">
        <f t="shared" ref="E514:E577" si="18">RIGHT(B514,5)</f>
        <v>Brady</v>
      </c>
    </row>
    <row r="515" spans="1:5" ht="15.75" customHeight="1" x14ac:dyDescent="0.3">
      <c r="A515" s="4" t="s">
        <v>1030</v>
      </c>
      <c r="B515" s="4" t="s">
        <v>1031</v>
      </c>
      <c r="C515" s="5" t="str">
        <f t="shared" si="10"/>
        <v>nn,</v>
      </c>
      <c r="D515" s="5" t="str">
        <f t="shared" si="17"/>
        <v>Halfm</v>
      </c>
      <c r="E515" s="5" t="str">
        <f t="shared" si="18"/>
        <v>ameko</v>
      </c>
    </row>
    <row r="516" spans="1:5" ht="15.75" customHeight="1" x14ac:dyDescent="0.3">
      <c r="A516" s="4" t="s">
        <v>1032</v>
      </c>
      <c r="B516" s="4" t="s">
        <v>1033</v>
      </c>
      <c r="C516" s="5" t="str">
        <f t="shared" si="10"/>
        <v xml:space="preserve">r, </v>
      </c>
      <c r="D516" s="5" t="str">
        <f t="shared" si="17"/>
        <v>Klapp</v>
      </c>
      <c r="E516" s="5" t="str">
        <f t="shared" si="18"/>
        <v>emy A</v>
      </c>
    </row>
    <row r="517" spans="1:5" ht="15.75" customHeight="1" x14ac:dyDescent="0.3">
      <c r="A517" s="4" t="s">
        <v>1034</v>
      </c>
      <c r="B517" s="4" t="s">
        <v>1035</v>
      </c>
      <c r="C517" s="5" t="str">
        <f t="shared" si="10"/>
        <v>, M</v>
      </c>
      <c r="D517" s="5" t="str">
        <f t="shared" si="17"/>
        <v>Georg</v>
      </c>
      <c r="E517" s="5" t="str">
        <f t="shared" si="18"/>
        <v>aniel</v>
      </c>
    </row>
    <row r="518" spans="1:5" ht="15.75" customHeight="1" x14ac:dyDescent="0.3">
      <c r="A518" s="4" t="s">
        <v>1036</v>
      </c>
      <c r="B518" s="4" t="s">
        <v>1037</v>
      </c>
      <c r="C518" s="5" t="str">
        <f t="shared" si="10"/>
        <v xml:space="preserve"> Ms</v>
      </c>
      <c r="D518" s="5" t="str">
        <f t="shared" si="17"/>
        <v>Hicks</v>
      </c>
      <c r="E518" s="5" t="str">
        <f t="shared" si="18"/>
        <v>manda</v>
      </c>
    </row>
    <row r="519" spans="1:5" ht="15.75" customHeight="1" x14ac:dyDescent="0.3">
      <c r="A519" s="4" t="s">
        <v>1038</v>
      </c>
      <c r="B519" s="4" t="s">
        <v>1039</v>
      </c>
      <c r="C519" s="5" t="str">
        <f t="shared" si="10"/>
        <v xml:space="preserve">r, </v>
      </c>
      <c r="D519" s="5" t="str">
        <f t="shared" si="17"/>
        <v>Locky</v>
      </c>
      <c r="E519" s="5" t="str">
        <f t="shared" si="18"/>
        <v>Karen</v>
      </c>
    </row>
    <row r="520" spans="1:5" ht="15.75" customHeight="1" x14ac:dyDescent="0.3">
      <c r="A520" s="4" t="s">
        <v>1040</v>
      </c>
      <c r="B520" s="4" t="s">
        <v>1041</v>
      </c>
      <c r="C520" s="5" t="str">
        <f t="shared" si="10"/>
        <v>, M</v>
      </c>
      <c r="D520" s="5" t="str">
        <f t="shared" si="17"/>
        <v>Byrne</v>
      </c>
      <c r="E520" s="5" t="str">
        <f t="shared" si="18"/>
        <v>egory</v>
      </c>
    </row>
    <row r="521" spans="1:5" ht="15.75" customHeight="1" x14ac:dyDescent="0.3">
      <c r="A521" s="4" t="s">
        <v>1042</v>
      </c>
      <c r="B521" s="4" t="s">
        <v>1043</v>
      </c>
      <c r="C521" s="5" t="str">
        <f t="shared" si="10"/>
        <v>, M</v>
      </c>
      <c r="D521" s="5" t="str">
        <f t="shared" si="17"/>
        <v>Norri</v>
      </c>
      <c r="E521" s="5" t="str">
        <f t="shared" si="18"/>
        <v>abine</v>
      </c>
    </row>
    <row r="522" spans="1:5" ht="15.75" customHeight="1" x14ac:dyDescent="0.3">
      <c r="A522" s="4" t="s">
        <v>1044</v>
      </c>
      <c r="B522" s="4" t="s">
        <v>1045</v>
      </c>
      <c r="C522" s="5" t="str">
        <f t="shared" si="10"/>
        <v xml:space="preserve"> Mr</v>
      </c>
      <c r="D522" s="5" t="str">
        <f t="shared" si="17"/>
        <v>Darda</v>
      </c>
      <c r="E522" s="5" t="str">
        <f t="shared" si="18"/>
        <v>oseph</v>
      </c>
    </row>
    <row r="523" spans="1:5" ht="15.75" customHeight="1" x14ac:dyDescent="0.3">
      <c r="A523" s="4" t="s">
        <v>1046</v>
      </c>
      <c r="B523" s="4" t="s">
        <v>1047</v>
      </c>
      <c r="C523" s="5" t="str">
        <f t="shared" si="10"/>
        <v>, M</v>
      </c>
      <c r="D523" s="5" t="str">
        <f t="shared" si="17"/>
        <v>Otsto</v>
      </c>
      <c r="E523" s="5" t="str">
        <f t="shared" si="18"/>
        <v xml:space="preserve"> Adam</v>
      </c>
    </row>
    <row r="524" spans="1:5" ht="15.75" customHeight="1" x14ac:dyDescent="0.3">
      <c r="A524" s="4" t="s">
        <v>1048</v>
      </c>
      <c r="B524" s="4" t="s">
        <v>1049</v>
      </c>
      <c r="C524" s="5" t="str">
        <f t="shared" si="10"/>
        <v>, M</v>
      </c>
      <c r="D524" s="5" t="str">
        <f t="shared" si="17"/>
        <v>Bowle</v>
      </c>
      <c r="E524" s="5" t="str">
        <f t="shared" si="18"/>
        <v>lyn A</v>
      </c>
    </row>
    <row r="525" spans="1:5" ht="15.75" customHeight="1" x14ac:dyDescent="0.3">
      <c r="A525" s="4" t="s">
        <v>1050</v>
      </c>
      <c r="B525" s="4" t="s">
        <v>1051</v>
      </c>
      <c r="C525" s="5" t="str">
        <f t="shared" si="10"/>
        <v>, M</v>
      </c>
      <c r="D525" s="5" t="str">
        <f t="shared" si="17"/>
        <v>Roger</v>
      </c>
      <c r="E525" s="5" t="str">
        <f t="shared" si="18"/>
        <v>ta L.</v>
      </c>
    </row>
    <row r="526" spans="1:5" ht="15.75" customHeight="1" x14ac:dyDescent="0.3">
      <c r="A526" s="4" t="s">
        <v>1052</v>
      </c>
      <c r="B526" s="4" t="s">
        <v>1053</v>
      </c>
      <c r="C526" s="5" t="str">
        <f t="shared" si="10"/>
        <v>hli</v>
      </c>
      <c r="D526" s="5" t="str">
        <f t="shared" si="17"/>
        <v>Mclau</v>
      </c>
      <c r="E526" s="5" t="str">
        <f t="shared" si="18"/>
        <v>ra E.</v>
      </c>
    </row>
    <row r="527" spans="1:5" ht="15.75" customHeight="1" x14ac:dyDescent="0.3">
      <c r="A527" s="4" t="s">
        <v>1054</v>
      </c>
      <c r="B527" s="4" t="s">
        <v>1055</v>
      </c>
      <c r="C527" s="5" t="str">
        <f t="shared" si="10"/>
        <v xml:space="preserve">r, </v>
      </c>
      <c r="D527" s="5" t="str">
        <f t="shared" si="17"/>
        <v>Ziegl</v>
      </c>
      <c r="E527" s="5" t="str">
        <f t="shared" si="18"/>
        <v>Sarah</v>
      </c>
    </row>
    <row r="528" spans="1:5" ht="15.75" customHeight="1" x14ac:dyDescent="0.3">
      <c r="A528" s="4" t="s">
        <v>1056</v>
      </c>
      <c r="B528" s="4" t="s">
        <v>1057</v>
      </c>
      <c r="C528" s="5" t="str">
        <f t="shared" ref="C528:C782" si="19">MID(B528,7,3)</f>
        <v>, M</v>
      </c>
      <c r="D528" s="5" t="str">
        <f t="shared" si="17"/>
        <v>Hughe</v>
      </c>
      <c r="E528" s="5" t="str">
        <f t="shared" si="18"/>
        <v>ley E</v>
      </c>
    </row>
    <row r="529" spans="1:5" ht="15.75" customHeight="1" x14ac:dyDescent="0.3">
      <c r="A529" s="4" t="s">
        <v>1058</v>
      </c>
      <c r="B529" s="4" t="s">
        <v>1059</v>
      </c>
      <c r="C529" s="5" t="str">
        <f t="shared" si="19"/>
        <v xml:space="preserve"> Ms</v>
      </c>
      <c r="D529" s="5" t="str">
        <f t="shared" ref="D529:D592" si="20">LEFT(B529,5)</f>
        <v>Knast</v>
      </c>
      <c r="E529" s="5" t="str">
        <f t="shared" si="18"/>
        <v>ndsey</v>
      </c>
    </row>
    <row r="530" spans="1:5" ht="15.75" customHeight="1" x14ac:dyDescent="0.3">
      <c r="A530" s="4" t="s">
        <v>1060</v>
      </c>
      <c r="B530" s="4" t="s">
        <v>1061</v>
      </c>
      <c r="C530" s="5" t="str">
        <f t="shared" si="19"/>
        <v>Mr.</v>
      </c>
      <c r="D530" s="5" t="str">
        <f t="shared" si="20"/>
        <v>Stob,</v>
      </c>
      <c r="E530" s="5" t="str">
        <f t="shared" si="18"/>
        <v xml:space="preserve"> Alan</v>
      </c>
    </row>
    <row r="531" spans="1:5" ht="15.75" customHeight="1" x14ac:dyDescent="0.3">
      <c r="A531" s="4" t="s">
        <v>1062</v>
      </c>
      <c r="B531" s="4" t="s">
        <v>1063</v>
      </c>
      <c r="C531" s="5" t="str">
        <f t="shared" si="19"/>
        <v>, M</v>
      </c>
      <c r="D531" s="5" t="str">
        <f t="shared" si="20"/>
        <v>Jense</v>
      </c>
      <c r="E531" s="5" t="str">
        <f t="shared" si="18"/>
        <v>an R.</v>
      </c>
    </row>
    <row r="532" spans="1:5" ht="15.75" customHeight="1" x14ac:dyDescent="0.3">
      <c r="A532" s="4" t="s">
        <v>1064</v>
      </c>
      <c r="B532" s="4" t="s">
        <v>1065</v>
      </c>
      <c r="C532" s="5" t="str">
        <f t="shared" si="19"/>
        <v>, M</v>
      </c>
      <c r="D532" s="5" t="str">
        <f t="shared" si="20"/>
        <v>Mutte</v>
      </c>
      <c r="E532" s="5" t="str">
        <f t="shared" si="18"/>
        <v>Katie</v>
      </c>
    </row>
    <row r="533" spans="1:5" ht="15.75" customHeight="1" x14ac:dyDescent="0.3">
      <c r="A533" s="4" t="s">
        <v>1066</v>
      </c>
      <c r="B533" s="4" t="s">
        <v>1067</v>
      </c>
      <c r="C533" s="5" t="str">
        <f t="shared" si="19"/>
        <v xml:space="preserve"> Mr</v>
      </c>
      <c r="D533" s="5" t="str">
        <f t="shared" si="20"/>
        <v>Ahern</v>
      </c>
      <c r="E533" s="5" t="str">
        <f t="shared" si="18"/>
        <v xml:space="preserve"> Eric</v>
      </c>
    </row>
    <row r="534" spans="1:5" ht="15.75" customHeight="1" x14ac:dyDescent="0.3">
      <c r="A534" s="4" t="s">
        <v>1068</v>
      </c>
      <c r="B534" s="4" t="s">
        <v>1069</v>
      </c>
      <c r="C534" s="5" t="str">
        <f t="shared" si="19"/>
        <v xml:space="preserve">k, </v>
      </c>
      <c r="D534" s="5" t="str">
        <f t="shared" si="20"/>
        <v>Chvir</v>
      </c>
      <c r="E534" s="5" t="str">
        <f t="shared" si="18"/>
        <v>thryn</v>
      </c>
    </row>
    <row r="535" spans="1:5" ht="15.75" customHeight="1" x14ac:dyDescent="0.3">
      <c r="A535" s="4" t="s">
        <v>1070</v>
      </c>
      <c r="B535" s="4" t="s">
        <v>1071</v>
      </c>
      <c r="C535" s="5" t="str">
        <f t="shared" si="19"/>
        <v>, M</v>
      </c>
      <c r="D535" s="5" t="str">
        <f t="shared" si="20"/>
        <v>Meeha</v>
      </c>
      <c r="E535" s="5" t="str">
        <f t="shared" si="18"/>
        <v>endan</v>
      </c>
    </row>
    <row r="536" spans="1:5" ht="15.75" customHeight="1" x14ac:dyDescent="0.3">
      <c r="A536" s="4" t="s">
        <v>1072</v>
      </c>
      <c r="B536" s="4" t="s">
        <v>1073</v>
      </c>
      <c r="C536" s="5" t="str">
        <f t="shared" si="19"/>
        <v>, M</v>
      </c>
      <c r="D536" s="5" t="str">
        <f t="shared" si="20"/>
        <v>Gammo</v>
      </c>
      <c r="E536" s="5" t="str">
        <f t="shared" si="18"/>
        <v>hauna</v>
      </c>
    </row>
    <row r="537" spans="1:5" ht="15.75" customHeight="1" x14ac:dyDescent="0.3">
      <c r="A537" s="4" t="s">
        <v>1074</v>
      </c>
      <c r="B537" s="4" t="s">
        <v>1075</v>
      </c>
      <c r="C537" s="5" t="str">
        <f t="shared" si="19"/>
        <v xml:space="preserve">r. </v>
      </c>
      <c r="D537" s="5" t="str">
        <f t="shared" si="20"/>
        <v xml:space="preserve">Lee, </v>
      </c>
      <c r="E537" s="5" t="str">
        <f t="shared" si="18"/>
        <v>rence</v>
      </c>
    </row>
    <row r="538" spans="1:5" ht="15.75" customHeight="1" x14ac:dyDescent="0.3">
      <c r="A538" s="4" t="s">
        <v>1076</v>
      </c>
      <c r="B538" s="4" t="s">
        <v>1077</v>
      </c>
      <c r="C538" s="5" t="str">
        <f t="shared" si="19"/>
        <v>, M</v>
      </c>
      <c r="D538" s="5" t="str">
        <f t="shared" si="20"/>
        <v>Franc</v>
      </c>
      <c r="E538" s="5" t="str">
        <f t="shared" si="18"/>
        <v>risol</v>
      </c>
    </row>
    <row r="539" spans="1:5" ht="15.75" customHeight="1" x14ac:dyDescent="0.3">
      <c r="A539" s="4" t="s">
        <v>1078</v>
      </c>
      <c r="B539" s="4" t="s">
        <v>1079</v>
      </c>
      <c r="C539" s="5" t="str">
        <f t="shared" si="19"/>
        <v>son</v>
      </c>
      <c r="D539" s="5" t="str">
        <f t="shared" si="20"/>
        <v>Patte</v>
      </c>
      <c r="E539" s="5" t="str">
        <f t="shared" si="18"/>
        <v>ndsay</v>
      </c>
    </row>
    <row r="540" spans="1:5" ht="15.75" customHeight="1" x14ac:dyDescent="0.3">
      <c r="A540" s="4" t="s">
        <v>1080</v>
      </c>
      <c r="B540" s="4" t="s">
        <v>1081</v>
      </c>
      <c r="C540" s="5" t="str">
        <f t="shared" si="19"/>
        <v>, M</v>
      </c>
      <c r="D540" s="5" t="str">
        <f t="shared" si="20"/>
        <v>Valde</v>
      </c>
      <c r="E540" s="5" t="str">
        <f t="shared" si="18"/>
        <v>Katie</v>
      </c>
    </row>
    <row r="541" spans="1:5" ht="15.75" customHeight="1" x14ac:dyDescent="0.3">
      <c r="A541" s="4" t="s">
        <v>1082</v>
      </c>
      <c r="B541" s="4" t="s">
        <v>1083</v>
      </c>
      <c r="C541" s="5" t="str">
        <f t="shared" si="19"/>
        <v xml:space="preserve"> Mr</v>
      </c>
      <c r="D541" s="5" t="str">
        <f t="shared" si="20"/>
        <v>Craig</v>
      </c>
      <c r="E541" s="5" t="str">
        <f t="shared" si="18"/>
        <v>aniel</v>
      </c>
    </row>
    <row r="542" spans="1:5" ht="15.75" customHeight="1" x14ac:dyDescent="0.3">
      <c r="A542" s="4" t="s">
        <v>1084</v>
      </c>
      <c r="B542" s="4" t="s">
        <v>1085</v>
      </c>
      <c r="C542" s="5" t="str">
        <f t="shared" si="19"/>
        <v xml:space="preserve">e, </v>
      </c>
      <c r="D542" s="5" t="str">
        <f t="shared" si="20"/>
        <v>Whipp</v>
      </c>
      <c r="E542" s="5" t="str">
        <f t="shared" si="18"/>
        <v>ett W</v>
      </c>
    </row>
    <row r="543" spans="1:5" ht="15.75" customHeight="1" x14ac:dyDescent="0.3">
      <c r="A543" s="4" t="s">
        <v>1086</v>
      </c>
      <c r="B543" s="4" t="s">
        <v>1087</v>
      </c>
      <c r="C543" s="5" t="str">
        <f t="shared" si="19"/>
        <v>, M</v>
      </c>
      <c r="D543" s="5" t="str">
        <f t="shared" si="20"/>
        <v>Marto</v>
      </c>
      <c r="E543" s="5" t="str">
        <f t="shared" si="18"/>
        <v>lan J</v>
      </c>
    </row>
    <row r="544" spans="1:5" ht="15.75" customHeight="1" x14ac:dyDescent="0.3">
      <c r="A544" s="4" t="s">
        <v>1088</v>
      </c>
      <c r="B544" s="4" t="s">
        <v>1089</v>
      </c>
      <c r="C544" s="5" t="str">
        <f t="shared" si="19"/>
        <v>ran</v>
      </c>
      <c r="D544" s="5" t="str">
        <f t="shared" si="20"/>
        <v>Hilde</v>
      </c>
      <c r="E544" s="5" t="str">
        <f t="shared" si="18"/>
        <v>abeth</v>
      </c>
    </row>
    <row r="545" spans="1:5" ht="15.75" customHeight="1" x14ac:dyDescent="0.3">
      <c r="A545" s="4" t="s">
        <v>1090</v>
      </c>
      <c r="B545" s="4" t="s">
        <v>1091</v>
      </c>
      <c r="C545" s="5" t="str">
        <f t="shared" si="19"/>
        <v xml:space="preserve"> Ms</v>
      </c>
      <c r="D545" s="5" t="str">
        <f t="shared" si="20"/>
        <v>Biggs</v>
      </c>
      <c r="E545" s="5" t="str">
        <f t="shared" si="18"/>
        <v>ke M.</v>
      </c>
    </row>
    <row r="546" spans="1:5" ht="15.75" customHeight="1" x14ac:dyDescent="0.3">
      <c r="A546" s="4" t="s">
        <v>1092</v>
      </c>
      <c r="B546" s="4" t="s">
        <v>1093</v>
      </c>
      <c r="C546" s="5" t="str">
        <f t="shared" si="19"/>
        <v>umi</v>
      </c>
      <c r="D546" s="5" t="str">
        <f t="shared" si="20"/>
        <v>Shige</v>
      </c>
      <c r="E546" s="5" t="str">
        <f t="shared" si="18"/>
        <v>Teiko</v>
      </c>
    </row>
    <row r="547" spans="1:5" ht="15.75" customHeight="1" x14ac:dyDescent="0.3">
      <c r="A547" s="4" t="s">
        <v>1094</v>
      </c>
      <c r="B547" s="4" t="s">
        <v>1095</v>
      </c>
      <c r="C547" s="5" t="str">
        <f t="shared" si="19"/>
        <v xml:space="preserve">e, </v>
      </c>
      <c r="D547" s="5" t="str">
        <f t="shared" si="20"/>
        <v>Meine</v>
      </c>
      <c r="E547" s="5" t="str">
        <f t="shared" si="18"/>
        <v>chary</v>
      </c>
    </row>
    <row r="548" spans="1:5" ht="15.75" customHeight="1" x14ac:dyDescent="0.3">
      <c r="A548" s="4" t="s">
        <v>1096</v>
      </c>
      <c r="B548" s="4" t="s">
        <v>1097</v>
      </c>
      <c r="C548" s="5" t="str">
        <f t="shared" si="19"/>
        <v>ton</v>
      </c>
      <c r="D548" s="5" t="str">
        <f t="shared" si="20"/>
        <v>Ludin</v>
      </c>
      <c r="E548" s="5" t="str">
        <f t="shared" si="18"/>
        <v>annah</v>
      </c>
    </row>
    <row r="549" spans="1:5" ht="15.75" customHeight="1" x14ac:dyDescent="0.3">
      <c r="A549" s="4" t="s">
        <v>1098</v>
      </c>
      <c r="B549" s="4" t="s">
        <v>1099</v>
      </c>
      <c r="C549" s="5" t="str">
        <f t="shared" si="19"/>
        <v xml:space="preserve">h, </v>
      </c>
      <c r="D549" s="5" t="str">
        <f t="shared" si="20"/>
        <v>Perri</v>
      </c>
      <c r="E549" s="5" t="str">
        <f t="shared" si="18"/>
        <v>yan A</v>
      </c>
    </row>
    <row r="550" spans="1:5" ht="15.75" customHeight="1" x14ac:dyDescent="0.3">
      <c r="A550" s="4" t="s">
        <v>1100</v>
      </c>
      <c r="B550" s="4" t="s">
        <v>1101</v>
      </c>
      <c r="C550" s="5" t="str">
        <f t="shared" si="19"/>
        <v>tes</v>
      </c>
      <c r="D550" s="5" t="str">
        <f t="shared" si="20"/>
        <v>Cerva</v>
      </c>
      <c r="E550" s="5" t="str">
        <f t="shared" si="18"/>
        <v>s Sr.</v>
      </c>
    </row>
    <row r="551" spans="1:5" ht="15.75" customHeight="1" x14ac:dyDescent="0.3">
      <c r="A551" s="4" t="s">
        <v>1102</v>
      </c>
      <c r="B551" s="4" t="s">
        <v>1103</v>
      </c>
      <c r="C551" s="5" t="str">
        <f t="shared" si="19"/>
        <v xml:space="preserve">s, </v>
      </c>
      <c r="D551" s="5" t="str">
        <f t="shared" si="20"/>
        <v>Andre</v>
      </c>
      <c r="E551" s="5" t="str">
        <f t="shared" si="18"/>
        <v>Bryan</v>
      </c>
    </row>
    <row r="552" spans="1:5" ht="15.75" customHeight="1" x14ac:dyDescent="0.3">
      <c r="A552" s="4" t="s">
        <v>1104</v>
      </c>
      <c r="B552" s="4" t="s">
        <v>1105</v>
      </c>
      <c r="C552" s="5" t="str">
        <f t="shared" si="19"/>
        <v>aba</v>
      </c>
      <c r="D552" s="5" t="str">
        <f t="shared" si="20"/>
        <v>Ruval</v>
      </c>
      <c r="E552" s="5" t="str">
        <f t="shared" si="18"/>
        <v>zette</v>
      </c>
    </row>
    <row r="553" spans="1:5" ht="15.75" customHeight="1" x14ac:dyDescent="0.3">
      <c r="A553" s="4" t="s">
        <v>1106</v>
      </c>
      <c r="B553" s="4" t="s">
        <v>1107</v>
      </c>
      <c r="C553" s="5" t="str">
        <f t="shared" si="19"/>
        <v>Mr.</v>
      </c>
      <c r="D553" s="5" t="str">
        <f t="shared" si="20"/>
        <v>King,</v>
      </c>
      <c r="E553" s="5" t="str">
        <f t="shared" si="18"/>
        <v xml:space="preserve">  Don</v>
      </c>
    </row>
    <row r="554" spans="1:5" ht="15.75" customHeight="1" x14ac:dyDescent="0.3">
      <c r="A554" s="4" t="s">
        <v>1108</v>
      </c>
      <c r="B554" s="4" t="s">
        <v>1109</v>
      </c>
      <c r="C554" s="5" t="str">
        <f t="shared" si="19"/>
        <v xml:space="preserve"> Mr</v>
      </c>
      <c r="D554" s="5" t="str">
        <f t="shared" si="20"/>
        <v>Stone</v>
      </c>
      <c r="E554" s="5" t="str">
        <f t="shared" si="18"/>
        <v xml:space="preserve">  Jeb</v>
      </c>
    </row>
    <row r="555" spans="1:5" ht="15.75" customHeight="1" x14ac:dyDescent="0.3">
      <c r="A555" s="4" t="s">
        <v>1110</v>
      </c>
      <c r="B555" s="4" t="s">
        <v>1111</v>
      </c>
      <c r="C555" s="5" t="str">
        <f t="shared" si="19"/>
        <v>ll,</v>
      </c>
      <c r="D555" s="5" t="str">
        <f t="shared" si="20"/>
        <v>Campb</v>
      </c>
      <c r="E555" s="5" t="str">
        <f t="shared" si="18"/>
        <v>my R.</v>
      </c>
    </row>
    <row r="556" spans="1:5" ht="15.75" customHeight="1" x14ac:dyDescent="0.3">
      <c r="A556" s="4" t="s">
        <v>1112</v>
      </c>
      <c r="B556" s="4" t="s">
        <v>1113</v>
      </c>
      <c r="C556" s="5" t="str">
        <f t="shared" si="19"/>
        <v xml:space="preserve"> Mr</v>
      </c>
      <c r="D556" s="5" t="str">
        <f t="shared" si="20"/>
        <v>Asher</v>
      </c>
      <c r="E556" s="5" t="str">
        <f t="shared" si="18"/>
        <v>Brian</v>
      </c>
    </row>
    <row r="557" spans="1:5" ht="15.75" customHeight="1" x14ac:dyDescent="0.3">
      <c r="A557" s="4" t="s">
        <v>1114</v>
      </c>
      <c r="B557" s="4" t="s">
        <v>1115</v>
      </c>
      <c r="C557" s="5" t="str">
        <f t="shared" si="19"/>
        <v>ta,</v>
      </c>
      <c r="D557" s="5" t="str">
        <f t="shared" si="20"/>
        <v>Mazzo</v>
      </c>
      <c r="E557" s="5" t="str">
        <f t="shared" si="18"/>
        <v>ike G</v>
      </c>
    </row>
    <row r="558" spans="1:5" ht="15.75" customHeight="1" x14ac:dyDescent="0.3">
      <c r="A558" s="4" t="s">
        <v>1116</v>
      </c>
      <c r="B558" s="4" t="s">
        <v>1117</v>
      </c>
      <c r="C558" s="5" t="str">
        <f t="shared" si="19"/>
        <v xml:space="preserve"> Ms</v>
      </c>
      <c r="D558" s="5" t="str">
        <f t="shared" si="20"/>
        <v>Huttl</v>
      </c>
      <c r="E558" s="5" t="str">
        <f t="shared" si="18"/>
        <v>e Sr.</v>
      </c>
    </row>
    <row r="559" spans="1:5" ht="15.75" customHeight="1" x14ac:dyDescent="0.3">
      <c r="A559" s="4" t="s">
        <v>1118</v>
      </c>
      <c r="B559" s="4" t="s">
        <v>1119</v>
      </c>
      <c r="C559" s="5" t="str">
        <f t="shared" si="19"/>
        <v>, M</v>
      </c>
      <c r="D559" s="5" t="str">
        <f t="shared" si="20"/>
        <v>Ferro</v>
      </c>
      <c r="E559" s="5" t="str">
        <f t="shared" si="18"/>
        <v>holas</v>
      </c>
    </row>
    <row r="560" spans="1:5" ht="15.75" customHeight="1" x14ac:dyDescent="0.3">
      <c r="A560" s="4" t="s">
        <v>1120</v>
      </c>
      <c r="B560" s="4" t="s">
        <v>1121</v>
      </c>
      <c r="C560" s="5" t="str">
        <f t="shared" si="19"/>
        <v>sso</v>
      </c>
      <c r="D560" s="5" t="str">
        <f t="shared" si="20"/>
        <v>Colar</v>
      </c>
      <c r="E560" s="5" t="str">
        <f t="shared" si="18"/>
        <v>ela M</v>
      </c>
    </row>
    <row r="561" spans="1:5" ht="15.75" customHeight="1" x14ac:dyDescent="0.3">
      <c r="A561" s="4" t="s">
        <v>1122</v>
      </c>
      <c r="B561" s="4" t="s">
        <v>1123</v>
      </c>
      <c r="C561" s="5" t="str">
        <f t="shared" si="19"/>
        <v>an,</v>
      </c>
      <c r="D561" s="5" t="str">
        <f t="shared" si="20"/>
        <v>Pearl</v>
      </c>
      <c r="E561" s="5" t="str">
        <f t="shared" si="18"/>
        <v>.  Oz</v>
      </c>
    </row>
    <row r="562" spans="1:5" ht="15.75" customHeight="1" x14ac:dyDescent="0.3">
      <c r="A562" s="4" t="s">
        <v>1124</v>
      </c>
      <c r="B562" s="4" t="s">
        <v>1125</v>
      </c>
      <c r="C562" s="5" t="str">
        <f t="shared" si="19"/>
        <v>, M</v>
      </c>
      <c r="D562" s="5" t="str">
        <f t="shared" si="20"/>
        <v>O'Mar</v>
      </c>
      <c r="E562" s="5" t="str">
        <f t="shared" si="18"/>
        <v>in M.</v>
      </c>
    </row>
    <row r="563" spans="1:5" ht="15.75" customHeight="1" x14ac:dyDescent="0.3">
      <c r="A563" s="4" t="s">
        <v>1126</v>
      </c>
      <c r="B563" s="4" t="s">
        <v>1127</v>
      </c>
      <c r="C563" s="5" t="str">
        <f t="shared" si="19"/>
        <v xml:space="preserve"> Mr</v>
      </c>
      <c r="D563" s="5" t="str">
        <f t="shared" si="20"/>
        <v>Niska</v>
      </c>
      <c r="E563" s="5" t="str">
        <f t="shared" si="18"/>
        <v>by E.</v>
      </c>
    </row>
    <row r="564" spans="1:5" ht="15.75" customHeight="1" x14ac:dyDescent="0.3">
      <c r="A564" s="4" t="s">
        <v>1128</v>
      </c>
      <c r="B564" s="4" t="s">
        <v>1129</v>
      </c>
      <c r="C564" s="5" t="str">
        <f t="shared" si="19"/>
        <v xml:space="preserve">h, </v>
      </c>
      <c r="D564" s="5" t="str">
        <f t="shared" si="20"/>
        <v>Schli</v>
      </c>
      <c r="E564" s="5" t="str">
        <f t="shared" si="18"/>
        <v>el P.</v>
      </c>
    </row>
    <row r="565" spans="1:5" ht="15.75" customHeight="1" x14ac:dyDescent="0.3">
      <c r="A565" s="4" t="s">
        <v>1130</v>
      </c>
      <c r="B565" s="4" t="s">
        <v>1131</v>
      </c>
      <c r="C565" s="5" t="str">
        <f t="shared" si="19"/>
        <v xml:space="preserve"> Ms</v>
      </c>
      <c r="D565" s="5" t="str">
        <f t="shared" si="20"/>
        <v>Zidek</v>
      </c>
      <c r="E565" s="5" t="str">
        <f t="shared" si="18"/>
        <v>ie E.</v>
      </c>
    </row>
    <row r="566" spans="1:5" ht="15.75" customHeight="1" x14ac:dyDescent="0.3">
      <c r="A566" s="4" t="s">
        <v>1132</v>
      </c>
      <c r="B566" s="4" t="s">
        <v>1133</v>
      </c>
      <c r="C566" s="5" t="str">
        <f t="shared" si="19"/>
        <v xml:space="preserve">s, </v>
      </c>
      <c r="D566" s="5" t="str">
        <f t="shared" si="20"/>
        <v>Ellga</v>
      </c>
      <c r="E566" s="5" t="str">
        <f t="shared" si="18"/>
        <v>Katie</v>
      </c>
    </row>
    <row r="567" spans="1:5" ht="15.75" customHeight="1" x14ac:dyDescent="0.3">
      <c r="A567" s="4" t="s">
        <v>1134</v>
      </c>
      <c r="B567" s="4" t="s">
        <v>1135</v>
      </c>
      <c r="C567" s="5" t="str">
        <f t="shared" si="19"/>
        <v>Mr.</v>
      </c>
      <c r="D567" s="5" t="str">
        <f t="shared" si="20"/>
        <v>Lowe,</v>
      </c>
      <c r="E567" s="5" t="str">
        <f t="shared" si="18"/>
        <v>ric D</v>
      </c>
    </row>
    <row r="568" spans="1:5" ht="15.75" customHeight="1" x14ac:dyDescent="0.3">
      <c r="A568" s="4" t="s">
        <v>1136</v>
      </c>
      <c r="B568" s="4" t="s">
        <v>1137</v>
      </c>
      <c r="C568" s="5" t="str">
        <f t="shared" si="19"/>
        <v>, M</v>
      </c>
      <c r="D568" s="5" t="str">
        <f t="shared" si="20"/>
        <v>Malon</v>
      </c>
      <c r="E568" s="5" t="str">
        <f t="shared" si="18"/>
        <v xml:space="preserve"> Tara</v>
      </c>
    </row>
    <row r="569" spans="1:5" ht="15.75" customHeight="1" x14ac:dyDescent="0.3">
      <c r="A569" s="4" t="s">
        <v>1138</v>
      </c>
      <c r="B569" s="4" t="s">
        <v>1139</v>
      </c>
      <c r="C569" s="5" t="str">
        <f t="shared" si="19"/>
        <v xml:space="preserve"> Ms</v>
      </c>
      <c r="D569" s="5" t="str">
        <f t="shared" si="20"/>
        <v>Dumke</v>
      </c>
      <c r="E569" s="5" t="str">
        <f t="shared" si="18"/>
        <v>ley L</v>
      </c>
    </row>
    <row r="570" spans="1:5" ht="15.75" customHeight="1" x14ac:dyDescent="0.3">
      <c r="A570" s="4" t="s">
        <v>1140</v>
      </c>
      <c r="B570" s="4" t="s">
        <v>1141</v>
      </c>
      <c r="C570" s="5" t="str">
        <f t="shared" si="19"/>
        <v>, M</v>
      </c>
      <c r="D570" s="5" t="str">
        <f t="shared" si="20"/>
        <v>Stron</v>
      </c>
      <c r="E570" s="5" t="str">
        <f t="shared" si="18"/>
        <v>la B.</v>
      </c>
    </row>
    <row r="571" spans="1:5" ht="15.75" customHeight="1" x14ac:dyDescent="0.3">
      <c r="A571" s="4" t="s">
        <v>1142</v>
      </c>
      <c r="B571" s="4" t="s">
        <v>1143</v>
      </c>
      <c r="C571" s="5" t="str">
        <f t="shared" si="19"/>
        <v>on,</v>
      </c>
      <c r="D571" s="5" t="str">
        <f t="shared" si="20"/>
        <v>Fergu</v>
      </c>
      <c r="E571" s="5" t="str">
        <f t="shared" si="18"/>
        <v>rk D.</v>
      </c>
    </row>
    <row r="572" spans="1:5" ht="15.75" customHeight="1" x14ac:dyDescent="0.3">
      <c r="A572" s="4" t="s">
        <v>1144</v>
      </c>
      <c r="B572" s="4" t="s">
        <v>1145</v>
      </c>
      <c r="C572" s="5" t="str">
        <f t="shared" si="19"/>
        <v xml:space="preserve"> Mr</v>
      </c>
      <c r="D572" s="5" t="str">
        <f t="shared" si="20"/>
        <v>Klein</v>
      </c>
      <c r="E572" s="5" t="str">
        <f t="shared" si="18"/>
        <v>ck J.</v>
      </c>
    </row>
    <row r="573" spans="1:5" ht="15.75" customHeight="1" x14ac:dyDescent="0.3">
      <c r="A573" s="4" t="s">
        <v>1146</v>
      </c>
      <c r="B573" s="4" t="s">
        <v>1147</v>
      </c>
      <c r="C573" s="5" t="str">
        <f t="shared" si="19"/>
        <v xml:space="preserve">o, </v>
      </c>
      <c r="D573" s="5" t="str">
        <f t="shared" si="20"/>
        <v>Euseb</v>
      </c>
      <c r="E573" s="5" t="str">
        <f t="shared" si="18"/>
        <v>andro</v>
      </c>
    </row>
    <row r="574" spans="1:5" ht="15.75" customHeight="1" x14ac:dyDescent="0.3">
      <c r="A574" s="4" t="s">
        <v>1148</v>
      </c>
      <c r="B574" s="4" t="s">
        <v>1149</v>
      </c>
      <c r="C574" s="5" t="str">
        <f t="shared" si="19"/>
        <v xml:space="preserve">i, </v>
      </c>
      <c r="D574" s="5" t="str">
        <f t="shared" si="20"/>
        <v>Szolo</v>
      </c>
      <c r="E574" s="5" t="str">
        <f t="shared" si="18"/>
        <v>eth A</v>
      </c>
    </row>
    <row r="575" spans="1:5" ht="15.75" customHeight="1" x14ac:dyDescent="0.3">
      <c r="A575" s="4" t="s">
        <v>1150</v>
      </c>
      <c r="B575" s="4" t="s">
        <v>1151</v>
      </c>
      <c r="C575" s="5" t="str">
        <f t="shared" si="19"/>
        <v>, M</v>
      </c>
      <c r="D575" s="5" t="str">
        <f t="shared" si="20"/>
        <v>Butle</v>
      </c>
      <c r="E575" s="5" t="str">
        <f t="shared" si="18"/>
        <v>son R</v>
      </c>
    </row>
    <row r="576" spans="1:5" ht="15.75" customHeight="1" x14ac:dyDescent="0.3">
      <c r="A576" s="4" t="s">
        <v>1152</v>
      </c>
      <c r="B576" s="4" t="s">
        <v>1153</v>
      </c>
      <c r="C576" s="5" t="str">
        <f t="shared" si="19"/>
        <v xml:space="preserve">i, </v>
      </c>
      <c r="D576" s="5" t="str">
        <f t="shared" si="20"/>
        <v>Fukuc</v>
      </c>
      <c r="E576" s="5" t="str">
        <f t="shared" si="18"/>
        <v>inori</v>
      </c>
    </row>
    <row r="577" spans="1:5" ht="15.75" customHeight="1" x14ac:dyDescent="0.3">
      <c r="A577" s="4" t="s">
        <v>1154</v>
      </c>
      <c r="B577" s="4" t="s">
        <v>1155</v>
      </c>
      <c r="C577" s="5" t="str">
        <f t="shared" si="19"/>
        <v xml:space="preserve">r, </v>
      </c>
      <c r="D577" s="5" t="str">
        <f t="shared" si="20"/>
        <v>Druck</v>
      </c>
      <c r="E577" s="5" t="str">
        <f t="shared" si="18"/>
        <v>ne G.</v>
      </c>
    </row>
    <row r="578" spans="1:5" ht="15.75" customHeight="1" x14ac:dyDescent="0.3">
      <c r="A578" s="4" t="s">
        <v>1156</v>
      </c>
      <c r="B578" s="4" t="s">
        <v>1157</v>
      </c>
      <c r="C578" s="5" t="str">
        <f t="shared" si="19"/>
        <v>Mrs</v>
      </c>
      <c r="D578" s="5" t="str">
        <f t="shared" si="20"/>
        <v>Aziz,</v>
      </c>
      <c r="E578" s="5" t="str">
        <f t="shared" ref="E578:E641" si="21">RIGHT(B578,5)</f>
        <v>edith</v>
      </c>
    </row>
    <row r="579" spans="1:5" ht="15.75" customHeight="1" x14ac:dyDescent="0.3">
      <c r="A579" s="4" t="s">
        <v>1158</v>
      </c>
      <c r="B579" s="4" t="s">
        <v>1159</v>
      </c>
      <c r="C579" s="5" t="str">
        <f t="shared" si="19"/>
        <v xml:space="preserve">r. </v>
      </c>
      <c r="D579" s="5" t="str">
        <f t="shared" si="20"/>
        <v xml:space="preserve">Pak, </v>
      </c>
      <c r="E579" s="5" t="str">
        <f t="shared" si="21"/>
        <v>nyong</v>
      </c>
    </row>
    <row r="580" spans="1:5" ht="15.75" customHeight="1" x14ac:dyDescent="0.3">
      <c r="A580" s="4" t="s">
        <v>1160</v>
      </c>
      <c r="B580" s="4" t="s">
        <v>1161</v>
      </c>
      <c r="C580" s="5" t="str">
        <f t="shared" si="19"/>
        <v xml:space="preserve"> Ms</v>
      </c>
      <c r="D580" s="5" t="str">
        <f t="shared" si="20"/>
        <v>Kieta</v>
      </c>
      <c r="E580" s="5" t="str">
        <f t="shared" si="21"/>
        <v>en A.</v>
      </c>
    </row>
    <row r="581" spans="1:5" ht="15.75" customHeight="1" x14ac:dyDescent="0.3">
      <c r="A581" s="4" t="s">
        <v>1162</v>
      </c>
      <c r="B581" s="4" t="s">
        <v>1163</v>
      </c>
      <c r="C581" s="5" t="str">
        <f t="shared" si="19"/>
        <v xml:space="preserve"> Ms</v>
      </c>
      <c r="D581" s="5" t="str">
        <f t="shared" si="20"/>
        <v>Velez</v>
      </c>
      <c r="E581" s="5" t="str">
        <f t="shared" si="21"/>
        <v>ia I.</v>
      </c>
    </row>
    <row r="582" spans="1:5" ht="15.75" customHeight="1" x14ac:dyDescent="0.3">
      <c r="A582" s="4" t="s">
        <v>1164</v>
      </c>
      <c r="B582" s="4" t="s">
        <v>1165</v>
      </c>
      <c r="C582" s="5" t="str">
        <f t="shared" si="19"/>
        <v>re,</v>
      </c>
      <c r="D582" s="5" t="str">
        <f t="shared" si="20"/>
        <v>Bussi</v>
      </c>
      <c r="E582" s="5" t="str">
        <f t="shared" si="21"/>
        <v>athan</v>
      </c>
    </row>
    <row r="583" spans="1:5" ht="15.75" customHeight="1" x14ac:dyDescent="0.3">
      <c r="A583" s="4" t="s">
        <v>1166</v>
      </c>
      <c r="B583" s="4" t="s">
        <v>1167</v>
      </c>
      <c r="C583" s="5" t="str">
        <f t="shared" si="19"/>
        <v>ney</v>
      </c>
      <c r="D583" s="5" t="str">
        <f t="shared" si="20"/>
        <v>McCar</v>
      </c>
      <c r="E583" s="5" t="str">
        <f t="shared" si="21"/>
        <v xml:space="preserve"> Phil</v>
      </c>
    </row>
    <row r="584" spans="1:5" ht="15.75" customHeight="1" x14ac:dyDescent="0.3">
      <c r="A584" s="4" t="s">
        <v>1168</v>
      </c>
      <c r="B584" s="4" t="s">
        <v>1169</v>
      </c>
      <c r="C584" s="5" t="str">
        <f t="shared" si="19"/>
        <v>er,</v>
      </c>
      <c r="D584" s="5" t="str">
        <f t="shared" si="20"/>
        <v>Bamba</v>
      </c>
      <c r="E584" s="5" t="str">
        <f t="shared" si="21"/>
        <v>ina C</v>
      </c>
    </row>
    <row r="585" spans="1:5" ht="15.75" customHeight="1" x14ac:dyDescent="0.3">
      <c r="A585" s="4" t="s">
        <v>1170</v>
      </c>
      <c r="B585" s="4" t="s">
        <v>1171</v>
      </c>
      <c r="C585" s="5" t="str">
        <f t="shared" si="19"/>
        <v xml:space="preserve"> Mr</v>
      </c>
      <c r="D585" s="5" t="str">
        <f t="shared" si="20"/>
        <v>Mertz</v>
      </c>
      <c r="E585" s="5" t="str">
        <f t="shared" si="21"/>
        <v>opher</v>
      </c>
    </row>
    <row r="586" spans="1:5" ht="15.75" customHeight="1" x14ac:dyDescent="0.3">
      <c r="A586" s="4" t="s">
        <v>1172</v>
      </c>
      <c r="B586" s="4" t="s">
        <v>1173</v>
      </c>
      <c r="C586" s="5" t="str">
        <f t="shared" si="19"/>
        <v xml:space="preserve"> Ms</v>
      </c>
      <c r="D586" s="5" t="str">
        <f t="shared" si="20"/>
        <v>Mason</v>
      </c>
      <c r="E586" s="5" t="str">
        <f t="shared" si="21"/>
        <v>son B</v>
      </c>
    </row>
    <row r="587" spans="1:5" ht="15.75" customHeight="1" x14ac:dyDescent="0.3">
      <c r="A587" s="4" t="s">
        <v>1174</v>
      </c>
      <c r="B587" s="4" t="s">
        <v>1175</v>
      </c>
      <c r="C587" s="5" t="str">
        <f t="shared" si="19"/>
        <v>, M</v>
      </c>
      <c r="D587" s="5" t="str">
        <f t="shared" si="20"/>
        <v>Rotic</v>
      </c>
      <c r="E587" s="5" t="str">
        <f t="shared" si="21"/>
        <v>oline</v>
      </c>
    </row>
    <row r="588" spans="1:5" ht="15.75" customHeight="1" x14ac:dyDescent="0.3">
      <c r="A588" s="4" t="s">
        <v>1176</v>
      </c>
      <c r="B588" s="4" t="s">
        <v>1177</v>
      </c>
      <c r="C588" s="5" t="str">
        <f t="shared" si="19"/>
        <v>, M</v>
      </c>
      <c r="D588" s="5" t="str">
        <f t="shared" si="20"/>
        <v>Fetze</v>
      </c>
      <c r="E588" s="5" t="str">
        <f t="shared" si="21"/>
        <v>xis N</v>
      </c>
    </row>
    <row r="589" spans="1:5" ht="15.75" customHeight="1" x14ac:dyDescent="0.3">
      <c r="A589" s="4" t="s">
        <v>1178</v>
      </c>
      <c r="B589" s="4" t="s">
        <v>1179</v>
      </c>
      <c r="C589" s="5" t="str">
        <f t="shared" si="19"/>
        <v>, M</v>
      </c>
      <c r="D589" s="5" t="str">
        <f t="shared" si="20"/>
        <v>Matti</v>
      </c>
      <c r="E589" s="5" t="str">
        <f t="shared" si="21"/>
        <v>nda L</v>
      </c>
    </row>
    <row r="590" spans="1:5" ht="15.75" customHeight="1" x14ac:dyDescent="0.3">
      <c r="A590" s="4" t="s">
        <v>1180</v>
      </c>
      <c r="B590" s="4" t="s">
        <v>1181</v>
      </c>
      <c r="C590" s="5" t="str">
        <f t="shared" si="19"/>
        <v xml:space="preserve">n, </v>
      </c>
      <c r="D590" s="5" t="str">
        <f t="shared" si="20"/>
        <v>Cochr</v>
      </c>
      <c r="E590" s="5" t="str">
        <f t="shared" si="21"/>
        <v>Lacey</v>
      </c>
    </row>
    <row r="591" spans="1:5" ht="15.75" customHeight="1" x14ac:dyDescent="0.3">
      <c r="A591" s="4" t="s">
        <v>1182</v>
      </c>
      <c r="B591" s="4" t="s">
        <v>1183</v>
      </c>
      <c r="C591" s="5" t="str">
        <f t="shared" si="19"/>
        <v>ky,</v>
      </c>
      <c r="D591" s="5" t="str">
        <f t="shared" si="20"/>
        <v>Balin</v>
      </c>
      <c r="E591" s="5" t="str">
        <f t="shared" si="21"/>
        <v>rette</v>
      </c>
    </row>
    <row r="592" spans="1:5" ht="15.75" customHeight="1" x14ac:dyDescent="0.3">
      <c r="A592" s="4" t="s">
        <v>1184</v>
      </c>
      <c r="B592" s="4" t="s">
        <v>1185</v>
      </c>
      <c r="C592" s="5" t="str">
        <f t="shared" si="19"/>
        <v>, M</v>
      </c>
      <c r="D592" s="5" t="str">
        <f t="shared" si="20"/>
        <v>Reill</v>
      </c>
      <c r="E592" s="5" t="str">
        <f t="shared" si="21"/>
        <v>Jason</v>
      </c>
    </row>
    <row r="593" spans="1:5" ht="15.75" customHeight="1" x14ac:dyDescent="0.3">
      <c r="A593" s="4" t="s">
        <v>1186</v>
      </c>
      <c r="B593" s="4" t="s">
        <v>1187</v>
      </c>
      <c r="C593" s="5" t="str">
        <f t="shared" si="19"/>
        <v xml:space="preserve">n, </v>
      </c>
      <c r="D593" s="5" t="str">
        <f t="shared" ref="D593:D656" si="22">LEFT(B593,5)</f>
        <v>Johns</v>
      </c>
      <c r="E593" s="5" t="str">
        <f t="shared" si="21"/>
        <v xml:space="preserve"> Mary</v>
      </c>
    </row>
    <row r="594" spans="1:5" ht="15.75" customHeight="1" x14ac:dyDescent="0.3">
      <c r="A594" s="4" t="s">
        <v>1188</v>
      </c>
      <c r="B594" s="4" t="s">
        <v>1189</v>
      </c>
      <c r="C594" s="5" t="str">
        <f t="shared" si="19"/>
        <v xml:space="preserve"> Ms</v>
      </c>
      <c r="D594" s="5" t="str">
        <f t="shared" si="22"/>
        <v>Petry</v>
      </c>
      <c r="E594" s="5" t="str">
        <f t="shared" si="21"/>
        <v>ati A</v>
      </c>
    </row>
    <row r="595" spans="1:5" ht="15.75" customHeight="1" x14ac:dyDescent="0.3">
      <c r="A595" s="4" t="s">
        <v>1190</v>
      </c>
      <c r="B595" s="4" t="s">
        <v>1191</v>
      </c>
      <c r="C595" s="5" t="str">
        <f t="shared" si="19"/>
        <v xml:space="preserve">n, </v>
      </c>
      <c r="D595" s="5" t="str">
        <f t="shared" si="22"/>
        <v>Lalem</v>
      </c>
      <c r="E595" s="5" t="str">
        <f t="shared" si="21"/>
        <v>lly J</v>
      </c>
    </row>
    <row r="596" spans="1:5" ht="15.75" customHeight="1" x14ac:dyDescent="0.3">
      <c r="A596" s="4" t="s">
        <v>1192</v>
      </c>
      <c r="B596" s="4" t="s">
        <v>1193</v>
      </c>
      <c r="C596" s="5" t="str">
        <f t="shared" si="19"/>
        <v xml:space="preserve"> Ms</v>
      </c>
      <c r="D596" s="5" t="str">
        <f t="shared" si="22"/>
        <v>Colby</v>
      </c>
      <c r="E596" s="5" t="str">
        <f t="shared" si="21"/>
        <v>eer D</v>
      </c>
    </row>
    <row r="597" spans="1:5" ht="15.75" customHeight="1" x14ac:dyDescent="0.3">
      <c r="A597" s="4" t="s">
        <v>1194</v>
      </c>
      <c r="B597" s="4" t="s">
        <v>1195</v>
      </c>
      <c r="C597" s="5" t="str">
        <f t="shared" si="19"/>
        <v>, M</v>
      </c>
      <c r="D597" s="5" t="str">
        <f t="shared" si="22"/>
        <v>Wathk</v>
      </c>
      <c r="E597" s="5" t="str">
        <f t="shared" si="21"/>
        <v>Brent</v>
      </c>
    </row>
    <row r="598" spans="1:5" ht="15.75" customHeight="1" x14ac:dyDescent="0.3">
      <c r="A598" s="4" t="s">
        <v>1196</v>
      </c>
      <c r="B598" s="4" t="s">
        <v>1197</v>
      </c>
      <c r="C598" s="5" t="str">
        <f t="shared" si="19"/>
        <v>Mr.</v>
      </c>
      <c r="D598" s="5" t="str">
        <f t="shared" si="22"/>
        <v>Daly,</v>
      </c>
      <c r="E598" s="5" t="str">
        <f t="shared" si="21"/>
        <v>ene M</v>
      </c>
    </row>
    <row r="599" spans="1:5" ht="15.75" customHeight="1" x14ac:dyDescent="0.3">
      <c r="A599" s="4" t="s">
        <v>1198</v>
      </c>
      <c r="B599" s="4" t="s">
        <v>1199</v>
      </c>
      <c r="C599" s="5" t="str">
        <f t="shared" si="19"/>
        <v>, M</v>
      </c>
      <c r="D599" s="5" t="str">
        <f t="shared" si="22"/>
        <v>Dillo</v>
      </c>
      <c r="E599" s="5" t="str">
        <f t="shared" si="21"/>
        <v>rin D</v>
      </c>
    </row>
    <row r="600" spans="1:5" ht="15.75" customHeight="1" x14ac:dyDescent="0.3">
      <c r="A600" s="4" t="s">
        <v>1200</v>
      </c>
      <c r="B600" s="4" t="s">
        <v>1201</v>
      </c>
      <c r="C600" s="5" t="str">
        <f t="shared" si="19"/>
        <v>, M</v>
      </c>
      <c r="D600" s="5" t="str">
        <f t="shared" si="22"/>
        <v>Ponte</v>
      </c>
      <c r="E600" s="5" t="str">
        <f t="shared" si="21"/>
        <v>milla</v>
      </c>
    </row>
    <row r="601" spans="1:5" ht="15.75" customHeight="1" x14ac:dyDescent="0.3">
      <c r="A601" s="4" t="s">
        <v>1202</v>
      </c>
      <c r="B601" s="4" t="s">
        <v>1203</v>
      </c>
      <c r="C601" s="5" t="str">
        <f t="shared" si="19"/>
        <v xml:space="preserve"> Mr</v>
      </c>
      <c r="D601" s="5" t="str">
        <f t="shared" si="22"/>
        <v>Spies</v>
      </c>
      <c r="E601" s="5" t="str">
        <f t="shared" si="21"/>
        <v>ne I.</v>
      </c>
    </row>
    <row r="602" spans="1:5" ht="15.75" customHeight="1" x14ac:dyDescent="0.3">
      <c r="A602" s="4" t="s">
        <v>1204</v>
      </c>
      <c r="B602" s="4" t="s">
        <v>1205</v>
      </c>
      <c r="C602" s="5" t="str">
        <f t="shared" si="19"/>
        <v xml:space="preserve"> Ms</v>
      </c>
      <c r="D602" s="5" t="str">
        <f t="shared" si="22"/>
        <v>Greig</v>
      </c>
      <c r="E602" s="5" t="str">
        <f t="shared" si="21"/>
        <v>acy L</v>
      </c>
    </row>
    <row r="603" spans="1:5" ht="15.75" customHeight="1" x14ac:dyDescent="0.3">
      <c r="A603" s="4" t="s">
        <v>1206</v>
      </c>
      <c r="B603" s="4" t="s">
        <v>1207</v>
      </c>
      <c r="C603" s="5" t="str">
        <f t="shared" si="19"/>
        <v xml:space="preserve"> Mr</v>
      </c>
      <c r="D603" s="5" t="str">
        <f t="shared" si="22"/>
        <v>Scott</v>
      </c>
      <c r="E603" s="5" t="str">
        <f t="shared" si="21"/>
        <v>ather</v>
      </c>
    </row>
    <row r="604" spans="1:5" ht="15.75" customHeight="1" x14ac:dyDescent="0.3">
      <c r="A604" s="4" t="s">
        <v>1208</v>
      </c>
      <c r="B604" s="4" t="s">
        <v>1209</v>
      </c>
      <c r="C604" s="5" t="str">
        <f t="shared" si="19"/>
        <v>son</v>
      </c>
      <c r="D604" s="5" t="str">
        <f t="shared" si="22"/>
        <v>Erlan</v>
      </c>
      <c r="E604" s="5" t="str">
        <f t="shared" si="21"/>
        <v>gan C</v>
      </c>
    </row>
    <row r="605" spans="1:5" ht="15.75" customHeight="1" x14ac:dyDescent="0.3">
      <c r="A605" s="4" t="s">
        <v>1210</v>
      </c>
      <c r="B605" s="4" t="s">
        <v>1211</v>
      </c>
      <c r="C605" s="5" t="str">
        <f t="shared" si="19"/>
        <v>, M</v>
      </c>
      <c r="D605" s="5" t="str">
        <f t="shared" si="22"/>
        <v>Autre</v>
      </c>
      <c r="E605" s="5" t="str">
        <f t="shared" si="21"/>
        <v>athan</v>
      </c>
    </row>
    <row r="606" spans="1:5" ht="15.75" customHeight="1" x14ac:dyDescent="0.3">
      <c r="A606" s="4" t="s">
        <v>1212</v>
      </c>
      <c r="B606" s="4" t="s">
        <v>1213</v>
      </c>
      <c r="C606" s="5" t="str">
        <f t="shared" si="19"/>
        <v xml:space="preserve">n, </v>
      </c>
      <c r="D606" s="5" t="str">
        <f t="shared" si="22"/>
        <v>Allem</v>
      </c>
      <c r="E606" s="5" t="str">
        <f t="shared" si="21"/>
        <v>eg D.</v>
      </c>
    </row>
    <row r="607" spans="1:5" ht="15.75" customHeight="1" x14ac:dyDescent="0.3">
      <c r="A607" s="4" t="s">
        <v>1214</v>
      </c>
      <c r="B607" s="4" t="s">
        <v>1215</v>
      </c>
      <c r="C607" s="5" t="str">
        <f t="shared" si="19"/>
        <v>ski</v>
      </c>
      <c r="D607" s="5" t="str">
        <f t="shared" si="22"/>
        <v>Micha</v>
      </c>
      <c r="E607" s="5" t="str">
        <f t="shared" si="21"/>
        <v>en L.</v>
      </c>
    </row>
    <row r="608" spans="1:5" ht="15.75" customHeight="1" x14ac:dyDescent="0.3">
      <c r="A608" s="4" t="s">
        <v>1216</v>
      </c>
      <c r="B608" s="4" t="s">
        <v>1217</v>
      </c>
      <c r="C608" s="5" t="str">
        <f t="shared" si="19"/>
        <v>, M</v>
      </c>
      <c r="D608" s="5" t="str">
        <f t="shared" si="22"/>
        <v>Grill</v>
      </c>
      <c r="E608" s="5" t="str">
        <f t="shared" si="21"/>
        <v>lippo</v>
      </c>
    </row>
    <row r="609" spans="1:5" ht="15.75" customHeight="1" x14ac:dyDescent="0.3">
      <c r="A609" s="4" t="s">
        <v>1218</v>
      </c>
      <c r="B609" s="4" t="s">
        <v>1219</v>
      </c>
      <c r="C609" s="5" t="str">
        <f t="shared" si="19"/>
        <v>do,</v>
      </c>
      <c r="D609" s="5" t="str">
        <f t="shared" si="22"/>
        <v>Coron</v>
      </c>
      <c r="E609" s="5" t="str">
        <f t="shared" si="21"/>
        <v>ector</v>
      </c>
    </row>
    <row r="610" spans="1:5" ht="15.75" customHeight="1" x14ac:dyDescent="0.3">
      <c r="A610" s="4" t="s">
        <v>1220</v>
      </c>
      <c r="B610" s="4" t="s">
        <v>1221</v>
      </c>
      <c r="C610" s="5" t="str">
        <f t="shared" si="19"/>
        <v>, M</v>
      </c>
      <c r="D610" s="5" t="str">
        <f t="shared" si="22"/>
        <v>Dewin</v>
      </c>
      <c r="E610" s="5" t="str">
        <f t="shared" si="21"/>
        <v>rk W.</v>
      </c>
    </row>
    <row r="611" spans="1:5" ht="15.75" customHeight="1" x14ac:dyDescent="0.3">
      <c r="A611" s="4" t="s">
        <v>1222</v>
      </c>
      <c r="B611" s="4" t="s">
        <v>1223</v>
      </c>
      <c r="C611" s="5" t="str">
        <f t="shared" si="19"/>
        <v>, M</v>
      </c>
      <c r="D611" s="5" t="str">
        <f t="shared" si="22"/>
        <v>Carma</v>
      </c>
      <c r="E611" s="5" t="str">
        <f t="shared" si="21"/>
        <v>Aubri</v>
      </c>
    </row>
    <row r="612" spans="1:5" ht="15.75" customHeight="1" x14ac:dyDescent="0.3">
      <c r="A612" s="4" t="s">
        <v>1224</v>
      </c>
      <c r="B612" s="4" t="s">
        <v>1225</v>
      </c>
      <c r="C612" s="5" t="str">
        <f t="shared" si="19"/>
        <v xml:space="preserve"> Mr</v>
      </c>
      <c r="D612" s="5" t="str">
        <f t="shared" si="22"/>
        <v>Neems</v>
      </c>
      <c r="E612" s="5" t="str">
        <f t="shared" si="21"/>
        <v>ustin</v>
      </c>
    </row>
    <row r="613" spans="1:5" ht="15.75" customHeight="1" x14ac:dyDescent="0.3">
      <c r="A613" s="4" t="s">
        <v>1226</v>
      </c>
      <c r="B613" s="4" t="s">
        <v>1227</v>
      </c>
      <c r="C613" s="5" t="str">
        <f t="shared" si="19"/>
        <v>, M</v>
      </c>
      <c r="D613" s="5" t="str">
        <f t="shared" si="22"/>
        <v>Pesyn</v>
      </c>
      <c r="E613" s="5" t="str">
        <f t="shared" si="21"/>
        <v>an A.</v>
      </c>
    </row>
    <row r="614" spans="1:5" ht="15.75" customHeight="1" x14ac:dyDescent="0.3">
      <c r="A614" s="4" t="s">
        <v>1228</v>
      </c>
      <c r="B614" s="4" t="s">
        <v>1229</v>
      </c>
      <c r="C614" s="5" t="str">
        <f t="shared" si="19"/>
        <v>, M</v>
      </c>
      <c r="D614" s="5" t="str">
        <f t="shared" si="22"/>
        <v>Melin</v>
      </c>
      <c r="E614" s="5" t="str">
        <f t="shared" si="21"/>
        <v>ka M.</v>
      </c>
    </row>
    <row r="615" spans="1:5" ht="15.75" customHeight="1" x14ac:dyDescent="0.3">
      <c r="A615" s="4" t="s">
        <v>1230</v>
      </c>
      <c r="B615" s="4" t="s">
        <v>1231</v>
      </c>
      <c r="C615" s="5" t="str">
        <f t="shared" si="19"/>
        <v>ski</v>
      </c>
      <c r="D615" s="5" t="str">
        <f t="shared" si="22"/>
        <v>Widlo</v>
      </c>
      <c r="E615" s="5" t="str">
        <f t="shared" si="21"/>
        <v>el G.</v>
      </c>
    </row>
    <row r="616" spans="1:5" ht="15.75" customHeight="1" x14ac:dyDescent="0.3">
      <c r="A616" s="4" t="s">
        <v>1232</v>
      </c>
      <c r="B616" s="4" t="s">
        <v>1233</v>
      </c>
      <c r="C616" s="5" t="str">
        <f t="shared" si="19"/>
        <v xml:space="preserve"> Ms</v>
      </c>
      <c r="D616" s="5" t="str">
        <f t="shared" si="22"/>
        <v>Nadar</v>
      </c>
      <c r="E616" s="5" t="str">
        <f t="shared" si="21"/>
        <v>in C.</v>
      </c>
    </row>
    <row r="617" spans="1:5" ht="15.75" customHeight="1" x14ac:dyDescent="0.3">
      <c r="A617" s="4" t="s">
        <v>1234</v>
      </c>
      <c r="B617" s="4" t="s">
        <v>1235</v>
      </c>
      <c r="C617" s="5" t="str">
        <f t="shared" si="19"/>
        <v>, M</v>
      </c>
      <c r="D617" s="5" t="str">
        <f t="shared" si="22"/>
        <v>Turne</v>
      </c>
      <c r="E617" s="5" t="str">
        <f t="shared" si="21"/>
        <v>ise A</v>
      </c>
    </row>
    <row r="618" spans="1:5" ht="15.75" customHeight="1" x14ac:dyDescent="0.3">
      <c r="A618" s="4" t="s">
        <v>1236</v>
      </c>
      <c r="B618" s="4" t="s">
        <v>1237</v>
      </c>
      <c r="C618" s="5" t="str">
        <f t="shared" si="19"/>
        <v>, M</v>
      </c>
      <c r="D618" s="5" t="str">
        <f t="shared" si="22"/>
        <v>Walke</v>
      </c>
      <c r="E618" s="5" t="str">
        <f t="shared" si="21"/>
        <v>Sarah</v>
      </c>
    </row>
    <row r="619" spans="1:5" ht="15.75" customHeight="1" x14ac:dyDescent="0.3">
      <c r="A619" s="4" t="s">
        <v>1238</v>
      </c>
      <c r="B619" s="4" t="s">
        <v>1239</v>
      </c>
      <c r="C619" s="5" t="str">
        <f t="shared" si="19"/>
        <v xml:space="preserve">m, </v>
      </c>
      <c r="D619" s="5" t="str">
        <f t="shared" si="22"/>
        <v>Leedh</v>
      </c>
      <c r="E619" s="5" t="str">
        <f t="shared" si="21"/>
        <v xml:space="preserve">  Amy</v>
      </c>
    </row>
    <row r="620" spans="1:5" ht="15.75" customHeight="1" x14ac:dyDescent="0.3">
      <c r="A620" s="4" t="s">
        <v>1240</v>
      </c>
      <c r="B620" s="4" t="s">
        <v>1241</v>
      </c>
      <c r="C620" s="5" t="str">
        <f t="shared" si="19"/>
        <v xml:space="preserve">d, </v>
      </c>
      <c r="D620" s="5" t="str">
        <f t="shared" si="22"/>
        <v>Haglu</v>
      </c>
      <c r="E620" s="5" t="str">
        <f t="shared" si="21"/>
        <v>ny L.</v>
      </c>
    </row>
    <row r="621" spans="1:5" ht="15.75" customHeight="1" x14ac:dyDescent="0.3">
      <c r="A621" s="4" t="s">
        <v>1242</v>
      </c>
      <c r="B621" s="4" t="s">
        <v>1243</v>
      </c>
      <c r="C621" s="5" t="str">
        <f t="shared" si="19"/>
        <v xml:space="preserve"> Ms</v>
      </c>
      <c r="D621" s="5" t="str">
        <f t="shared" si="22"/>
        <v>Mills</v>
      </c>
      <c r="E621" s="5" t="str">
        <f t="shared" si="21"/>
        <v>ica L</v>
      </c>
    </row>
    <row r="622" spans="1:5" ht="15.75" customHeight="1" x14ac:dyDescent="0.3">
      <c r="A622" s="4" t="s">
        <v>1244</v>
      </c>
      <c r="B622" s="4" t="s">
        <v>1245</v>
      </c>
      <c r="C622" s="5" t="str">
        <f t="shared" si="19"/>
        <v>ich</v>
      </c>
      <c r="D622" s="5" t="str">
        <f t="shared" si="22"/>
        <v>Drnje</v>
      </c>
      <c r="E622" s="5" t="str">
        <f t="shared" si="21"/>
        <v>ina K</v>
      </c>
    </row>
    <row r="623" spans="1:5" ht="15.75" customHeight="1" x14ac:dyDescent="0.3">
      <c r="A623" s="4" t="s">
        <v>1246</v>
      </c>
      <c r="B623" s="4" t="s">
        <v>1247</v>
      </c>
      <c r="C623" s="5" t="str">
        <f t="shared" si="19"/>
        <v>Mr.</v>
      </c>
      <c r="D623" s="5" t="str">
        <f t="shared" si="22"/>
        <v>Clay,</v>
      </c>
      <c r="E623" s="5" t="str">
        <f t="shared" si="21"/>
        <v xml:space="preserve"> Brad</v>
      </c>
    </row>
    <row r="624" spans="1:5" ht="15.75" customHeight="1" x14ac:dyDescent="0.3">
      <c r="A624" s="4" t="s">
        <v>1248</v>
      </c>
      <c r="B624" s="4" t="s">
        <v>1249</v>
      </c>
      <c r="C624" s="5" t="str">
        <f t="shared" si="19"/>
        <v xml:space="preserve">y, </v>
      </c>
      <c r="D624" s="5" t="str">
        <f t="shared" si="22"/>
        <v>Marbu</v>
      </c>
      <c r="E624" s="5" t="str">
        <f t="shared" si="21"/>
        <v>ret O</v>
      </c>
    </row>
    <row r="625" spans="1:5" ht="15.75" customHeight="1" x14ac:dyDescent="0.3">
      <c r="A625" s="4" t="s">
        <v>1250</v>
      </c>
      <c r="B625" s="4" t="s">
        <v>1251</v>
      </c>
      <c r="C625" s="5" t="str">
        <f t="shared" si="19"/>
        <v>Mr.</v>
      </c>
      <c r="D625" s="5" t="str">
        <f t="shared" si="22"/>
        <v>Coon,</v>
      </c>
      <c r="E625" s="5" t="str">
        <f t="shared" si="21"/>
        <v>ig R.</v>
      </c>
    </row>
    <row r="626" spans="1:5" ht="15.75" customHeight="1" x14ac:dyDescent="0.3">
      <c r="A626" s="4" t="s">
        <v>1252</v>
      </c>
      <c r="B626" s="4" t="s">
        <v>1253</v>
      </c>
      <c r="C626" s="5" t="str">
        <f t="shared" si="19"/>
        <v>nen</v>
      </c>
      <c r="D626" s="5" t="str">
        <f t="shared" si="22"/>
        <v>Vantt</v>
      </c>
      <c r="E626" s="5" t="str">
        <f t="shared" si="21"/>
        <v xml:space="preserve"> Simo</v>
      </c>
    </row>
    <row r="627" spans="1:5" ht="15.75" customHeight="1" x14ac:dyDescent="0.3">
      <c r="A627" s="4" t="s">
        <v>1254</v>
      </c>
      <c r="B627" s="4" t="s">
        <v>1255</v>
      </c>
      <c r="C627" s="5" t="str">
        <f t="shared" si="19"/>
        <v>, M</v>
      </c>
      <c r="D627" s="5" t="str">
        <f t="shared" si="22"/>
        <v>Garge</v>
      </c>
      <c r="E627" s="5" t="str">
        <f t="shared" si="21"/>
        <v>her J</v>
      </c>
    </row>
    <row r="628" spans="1:5" ht="15.75" customHeight="1" x14ac:dyDescent="0.3">
      <c r="A628" s="4" t="s">
        <v>1256</v>
      </c>
      <c r="B628" s="4" t="s">
        <v>1257</v>
      </c>
      <c r="C628" s="5" t="str">
        <f t="shared" si="19"/>
        <v xml:space="preserve"> Mr</v>
      </c>
      <c r="D628" s="5" t="str">
        <f t="shared" si="22"/>
        <v>Rivel</v>
      </c>
      <c r="E628" s="5" t="str">
        <f t="shared" si="21"/>
        <v>o Sr.</v>
      </c>
    </row>
    <row r="629" spans="1:5" ht="15.75" customHeight="1" x14ac:dyDescent="0.3">
      <c r="A629" s="4" t="s">
        <v>1258</v>
      </c>
      <c r="B629" s="4" t="s">
        <v>1259</v>
      </c>
      <c r="C629" s="5" t="str">
        <f t="shared" si="19"/>
        <v>, M</v>
      </c>
      <c r="D629" s="5" t="str">
        <f t="shared" si="22"/>
        <v>Lawso</v>
      </c>
      <c r="E629" s="5" t="str">
        <f t="shared" si="21"/>
        <v>nn R.</v>
      </c>
    </row>
    <row r="630" spans="1:5" ht="15.75" customHeight="1" x14ac:dyDescent="0.3">
      <c r="A630" s="4" t="s">
        <v>1260</v>
      </c>
      <c r="B630" s="4" t="s">
        <v>1261</v>
      </c>
      <c r="C630" s="5" t="str">
        <f t="shared" si="19"/>
        <v>Mr.</v>
      </c>
      <c r="D630" s="5" t="str">
        <f t="shared" si="22"/>
        <v>Cale,</v>
      </c>
      <c r="E630" s="5" t="str">
        <f t="shared" si="21"/>
        <v>ott M</v>
      </c>
    </row>
    <row r="631" spans="1:5" ht="15.75" customHeight="1" x14ac:dyDescent="0.3">
      <c r="A631" s="4" t="s">
        <v>1262</v>
      </c>
      <c r="B631" s="4" t="s">
        <v>1263</v>
      </c>
      <c r="C631" s="5" t="str">
        <f t="shared" si="19"/>
        <v>ps,</v>
      </c>
      <c r="D631" s="5" t="str">
        <f t="shared" si="22"/>
        <v>Phill</v>
      </c>
      <c r="E631" s="5" t="str">
        <f t="shared" si="21"/>
        <v>in E.</v>
      </c>
    </row>
    <row r="632" spans="1:5" ht="15.75" customHeight="1" x14ac:dyDescent="0.3">
      <c r="A632" s="4" t="s">
        <v>1264</v>
      </c>
      <c r="B632" s="4" t="s">
        <v>1265</v>
      </c>
      <c r="C632" s="5" t="str">
        <f t="shared" si="19"/>
        <v xml:space="preserve">t, </v>
      </c>
      <c r="D632" s="5" t="str">
        <f t="shared" si="22"/>
        <v>Stewa</v>
      </c>
      <c r="E632" s="5" t="str">
        <f t="shared" si="21"/>
        <v>ha A.</v>
      </c>
    </row>
    <row r="633" spans="1:5" ht="15.75" customHeight="1" x14ac:dyDescent="0.3">
      <c r="A633" s="4" t="s">
        <v>1266</v>
      </c>
      <c r="B633" s="4" t="s">
        <v>1267</v>
      </c>
      <c r="C633" s="5" t="str">
        <f t="shared" si="19"/>
        <v xml:space="preserve"> Mr</v>
      </c>
      <c r="D633" s="5" t="str">
        <f t="shared" si="22"/>
        <v>Drotz</v>
      </c>
      <c r="E633" s="5" t="str">
        <f t="shared" si="21"/>
        <v xml:space="preserve"> Erik</v>
      </c>
    </row>
    <row r="634" spans="1:5" ht="15.75" customHeight="1" x14ac:dyDescent="0.3">
      <c r="A634" s="4" t="s">
        <v>1268</v>
      </c>
      <c r="B634" s="4" t="s">
        <v>1269</v>
      </c>
      <c r="C634" s="5" t="str">
        <f t="shared" si="19"/>
        <v xml:space="preserve"> Mr</v>
      </c>
      <c r="D634" s="5" t="str">
        <f t="shared" si="22"/>
        <v>Mutai</v>
      </c>
      <c r="E634" s="5" t="str">
        <f t="shared" si="21"/>
        <v>opher</v>
      </c>
    </row>
    <row r="635" spans="1:5" ht="15.75" customHeight="1" x14ac:dyDescent="0.3">
      <c r="A635" s="4" t="s">
        <v>1270</v>
      </c>
      <c r="B635" s="4" t="s">
        <v>1271</v>
      </c>
      <c r="C635" s="5" t="str">
        <f t="shared" si="19"/>
        <v xml:space="preserve">n, </v>
      </c>
      <c r="D635" s="5" t="str">
        <f t="shared" si="22"/>
        <v>Lovli</v>
      </c>
      <c r="E635" s="5" t="str">
        <f t="shared" si="21"/>
        <v xml:space="preserve"> Maya</v>
      </c>
    </row>
    <row r="636" spans="1:5" ht="15.75" customHeight="1" x14ac:dyDescent="0.3">
      <c r="A636" s="4" t="s">
        <v>1272</v>
      </c>
      <c r="B636" s="4" t="s">
        <v>1273</v>
      </c>
      <c r="C636" s="5" t="str">
        <f t="shared" si="19"/>
        <v xml:space="preserve"> Mr</v>
      </c>
      <c r="D636" s="5" t="str">
        <f t="shared" si="22"/>
        <v>Bruns</v>
      </c>
      <c r="E636" s="5" t="str">
        <f t="shared" si="21"/>
        <v>ary T</v>
      </c>
    </row>
    <row r="637" spans="1:5" ht="15.75" customHeight="1" x14ac:dyDescent="0.3">
      <c r="A637" s="4" t="s">
        <v>1274</v>
      </c>
      <c r="B637" s="4" t="s">
        <v>1275</v>
      </c>
      <c r="C637" s="5" t="str">
        <f t="shared" si="19"/>
        <v>, M</v>
      </c>
      <c r="D637" s="5" t="str">
        <f t="shared" si="22"/>
        <v>Stone</v>
      </c>
      <c r="E637" s="5" t="str">
        <f t="shared" si="21"/>
        <v>Hilda</v>
      </c>
    </row>
    <row r="638" spans="1:5" ht="15.75" customHeight="1" x14ac:dyDescent="0.3">
      <c r="A638" s="4" t="s">
        <v>1276</v>
      </c>
      <c r="B638" s="4" t="s">
        <v>1277</v>
      </c>
      <c r="C638" s="5" t="str">
        <f t="shared" si="19"/>
        <v xml:space="preserve">t, </v>
      </c>
      <c r="D638" s="5" t="str">
        <f t="shared" si="22"/>
        <v>Marke</v>
      </c>
      <c r="E638" s="5" t="str">
        <f t="shared" si="21"/>
        <v>hanie</v>
      </c>
    </row>
    <row r="639" spans="1:5" ht="15.75" customHeight="1" x14ac:dyDescent="0.3">
      <c r="A639" s="4" t="s">
        <v>1278</v>
      </c>
      <c r="B639" s="4" t="s">
        <v>1279</v>
      </c>
      <c r="C639" s="5" t="str">
        <f t="shared" si="19"/>
        <v xml:space="preserve">s, </v>
      </c>
      <c r="D639" s="5" t="str">
        <f t="shared" si="22"/>
        <v>McLuc</v>
      </c>
      <c r="E639" s="5" t="str">
        <f t="shared" si="21"/>
        <v xml:space="preserve"> Doug</v>
      </c>
    </row>
    <row r="640" spans="1:5" ht="15.75" customHeight="1" x14ac:dyDescent="0.3">
      <c r="A640" s="4" t="s">
        <v>1280</v>
      </c>
      <c r="B640" s="4" t="s">
        <v>1281</v>
      </c>
      <c r="C640" s="5" t="str">
        <f t="shared" si="19"/>
        <v xml:space="preserve"> Ms</v>
      </c>
      <c r="D640" s="5" t="str">
        <f t="shared" si="22"/>
        <v>Erwin</v>
      </c>
      <c r="E640" s="5" t="str">
        <f t="shared" si="21"/>
        <v>ny N.</v>
      </c>
    </row>
    <row r="641" spans="1:5" ht="15.75" customHeight="1" x14ac:dyDescent="0.3">
      <c r="A641" s="4" t="s">
        <v>1282</v>
      </c>
      <c r="B641" s="4" t="s">
        <v>1283</v>
      </c>
      <c r="C641" s="5" t="str">
        <f t="shared" si="19"/>
        <v xml:space="preserve">e, </v>
      </c>
      <c r="D641" s="5" t="str">
        <f t="shared" si="22"/>
        <v>Osbor</v>
      </c>
      <c r="E641" s="5" t="str">
        <f t="shared" si="21"/>
        <v>dra H</v>
      </c>
    </row>
    <row r="642" spans="1:5" ht="15.75" customHeight="1" x14ac:dyDescent="0.3">
      <c r="A642" s="4" t="s">
        <v>1284</v>
      </c>
      <c r="B642" s="4" t="s">
        <v>1285</v>
      </c>
      <c r="C642" s="5" t="str">
        <f t="shared" si="19"/>
        <v>, M</v>
      </c>
      <c r="D642" s="5" t="str">
        <f t="shared" si="22"/>
        <v>Otsuk</v>
      </c>
      <c r="E642" s="5" t="str">
        <f t="shared" ref="E642:E705" si="23">RIGHT(B642,5)</f>
        <v>Takuo</v>
      </c>
    </row>
    <row r="643" spans="1:5" ht="15.75" customHeight="1" x14ac:dyDescent="0.3">
      <c r="A643" s="4" t="s">
        <v>1286</v>
      </c>
      <c r="B643" s="4" t="s">
        <v>1287</v>
      </c>
      <c r="C643" s="5" t="str">
        <f t="shared" si="19"/>
        <v xml:space="preserve"> Ms</v>
      </c>
      <c r="D643" s="5" t="str">
        <f t="shared" si="22"/>
        <v>Smith</v>
      </c>
      <c r="E643" s="5" t="str">
        <f t="shared" si="23"/>
        <v>ly A.</v>
      </c>
    </row>
    <row r="644" spans="1:5" ht="15.75" customHeight="1" x14ac:dyDescent="0.3">
      <c r="A644" s="4" t="s">
        <v>1288</v>
      </c>
      <c r="B644" s="4" t="s">
        <v>1289</v>
      </c>
      <c r="C644" s="5" t="str">
        <f t="shared" si="19"/>
        <v xml:space="preserve"> Mr</v>
      </c>
      <c r="D644" s="5" t="str">
        <f t="shared" si="22"/>
        <v>Myers</v>
      </c>
      <c r="E644" s="5" t="str">
        <f t="shared" si="23"/>
        <v>Scott</v>
      </c>
    </row>
    <row r="645" spans="1:5" ht="15.75" customHeight="1" x14ac:dyDescent="0.3">
      <c r="A645" s="4" t="s">
        <v>1290</v>
      </c>
      <c r="B645" s="4" t="s">
        <v>1291</v>
      </c>
      <c r="C645" s="5" t="str">
        <f t="shared" si="19"/>
        <v>Mr.</v>
      </c>
      <c r="D645" s="5" t="str">
        <f t="shared" si="22"/>
        <v>Cote,</v>
      </c>
      <c r="E645" s="5" t="str">
        <f t="shared" si="23"/>
        <v>enoit</v>
      </c>
    </row>
    <row r="646" spans="1:5" ht="15.75" customHeight="1" x14ac:dyDescent="0.3">
      <c r="A646" s="4" t="s">
        <v>1292</v>
      </c>
      <c r="B646" s="4" t="s">
        <v>1293</v>
      </c>
      <c r="C646" s="5" t="str">
        <f t="shared" si="19"/>
        <v>dt,</v>
      </c>
      <c r="D646" s="5" t="str">
        <f t="shared" si="22"/>
        <v>Ehrha</v>
      </c>
      <c r="E646" s="5" t="str">
        <f t="shared" si="23"/>
        <v>th M.</v>
      </c>
    </row>
    <row r="647" spans="1:5" ht="15.75" customHeight="1" x14ac:dyDescent="0.3">
      <c r="A647" s="4" t="s">
        <v>1294</v>
      </c>
      <c r="B647" s="4" t="s">
        <v>1295</v>
      </c>
      <c r="C647" s="5" t="str">
        <f t="shared" si="19"/>
        <v>en,</v>
      </c>
      <c r="D647" s="5" t="str">
        <f t="shared" si="22"/>
        <v>Peter</v>
      </c>
      <c r="E647" s="5" t="str">
        <f t="shared" si="23"/>
        <v>ca A.</v>
      </c>
    </row>
    <row r="648" spans="1:5" ht="15.75" customHeight="1" x14ac:dyDescent="0.3">
      <c r="A648" s="4" t="s">
        <v>1296</v>
      </c>
      <c r="B648" s="4" t="s">
        <v>1297</v>
      </c>
      <c r="C648" s="5" t="str">
        <f t="shared" si="19"/>
        <v xml:space="preserve"> Ms</v>
      </c>
      <c r="D648" s="5" t="str">
        <f t="shared" si="22"/>
        <v>Ertel</v>
      </c>
      <c r="E648" s="5" t="str">
        <f t="shared" si="23"/>
        <v>ica K</v>
      </c>
    </row>
    <row r="649" spans="1:5" ht="15.75" customHeight="1" x14ac:dyDescent="0.3">
      <c r="A649" s="4" t="s">
        <v>1298</v>
      </c>
      <c r="B649" s="4" t="s">
        <v>1299</v>
      </c>
      <c r="C649" s="5" t="str">
        <f t="shared" si="19"/>
        <v xml:space="preserve"> Mr</v>
      </c>
      <c r="D649" s="5" t="str">
        <f t="shared" si="22"/>
        <v>Lanza</v>
      </c>
      <c r="E649" s="5" t="str">
        <f t="shared" si="23"/>
        <v>vin L</v>
      </c>
    </row>
    <row r="650" spans="1:5" ht="15.75" customHeight="1" x14ac:dyDescent="0.3">
      <c r="A650" s="4" t="s">
        <v>1300</v>
      </c>
      <c r="B650" s="4" t="s">
        <v>1301</v>
      </c>
      <c r="C650" s="5" t="str">
        <f t="shared" si="19"/>
        <v>sim</v>
      </c>
      <c r="D650" s="5" t="str">
        <f t="shared" si="22"/>
        <v>Pickl</v>
      </c>
      <c r="E650" s="5" t="str">
        <f t="shared" si="23"/>
        <v>egory</v>
      </c>
    </row>
    <row r="651" spans="1:5" ht="15.75" customHeight="1" x14ac:dyDescent="0.3">
      <c r="A651" s="4" t="s">
        <v>1302</v>
      </c>
      <c r="B651" s="4" t="s">
        <v>1303</v>
      </c>
      <c r="C651" s="5" t="str">
        <f t="shared" si="19"/>
        <v xml:space="preserve"> Ms</v>
      </c>
      <c r="D651" s="5" t="str">
        <f t="shared" si="22"/>
        <v>Giles</v>
      </c>
      <c r="E651" s="5" t="str">
        <f t="shared" si="23"/>
        <v>Della</v>
      </c>
    </row>
    <row r="652" spans="1:5" ht="15.75" customHeight="1" x14ac:dyDescent="0.3">
      <c r="A652" s="4" t="s">
        <v>1304</v>
      </c>
      <c r="B652" s="4" t="s">
        <v>1305</v>
      </c>
      <c r="C652" s="5" t="str">
        <f t="shared" si="19"/>
        <v>, M</v>
      </c>
      <c r="D652" s="5" t="str">
        <f t="shared" si="22"/>
        <v>Harmo</v>
      </c>
      <c r="E652" s="5" t="str">
        <f t="shared" si="23"/>
        <v>David</v>
      </c>
    </row>
    <row r="653" spans="1:5" ht="15.75" customHeight="1" x14ac:dyDescent="0.3">
      <c r="A653" s="4" t="s">
        <v>1306</v>
      </c>
      <c r="B653" s="4" t="s">
        <v>1307</v>
      </c>
      <c r="C653" s="5" t="str">
        <f t="shared" si="19"/>
        <v>gs,</v>
      </c>
      <c r="D653" s="5" t="str">
        <f t="shared" si="22"/>
        <v>Penni</v>
      </c>
      <c r="E653" s="5" t="str">
        <f t="shared" si="23"/>
        <v>toria</v>
      </c>
    </row>
    <row r="654" spans="1:5" ht="15.75" customHeight="1" x14ac:dyDescent="0.3">
      <c r="A654" s="4" t="s">
        <v>1308</v>
      </c>
      <c r="B654" s="4" t="s">
        <v>1309</v>
      </c>
      <c r="C654" s="5" t="str">
        <f t="shared" si="19"/>
        <v>is,</v>
      </c>
      <c r="D654" s="5" t="str">
        <f t="shared" si="22"/>
        <v>Tsero</v>
      </c>
      <c r="E654" s="5" t="str">
        <f t="shared" si="23"/>
        <v>Tasos</v>
      </c>
    </row>
    <row r="655" spans="1:5" ht="15.75" customHeight="1" x14ac:dyDescent="0.3">
      <c r="A655" s="4" t="s">
        <v>1310</v>
      </c>
      <c r="B655" s="4" t="s">
        <v>1311</v>
      </c>
      <c r="C655" s="5" t="str">
        <f t="shared" si="19"/>
        <v xml:space="preserve"> Mr</v>
      </c>
      <c r="D655" s="5" t="str">
        <f t="shared" si="22"/>
        <v>Aliff</v>
      </c>
      <c r="E655" s="5" t="str">
        <f t="shared" si="23"/>
        <v>homas</v>
      </c>
    </row>
    <row r="656" spans="1:5" ht="15.75" customHeight="1" x14ac:dyDescent="0.3">
      <c r="A656" s="4" t="s">
        <v>1312</v>
      </c>
      <c r="B656" s="4" t="s">
        <v>1313</v>
      </c>
      <c r="C656" s="5" t="str">
        <f t="shared" si="19"/>
        <v>ber</v>
      </c>
      <c r="D656" s="5" t="str">
        <f t="shared" si="22"/>
        <v>Wille</v>
      </c>
      <c r="E656" s="5" t="str">
        <f t="shared" si="23"/>
        <v>ukasz</v>
      </c>
    </row>
    <row r="657" spans="1:5" ht="15.75" customHeight="1" x14ac:dyDescent="0.3">
      <c r="A657" s="4" t="s">
        <v>1314</v>
      </c>
      <c r="B657" s="4" t="s">
        <v>1315</v>
      </c>
      <c r="C657" s="5" t="str">
        <f t="shared" si="19"/>
        <v xml:space="preserve">t, </v>
      </c>
      <c r="D657" s="5" t="str">
        <f t="shared" ref="D657:D720" si="24">LEFT(B657,5)</f>
        <v>Mille</v>
      </c>
      <c r="E657" s="5" t="str">
        <f t="shared" si="23"/>
        <v>ew A.</v>
      </c>
    </row>
    <row r="658" spans="1:5" ht="15.75" customHeight="1" x14ac:dyDescent="0.3">
      <c r="A658" s="4" t="s">
        <v>1316</v>
      </c>
      <c r="B658" s="4" t="s">
        <v>1317</v>
      </c>
      <c r="C658" s="5" t="str">
        <f t="shared" si="19"/>
        <v xml:space="preserve"> Ms</v>
      </c>
      <c r="D658" s="5" t="str">
        <f t="shared" si="24"/>
        <v>Haley</v>
      </c>
      <c r="E658" s="5" t="str">
        <f t="shared" si="23"/>
        <v xml:space="preserve"> Meta</v>
      </c>
    </row>
    <row r="659" spans="1:5" ht="15.75" customHeight="1" x14ac:dyDescent="0.3">
      <c r="A659" s="4" t="s">
        <v>1318</v>
      </c>
      <c r="B659" s="4" t="s">
        <v>1319</v>
      </c>
      <c r="C659" s="5" t="str">
        <f t="shared" si="19"/>
        <v>an,</v>
      </c>
      <c r="D659" s="5" t="str">
        <f t="shared" si="24"/>
        <v>Acker</v>
      </c>
      <c r="E659" s="5" t="str">
        <f t="shared" si="23"/>
        <v>hel E</v>
      </c>
    </row>
    <row r="660" spans="1:5" ht="15.75" customHeight="1" x14ac:dyDescent="0.3">
      <c r="A660" s="4" t="s">
        <v>1320</v>
      </c>
      <c r="B660" s="4" t="s">
        <v>1321</v>
      </c>
      <c r="C660" s="5" t="str">
        <f t="shared" si="19"/>
        <v>, M</v>
      </c>
      <c r="D660" s="5" t="str">
        <f t="shared" si="24"/>
        <v>Valde</v>
      </c>
      <c r="E660" s="5" t="str">
        <f t="shared" si="23"/>
        <v>elica</v>
      </c>
    </row>
    <row r="661" spans="1:5" ht="15.75" customHeight="1" x14ac:dyDescent="0.3">
      <c r="A661" s="4" t="s">
        <v>1322</v>
      </c>
      <c r="B661" s="4" t="s">
        <v>1323</v>
      </c>
      <c r="C661" s="5" t="str">
        <f t="shared" si="19"/>
        <v xml:space="preserve">d, </v>
      </c>
      <c r="D661" s="5" t="str">
        <f t="shared" si="24"/>
        <v>Micha</v>
      </c>
      <c r="E661" s="5" t="str">
        <f t="shared" si="23"/>
        <v>hleen</v>
      </c>
    </row>
    <row r="662" spans="1:5" ht="15.75" customHeight="1" x14ac:dyDescent="0.3">
      <c r="A662" s="4" t="s">
        <v>1324</v>
      </c>
      <c r="B662" s="4" t="s">
        <v>1325</v>
      </c>
      <c r="C662" s="5" t="str">
        <f t="shared" si="19"/>
        <v xml:space="preserve">k, </v>
      </c>
      <c r="D662" s="5" t="str">
        <f t="shared" si="24"/>
        <v>Gunni</v>
      </c>
      <c r="E662" s="5" t="str">
        <f t="shared" si="23"/>
        <v>el D.</v>
      </c>
    </row>
    <row r="663" spans="1:5" ht="15.75" customHeight="1" x14ac:dyDescent="0.3">
      <c r="A663" s="4" t="s">
        <v>1326</v>
      </c>
      <c r="B663" s="4" t="s">
        <v>1327</v>
      </c>
      <c r="C663" s="5" t="str">
        <f t="shared" si="19"/>
        <v>, M</v>
      </c>
      <c r="D663" s="5" t="str">
        <f t="shared" si="24"/>
        <v>Knigh</v>
      </c>
      <c r="E663" s="5" t="str">
        <f t="shared" si="23"/>
        <v>eff T</v>
      </c>
    </row>
    <row r="664" spans="1:5" ht="15.75" customHeight="1" x14ac:dyDescent="0.3">
      <c r="A664" s="4" t="s">
        <v>1328</v>
      </c>
      <c r="B664" s="4" t="s">
        <v>1329</v>
      </c>
      <c r="C664" s="5" t="str">
        <f t="shared" si="19"/>
        <v>up,</v>
      </c>
      <c r="D664" s="5" t="str">
        <f t="shared" si="24"/>
        <v>Gross</v>
      </c>
      <c r="E664" s="5" t="str">
        <f t="shared" si="23"/>
        <v>eil D</v>
      </c>
    </row>
    <row r="665" spans="1:5" ht="15.75" customHeight="1" x14ac:dyDescent="0.3">
      <c r="A665" s="4" t="s">
        <v>1330</v>
      </c>
      <c r="B665" s="4" t="s">
        <v>1331</v>
      </c>
      <c r="C665" s="5" t="str">
        <f t="shared" si="19"/>
        <v xml:space="preserve">h, </v>
      </c>
      <c r="D665" s="5" t="str">
        <f t="shared" si="24"/>
        <v>Koniu</v>
      </c>
      <c r="E665" s="5" t="str">
        <f t="shared" si="23"/>
        <v>ne L.</v>
      </c>
    </row>
    <row r="666" spans="1:5" ht="15.75" customHeight="1" x14ac:dyDescent="0.3">
      <c r="A666" s="4" t="s">
        <v>1332</v>
      </c>
      <c r="B666" s="4" t="s">
        <v>1333</v>
      </c>
      <c r="C666" s="5" t="str">
        <f t="shared" si="19"/>
        <v>an,</v>
      </c>
      <c r="D666" s="5" t="str">
        <f t="shared" si="24"/>
        <v>Heitz</v>
      </c>
      <c r="E666" s="5" t="str">
        <f t="shared" si="23"/>
        <v>iel E</v>
      </c>
    </row>
    <row r="667" spans="1:5" ht="15.75" customHeight="1" x14ac:dyDescent="0.3">
      <c r="A667" s="4" t="s">
        <v>1334</v>
      </c>
      <c r="B667" s="4" t="s">
        <v>1335</v>
      </c>
      <c r="C667" s="5" t="str">
        <f t="shared" si="19"/>
        <v>, M</v>
      </c>
      <c r="D667" s="5" t="str">
        <f t="shared" si="24"/>
        <v>Tatto</v>
      </c>
      <c r="E667" s="5" t="str">
        <f t="shared" si="23"/>
        <v>her P</v>
      </c>
    </row>
    <row r="668" spans="1:5" ht="15.75" customHeight="1" x14ac:dyDescent="0.3">
      <c r="A668" s="4" t="s">
        <v>1336</v>
      </c>
      <c r="B668" s="4" t="s">
        <v>1337</v>
      </c>
      <c r="C668" s="5" t="str">
        <f t="shared" si="19"/>
        <v>an,</v>
      </c>
      <c r="D668" s="5" t="str">
        <f t="shared" si="24"/>
        <v>Flana</v>
      </c>
      <c r="E668" s="5" t="str">
        <f t="shared" si="23"/>
        <v>in M.</v>
      </c>
    </row>
    <row r="669" spans="1:5" ht="15.75" customHeight="1" x14ac:dyDescent="0.3">
      <c r="A669" s="4" t="s">
        <v>1338</v>
      </c>
      <c r="B669" s="4" t="s">
        <v>1339</v>
      </c>
      <c r="C669" s="5" t="str">
        <f t="shared" si="19"/>
        <v>Mrs</v>
      </c>
      <c r="D669" s="5" t="str">
        <f t="shared" si="24"/>
        <v>Funk,</v>
      </c>
      <c r="E669" s="5" t="str">
        <f t="shared" si="23"/>
        <v>ly K.</v>
      </c>
    </row>
    <row r="670" spans="1:5" ht="15.75" customHeight="1" x14ac:dyDescent="0.3">
      <c r="A670" s="4" t="s">
        <v>1340</v>
      </c>
      <c r="B670" s="4" t="s">
        <v>1341</v>
      </c>
      <c r="C670" s="5" t="str">
        <f t="shared" si="19"/>
        <v>ort</v>
      </c>
      <c r="D670" s="5" t="str">
        <f t="shared" si="24"/>
        <v>Daven</v>
      </c>
      <c r="E670" s="5" t="str">
        <f t="shared" si="23"/>
        <v>an J.</v>
      </c>
    </row>
    <row r="671" spans="1:5" ht="15.75" customHeight="1" x14ac:dyDescent="0.3">
      <c r="A671" s="4" t="s">
        <v>1342</v>
      </c>
      <c r="B671" s="4" t="s">
        <v>1343</v>
      </c>
      <c r="C671" s="5" t="str">
        <f t="shared" si="19"/>
        <v>son</v>
      </c>
      <c r="D671" s="5" t="str">
        <f t="shared" si="24"/>
        <v>Nicho</v>
      </c>
      <c r="E671" s="5" t="str">
        <f t="shared" si="23"/>
        <v>nifer</v>
      </c>
    </row>
    <row r="672" spans="1:5" ht="15.75" customHeight="1" x14ac:dyDescent="0.3">
      <c r="A672" s="4" t="s">
        <v>1344</v>
      </c>
      <c r="B672" s="4" t="s">
        <v>1345</v>
      </c>
      <c r="C672" s="5" t="str">
        <f t="shared" si="19"/>
        <v>oom</v>
      </c>
      <c r="D672" s="5" t="str">
        <f t="shared" si="24"/>
        <v>Lindb</v>
      </c>
      <c r="E672" s="5" t="str">
        <f t="shared" si="23"/>
        <v>iel M</v>
      </c>
    </row>
    <row r="673" spans="1:5" ht="15.75" customHeight="1" x14ac:dyDescent="0.3">
      <c r="A673" s="4" t="s">
        <v>1346</v>
      </c>
      <c r="B673" s="4" t="s">
        <v>1347</v>
      </c>
      <c r="C673" s="5" t="str">
        <f t="shared" si="19"/>
        <v>rat</v>
      </c>
      <c r="D673" s="5" t="str">
        <f t="shared" si="24"/>
        <v>Wijay</v>
      </c>
      <c r="E673" s="5" t="str">
        <f t="shared" si="23"/>
        <v>iruni</v>
      </c>
    </row>
    <row r="674" spans="1:5" ht="15.75" customHeight="1" x14ac:dyDescent="0.3">
      <c r="A674" s="4" t="s">
        <v>1348</v>
      </c>
      <c r="B674" s="4" t="s">
        <v>1349</v>
      </c>
      <c r="C674" s="5" t="str">
        <f t="shared" si="19"/>
        <v>rth</v>
      </c>
      <c r="D674" s="5" t="str">
        <f t="shared" si="24"/>
        <v>Ainsw</v>
      </c>
      <c r="E674" s="5" t="str">
        <f t="shared" si="23"/>
        <v>na H.</v>
      </c>
    </row>
    <row r="675" spans="1:5" ht="15.75" customHeight="1" x14ac:dyDescent="0.3">
      <c r="A675" s="4" t="s">
        <v>1350</v>
      </c>
      <c r="B675" s="4" t="s">
        <v>1351</v>
      </c>
      <c r="C675" s="5" t="str">
        <f t="shared" si="19"/>
        <v xml:space="preserve">y, </v>
      </c>
      <c r="D675" s="5" t="str">
        <f t="shared" si="24"/>
        <v>Gayag</v>
      </c>
      <c r="E675" s="5" t="str">
        <f t="shared" si="23"/>
        <v>risti</v>
      </c>
    </row>
    <row r="676" spans="1:5" ht="15.75" customHeight="1" x14ac:dyDescent="0.3">
      <c r="A676" s="4" t="s">
        <v>1352</v>
      </c>
      <c r="B676" s="4" t="s">
        <v>1353</v>
      </c>
      <c r="C676" s="5" t="str">
        <f t="shared" si="19"/>
        <v>uri</v>
      </c>
      <c r="D676" s="5" t="str">
        <f t="shared" si="24"/>
        <v>Fitzm</v>
      </c>
      <c r="E676" s="5" t="str">
        <f t="shared" si="23"/>
        <v>th L.</v>
      </c>
    </row>
    <row r="677" spans="1:5" ht="15.75" customHeight="1" x14ac:dyDescent="0.3">
      <c r="A677" s="4" t="s">
        <v>1354</v>
      </c>
      <c r="B677" s="4" t="s">
        <v>1355</v>
      </c>
      <c r="C677" s="5" t="str">
        <f t="shared" si="19"/>
        <v>uez</v>
      </c>
      <c r="D677" s="5" t="str">
        <f t="shared" si="24"/>
        <v>Rodri</v>
      </c>
      <c r="E677" s="5" t="str">
        <f t="shared" si="23"/>
        <v>celyn</v>
      </c>
    </row>
    <row r="678" spans="1:5" ht="15.75" customHeight="1" x14ac:dyDescent="0.3">
      <c r="A678" s="4" t="s">
        <v>1356</v>
      </c>
      <c r="B678" s="4" t="s">
        <v>1357</v>
      </c>
      <c r="C678" s="5" t="str">
        <f t="shared" si="19"/>
        <v xml:space="preserve">s, </v>
      </c>
      <c r="D678" s="5" t="str">
        <f t="shared" si="24"/>
        <v>Tsouc</v>
      </c>
      <c r="E678" s="5" t="str">
        <f t="shared" si="23"/>
        <v>aphne</v>
      </c>
    </row>
    <row r="679" spans="1:5" ht="15.75" customHeight="1" x14ac:dyDescent="0.3">
      <c r="A679" s="4" t="s">
        <v>1358</v>
      </c>
      <c r="B679" s="4" t="s">
        <v>1359</v>
      </c>
      <c r="C679" s="5" t="str">
        <f t="shared" si="19"/>
        <v xml:space="preserve"> Ms</v>
      </c>
      <c r="D679" s="5" t="str">
        <f t="shared" si="24"/>
        <v>Muhly</v>
      </c>
      <c r="E679" s="5" t="str">
        <f t="shared" si="23"/>
        <v>ret E</v>
      </c>
    </row>
    <row r="680" spans="1:5" ht="15.75" customHeight="1" x14ac:dyDescent="0.3">
      <c r="A680" s="4" t="s">
        <v>1360</v>
      </c>
      <c r="B680" s="4" t="s">
        <v>1361</v>
      </c>
      <c r="C680" s="5" t="str">
        <f t="shared" si="19"/>
        <v>Mr.</v>
      </c>
      <c r="D680" s="5" t="str">
        <f t="shared" si="24"/>
        <v>Lund,</v>
      </c>
      <c r="E680" s="5" t="str">
        <f t="shared" si="23"/>
        <v>io J.</v>
      </c>
    </row>
    <row r="681" spans="1:5" ht="15.75" customHeight="1" x14ac:dyDescent="0.3">
      <c r="A681" s="4" t="s">
        <v>1362</v>
      </c>
      <c r="B681" s="4" t="s">
        <v>1363</v>
      </c>
      <c r="C681" s="5" t="str">
        <f t="shared" si="19"/>
        <v>lin</v>
      </c>
      <c r="D681" s="5" t="str">
        <f t="shared" si="24"/>
        <v>Batta</v>
      </c>
      <c r="E681" s="5" t="str">
        <f t="shared" si="23"/>
        <v>Peter</v>
      </c>
    </row>
    <row r="682" spans="1:5" ht="15.75" customHeight="1" x14ac:dyDescent="0.3">
      <c r="A682" s="4" t="s">
        <v>1364</v>
      </c>
      <c r="B682" s="4" t="s">
        <v>1365</v>
      </c>
      <c r="C682" s="5" t="str">
        <f t="shared" si="19"/>
        <v>Ms.</v>
      </c>
      <c r="D682" s="5" t="str">
        <f t="shared" si="24"/>
        <v>Pena,</v>
      </c>
      <c r="E682" s="5" t="str">
        <f t="shared" si="23"/>
        <v>olina</v>
      </c>
    </row>
    <row r="683" spans="1:5" ht="15.75" customHeight="1" x14ac:dyDescent="0.3">
      <c r="A683" s="4" t="s">
        <v>1366</v>
      </c>
      <c r="B683" s="4" t="s">
        <v>1367</v>
      </c>
      <c r="C683" s="5" t="str">
        <f t="shared" si="19"/>
        <v>on,</v>
      </c>
      <c r="D683" s="5" t="str">
        <f t="shared" si="24"/>
        <v>Thoma</v>
      </c>
      <c r="E683" s="5" t="str">
        <f t="shared" si="23"/>
        <v>ny K.</v>
      </c>
    </row>
    <row r="684" spans="1:5" ht="15.75" customHeight="1" x14ac:dyDescent="0.3">
      <c r="A684" s="4" t="s">
        <v>1368</v>
      </c>
      <c r="B684" s="4" t="s">
        <v>1369</v>
      </c>
      <c r="C684" s="5" t="str">
        <f t="shared" si="19"/>
        <v>, M</v>
      </c>
      <c r="D684" s="5" t="str">
        <f t="shared" si="24"/>
        <v>Hanco</v>
      </c>
      <c r="E684" s="5" t="str">
        <f t="shared" si="23"/>
        <v>ssica</v>
      </c>
    </row>
    <row r="685" spans="1:5" ht="15.75" customHeight="1" x14ac:dyDescent="0.3">
      <c r="A685" s="4" t="s">
        <v>1370</v>
      </c>
      <c r="B685" s="4" t="s">
        <v>1371</v>
      </c>
      <c r="C685" s="5" t="str">
        <f t="shared" si="19"/>
        <v>cci</v>
      </c>
      <c r="D685" s="5" t="str">
        <f t="shared" si="24"/>
        <v>Canar</v>
      </c>
      <c r="E685" s="5" t="str">
        <f t="shared" si="23"/>
        <v>rly D</v>
      </c>
    </row>
    <row r="686" spans="1:5" ht="15.75" customHeight="1" x14ac:dyDescent="0.3">
      <c r="A686" s="4" t="s">
        <v>1372</v>
      </c>
      <c r="B686" s="4" t="s">
        <v>1373</v>
      </c>
      <c r="C686" s="5" t="str">
        <f t="shared" si="19"/>
        <v>, M</v>
      </c>
      <c r="D686" s="5" t="str">
        <f t="shared" si="24"/>
        <v>Toupi</v>
      </c>
      <c r="E686" s="5" t="str">
        <f t="shared" si="23"/>
        <v>ivier</v>
      </c>
    </row>
    <row r="687" spans="1:5" ht="15.75" customHeight="1" x14ac:dyDescent="0.3">
      <c r="A687" s="4" t="s">
        <v>1374</v>
      </c>
      <c r="B687" s="4" t="s">
        <v>1375</v>
      </c>
      <c r="C687" s="5" t="str">
        <f t="shared" si="19"/>
        <v>, M</v>
      </c>
      <c r="D687" s="5" t="str">
        <f t="shared" si="24"/>
        <v>Mulle</v>
      </c>
      <c r="E687" s="5" t="str">
        <f t="shared" si="23"/>
        <v>ell J</v>
      </c>
    </row>
    <row r="688" spans="1:5" ht="15.75" customHeight="1" x14ac:dyDescent="0.3">
      <c r="A688" s="4" t="s">
        <v>1376</v>
      </c>
      <c r="B688" s="4" t="s">
        <v>1377</v>
      </c>
      <c r="C688" s="5" t="str">
        <f t="shared" si="19"/>
        <v xml:space="preserve"> Ms</v>
      </c>
      <c r="D688" s="5" t="str">
        <f t="shared" si="24"/>
        <v>Parry</v>
      </c>
      <c r="E688" s="5" t="str">
        <f t="shared" si="23"/>
        <v>arine</v>
      </c>
    </row>
    <row r="689" spans="1:5" ht="15.75" customHeight="1" x14ac:dyDescent="0.3">
      <c r="A689" s="4" t="s">
        <v>1378</v>
      </c>
      <c r="B689" s="4" t="s">
        <v>1379</v>
      </c>
      <c r="C689" s="5" t="str">
        <f t="shared" si="19"/>
        <v>Cox</v>
      </c>
      <c r="D689" s="5" t="str">
        <f t="shared" si="24"/>
        <v>Mason</v>
      </c>
      <c r="E689" s="5" t="str">
        <f t="shared" si="23"/>
        <v>heryl</v>
      </c>
    </row>
    <row r="690" spans="1:5" ht="15.75" customHeight="1" x14ac:dyDescent="0.3">
      <c r="A690" s="4" t="s">
        <v>1380</v>
      </c>
      <c r="B690" s="4" t="s">
        <v>1381</v>
      </c>
      <c r="C690" s="5" t="str">
        <f t="shared" si="19"/>
        <v>on,</v>
      </c>
      <c r="D690" s="5" t="str">
        <f t="shared" si="24"/>
        <v>Thomp</v>
      </c>
      <c r="E690" s="5" t="str">
        <f t="shared" si="23"/>
        <v>on M.</v>
      </c>
    </row>
    <row r="691" spans="1:5" ht="15.75" customHeight="1" x14ac:dyDescent="0.3">
      <c r="A691" s="4" t="s">
        <v>1382</v>
      </c>
      <c r="B691" s="4" t="s">
        <v>1383</v>
      </c>
      <c r="C691" s="5" t="str">
        <f t="shared" si="19"/>
        <v>, M</v>
      </c>
      <c r="D691" s="5" t="str">
        <f t="shared" si="24"/>
        <v>Nelso</v>
      </c>
      <c r="E691" s="5" t="str">
        <f t="shared" si="23"/>
        <v>riana</v>
      </c>
    </row>
    <row r="692" spans="1:5" ht="15.75" customHeight="1" x14ac:dyDescent="0.3">
      <c r="A692" s="4" t="s">
        <v>1384</v>
      </c>
      <c r="B692" s="4" t="s">
        <v>1385</v>
      </c>
      <c r="C692" s="5" t="str">
        <f t="shared" si="19"/>
        <v xml:space="preserve"> Ms</v>
      </c>
      <c r="D692" s="5" t="str">
        <f t="shared" si="24"/>
        <v>Forte</v>
      </c>
      <c r="E692" s="5" t="str">
        <f t="shared" si="23"/>
        <v>nda J</v>
      </c>
    </row>
    <row r="693" spans="1:5" ht="15.75" customHeight="1" x14ac:dyDescent="0.3">
      <c r="A693" s="4" t="s">
        <v>1386</v>
      </c>
      <c r="B693" s="4" t="s">
        <v>1387</v>
      </c>
      <c r="C693" s="5" t="str">
        <f t="shared" si="19"/>
        <v xml:space="preserve"> It</v>
      </c>
      <c r="D693" s="5" t="str">
        <f t="shared" si="24"/>
        <v>Coron</v>
      </c>
      <c r="E693" s="5" t="str">
        <f t="shared" si="23"/>
        <v>berto</v>
      </c>
    </row>
    <row r="694" spans="1:5" ht="15.75" customHeight="1" x14ac:dyDescent="0.3">
      <c r="A694" s="4" t="s">
        <v>1388</v>
      </c>
      <c r="B694" s="4" t="s">
        <v>1389</v>
      </c>
      <c r="C694" s="5" t="str">
        <f t="shared" si="19"/>
        <v>um,</v>
      </c>
      <c r="D694" s="5" t="str">
        <f t="shared" si="24"/>
        <v>McCol</v>
      </c>
      <c r="E694" s="5" t="str">
        <f t="shared" si="23"/>
        <v>ca B.</v>
      </c>
    </row>
    <row r="695" spans="1:5" ht="15.75" customHeight="1" x14ac:dyDescent="0.3">
      <c r="A695" s="4" t="s">
        <v>1390</v>
      </c>
      <c r="B695" s="4" t="s">
        <v>1391</v>
      </c>
      <c r="C695" s="5" t="str">
        <f t="shared" si="19"/>
        <v>, M</v>
      </c>
      <c r="D695" s="5" t="str">
        <f t="shared" si="24"/>
        <v>Hevne</v>
      </c>
      <c r="E695" s="5" t="str">
        <f t="shared" si="23"/>
        <v>ffany</v>
      </c>
    </row>
    <row r="696" spans="1:5" ht="15.75" customHeight="1" x14ac:dyDescent="0.3">
      <c r="A696" s="4" t="s">
        <v>1392</v>
      </c>
      <c r="B696" s="4" t="s">
        <v>1393</v>
      </c>
      <c r="C696" s="5" t="str">
        <f t="shared" si="19"/>
        <v>Mr.</v>
      </c>
      <c r="D696" s="5" t="str">
        <f t="shared" si="24"/>
        <v>Looi,</v>
      </c>
      <c r="E696" s="5" t="str">
        <f t="shared" si="23"/>
        <v>ander</v>
      </c>
    </row>
    <row r="697" spans="1:5" ht="15.75" customHeight="1" x14ac:dyDescent="0.3">
      <c r="A697" s="4" t="s">
        <v>1394</v>
      </c>
      <c r="B697" s="4" t="s">
        <v>1395</v>
      </c>
      <c r="C697" s="5" t="str">
        <f t="shared" si="19"/>
        <v xml:space="preserve"> Mr</v>
      </c>
      <c r="D697" s="5" t="str">
        <f t="shared" si="24"/>
        <v>Power</v>
      </c>
      <c r="E697" s="5" t="str">
        <f t="shared" si="23"/>
        <v>ich M</v>
      </c>
    </row>
    <row r="698" spans="1:5" ht="15.75" customHeight="1" x14ac:dyDescent="0.3">
      <c r="A698" s="4" t="s">
        <v>1396</v>
      </c>
      <c r="B698" s="4" t="s">
        <v>1397</v>
      </c>
      <c r="C698" s="5" t="str">
        <f t="shared" si="19"/>
        <v>, M</v>
      </c>
      <c r="D698" s="5" t="str">
        <f t="shared" si="24"/>
        <v>Routo</v>
      </c>
      <c r="E698" s="5" t="str">
        <f t="shared" si="23"/>
        <v>ron C</v>
      </c>
    </row>
    <row r="699" spans="1:5" ht="15.75" customHeight="1" x14ac:dyDescent="0.3">
      <c r="A699" s="4" t="s">
        <v>1398</v>
      </c>
      <c r="B699" s="4" t="s">
        <v>1399</v>
      </c>
      <c r="C699" s="5" t="str">
        <f t="shared" si="19"/>
        <v>li,</v>
      </c>
      <c r="D699" s="5" t="str">
        <f t="shared" si="24"/>
        <v>Doche</v>
      </c>
      <c r="E699" s="5" t="str">
        <f t="shared" si="23"/>
        <v xml:space="preserve"> Kate</v>
      </c>
    </row>
    <row r="700" spans="1:5" ht="15.75" customHeight="1" x14ac:dyDescent="0.3">
      <c r="A700" s="4" t="s">
        <v>1400</v>
      </c>
      <c r="B700" s="4" t="s">
        <v>1401</v>
      </c>
      <c r="C700" s="5" t="str">
        <f t="shared" si="19"/>
        <v>pie</v>
      </c>
      <c r="D700" s="5" t="str">
        <f t="shared" si="24"/>
        <v>Gille</v>
      </c>
      <c r="E700" s="5" t="str">
        <f t="shared" si="23"/>
        <v>ria M</v>
      </c>
    </row>
    <row r="701" spans="1:5" ht="15.75" customHeight="1" x14ac:dyDescent="0.3">
      <c r="A701" s="4" t="s">
        <v>1402</v>
      </c>
      <c r="B701" s="4" t="s">
        <v>1403</v>
      </c>
      <c r="C701" s="5" t="str">
        <f t="shared" si="19"/>
        <v>, M</v>
      </c>
      <c r="D701" s="5" t="str">
        <f t="shared" si="24"/>
        <v>Oskvi</v>
      </c>
      <c r="E701" s="5" t="str">
        <f t="shared" si="23"/>
        <v>ven W</v>
      </c>
    </row>
    <row r="702" spans="1:5" ht="15.75" customHeight="1" x14ac:dyDescent="0.3">
      <c r="A702" s="4" t="s">
        <v>1404</v>
      </c>
      <c r="B702" s="4" t="s">
        <v>1405</v>
      </c>
      <c r="C702" s="5" t="str">
        <f t="shared" si="19"/>
        <v>d-S</v>
      </c>
      <c r="D702" s="5" t="str">
        <f t="shared" si="24"/>
        <v>Holla</v>
      </c>
      <c r="E702" s="5" t="str">
        <f t="shared" si="23"/>
        <v>ianne</v>
      </c>
    </row>
    <row r="703" spans="1:5" ht="15.75" customHeight="1" x14ac:dyDescent="0.3">
      <c r="A703" s="4" t="s">
        <v>1406</v>
      </c>
      <c r="B703" s="4" t="s">
        <v>1407</v>
      </c>
      <c r="C703" s="5" t="str">
        <f t="shared" si="19"/>
        <v>Mr.</v>
      </c>
      <c r="D703" s="5" t="str">
        <f t="shared" si="24"/>
        <v>Arai,</v>
      </c>
      <c r="E703" s="5" t="str">
        <f t="shared" si="23"/>
        <v>iroki</v>
      </c>
    </row>
    <row r="704" spans="1:5" ht="15.75" customHeight="1" x14ac:dyDescent="0.3">
      <c r="A704" s="4" t="s">
        <v>1408</v>
      </c>
      <c r="B704" s="4" t="s">
        <v>1409</v>
      </c>
      <c r="C704" s="5" t="str">
        <f t="shared" si="19"/>
        <v>on,</v>
      </c>
      <c r="D704" s="5" t="str">
        <f t="shared" si="24"/>
        <v>Olaus</v>
      </c>
      <c r="E704" s="5" t="str">
        <f t="shared" si="23"/>
        <v>nders</v>
      </c>
    </row>
    <row r="705" spans="1:5" ht="15.75" customHeight="1" x14ac:dyDescent="0.3">
      <c r="A705" s="4" t="s">
        <v>1410</v>
      </c>
      <c r="B705" s="4" t="s">
        <v>1411</v>
      </c>
      <c r="C705" s="5" t="str">
        <f t="shared" si="19"/>
        <v>, M</v>
      </c>
      <c r="D705" s="5" t="str">
        <f t="shared" si="24"/>
        <v>Wagne</v>
      </c>
      <c r="E705" s="5" t="str">
        <f t="shared" si="23"/>
        <v>ielle</v>
      </c>
    </row>
    <row r="706" spans="1:5" ht="15.75" customHeight="1" x14ac:dyDescent="0.3">
      <c r="A706" s="4" t="s">
        <v>1412</v>
      </c>
      <c r="B706" s="4" t="s">
        <v>1413</v>
      </c>
      <c r="C706" s="5" t="str">
        <f t="shared" si="19"/>
        <v>, M</v>
      </c>
      <c r="D706" s="5" t="str">
        <f t="shared" si="24"/>
        <v>Delon</v>
      </c>
      <c r="E706" s="5" t="str">
        <f t="shared" ref="E706:E769" si="25">RIGHT(B706,5)</f>
        <v>ace N</v>
      </c>
    </row>
    <row r="707" spans="1:5" ht="15.75" customHeight="1" x14ac:dyDescent="0.3">
      <c r="A707" s="4" t="s">
        <v>1414</v>
      </c>
      <c r="B707" s="4" t="s">
        <v>1415</v>
      </c>
      <c r="C707" s="5" t="str">
        <f t="shared" si="19"/>
        <v>, M</v>
      </c>
      <c r="D707" s="5" t="str">
        <f t="shared" si="24"/>
        <v>Mehec</v>
      </c>
      <c r="E707" s="5" t="str">
        <f t="shared" si="25"/>
        <v>no F.</v>
      </c>
    </row>
    <row r="708" spans="1:5" ht="15.75" customHeight="1" x14ac:dyDescent="0.3">
      <c r="A708" s="4" t="s">
        <v>1416</v>
      </c>
      <c r="B708" s="4" t="s">
        <v>1417</v>
      </c>
      <c r="C708" s="5" t="str">
        <f t="shared" si="19"/>
        <v>la,</v>
      </c>
      <c r="D708" s="5" t="str">
        <f t="shared" si="24"/>
        <v>Machi</v>
      </c>
      <c r="E708" s="5" t="str">
        <f t="shared" si="25"/>
        <v>Emily</v>
      </c>
    </row>
    <row r="709" spans="1:5" ht="15.75" customHeight="1" x14ac:dyDescent="0.3">
      <c r="A709" s="4" t="s">
        <v>1418</v>
      </c>
      <c r="B709" s="4" t="s">
        <v>1419</v>
      </c>
      <c r="C709" s="5" t="str">
        <f t="shared" si="19"/>
        <v xml:space="preserve"> Mr</v>
      </c>
      <c r="D709" s="5" t="str">
        <f t="shared" si="24"/>
        <v>Young</v>
      </c>
      <c r="E709" s="5" t="str">
        <f t="shared" si="25"/>
        <v>Katie</v>
      </c>
    </row>
    <row r="710" spans="1:5" ht="15.75" customHeight="1" x14ac:dyDescent="0.3">
      <c r="A710" s="4" t="s">
        <v>1420</v>
      </c>
      <c r="B710" s="4" t="s">
        <v>1421</v>
      </c>
      <c r="C710" s="5" t="str">
        <f t="shared" si="19"/>
        <v>, M</v>
      </c>
      <c r="D710" s="5" t="str">
        <f t="shared" si="24"/>
        <v>Duper</v>
      </c>
      <c r="E710" s="5" t="str">
        <f t="shared" si="25"/>
        <v>Sally</v>
      </c>
    </row>
    <row r="711" spans="1:5" ht="15.75" customHeight="1" x14ac:dyDescent="0.3">
      <c r="A711" s="4" t="s">
        <v>1422</v>
      </c>
      <c r="B711" s="4" t="s">
        <v>1423</v>
      </c>
      <c r="C711" s="5" t="str">
        <f t="shared" si="19"/>
        <v xml:space="preserve">o, </v>
      </c>
      <c r="D711" s="5" t="str">
        <f t="shared" si="24"/>
        <v>Iando</v>
      </c>
      <c r="E711" s="5" t="str">
        <f t="shared" si="25"/>
        <v>han J</v>
      </c>
    </row>
    <row r="712" spans="1:5" ht="15.75" customHeight="1" x14ac:dyDescent="0.3">
      <c r="A712" s="4" t="s">
        <v>1424</v>
      </c>
      <c r="B712" s="4" t="s">
        <v>1425</v>
      </c>
      <c r="C712" s="5" t="str">
        <f t="shared" si="19"/>
        <v xml:space="preserve">s. </v>
      </c>
      <c r="D712" s="5" t="str">
        <f t="shared" si="24"/>
        <v xml:space="preserve">Ito, </v>
      </c>
      <c r="E712" s="5" t="str">
        <f t="shared" si="25"/>
        <v xml:space="preserve"> Rina</v>
      </c>
    </row>
    <row r="713" spans="1:5" ht="15.75" customHeight="1" x14ac:dyDescent="0.3">
      <c r="A713" s="4" t="s">
        <v>1426</v>
      </c>
      <c r="B713" s="4" t="s">
        <v>1427</v>
      </c>
      <c r="C713" s="5" t="str">
        <f t="shared" si="19"/>
        <v xml:space="preserve"> Ms</v>
      </c>
      <c r="D713" s="5" t="str">
        <f t="shared" si="24"/>
        <v>Barry</v>
      </c>
      <c r="E713" s="5" t="str">
        <f t="shared" si="25"/>
        <v>in P.</v>
      </c>
    </row>
    <row r="714" spans="1:5" ht="15.75" customHeight="1" x14ac:dyDescent="0.3">
      <c r="A714" s="4" t="s">
        <v>1428</v>
      </c>
      <c r="B714" s="4" t="s">
        <v>1429</v>
      </c>
      <c r="C714" s="5" t="str">
        <f t="shared" si="19"/>
        <v xml:space="preserve"> Mr</v>
      </c>
      <c r="D714" s="5" t="str">
        <f t="shared" si="24"/>
        <v>Boyce</v>
      </c>
      <c r="E714" s="5" t="str">
        <f t="shared" si="25"/>
        <v>lbert</v>
      </c>
    </row>
    <row r="715" spans="1:5" ht="15.75" customHeight="1" x14ac:dyDescent="0.3">
      <c r="A715" s="4" t="s">
        <v>1430</v>
      </c>
      <c r="B715" s="4" t="s">
        <v>1431</v>
      </c>
      <c r="C715" s="5" t="str">
        <f t="shared" si="19"/>
        <v>rs.</v>
      </c>
      <c r="D715" s="5" t="str">
        <f t="shared" si="24"/>
        <v xml:space="preserve">Lin, </v>
      </c>
      <c r="E715" s="5" t="str">
        <f t="shared" si="25"/>
        <v>shley</v>
      </c>
    </row>
    <row r="716" spans="1:5" ht="15.75" customHeight="1" x14ac:dyDescent="0.3">
      <c r="A716" s="4" t="s">
        <v>1432</v>
      </c>
      <c r="B716" s="4" t="s">
        <v>1433</v>
      </c>
      <c r="C716" s="5" t="str">
        <f t="shared" si="19"/>
        <v xml:space="preserve"> Mr</v>
      </c>
      <c r="D716" s="5" t="str">
        <f t="shared" si="24"/>
        <v>Smith</v>
      </c>
      <c r="E716" s="5" t="str">
        <f t="shared" si="25"/>
        <v>non L</v>
      </c>
    </row>
    <row r="717" spans="1:5" ht="15.75" customHeight="1" x14ac:dyDescent="0.3">
      <c r="A717" s="4" t="s">
        <v>1434</v>
      </c>
      <c r="B717" s="4" t="s">
        <v>1435</v>
      </c>
      <c r="C717" s="5" t="str">
        <f t="shared" si="19"/>
        <v>, M</v>
      </c>
      <c r="D717" s="5" t="str">
        <f t="shared" si="24"/>
        <v>Nalve</v>
      </c>
      <c r="E717" s="5" t="str">
        <f t="shared" si="25"/>
        <v>Amy B</v>
      </c>
    </row>
    <row r="718" spans="1:5" ht="15.75" customHeight="1" x14ac:dyDescent="0.3">
      <c r="A718" s="4" t="s">
        <v>1436</v>
      </c>
      <c r="B718" s="4" t="s">
        <v>1437</v>
      </c>
      <c r="C718" s="5" t="str">
        <f t="shared" si="19"/>
        <v>ois</v>
      </c>
      <c r="D718" s="5" t="str">
        <f t="shared" si="24"/>
        <v>Bourg</v>
      </c>
      <c r="E718" s="5" t="str">
        <f t="shared" si="25"/>
        <v>ielle</v>
      </c>
    </row>
    <row r="719" spans="1:5" ht="15.75" customHeight="1" x14ac:dyDescent="0.3">
      <c r="A719" s="4" t="s">
        <v>1438</v>
      </c>
      <c r="B719" s="4" t="s">
        <v>1439</v>
      </c>
      <c r="C719" s="5" t="str">
        <f t="shared" si="19"/>
        <v>, M</v>
      </c>
      <c r="D719" s="5" t="str">
        <f t="shared" si="24"/>
        <v>Orlof</v>
      </c>
      <c r="E719" s="5" t="str">
        <f t="shared" si="25"/>
        <v>rad F</v>
      </c>
    </row>
    <row r="720" spans="1:5" ht="15.75" customHeight="1" x14ac:dyDescent="0.3">
      <c r="A720" s="4" t="s">
        <v>1440</v>
      </c>
      <c r="B720" s="4" t="s">
        <v>1441</v>
      </c>
      <c r="C720" s="5" t="str">
        <f t="shared" si="19"/>
        <v xml:space="preserve">z, </v>
      </c>
      <c r="D720" s="5" t="str">
        <f t="shared" si="24"/>
        <v>Ramir</v>
      </c>
      <c r="E720" s="5" t="str">
        <f t="shared" si="25"/>
        <v xml:space="preserve"> Josh</v>
      </c>
    </row>
    <row r="721" spans="1:5" ht="15.75" customHeight="1" x14ac:dyDescent="0.3">
      <c r="A721" s="4" t="s">
        <v>1442</v>
      </c>
      <c r="B721" s="4" t="s">
        <v>1443</v>
      </c>
      <c r="C721" s="5" t="str">
        <f t="shared" si="19"/>
        <v xml:space="preserve">t, </v>
      </c>
      <c r="D721" s="5" t="str">
        <f t="shared" ref="D721:D784" si="26">LEFT(B721,5)</f>
        <v>Fouqu</v>
      </c>
      <c r="E721" s="5" t="str">
        <f t="shared" si="25"/>
        <v>axime</v>
      </c>
    </row>
    <row r="722" spans="1:5" ht="15.75" customHeight="1" x14ac:dyDescent="0.3">
      <c r="A722" s="4" t="s">
        <v>1444</v>
      </c>
      <c r="B722" s="4" t="s">
        <v>1445</v>
      </c>
      <c r="C722" s="5" t="str">
        <f t="shared" si="19"/>
        <v>lip</v>
      </c>
      <c r="D722" s="5" t="str">
        <f t="shared" si="26"/>
        <v>McPhi</v>
      </c>
      <c r="E722" s="5" t="str">
        <f t="shared" si="25"/>
        <v>talie</v>
      </c>
    </row>
    <row r="723" spans="1:5" ht="15.75" customHeight="1" x14ac:dyDescent="0.3">
      <c r="A723" s="4" t="s">
        <v>1446</v>
      </c>
      <c r="B723" s="4" t="s">
        <v>1447</v>
      </c>
      <c r="C723" s="5" t="str">
        <f t="shared" si="19"/>
        <v>, M</v>
      </c>
      <c r="D723" s="5" t="str">
        <f t="shared" si="26"/>
        <v>Burgi</v>
      </c>
      <c r="E723" s="5" t="str">
        <f t="shared" si="25"/>
        <v>lissa</v>
      </c>
    </row>
    <row r="724" spans="1:5" ht="15.75" customHeight="1" x14ac:dyDescent="0.3">
      <c r="A724" s="4" t="s">
        <v>1448</v>
      </c>
      <c r="B724" s="4" t="s">
        <v>1449</v>
      </c>
      <c r="C724" s="5" t="str">
        <f t="shared" si="19"/>
        <v xml:space="preserve">s, </v>
      </c>
      <c r="D724" s="5" t="str">
        <f t="shared" si="26"/>
        <v>Rober</v>
      </c>
      <c r="E724" s="5" t="str">
        <f t="shared" si="25"/>
        <v>ra P.</v>
      </c>
    </row>
    <row r="725" spans="1:5" ht="15.75" customHeight="1" x14ac:dyDescent="0.3">
      <c r="A725" s="4" t="s">
        <v>1450</v>
      </c>
      <c r="B725" s="4" t="s">
        <v>1451</v>
      </c>
      <c r="C725" s="5" t="str">
        <f t="shared" si="19"/>
        <v xml:space="preserve"> Mr</v>
      </c>
      <c r="D725" s="5" t="str">
        <f t="shared" si="26"/>
        <v>Nemec</v>
      </c>
      <c r="E725" s="5" t="str">
        <f t="shared" si="25"/>
        <v xml:space="preserve"> Lisa</v>
      </c>
    </row>
    <row r="726" spans="1:5" ht="15.75" customHeight="1" x14ac:dyDescent="0.3">
      <c r="A726" s="4" t="s">
        <v>1452</v>
      </c>
      <c r="B726" s="4" t="s">
        <v>1453</v>
      </c>
      <c r="C726" s="5" t="str">
        <f t="shared" si="19"/>
        <v>, M</v>
      </c>
      <c r="D726" s="5" t="str">
        <f t="shared" si="26"/>
        <v>Appma</v>
      </c>
      <c r="E726" s="5" t="str">
        <f t="shared" si="25"/>
        <v>. Jr.</v>
      </c>
    </row>
    <row r="727" spans="1:5" ht="15.75" customHeight="1" x14ac:dyDescent="0.3">
      <c r="A727" s="4" t="s">
        <v>1454</v>
      </c>
      <c r="B727" s="4" t="s">
        <v>1455</v>
      </c>
      <c r="C727" s="5" t="str">
        <f t="shared" si="19"/>
        <v>ll,</v>
      </c>
      <c r="D727" s="5" t="str">
        <f t="shared" si="26"/>
        <v>Drisc</v>
      </c>
      <c r="E727" s="5" t="str">
        <f t="shared" si="25"/>
        <v>James</v>
      </c>
    </row>
    <row r="728" spans="1:5" ht="15.75" customHeight="1" x14ac:dyDescent="0.3">
      <c r="A728" s="4" t="s">
        <v>1456</v>
      </c>
      <c r="B728" s="4" t="s">
        <v>1457</v>
      </c>
      <c r="C728" s="5" t="str">
        <f t="shared" si="19"/>
        <v>ach</v>
      </c>
      <c r="D728" s="5" t="str">
        <f t="shared" si="26"/>
        <v>Glotz</v>
      </c>
      <c r="E728" s="5" t="str">
        <f t="shared" si="25"/>
        <v xml:space="preserve"> John</v>
      </c>
    </row>
    <row r="729" spans="1:5" ht="15.75" customHeight="1" x14ac:dyDescent="0.3">
      <c r="A729" s="4" t="s">
        <v>1458</v>
      </c>
      <c r="B729" s="4" t="s">
        <v>1459</v>
      </c>
      <c r="C729" s="5" t="str">
        <f t="shared" si="19"/>
        <v>de,</v>
      </c>
      <c r="D729" s="5" t="str">
        <f t="shared" si="26"/>
        <v>Tenfo</v>
      </c>
      <c r="E729" s="5" t="str">
        <f t="shared" si="25"/>
        <v>dam S</v>
      </c>
    </row>
    <row r="730" spans="1:5" ht="15.75" customHeight="1" x14ac:dyDescent="0.3">
      <c r="A730" s="4" t="s">
        <v>1460</v>
      </c>
      <c r="B730" s="4" t="s">
        <v>1461</v>
      </c>
      <c r="C730" s="5" t="str">
        <f t="shared" si="19"/>
        <v xml:space="preserve">z, </v>
      </c>
      <c r="D730" s="5" t="str">
        <f t="shared" si="26"/>
        <v>Ramir</v>
      </c>
      <c r="E730" s="5" t="str">
        <f t="shared" si="25"/>
        <v>mando</v>
      </c>
    </row>
    <row r="731" spans="1:5" ht="15.75" customHeight="1" x14ac:dyDescent="0.3">
      <c r="A731" s="4" t="s">
        <v>1462</v>
      </c>
      <c r="B731" s="4" t="s">
        <v>1463</v>
      </c>
      <c r="C731" s="5" t="str">
        <f t="shared" si="19"/>
        <v>y T</v>
      </c>
      <c r="D731" s="5" t="str">
        <f t="shared" si="26"/>
        <v>Stanl</v>
      </c>
      <c r="E731" s="5" t="str">
        <f t="shared" si="25"/>
        <v xml:space="preserve"> Dana</v>
      </c>
    </row>
    <row r="732" spans="1:5" ht="15.75" customHeight="1" x14ac:dyDescent="0.3">
      <c r="A732" s="4" t="s">
        <v>1464</v>
      </c>
      <c r="B732" s="4" t="s">
        <v>1465</v>
      </c>
      <c r="C732" s="5" t="str">
        <f t="shared" si="19"/>
        <v>gen</v>
      </c>
      <c r="D732" s="5" t="str">
        <f t="shared" si="26"/>
        <v>Vando</v>
      </c>
      <c r="E732" s="5" t="str">
        <f t="shared" si="25"/>
        <v>fer L</v>
      </c>
    </row>
    <row r="733" spans="1:5" ht="15.75" customHeight="1" x14ac:dyDescent="0.3">
      <c r="A733" s="4" t="s">
        <v>1466</v>
      </c>
      <c r="B733" s="4" t="s">
        <v>1467</v>
      </c>
      <c r="C733" s="5" t="str">
        <f t="shared" si="19"/>
        <v xml:space="preserve">d, </v>
      </c>
      <c r="D733" s="5" t="str">
        <f t="shared" si="26"/>
        <v>Lieba</v>
      </c>
      <c r="E733" s="5" t="str">
        <f t="shared" si="25"/>
        <v>jamin</v>
      </c>
    </row>
    <row r="734" spans="1:5" ht="15.75" customHeight="1" x14ac:dyDescent="0.3">
      <c r="A734" s="4" t="s">
        <v>1468</v>
      </c>
      <c r="B734" s="4" t="s">
        <v>1469</v>
      </c>
      <c r="C734" s="5" t="str">
        <f t="shared" si="19"/>
        <v xml:space="preserve"> Ms</v>
      </c>
      <c r="D734" s="5" t="str">
        <f t="shared" si="26"/>
        <v>Holte</v>
      </c>
      <c r="E734" s="5" t="str">
        <f t="shared" si="25"/>
        <v>Tanya</v>
      </c>
    </row>
    <row r="735" spans="1:5" ht="15.75" customHeight="1" x14ac:dyDescent="0.3">
      <c r="A735" s="4" t="s">
        <v>1470</v>
      </c>
      <c r="B735" s="4" t="s">
        <v>1471</v>
      </c>
      <c r="C735" s="5" t="str">
        <f t="shared" si="19"/>
        <v xml:space="preserve">n, </v>
      </c>
      <c r="D735" s="5" t="str">
        <f t="shared" si="26"/>
        <v>Johns</v>
      </c>
      <c r="E735" s="5" t="str">
        <f t="shared" si="25"/>
        <v>Tracy</v>
      </c>
    </row>
    <row r="736" spans="1:5" ht="15.75" customHeight="1" x14ac:dyDescent="0.3">
      <c r="A736" s="4" t="s">
        <v>1472</v>
      </c>
      <c r="B736" s="4" t="s">
        <v>1473</v>
      </c>
      <c r="C736" s="5" t="str">
        <f t="shared" si="19"/>
        <v>tt,</v>
      </c>
      <c r="D736" s="5" t="str">
        <f t="shared" si="26"/>
        <v>Bartl</v>
      </c>
      <c r="E736" s="5" t="str">
        <f t="shared" si="25"/>
        <v>ily S</v>
      </c>
    </row>
    <row r="737" spans="1:5" ht="15.75" customHeight="1" x14ac:dyDescent="0.3">
      <c r="A737" s="4" t="s">
        <v>1474</v>
      </c>
      <c r="B737" s="4" t="s">
        <v>1475</v>
      </c>
      <c r="C737" s="5" t="str">
        <f t="shared" si="19"/>
        <v xml:space="preserve">n, </v>
      </c>
      <c r="D737" s="5" t="str">
        <f t="shared" si="26"/>
        <v>Bergm</v>
      </c>
      <c r="E737" s="5" t="str">
        <f t="shared" si="25"/>
        <v>lly R</v>
      </c>
    </row>
    <row r="738" spans="1:5" ht="15.75" customHeight="1" x14ac:dyDescent="0.3">
      <c r="A738" s="4" t="s">
        <v>1476</v>
      </c>
      <c r="B738" s="4" t="s">
        <v>1477</v>
      </c>
      <c r="C738" s="5" t="str">
        <f t="shared" si="19"/>
        <v>, M</v>
      </c>
      <c r="D738" s="5" t="str">
        <f t="shared" si="26"/>
        <v>Aitke</v>
      </c>
      <c r="E738" s="5" t="str">
        <f t="shared" si="25"/>
        <v xml:space="preserve"> Kyle</v>
      </c>
    </row>
    <row r="739" spans="1:5" ht="15.75" customHeight="1" x14ac:dyDescent="0.3">
      <c r="A739" s="4" t="s">
        <v>1478</v>
      </c>
      <c r="B739" s="4" t="s">
        <v>1479</v>
      </c>
      <c r="C739" s="5" t="str">
        <f t="shared" si="19"/>
        <v>, M</v>
      </c>
      <c r="D739" s="5" t="str">
        <f t="shared" si="26"/>
        <v>Berge</v>
      </c>
      <c r="E739" s="5" t="str">
        <f t="shared" si="25"/>
        <v>A Jr.</v>
      </c>
    </row>
    <row r="740" spans="1:5" ht="15.75" customHeight="1" x14ac:dyDescent="0.3">
      <c r="A740" s="4" t="s">
        <v>1480</v>
      </c>
      <c r="B740" s="4" t="s">
        <v>1481</v>
      </c>
      <c r="C740" s="5" t="str">
        <f t="shared" si="19"/>
        <v>, M</v>
      </c>
      <c r="D740" s="5" t="str">
        <f t="shared" si="26"/>
        <v>Riche</v>
      </c>
      <c r="E740" s="5" t="str">
        <f t="shared" si="25"/>
        <v>ary J</v>
      </c>
    </row>
    <row r="741" spans="1:5" ht="15.75" customHeight="1" x14ac:dyDescent="0.3">
      <c r="A741" s="4" t="s">
        <v>1482</v>
      </c>
      <c r="B741" s="4" t="s">
        <v>1483</v>
      </c>
      <c r="C741" s="5" t="str">
        <f t="shared" si="19"/>
        <v xml:space="preserve">r, </v>
      </c>
      <c r="D741" s="5" t="str">
        <f t="shared" si="26"/>
        <v>Trott</v>
      </c>
      <c r="E741" s="5" t="str">
        <f t="shared" si="25"/>
        <v>ill M</v>
      </c>
    </row>
    <row r="742" spans="1:5" ht="15.75" customHeight="1" x14ac:dyDescent="0.3">
      <c r="A742" s="4" t="s">
        <v>1484</v>
      </c>
      <c r="B742" s="4" t="s">
        <v>1485</v>
      </c>
      <c r="C742" s="5" t="str">
        <f t="shared" si="19"/>
        <v>, M</v>
      </c>
      <c r="D742" s="5" t="str">
        <f t="shared" si="26"/>
        <v>Chave</v>
      </c>
      <c r="E742" s="5" t="str">
        <f t="shared" si="25"/>
        <v>Chris</v>
      </c>
    </row>
    <row r="743" spans="1:5" ht="15.75" customHeight="1" x14ac:dyDescent="0.3">
      <c r="A743" s="4" t="s">
        <v>1486</v>
      </c>
      <c r="B743" s="4" t="s">
        <v>1487</v>
      </c>
      <c r="C743" s="5" t="str">
        <f t="shared" si="19"/>
        <v xml:space="preserve">e, </v>
      </c>
      <c r="D743" s="5" t="str">
        <f t="shared" si="26"/>
        <v>Orifi</v>
      </c>
      <c r="E743" s="5" t="str">
        <f t="shared" si="25"/>
        <v>el E.</v>
      </c>
    </row>
    <row r="744" spans="1:5" ht="15.75" customHeight="1" x14ac:dyDescent="0.3">
      <c r="A744" s="4" t="s">
        <v>1488</v>
      </c>
      <c r="B744" s="4" t="s">
        <v>1489</v>
      </c>
      <c r="C744" s="5" t="str">
        <f t="shared" si="19"/>
        <v xml:space="preserve">h, </v>
      </c>
      <c r="D744" s="5" t="str">
        <f t="shared" si="26"/>
        <v>Farka</v>
      </c>
      <c r="E744" s="5" t="str">
        <f t="shared" si="25"/>
        <v>auren</v>
      </c>
    </row>
    <row r="745" spans="1:5" ht="15.75" customHeight="1" x14ac:dyDescent="0.3">
      <c r="A745" s="4" t="s">
        <v>1490</v>
      </c>
      <c r="B745" s="4" t="s">
        <v>1491</v>
      </c>
      <c r="C745" s="5" t="str">
        <f t="shared" si="19"/>
        <v>, M</v>
      </c>
      <c r="D745" s="5" t="str">
        <f t="shared" si="26"/>
        <v>Hriba</v>
      </c>
      <c r="E745" s="5" t="str">
        <f t="shared" si="25"/>
        <v>ryn E</v>
      </c>
    </row>
    <row r="746" spans="1:5" ht="15.75" customHeight="1" x14ac:dyDescent="0.3">
      <c r="A746" s="4" t="s">
        <v>1492</v>
      </c>
      <c r="B746" s="4" t="s">
        <v>1493</v>
      </c>
      <c r="C746" s="5" t="str">
        <f t="shared" si="19"/>
        <v>rd,</v>
      </c>
      <c r="D746" s="5" t="str">
        <f t="shared" si="26"/>
        <v>Crawf</v>
      </c>
      <c r="E746" s="5" t="str">
        <f t="shared" si="25"/>
        <v>Polly</v>
      </c>
    </row>
    <row r="747" spans="1:5" ht="15.75" customHeight="1" x14ac:dyDescent="0.3">
      <c r="A747" s="4" t="s">
        <v>1494</v>
      </c>
      <c r="B747" s="4" t="s">
        <v>1495</v>
      </c>
      <c r="C747" s="5" t="str">
        <f t="shared" si="19"/>
        <v>ngt</v>
      </c>
      <c r="D747" s="5" t="str">
        <f t="shared" si="26"/>
        <v>Sittl</v>
      </c>
      <c r="E747" s="5" t="str">
        <f t="shared" si="25"/>
        <v>rk H.</v>
      </c>
    </row>
    <row r="748" spans="1:5" ht="15.75" customHeight="1" x14ac:dyDescent="0.3">
      <c r="A748" s="4" t="s">
        <v>1496</v>
      </c>
      <c r="B748" s="4" t="s">
        <v>1497</v>
      </c>
      <c r="C748" s="5" t="str">
        <f t="shared" si="19"/>
        <v xml:space="preserve">t, </v>
      </c>
      <c r="D748" s="5" t="str">
        <f t="shared" si="26"/>
        <v>Silbe</v>
      </c>
      <c r="E748" s="5" t="str">
        <f t="shared" si="25"/>
        <v>ie M.</v>
      </c>
    </row>
    <row r="749" spans="1:5" ht="15.75" customHeight="1" x14ac:dyDescent="0.3">
      <c r="A749" s="4" t="s">
        <v>1498</v>
      </c>
      <c r="B749" s="4" t="s">
        <v>1499</v>
      </c>
      <c r="C749" s="5" t="str">
        <f t="shared" si="19"/>
        <v>ue,</v>
      </c>
      <c r="D749" s="5" t="str">
        <f t="shared" si="26"/>
        <v>Carri</v>
      </c>
      <c r="E749" s="5" t="str">
        <f t="shared" si="25"/>
        <v>Chris</v>
      </c>
    </row>
    <row r="750" spans="1:5" ht="15.75" customHeight="1" x14ac:dyDescent="0.3">
      <c r="A750" s="4" t="s">
        <v>1500</v>
      </c>
      <c r="B750" s="4" t="s">
        <v>1501</v>
      </c>
      <c r="C750" s="5" t="str">
        <f t="shared" si="19"/>
        <v xml:space="preserve"> Mr</v>
      </c>
      <c r="D750" s="5" t="str">
        <f t="shared" si="26"/>
        <v>Kosla</v>
      </c>
      <c r="E750" s="5" t="str">
        <f t="shared" si="25"/>
        <v>aniel</v>
      </c>
    </row>
    <row r="751" spans="1:5" ht="15.75" customHeight="1" x14ac:dyDescent="0.3">
      <c r="A751" s="4" t="s">
        <v>1502</v>
      </c>
      <c r="B751" s="4" t="s">
        <v>1503</v>
      </c>
      <c r="C751" s="5" t="str">
        <f t="shared" si="19"/>
        <v>, M</v>
      </c>
      <c r="D751" s="5" t="str">
        <f t="shared" si="26"/>
        <v>Parke</v>
      </c>
      <c r="E751" s="5" t="str">
        <f t="shared" si="25"/>
        <v>Megan</v>
      </c>
    </row>
    <row r="752" spans="1:5" ht="15.75" customHeight="1" x14ac:dyDescent="0.3">
      <c r="A752" s="4" t="s">
        <v>1504</v>
      </c>
      <c r="B752" s="4" t="s">
        <v>1505</v>
      </c>
      <c r="C752" s="5" t="str">
        <f t="shared" si="19"/>
        <v>, M</v>
      </c>
      <c r="D752" s="5" t="str">
        <f t="shared" si="26"/>
        <v>Horto</v>
      </c>
      <c r="E752" s="5" t="str">
        <f t="shared" si="25"/>
        <v>Kevin</v>
      </c>
    </row>
    <row r="753" spans="1:5" ht="15.75" customHeight="1" x14ac:dyDescent="0.3">
      <c r="A753" s="4" t="s">
        <v>1506</v>
      </c>
      <c r="B753" s="4" t="s">
        <v>1507</v>
      </c>
      <c r="C753" s="5" t="str">
        <f t="shared" si="19"/>
        <v>, M</v>
      </c>
      <c r="D753" s="5" t="str">
        <f t="shared" si="26"/>
        <v>Bolle</v>
      </c>
      <c r="E753" s="5" t="str">
        <f t="shared" si="25"/>
        <v>ne S.</v>
      </c>
    </row>
    <row r="754" spans="1:5" ht="15.75" customHeight="1" x14ac:dyDescent="0.3">
      <c r="A754" s="4" t="s">
        <v>1508</v>
      </c>
      <c r="B754" s="4" t="s">
        <v>1509</v>
      </c>
      <c r="C754" s="5" t="str">
        <f t="shared" si="19"/>
        <v xml:space="preserve"> Ms</v>
      </c>
      <c r="D754" s="5" t="str">
        <f t="shared" si="26"/>
        <v>Olaru</v>
      </c>
      <c r="E754" s="5" t="str">
        <f t="shared" si="25"/>
        <v xml:space="preserve"> Nuta</v>
      </c>
    </row>
    <row r="755" spans="1:5" ht="15.75" customHeight="1" x14ac:dyDescent="0.3">
      <c r="A755" s="4" t="s">
        <v>1510</v>
      </c>
      <c r="B755" s="4" t="s">
        <v>1511</v>
      </c>
      <c r="C755" s="5" t="str">
        <f t="shared" si="19"/>
        <v>tt,</v>
      </c>
      <c r="D755" s="5" t="str">
        <f t="shared" si="26"/>
        <v>Presc</v>
      </c>
      <c r="E755" s="5" t="str">
        <f t="shared" si="25"/>
        <v>argie</v>
      </c>
    </row>
    <row r="756" spans="1:5" ht="15.75" customHeight="1" x14ac:dyDescent="0.3">
      <c r="A756" s="4" t="s">
        <v>1512</v>
      </c>
      <c r="B756" s="4" t="s">
        <v>1513</v>
      </c>
      <c r="C756" s="5" t="str">
        <f t="shared" si="19"/>
        <v xml:space="preserve"> Mr</v>
      </c>
      <c r="D756" s="5" t="str">
        <f t="shared" si="26"/>
        <v>Hines</v>
      </c>
      <c r="E756" s="5" t="str">
        <f t="shared" si="25"/>
        <v>Heidi</v>
      </c>
    </row>
    <row r="757" spans="1:5" ht="15.75" customHeight="1" x14ac:dyDescent="0.3">
      <c r="A757" s="4" t="s">
        <v>1514</v>
      </c>
      <c r="B757" s="4" t="s">
        <v>1515</v>
      </c>
      <c r="C757" s="5" t="str">
        <f t="shared" si="19"/>
        <v xml:space="preserve">n, </v>
      </c>
      <c r="D757" s="5" t="str">
        <f t="shared" si="26"/>
        <v>Blant</v>
      </c>
      <c r="E757" s="5" t="str">
        <f t="shared" si="25"/>
        <v>ego J</v>
      </c>
    </row>
    <row r="758" spans="1:5" ht="15.75" customHeight="1" x14ac:dyDescent="0.3">
      <c r="A758" s="4" t="s">
        <v>1516</v>
      </c>
      <c r="B758" s="4" t="s">
        <v>1517</v>
      </c>
      <c r="C758" s="5" t="str">
        <f t="shared" si="19"/>
        <v>ant</v>
      </c>
      <c r="D758" s="5" t="str">
        <f t="shared" si="26"/>
        <v>Busta</v>
      </c>
      <c r="E758" s="5" t="str">
        <f t="shared" si="25"/>
        <v>M Sr.</v>
      </c>
    </row>
    <row r="759" spans="1:5" ht="15.75" customHeight="1" x14ac:dyDescent="0.3">
      <c r="A759" s="4" t="s">
        <v>1518</v>
      </c>
      <c r="B759" s="4" t="s">
        <v>1519</v>
      </c>
      <c r="C759" s="5" t="str">
        <f t="shared" si="19"/>
        <v>, M</v>
      </c>
      <c r="D759" s="5" t="str">
        <f t="shared" si="26"/>
        <v>McCan</v>
      </c>
      <c r="E759" s="5" t="str">
        <f t="shared" si="25"/>
        <v xml:space="preserve"> Greg</v>
      </c>
    </row>
    <row r="760" spans="1:5" ht="15.75" customHeight="1" x14ac:dyDescent="0.3">
      <c r="A760" s="4" t="s">
        <v>1520</v>
      </c>
      <c r="B760" s="4" t="s">
        <v>1521</v>
      </c>
      <c r="C760" s="5" t="str">
        <f t="shared" si="19"/>
        <v xml:space="preserve">e, </v>
      </c>
      <c r="D760" s="5" t="str">
        <f t="shared" si="26"/>
        <v>Schmo</v>
      </c>
      <c r="E760" s="5" t="str">
        <f t="shared" si="25"/>
        <v>Filip</v>
      </c>
    </row>
    <row r="761" spans="1:5" ht="15.75" customHeight="1" x14ac:dyDescent="0.3">
      <c r="A761" s="4" t="s">
        <v>1522</v>
      </c>
      <c r="B761" s="4" t="s">
        <v>1523</v>
      </c>
      <c r="C761" s="5" t="str">
        <f t="shared" si="19"/>
        <v>, M</v>
      </c>
      <c r="D761" s="5" t="str">
        <f t="shared" si="26"/>
        <v>Barbe</v>
      </c>
      <c r="E761" s="5" t="str">
        <f t="shared" si="25"/>
        <v>ry E.</v>
      </c>
    </row>
    <row r="762" spans="1:5" ht="15.75" customHeight="1" x14ac:dyDescent="0.3">
      <c r="A762" s="4" t="s">
        <v>1524</v>
      </c>
      <c r="B762" s="4" t="s">
        <v>1525</v>
      </c>
      <c r="C762" s="5" t="str">
        <f t="shared" si="19"/>
        <v>ann</v>
      </c>
      <c r="D762" s="5" t="str">
        <f t="shared" si="26"/>
        <v>Reich</v>
      </c>
      <c r="E762" s="5" t="str">
        <f t="shared" si="25"/>
        <v xml:space="preserve"> Lisa</v>
      </c>
    </row>
    <row r="763" spans="1:5" ht="15.75" customHeight="1" x14ac:dyDescent="0.3">
      <c r="A763" s="4" t="s">
        <v>1526</v>
      </c>
      <c r="B763" s="4" t="s">
        <v>1527</v>
      </c>
      <c r="C763" s="5" t="str">
        <f t="shared" si="19"/>
        <v>rta</v>
      </c>
      <c r="D763" s="5" t="str">
        <f t="shared" si="26"/>
        <v>Cavat</v>
      </c>
      <c r="E763" s="5" t="str">
        <f t="shared" si="25"/>
        <v>Jason</v>
      </c>
    </row>
    <row r="764" spans="1:5" ht="15.75" customHeight="1" x14ac:dyDescent="0.3">
      <c r="A764" s="4" t="s">
        <v>1528</v>
      </c>
      <c r="B764" s="4" t="s">
        <v>1529</v>
      </c>
      <c r="C764" s="5" t="str">
        <f t="shared" si="19"/>
        <v>, M</v>
      </c>
      <c r="D764" s="5" t="str">
        <f t="shared" si="26"/>
        <v>Yaege</v>
      </c>
      <c r="E764" s="5" t="str">
        <f t="shared" si="25"/>
        <v>rtney</v>
      </c>
    </row>
    <row r="765" spans="1:5" ht="15.75" customHeight="1" x14ac:dyDescent="0.3">
      <c r="A765" s="4" t="s">
        <v>1530</v>
      </c>
      <c r="B765" s="4" t="s">
        <v>1531</v>
      </c>
      <c r="C765" s="5" t="str">
        <f t="shared" si="19"/>
        <v>, M</v>
      </c>
      <c r="D765" s="5" t="str">
        <f t="shared" si="26"/>
        <v>Hughe</v>
      </c>
      <c r="E765" s="5" t="str">
        <f t="shared" si="25"/>
        <v>er R.</v>
      </c>
    </row>
    <row r="766" spans="1:5" ht="15.75" customHeight="1" x14ac:dyDescent="0.3">
      <c r="A766" s="4" t="s">
        <v>1532</v>
      </c>
      <c r="B766" s="4" t="s">
        <v>1533</v>
      </c>
      <c r="C766" s="5" t="str">
        <f t="shared" si="19"/>
        <v xml:space="preserve">e, </v>
      </c>
      <c r="D766" s="5" t="str">
        <f t="shared" si="26"/>
        <v>Donah</v>
      </c>
      <c r="E766" s="5" t="str">
        <f t="shared" si="25"/>
        <v>ren E</v>
      </c>
    </row>
    <row r="767" spans="1:5" ht="15.75" customHeight="1" x14ac:dyDescent="0.3">
      <c r="A767" s="4" t="s">
        <v>1534</v>
      </c>
      <c r="B767" s="4" t="s">
        <v>1535</v>
      </c>
      <c r="C767" s="5" t="str">
        <f t="shared" si="19"/>
        <v>ell</v>
      </c>
      <c r="D767" s="5" t="str">
        <f t="shared" si="26"/>
        <v>Green</v>
      </c>
      <c r="E767" s="5" t="str">
        <f t="shared" si="25"/>
        <v>ey M.</v>
      </c>
    </row>
    <row r="768" spans="1:5" ht="15.75" customHeight="1" x14ac:dyDescent="0.3">
      <c r="A768" s="4" t="s">
        <v>1536</v>
      </c>
      <c r="B768" s="4" t="s">
        <v>1537</v>
      </c>
      <c r="C768" s="5" t="str">
        <f t="shared" si="19"/>
        <v>, M</v>
      </c>
      <c r="D768" s="5" t="str">
        <f t="shared" si="26"/>
        <v>Steel</v>
      </c>
      <c r="E768" s="5" t="str">
        <f t="shared" si="25"/>
        <v>on R.</v>
      </c>
    </row>
    <row r="769" spans="1:5" ht="15.75" customHeight="1" x14ac:dyDescent="0.3">
      <c r="A769" s="4" t="s">
        <v>1538</v>
      </c>
      <c r="B769" s="4" t="s">
        <v>1539</v>
      </c>
      <c r="C769" s="5" t="str">
        <f t="shared" si="19"/>
        <v>, M</v>
      </c>
      <c r="D769" s="5" t="str">
        <f t="shared" si="26"/>
        <v>Gunte</v>
      </c>
      <c r="E769" s="5" t="str">
        <f t="shared" si="25"/>
        <v>leine</v>
      </c>
    </row>
    <row r="770" spans="1:5" ht="15.75" customHeight="1" x14ac:dyDescent="0.3">
      <c r="A770" s="4" t="s">
        <v>1540</v>
      </c>
      <c r="B770" s="4" t="s">
        <v>1541</v>
      </c>
      <c r="C770" s="5" t="str">
        <f t="shared" si="19"/>
        <v>ugh</v>
      </c>
      <c r="D770" s="5" t="str">
        <f t="shared" si="26"/>
        <v>McDon</v>
      </c>
      <c r="E770" s="5" t="str">
        <f t="shared" ref="E770:E833" si="27">RIGHT(B770,5)</f>
        <v>tacey</v>
      </c>
    </row>
    <row r="771" spans="1:5" ht="15.75" customHeight="1" x14ac:dyDescent="0.3">
      <c r="A771" s="4" t="s">
        <v>1542</v>
      </c>
      <c r="B771" s="4" t="s">
        <v>1543</v>
      </c>
      <c r="C771" s="5" t="str">
        <f t="shared" si="19"/>
        <v>and</v>
      </c>
      <c r="D771" s="5" t="str">
        <f t="shared" si="26"/>
        <v>Sweet</v>
      </c>
      <c r="E771" s="5" t="str">
        <f t="shared" si="27"/>
        <v>berly</v>
      </c>
    </row>
    <row r="772" spans="1:5" ht="15.75" customHeight="1" x14ac:dyDescent="0.3">
      <c r="A772" s="4" t="s">
        <v>1544</v>
      </c>
      <c r="B772" s="4" t="s">
        <v>1545</v>
      </c>
      <c r="C772" s="5" t="str">
        <f t="shared" si="19"/>
        <v>smi</v>
      </c>
      <c r="D772" s="5" t="str">
        <f t="shared" si="26"/>
        <v>Hamme</v>
      </c>
      <c r="E772" s="5" t="str">
        <f t="shared" si="27"/>
        <v>hew D</v>
      </c>
    </row>
    <row r="773" spans="1:5" ht="15.75" customHeight="1" x14ac:dyDescent="0.3">
      <c r="A773" s="4" t="s">
        <v>1546</v>
      </c>
      <c r="B773" s="4" t="s">
        <v>1547</v>
      </c>
      <c r="C773" s="5" t="str">
        <f t="shared" si="19"/>
        <v>, M</v>
      </c>
      <c r="D773" s="5" t="str">
        <f t="shared" si="26"/>
        <v>Frenc</v>
      </c>
      <c r="E773" s="5" t="str">
        <f t="shared" si="27"/>
        <v>chael</v>
      </c>
    </row>
    <row r="774" spans="1:5" ht="15.75" customHeight="1" x14ac:dyDescent="0.3">
      <c r="A774" s="4" t="s">
        <v>1548</v>
      </c>
      <c r="B774" s="4" t="s">
        <v>1549</v>
      </c>
      <c r="C774" s="5" t="str">
        <f t="shared" si="19"/>
        <v xml:space="preserve"> Mr</v>
      </c>
      <c r="D774" s="5" t="str">
        <f t="shared" si="26"/>
        <v>Garbe</v>
      </c>
      <c r="E774" s="5" t="str">
        <f t="shared" si="27"/>
        <v xml:space="preserve">  Ben</v>
      </c>
    </row>
    <row r="775" spans="1:5" ht="15.75" customHeight="1" x14ac:dyDescent="0.3">
      <c r="A775" s="4" t="s">
        <v>1550</v>
      </c>
      <c r="B775" s="4" t="s">
        <v>1551</v>
      </c>
      <c r="C775" s="5" t="str">
        <f t="shared" si="19"/>
        <v>, M</v>
      </c>
      <c r="D775" s="5" t="str">
        <f t="shared" si="26"/>
        <v>Dunca</v>
      </c>
      <c r="E775" s="5" t="str">
        <f t="shared" si="27"/>
        <v>Chris</v>
      </c>
    </row>
    <row r="776" spans="1:5" ht="15.75" customHeight="1" x14ac:dyDescent="0.3">
      <c r="A776" s="4" t="s">
        <v>1552</v>
      </c>
      <c r="B776" s="4" t="s">
        <v>1553</v>
      </c>
      <c r="C776" s="5" t="str">
        <f t="shared" si="19"/>
        <v xml:space="preserve">e, </v>
      </c>
      <c r="D776" s="5" t="str">
        <f t="shared" si="26"/>
        <v>Walla</v>
      </c>
      <c r="E776" s="5" t="str">
        <f t="shared" si="27"/>
        <v>emy J</v>
      </c>
    </row>
    <row r="777" spans="1:5" ht="15.75" customHeight="1" x14ac:dyDescent="0.3">
      <c r="A777" s="4" t="s">
        <v>1554</v>
      </c>
      <c r="B777" s="4" t="s">
        <v>1555</v>
      </c>
      <c r="C777" s="5" t="str">
        <f t="shared" si="19"/>
        <v xml:space="preserve">n, </v>
      </c>
      <c r="D777" s="5" t="str">
        <f t="shared" si="26"/>
        <v>Tillm</v>
      </c>
      <c r="E777" s="5" t="str">
        <f t="shared" si="27"/>
        <v>my L.</v>
      </c>
    </row>
    <row r="778" spans="1:5" ht="15.75" customHeight="1" x14ac:dyDescent="0.3">
      <c r="A778" s="4" t="s">
        <v>1556</v>
      </c>
      <c r="B778" s="4" t="s">
        <v>1557</v>
      </c>
      <c r="C778" s="5" t="str">
        <f t="shared" si="19"/>
        <v>rs.</v>
      </c>
      <c r="D778" s="5" t="str">
        <f t="shared" si="26"/>
        <v xml:space="preserve">Lee, </v>
      </c>
      <c r="E778" s="5" t="str">
        <f t="shared" si="27"/>
        <v>en L.</v>
      </c>
    </row>
    <row r="779" spans="1:5" ht="15.75" customHeight="1" x14ac:dyDescent="0.3">
      <c r="A779" s="4" t="s">
        <v>1558</v>
      </c>
      <c r="B779" s="4" t="s">
        <v>1559</v>
      </c>
      <c r="C779" s="5" t="str">
        <f t="shared" si="19"/>
        <v>, M</v>
      </c>
      <c r="D779" s="5" t="str">
        <f t="shared" si="26"/>
        <v>Taylo</v>
      </c>
      <c r="E779" s="5" t="str">
        <f t="shared" si="27"/>
        <v>nille</v>
      </c>
    </row>
    <row r="780" spans="1:5" ht="15.75" customHeight="1" x14ac:dyDescent="0.3">
      <c r="A780" s="4" t="s">
        <v>1560</v>
      </c>
      <c r="B780" s="4" t="s">
        <v>1561</v>
      </c>
      <c r="C780" s="5" t="str">
        <f t="shared" si="19"/>
        <v xml:space="preserve">n, </v>
      </c>
      <c r="D780" s="5" t="str">
        <f t="shared" si="26"/>
        <v>McSwe</v>
      </c>
      <c r="E780" s="5" t="str">
        <f t="shared" si="27"/>
        <v xml:space="preserve"> Matt</v>
      </c>
    </row>
    <row r="781" spans="1:5" ht="15.75" customHeight="1" x14ac:dyDescent="0.3">
      <c r="A781" s="4" t="s">
        <v>1562</v>
      </c>
      <c r="B781" s="4" t="s">
        <v>1563</v>
      </c>
      <c r="C781" s="5" t="str">
        <f t="shared" si="19"/>
        <v>rt,</v>
      </c>
      <c r="D781" s="5" t="str">
        <f t="shared" si="26"/>
        <v>Schub</v>
      </c>
      <c r="E781" s="5" t="str">
        <f t="shared" si="27"/>
        <v>Emily</v>
      </c>
    </row>
    <row r="782" spans="1:5" ht="15.75" customHeight="1" x14ac:dyDescent="0.3">
      <c r="A782" s="4" t="s">
        <v>1564</v>
      </c>
      <c r="B782" s="4" t="s">
        <v>1565</v>
      </c>
      <c r="C782" s="5" t="str">
        <f t="shared" si="19"/>
        <v xml:space="preserve">e, </v>
      </c>
      <c r="D782" s="5" t="str">
        <f t="shared" si="26"/>
        <v>Lalan</v>
      </c>
      <c r="E782" s="5" t="str">
        <f t="shared" si="27"/>
        <v>tin E</v>
      </c>
    </row>
    <row r="783" spans="1:5" ht="15.75" customHeight="1" x14ac:dyDescent="0.3">
      <c r="A783" s="4" t="s">
        <v>1566</v>
      </c>
      <c r="B783" s="4" t="s">
        <v>1567</v>
      </c>
      <c r="C783" s="5" t="str">
        <f t="shared" ref="C783:C1037" si="28">MID(B783,7,3)</f>
        <v>an,</v>
      </c>
      <c r="D783" s="5" t="str">
        <f t="shared" si="26"/>
        <v>Flana</v>
      </c>
      <c r="E783" s="5" t="str">
        <f t="shared" si="27"/>
        <v>alane</v>
      </c>
    </row>
    <row r="784" spans="1:5" ht="15.75" customHeight="1" x14ac:dyDescent="0.3">
      <c r="A784" s="4" t="s">
        <v>1568</v>
      </c>
      <c r="B784" s="4" t="s">
        <v>1569</v>
      </c>
      <c r="C784" s="5" t="str">
        <f t="shared" si="28"/>
        <v>no,</v>
      </c>
      <c r="D784" s="5" t="str">
        <f t="shared" si="26"/>
        <v>Arell</v>
      </c>
      <c r="E784" s="5" t="str">
        <f t="shared" si="27"/>
        <v>ca N.</v>
      </c>
    </row>
    <row r="785" spans="1:5" ht="15.75" customHeight="1" x14ac:dyDescent="0.3">
      <c r="A785" s="4" t="s">
        <v>1570</v>
      </c>
      <c r="B785" s="4" t="s">
        <v>1571</v>
      </c>
      <c r="C785" s="5" t="str">
        <f t="shared" si="28"/>
        <v>te,</v>
      </c>
      <c r="D785" s="5" t="str">
        <f t="shared" ref="D785:D848" si="29">LEFT(B785,5)</f>
        <v>Chare</v>
      </c>
      <c r="E785" s="5" t="str">
        <f t="shared" si="27"/>
        <v>lanie</v>
      </c>
    </row>
    <row r="786" spans="1:5" ht="15.75" customHeight="1" x14ac:dyDescent="0.3">
      <c r="A786" s="4" t="s">
        <v>1572</v>
      </c>
      <c r="B786" s="4" t="s">
        <v>1573</v>
      </c>
      <c r="C786" s="5" t="str">
        <f t="shared" si="28"/>
        <v>eye</v>
      </c>
      <c r="D786" s="5" t="str">
        <f t="shared" si="29"/>
        <v xml:space="preserve">Pena </v>
      </c>
      <c r="E786" s="5" t="str">
        <f t="shared" si="27"/>
        <v>elica</v>
      </c>
    </row>
    <row r="787" spans="1:5" ht="15.75" customHeight="1" x14ac:dyDescent="0.3">
      <c r="A787" s="4" t="s">
        <v>1574</v>
      </c>
      <c r="B787" s="4" t="s">
        <v>1575</v>
      </c>
      <c r="C787" s="5" t="str">
        <f t="shared" si="28"/>
        <v>ick</v>
      </c>
      <c r="D787" s="5" t="str">
        <f t="shared" si="29"/>
        <v>Brode</v>
      </c>
      <c r="E787" s="5" t="str">
        <f t="shared" si="27"/>
        <v>Una M</v>
      </c>
    </row>
    <row r="788" spans="1:5" ht="15.75" customHeight="1" x14ac:dyDescent="0.3">
      <c r="A788" s="4" t="s">
        <v>1576</v>
      </c>
      <c r="B788" s="4" t="s">
        <v>1577</v>
      </c>
      <c r="C788" s="5" t="str">
        <f t="shared" si="28"/>
        <v xml:space="preserve">s, </v>
      </c>
      <c r="D788" s="5" t="str">
        <f t="shared" si="29"/>
        <v>Summe</v>
      </c>
      <c r="E788" s="5" t="str">
        <f t="shared" si="27"/>
        <v>ralyn</v>
      </c>
    </row>
    <row r="789" spans="1:5" ht="15.75" customHeight="1" x14ac:dyDescent="0.3">
      <c r="A789" s="4" t="s">
        <v>1578</v>
      </c>
      <c r="B789" s="4" t="s">
        <v>1579</v>
      </c>
      <c r="C789" s="5" t="str">
        <f t="shared" si="28"/>
        <v>, M</v>
      </c>
      <c r="D789" s="5" t="str">
        <f t="shared" si="29"/>
        <v>Fishe</v>
      </c>
      <c r="E789" s="5" t="str">
        <f t="shared" si="27"/>
        <v>mes A</v>
      </c>
    </row>
    <row r="790" spans="1:5" ht="15.75" customHeight="1" x14ac:dyDescent="0.3">
      <c r="A790" s="4" t="s">
        <v>1580</v>
      </c>
      <c r="B790" s="4" t="s">
        <v>1581</v>
      </c>
      <c r="C790" s="5" t="str">
        <f t="shared" si="28"/>
        <v>Mr.</v>
      </c>
      <c r="D790" s="5" t="str">
        <f t="shared" si="29"/>
        <v>Zhou,</v>
      </c>
      <c r="E790" s="5" t="str">
        <f t="shared" si="27"/>
        <v xml:space="preserve"> Ning</v>
      </c>
    </row>
    <row r="791" spans="1:5" ht="15.75" customHeight="1" x14ac:dyDescent="0.3">
      <c r="A791" s="4" t="s">
        <v>1582</v>
      </c>
      <c r="B791" s="4" t="s">
        <v>1583</v>
      </c>
      <c r="C791" s="5" t="str">
        <f t="shared" si="28"/>
        <v>-Am</v>
      </c>
      <c r="D791" s="5" t="str">
        <f t="shared" si="29"/>
        <v>Clark</v>
      </c>
      <c r="E791" s="5" t="str">
        <f t="shared" si="27"/>
        <v xml:space="preserve"> Joel</v>
      </c>
    </row>
    <row r="792" spans="1:5" ht="15.75" customHeight="1" x14ac:dyDescent="0.3">
      <c r="A792" s="4" t="s">
        <v>1584</v>
      </c>
      <c r="B792" s="4" t="s">
        <v>1585</v>
      </c>
      <c r="C792" s="5" t="str">
        <f t="shared" si="28"/>
        <v>, M</v>
      </c>
      <c r="D792" s="5" t="str">
        <f t="shared" si="29"/>
        <v>Stato</v>
      </c>
      <c r="E792" s="5" t="str">
        <f t="shared" si="27"/>
        <v>la J.</v>
      </c>
    </row>
    <row r="793" spans="1:5" ht="15.75" customHeight="1" x14ac:dyDescent="0.3">
      <c r="A793" s="4" t="s">
        <v>1586</v>
      </c>
      <c r="B793" s="4" t="s">
        <v>1587</v>
      </c>
      <c r="C793" s="5" t="str">
        <f t="shared" si="28"/>
        <v xml:space="preserve">r, </v>
      </c>
      <c r="D793" s="5" t="str">
        <f t="shared" si="29"/>
        <v>Forst</v>
      </c>
      <c r="E793" s="5" t="str">
        <f t="shared" si="27"/>
        <v>ttney</v>
      </c>
    </row>
    <row r="794" spans="1:5" ht="15.75" customHeight="1" x14ac:dyDescent="0.3">
      <c r="A794" s="4" t="s">
        <v>1588</v>
      </c>
      <c r="B794" s="4" t="s">
        <v>1589</v>
      </c>
      <c r="C794" s="5" t="str">
        <f t="shared" si="28"/>
        <v>an,</v>
      </c>
      <c r="D794" s="5" t="str">
        <f t="shared" si="29"/>
        <v>Monag</v>
      </c>
      <c r="E794" s="5" t="str">
        <f t="shared" si="27"/>
        <v>heila</v>
      </c>
    </row>
    <row r="795" spans="1:5" ht="15.75" customHeight="1" x14ac:dyDescent="0.3">
      <c r="A795" s="4" t="s">
        <v>1590</v>
      </c>
      <c r="B795" s="4" t="s">
        <v>1591</v>
      </c>
      <c r="C795" s="5" t="str">
        <f t="shared" si="28"/>
        <v>to,</v>
      </c>
      <c r="D795" s="5" t="str">
        <f t="shared" si="29"/>
        <v>Kawam</v>
      </c>
      <c r="E795" s="5" t="str">
        <f t="shared" si="27"/>
        <v xml:space="preserve"> Koji</v>
      </c>
    </row>
    <row r="796" spans="1:5" ht="15.75" customHeight="1" x14ac:dyDescent="0.3">
      <c r="A796" s="4" t="s">
        <v>1592</v>
      </c>
      <c r="B796" s="4" t="s">
        <v>1593</v>
      </c>
      <c r="C796" s="5" t="str">
        <f t="shared" si="28"/>
        <v>ry,</v>
      </c>
      <c r="D796" s="5" t="str">
        <f t="shared" si="29"/>
        <v>Dicha</v>
      </c>
      <c r="E796" s="5" t="str">
        <f t="shared" si="27"/>
        <v>Sarah</v>
      </c>
    </row>
    <row r="797" spans="1:5" ht="15.75" customHeight="1" x14ac:dyDescent="0.3">
      <c r="A797" s="4" t="s">
        <v>1594</v>
      </c>
      <c r="B797" s="4" t="s">
        <v>1595</v>
      </c>
      <c r="C797" s="5" t="str">
        <f t="shared" si="28"/>
        <v xml:space="preserve"> Mr</v>
      </c>
      <c r="D797" s="5" t="str">
        <f t="shared" si="29"/>
        <v>Berry</v>
      </c>
      <c r="E797" s="5" t="str">
        <f t="shared" si="27"/>
        <v>een M</v>
      </c>
    </row>
    <row r="798" spans="1:5" ht="15.75" customHeight="1" x14ac:dyDescent="0.3">
      <c r="A798" s="4" t="s">
        <v>1596</v>
      </c>
      <c r="B798" s="4" t="s">
        <v>1597</v>
      </c>
      <c r="C798" s="5" t="str">
        <f t="shared" si="28"/>
        <v>io,</v>
      </c>
      <c r="D798" s="5" t="str">
        <f t="shared" si="29"/>
        <v>Porfi</v>
      </c>
      <c r="E798" s="5" t="str">
        <f t="shared" si="27"/>
        <v>ra G.</v>
      </c>
    </row>
    <row r="799" spans="1:5" ht="15.75" customHeight="1" x14ac:dyDescent="0.3">
      <c r="A799" s="4" t="s">
        <v>1598</v>
      </c>
      <c r="B799" s="4" t="s">
        <v>1599</v>
      </c>
      <c r="C799" s="5" t="str">
        <f t="shared" si="28"/>
        <v xml:space="preserve"> Mr</v>
      </c>
      <c r="D799" s="5" t="str">
        <f t="shared" si="29"/>
        <v>Thind</v>
      </c>
      <c r="E799" s="5" t="str">
        <f t="shared" si="27"/>
        <v>inder</v>
      </c>
    </row>
    <row r="800" spans="1:5" ht="15.75" customHeight="1" x14ac:dyDescent="0.3">
      <c r="A800" s="4" t="s">
        <v>1600</v>
      </c>
      <c r="B800" s="4" t="s">
        <v>1601</v>
      </c>
      <c r="C800" s="5" t="str">
        <f t="shared" si="28"/>
        <v>Ms.</v>
      </c>
      <c r="D800" s="5" t="str">
        <f t="shared" si="29"/>
        <v>Ryan,</v>
      </c>
      <c r="E800" s="5" t="str">
        <f t="shared" si="27"/>
        <v>nn M.</v>
      </c>
    </row>
    <row r="801" spans="1:5" ht="15.75" customHeight="1" x14ac:dyDescent="0.3">
      <c r="A801" s="4" t="s">
        <v>1602</v>
      </c>
      <c r="B801" s="4" t="s">
        <v>1603</v>
      </c>
      <c r="C801" s="5" t="str">
        <f t="shared" si="28"/>
        <v>Ms.</v>
      </c>
      <c r="D801" s="5" t="str">
        <f t="shared" si="29"/>
        <v>Horn,</v>
      </c>
      <c r="E801" s="5" t="str">
        <f t="shared" si="27"/>
        <v>rah E</v>
      </c>
    </row>
    <row r="802" spans="1:5" ht="15.75" customHeight="1" x14ac:dyDescent="0.3">
      <c r="A802" s="4" t="s">
        <v>1604</v>
      </c>
      <c r="B802" s="4" t="s">
        <v>1605</v>
      </c>
      <c r="C802" s="5" t="str">
        <f t="shared" si="28"/>
        <v>sa,</v>
      </c>
      <c r="D802" s="5" t="str">
        <f t="shared" si="29"/>
        <v>Sabad</v>
      </c>
      <c r="E802" s="5" t="str">
        <f t="shared" si="27"/>
        <v>yl J.</v>
      </c>
    </row>
    <row r="803" spans="1:5" ht="15.75" customHeight="1" x14ac:dyDescent="0.3">
      <c r="A803" s="4" t="s">
        <v>1606</v>
      </c>
      <c r="B803" s="4" t="s">
        <v>1607</v>
      </c>
      <c r="C803" s="5" t="str">
        <f t="shared" si="28"/>
        <v>, M</v>
      </c>
      <c r="D803" s="5" t="str">
        <f t="shared" si="29"/>
        <v>Casad</v>
      </c>
      <c r="E803" s="5" t="str">
        <f t="shared" si="27"/>
        <v>Ilana</v>
      </c>
    </row>
    <row r="804" spans="1:5" ht="15.75" customHeight="1" x14ac:dyDescent="0.3">
      <c r="A804" s="4" t="s">
        <v>1608</v>
      </c>
      <c r="B804" s="4" t="s">
        <v>1609</v>
      </c>
      <c r="C804" s="5" t="str">
        <f t="shared" si="28"/>
        <v>ps,</v>
      </c>
      <c r="D804" s="5" t="str">
        <f t="shared" si="29"/>
        <v>Phill</v>
      </c>
      <c r="E804" s="5" t="str">
        <f t="shared" si="27"/>
        <v>erine</v>
      </c>
    </row>
    <row r="805" spans="1:5" ht="15.75" customHeight="1" x14ac:dyDescent="0.3">
      <c r="A805" s="4" t="s">
        <v>1610</v>
      </c>
      <c r="B805" s="4" t="s">
        <v>1611</v>
      </c>
      <c r="C805" s="5" t="str">
        <f t="shared" si="28"/>
        <v>, M</v>
      </c>
      <c r="D805" s="5" t="str">
        <f t="shared" si="29"/>
        <v>Ahoka</v>
      </c>
      <c r="E805" s="5" t="str">
        <f t="shared" si="27"/>
        <v>erine</v>
      </c>
    </row>
    <row r="806" spans="1:5" ht="15.75" customHeight="1" x14ac:dyDescent="0.3">
      <c r="A806" s="4" t="s">
        <v>1612</v>
      </c>
      <c r="B806" s="4" t="s">
        <v>1613</v>
      </c>
      <c r="C806" s="5" t="str">
        <f t="shared" si="28"/>
        <v>, M</v>
      </c>
      <c r="D806" s="5" t="str">
        <f t="shared" si="29"/>
        <v>Heber</v>
      </c>
      <c r="E806" s="5" t="str">
        <f t="shared" si="27"/>
        <v xml:space="preserve"> Karl</v>
      </c>
    </row>
    <row r="807" spans="1:5" ht="15.75" customHeight="1" x14ac:dyDescent="0.3">
      <c r="A807" s="4" t="s">
        <v>1614</v>
      </c>
      <c r="B807" s="4" t="s">
        <v>1615</v>
      </c>
      <c r="C807" s="5" t="str">
        <f t="shared" si="28"/>
        <v>Mr.</v>
      </c>
      <c r="D807" s="5" t="str">
        <f t="shared" si="29"/>
        <v>Fair,</v>
      </c>
      <c r="E807" s="5" t="str">
        <f t="shared" si="27"/>
        <v>ephen</v>
      </c>
    </row>
    <row r="808" spans="1:5" ht="15.75" customHeight="1" x14ac:dyDescent="0.3">
      <c r="A808" s="4" t="s">
        <v>1616</v>
      </c>
      <c r="B808" s="4" t="s">
        <v>1617</v>
      </c>
      <c r="C808" s="5" t="str">
        <f t="shared" si="28"/>
        <v xml:space="preserve">n, </v>
      </c>
      <c r="D808" s="5" t="str">
        <f t="shared" si="29"/>
        <v>Swens</v>
      </c>
      <c r="E808" s="5" t="str">
        <f t="shared" si="27"/>
        <v xml:space="preserve"> Will</v>
      </c>
    </row>
    <row r="809" spans="1:5" ht="15.75" customHeight="1" x14ac:dyDescent="0.3">
      <c r="A809" s="4" t="s">
        <v>1618</v>
      </c>
      <c r="B809" s="4" t="s">
        <v>1619</v>
      </c>
      <c r="C809" s="5" t="str">
        <f t="shared" si="28"/>
        <v xml:space="preserve">s, </v>
      </c>
      <c r="D809" s="5" t="str">
        <f t="shared" si="29"/>
        <v>Reven</v>
      </c>
      <c r="E809" s="5" t="str">
        <f t="shared" si="27"/>
        <v>ley D</v>
      </c>
    </row>
    <row r="810" spans="1:5" ht="15.75" customHeight="1" x14ac:dyDescent="0.3">
      <c r="A810" s="4" t="s">
        <v>1620</v>
      </c>
      <c r="B810" s="4" t="s">
        <v>1621</v>
      </c>
      <c r="C810" s="5" t="str">
        <f t="shared" si="28"/>
        <v>, M</v>
      </c>
      <c r="D810" s="5" t="str">
        <f t="shared" si="29"/>
        <v>Engne</v>
      </c>
      <c r="E810" s="5" t="str">
        <f t="shared" si="27"/>
        <v>Amy M</v>
      </c>
    </row>
    <row r="811" spans="1:5" ht="15.75" customHeight="1" x14ac:dyDescent="0.3">
      <c r="A811" s="4" t="s">
        <v>1622</v>
      </c>
      <c r="B811" s="4" t="s">
        <v>1623</v>
      </c>
      <c r="C811" s="5" t="str">
        <f t="shared" si="28"/>
        <v>, M</v>
      </c>
      <c r="D811" s="5" t="str">
        <f t="shared" si="29"/>
        <v>Wilts</v>
      </c>
      <c r="E811" s="5" t="str">
        <f t="shared" si="27"/>
        <v>ew W.</v>
      </c>
    </row>
    <row r="812" spans="1:5" ht="15.75" customHeight="1" x14ac:dyDescent="0.3">
      <c r="A812" s="4" t="s">
        <v>1624</v>
      </c>
      <c r="B812" s="4" t="s">
        <v>1625</v>
      </c>
      <c r="C812" s="5" t="str">
        <f t="shared" si="28"/>
        <v>dez</v>
      </c>
      <c r="D812" s="5" t="str">
        <f t="shared" si="29"/>
        <v>Ferna</v>
      </c>
      <c r="E812" s="5" t="str">
        <f t="shared" si="27"/>
        <v xml:space="preserve"> Doug</v>
      </c>
    </row>
    <row r="813" spans="1:5" ht="15.75" customHeight="1" x14ac:dyDescent="0.3">
      <c r="A813" s="4" t="s">
        <v>1626</v>
      </c>
      <c r="B813" s="4" t="s">
        <v>1627</v>
      </c>
      <c r="C813" s="5" t="str">
        <f t="shared" si="28"/>
        <v xml:space="preserve">s, </v>
      </c>
      <c r="D813" s="5" t="str">
        <f t="shared" si="29"/>
        <v>Edwar</v>
      </c>
      <c r="E813" s="5" t="str">
        <f t="shared" si="27"/>
        <v xml:space="preserve">  Tom</v>
      </c>
    </row>
    <row r="814" spans="1:5" ht="15.75" customHeight="1" x14ac:dyDescent="0.3">
      <c r="A814" s="4" t="s">
        <v>1628</v>
      </c>
      <c r="B814" s="4" t="s">
        <v>1629</v>
      </c>
      <c r="C814" s="5" t="str">
        <f t="shared" si="28"/>
        <v>, M</v>
      </c>
      <c r="D814" s="5" t="str">
        <f t="shared" si="29"/>
        <v>Pinne</v>
      </c>
      <c r="E814" s="5" t="str">
        <f t="shared" si="27"/>
        <v>athan</v>
      </c>
    </row>
    <row r="815" spans="1:5" ht="15.75" customHeight="1" x14ac:dyDescent="0.3">
      <c r="A815" s="4" t="s">
        <v>1630</v>
      </c>
      <c r="B815" s="4" t="s">
        <v>1631</v>
      </c>
      <c r="C815" s="5" t="str">
        <f t="shared" si="28"/>
        <v>Mr.</v>
      </c>
      <c r="D815" s="5" t="str">
        <f t="shared" si="29"/>
        <v>Levy,</v>
      </c>
      <c r="E815" s="5" t="str">
        <f t="shared" si="27"/>
        <v>ne A.</v>
      </c>
    </row>
    <row r="816" spans="1:5" ht="15.75" customHeight="1" x14ac:dyDescent="0.3">
      <c r="A816" s="4" t="s">
        <v>1632</v>
      </c>
      <c r="B816" s="4" t="s">
        <v>1633</v>
      </c>
      <c r="C816" s="5" t="str">
        <f t="shared" si="28"/>
        <v>, M</v>
      </c>
      <c r="D816" s="5" t="str">
        <f t="shared" si="29"/>
        <v>Taked</v>
      </c>
      <c r="E816" s="5" t="str">
        <f t="shared" si="27"/>
        <v>uyori</v>
      </c>
    </row>
    <row r="817" spans="1:5" ht="15.75" customHeight="1" x14ac:dyDescent="0.3">
      <c r="A817" s="4" t="s">
        <v>1634</v>
      </c>
      <c r="B817" s="4" t="s">
        <v>1635</v>
      </c>
      <c r="C817" s="5" t="str">
        <f t="shared" si="28"/>
        <v xml:space="preserve"> Mr</v>
      </c>
      <c r="D817" s="5" t="str">
        <f t="shared" si="29"/>
        <v>Burke</v>
      </c>
      <c r="E817" s="5" t="str">
        <f t="shared" si="27"/>
        <v xml:space="preserve"> Rich</v>
      </c>
    </row>
    <row r="818" spans="1:5" ht="15.75" customHeight="1" x14ac:dyDescent="0.3">
      <c r="A818" s="4" t="s">
        <v>1636</v>
      </c>
      <c r="B818" s="4" t="s">
        <v>1637</v>
      </c>
      <c r="C818" s="5" t="str">
        <f t="shared" si="28"/>
        <v>, M</v>
      </c>
      <c r="D818" s="5" t="str">
        <f t="shared" si="29"/>
        <v>Duart</v>
      </c>
      <c r="E818" s="5" t="str">
        <f t="shared" si="27"/>
        <v>cos S</v>
      </c>
    </row>
    <row r="819" spans="1:5" ht="15.75" customHeight="1" x14ac:dyDescent="0.3">
      <c r="A819" s="4" t="s">
        <v>1638</v>
      </c>
      <c r="B819" s="4" t="s">
        <v>1639</v>
      </c>
      <c r="C819" s="5" t="str">
        <f t="shared" si="28"/>
        <v xml:space="preserve"> Mr</v>
      </c>
      <c r="D819" s="5" t="str">
        <f t="shared" si="29"/>
        <v>Clark</v>
      </c>
      <c r="E819" s="5" t="str">
        <f t="shared" si="27"/>
        <v xml:space="preserve"> Dave</v>
      </c>
    </row>
    <row r="820" spans="1:5" ht="15.75" customHeight="1" x14ac:dyDescent="0.3">
      <c r="A820" s="4" t="s">
        <v>1640</v>
      </c>
      <c r="B820" s="4" t="s">
        <v>1641</v>
      </c>
      <c r="C820" s="5" t="str">
        <f t="shared" si="28"/>
        <v>Mr.</v>
      </c>
      <c r="D820" s="5" t="str">
        <f t="shared" si="29"/>
        <v>Nice,</v>
      </c>
      <c r="E820" s="5" t="str">
        <f t="shared" si="27"/>
        <v xml:space="preserve"> Andy</v>
      </c>
    </row>
    <row r="821" spans="1:5" ht="15.75" customHeight="1" x14ac:dyDescent="0.3">
      <c r="A821" s="4" t="s">
        <v>1642</v>
      </c>
      <c r="B821" s="4" t="s">
        <v>1643</v>
      </c>
      <c r="C821" s="5" t="str">
        <f t="shared" si="28"/>
        <v xml:space="preserve">r, </v>
      </c>
      <c r="D821" s="5" t="str">
        <f t="shared" si="29"/>
        <v>Windl</v>
      </c>
      <c r="E821" s="5" t="str">
        <f t="shared" si="27"/>
        <v xml:space="preserve"> Mary</v>
      </c>
    </row>
    <row r="822" spans="1:5" ht="15.75" customHeight="1" x14ac:dyDescent="0.3">
      <c r="A822" s="4" t="s">
        <v>1644</v>
      </c>
      <c r="B822" s="4" t="s">
        <v>1645</v>
      </c>
      <c r="C822" s="5" t="str">
        <f t="shared" si="28"/>
        <v xml:space="preserve"> Mr</v>
      </c>
      <c r="D822" s="5" t="str">
        <f t="shared" si="29"/>
        <v>Jones</v>
      </c>
      <c r="E822" s="5" t="str">
        <f t="shared" si="27"/>
        <v>cus B</v>
      </c>
    </row>
    <row r="823" spans="1:5" ht="15.75" customHeight="1" x14ac:dyDescent="0.3">
      <c r="A823" s="4" t="s">
        <v>1646</v>
      </c>
      <c r="B823" s="4" t="s">
        <v>1647</v>
      </c>
      <c r="C823" s="5" t="str">
        <f t="shared" si="28"/>
        <v>son</v>
      </c>
      <c r="D823" s="5" t="str">
        <f t="shared" si="29"/>
        <v>Steve</v>
      </c>
      <c r="E823" s="5" t="str">
        <f t="shared" si="27"/>
        <v>as K.</v>
      </c>
    </row>
    <row r="824" spans="1:5" ht="15.75" customHeight="1" x14ac:dyDescent="0.3">
      <c r="A824" s="4" t="s">
        <v>1648</v>
      </c>
      <c r="B824" s="4" t="s">
        <v>1649</v>
      </c>
      <c r="C824" s="5" t="str">
        <f t="shared" si="28"/>
        <v>ey,</v>
      </c>
      <c r="D824" s="5" t="str">
        <f t="shared" si="29"/>
        <v>Humph</v>
      </c>
      <c r="E824" s="5" t="str">
        <f t="shared" si="27"/>
        <v>obert</v>
      </c>
    </row>
    <row r="825" spans="1:5" ht="15.75" customHeight="1" x14ac:dyDescent="0.3">
      <c r="A825" s="4" t="s">
        <v>1650</v>
      </c>
      <c r="B825" s="4" t="s">
        <v>1651</v>
      </c>
      <c r="C825" s="5" t="str">
        <f t="shared" si="28"/>
        <v>, M</v>
      </c>
      <c r="D825" s="5" t="str">
        <f t="shared" si="29"/>
        <v>Nelso</v>
      </c>
      <c r="E825" s="5" t="str">
        <f t="shared" si="27"/>
        <v>Geoff</v>
      </c>
    </row>
    <row r="826" spans="1:5" ht="15.75" customHeight="1" x14ac:dyDescent="0.3">
      <c r="A826" s="4" t="s">
        <v>1652</v>
      </c>
      <c r="B826" s="4" t="s">
        <v>1653</v>
      </c>
      <c r="C826" s="5" t="str">
        <f t="shared" si="28"/>
        <v xml:space="preserve"> Mr</v>
      </c>
      <c r="D826" s="5" t="str">
        <f t="shared" si="29"/>
        <v>Payne</v>
      </c>
      <c r="E826" s="5" t="str">
        <f t="shared" si="27"/>
        <v>is J.</v>
      </c>
    </row>
    <row r="827" spans="1:5" ht="15.75" customHeight="1" x14ac:dyDescent="0.3">
      <c r="A827" s="4" t="s">
        <v>1654</v>
      </c>
      <c r="B827" s="4" t="s">
        <v>1655</v>
      </c>
      <c r="C827" s="5" t="str">
        <f t="shared" si="28"/>
        <v xml:space="preserve"> Ms</v>
      </c>
      <c r="D827" s="5" t="str">
        <f t="shared" si="29"/>
        <v>Hails</v>
      </c>
      <c r="E827" s="5" t="str">
        <f t="shared" si="27"/>
        <v>te A.</v>
      </c>
    </row>
    <row r="828" spans="1:5" ht="15.75" customHeight="1" x14ac:dyDescent="0.3">
      <c r="A828" s="4" t="s">
        <v>1656</v>
      </c>
      <c r="B828" s="4" t="s">
        <v>1657</v>
      </c>
      <c r="C828" s="5" t="str">
        <f t="shared" si="28"/>
        <v xml:space="preserve">r, </v>
      </c>
      <c r="D828" s="5" t="str">
        <f t="shared" si="29"/>
        <v>Proct</v>
      </c>
      <c r="E828" s="5" t="str">
        <f t="shared" si="27"/>
        <v>Kelli</v>
      </c>
    </row>
    <row r="829" spans="1:5" ht="15.75" customHeight="1" x14ac:dyDescent="0.3">
      <c r="A829" s="4" t="s">
        <v>1658</v>
      </c>
      <c r="B829" s="4" t="s">
        <v>1659</v>
      </c>
      <c r="C829" s="5" t="str">
        <f t="shared" si="28"/>
        <v>Mrs</v>
      </c>
      <c r="D829" s="5" t="str">
        <f t="shared" si="29"/>
        <v>Ryan,</v>
      </c>
      <c r="E829" s="5" t="str">
        <f t="shared" si="27"/>
        <v>gie M</v>
      </c>
    </row>
    <row r="830" spans="1:5" ht="15.75" customHeight="1" x14ac:dyDescent="0.3">
      <c r="A830" s="4" t="s">
        <v>1660</v>
      </c>
      <c r="B830" s="4" t="s">
        <v>1661</v>
      </c>
      <c r="C830" s="5" t="str">
        <f t="shared" si="28"/>
        <v>, M</v>
      </c>
      <c r="D830" s="5" t="str">
        <f t="shared" si="29"/>
        <v>Watso</v>
      </c>
      <c r="E830" s="5" t="str">
        <f t="shared" si="27"/>
        <v>le L.</v>
      </c>
    </row>
    <row r="831" spans="1:5" ht="15.75" customHeight="1" x14ac:dyDescent="0.3">
      <c r="A831" s="4" t="s">
        <v>1662</v>
      </c>
      <c r="B831" s="4" t="s">
        <v>1663</v>
      </c>
      <c r="C831" s="5" t="str">
        <f t="shared" si="28"/>
        <v xml:space="preserve"> Mr</v>
      </c>
      <c r="D831" s="5" t="str">
        <f t="shared" si="29"/>
        <v>Gresh</v>
      </c>
      <c r="E831" s="5" t="str">
        <f t="shared" si="27"/>
        <v>ley K</v>
      </c>
    </row>
    <row r="832" spans="1:5" ht="15.75" customHeight="1" x14ac:dyDescent="0.3">
      <c r="A832" s="4" t="s">
        <v>1664</v>
      </c>
      <c r="B832" s="4" t="s">
        <v>1665</v>
      </c>
      <c r="C832" s="5" t="str">
        <f t="shared" si="28"/>
        <v>Mr.</v>
      </c>
      <c r="D832" s="5" t="str">
        <f t="shared" si="29"/>
        <v>Anis,</v>
      </c>
      <c r="E832" s="5" t="str">
        <f t="shared" si="27"/>
        <v>chael</v>
      </c>
    </row>
    <row r="833" spans="1:5" ht="15.75" customHeight="1" x14ac:dyDescent="0.3">
      <c r="A833" s="4" t="s">
        <v>1666</v>
      </c>
      <c r="B833" s="4" t="s">
        <v>1667</v>
      </c>
      <c r="C833" s="5" t="str">
        <f t="shared" si="28"/>
        <v>, M</v>
      </c>
      <c r="D833" s="5" t="str">
        <f t="shared" si="29"/>
        <v>Swart</v>
      </c>
      <c r="E833" s="5" t="str">
        <f t="shared" si="27"/>
        <v>an K.</v>
      </c>
    </row>
    <row r="834" spans="1:5" ht="15.75" customHeight="1" x14ac:dyDescent="0.3">
      <c r="A834" s="4" t="s">
        <v>1668</v>
      </c>
      <c r="B834" s="4" t="s">
        <v>1669</v>
      </c>
      <c r="C834" s="5" t="str">
        <f t="shared" si="28"/>
        <v>eke</v>
      </c>
      <c r="D834" s="5" t="str">
        <f t="shared" si="29"/>
        <v>Schlu</v>
      </c>
      <c r="E834" s="5" t="str">
        <f t="shared" ref="E834:E897" si="30">RIGHT(B834,5)</f>
        <v>hew J</v>
      </c>
    </row>
    <row r="835" spans="1:5" ht="15.75" customHeight="1" x14ac:dyDescent="0.3">
      <c r="A835" s="4" t="s">
        <v>1670</v>
      </c>
      <c r="B835" s="4" t="s">
        <v>1671</v>
      </c>
      <c r="C835" s="5" t="str">
        <f t="shared" si="28"/>
        <v>are</v>
      </c>
      <c r="D835" s="5" t="str">
        <f t="shared" si="29"/>
        <v>Belle</v>
      </c>
      <c r="E835" s="5" t="str">
        <f t="shared" si="30"/>
        <v>arine</v>
      </c>
    </row>
    <row r="836" spans="1:5" ht="15.75" customHeight="1" x14ac:dyDescent="0.3">
      <c r="A836" s="4" t="s">
        <v>1672</v>
      </c>
      <c r="B836" s="4" t="s">
        <v>1673</v>
      </c>
      <c r="C836" s="5" t="str">
        <f t="shared" si="28"/>
        <v>, M</v>
      </c>
      <c r="D836" s="5" t="str">
        <f t="shared" si="29"/>
        <v>Vital</v>
      </c>
      <c r="E836" s="5" t="str">
        <f t="shared" si="30"/>
        <v>nia G</v>
      </c>
    </row>
    <row r="837" spans="1:5" ht="15.75" customHeight="1" x14ac:dyDescent="0.3">
      <c r="A837" s="4" t="s">
        <v>1674</v>
      </c>
      <c r="B837" s="4" t="s">
        <v>1675</v>
      </c>
      <c r="C837" s="5" t="str">
        <f t="shared" si="28"/>
        <v>on,</v>
      </c>
      <c r="D837" s="5" t="str">
        <f t="shared" si="29"/>
        <v>Hamil</v>
      </c>
      <c r="E837" s="5" t="str">
        <f t="shared" si="30"/>
        <v>dra L</v>
      </c>
    </row>
    <row r="838" spans="1:5" ht="15.75" customHeight="1" x14ac:dyDescent="0.3">
      <c r="A838" s="4" t="s">
        <v>1676</v>
      </c>
      <c r="B838" s="4" t="s">
        <v>1677</v>
      </c>
      <c r="C838" s="5" t="str">
        <f t="shared" si="28"/>
        <v>ll,</v>
      </c>
      <c r="D838" s="5" t="str">
        <f t="shared" si="29"/>
        <v>Marsh</v>
      </c>
      <c r="E838" s="5" t="str">
        <f t="shared" si="30"/>
        <v>Wendy</v>
      </c>
    </row>
    <row r="839" spans="1:5" ht="15.75" customHeight="1" x14ac:dyDescent="0.3">
      <c r="A839" s="4" t="s">
        <v>1678</v>
      </c>
      <c r="B839" s="4" t="s">
        <v>1679</v>
      </c>
      <c r="C839" s="5" t="str">
        <f t="shared" si="28"/>
        <v>Mr.</v>
      </c>
      <c r="D839" s="5" t="str">
        <f t="shared" si="29"/>
        <v>Cale,</v>
      </c>
      <c r="E839" s="5" t="str">
        <f t="shared" si="30"/>
        <v>ric D</v>
      </c>
    </row>
    <row r="840" spans="1:5" ht="15.75" customHeight="1" x14ac:dyDescent="0.3">
      <c r="A840" s="4" t="s">
        <v>1680</v>
      </c>
      <c r="B840" s="4" t="s">
        <v>1681</v>
      </c>
      <c r="C840" s="5" t="str">
        <f t="shared" si="28"/>
        <v>ay,</v>
      </c>
      <c r="D840" s="5" t="str">
        <f t="shared" si="29"/>
        <v>Pitta</v>
      </c>
      <c r="E840" s="5" t="str">
        <f t="shared" si="30"/>
        <v>abeth</v>
      </c>
    </row>
    <row r="841" spans="1:5" ht="15.75" customHeight="1" x14ac:dyDescent="0.3">
      <c r="A841" s="4" t="s">
        <v>1682</v>
      </c>
      <c r="B841" s="4" t="s">
        <v>1683</v>
      </c>
      <c r="C841" s="5" t="str">
        <f t="shared" si="28"/>
        <v>Ms.</v>
      </c>
      <c r="D841" s="5" t="str">
        <f t="shared" si="29"/>
        <v>Bill,</v>
      </c>
      <c r="E841" s="5" t="str">
        <f t="shared" si="30"/>
        <v>ura F</v>
      </c>
    </row>
    <row r="842" spans="1:5" ht="15.75" customHeight="1" x14ac:dyDescent="0.3">
      <c r="A842" s="4" t="s">
        <v>1684</v>
      </c>
      <c r="B842" s="4" t="s">
        <v>1685</v>
      </c>
      <c r="C842" s="5" t="str">
        <f t="shared" si="28"/>
        <v>, M</v>
      </c>
      <c r="D842" s="5" t="str">
        <f t="shared" si="29"/>
        <v>Antri</v>
      </c>
      <c r="E842" s="5" t="str">
        <f t="shared" si="30"/>
        <v>ia F.</v>
      </c>
    </row>
    <row r="843" spans="1:5" ht="15.75" customHeight="1" x14ac:dyDescent="0.3">
      <c r="A843" s="4" t="s">
        <v>1686</v>
      </c>
      <c r="B843" s="4" t="s">
        <v>1687</v>
      </c>
      <c r="C843" s="5" t="str">
        <f t="shared" si="28"/>
        <v>tle</v>
      </c>
      <c r="D843" s="5" t="str">
        <f t="shared" si="29"/>
        <v>Dooli</v>
      </c>
      <c r="E843" s="5" t="str">
        <f t="shared" si="30"/>
        <v>my L.</v>
      </c>
    </row>
    <row r="844" spans="1:5" ht="15.75" customHeight="1" x14ac:dyDescent="0.3">
      <c r="A844" s="4" t="s">
        <v>1688</v>
      </c>
      <c r="B844" s="4" t="s">
        <v>1689</v>
      </c>
      <c r="C844" s="5" t="str">
        <f t="shared" si="28"/>
        <v xml:space="preserve">n, </v>
      </c>
      <c r="D844" s="5" t="str">
        <f t="shared" si="29"/>
        <v>Ruhlm</v>
      </c>
      <c r="E844" s="5" t="str">
        <f t="shared" si="30"/>
        <v>tie J</v>
      </c>
    </row>
    <row r="845" spans="1:5" ht="15.75" customHeight="1" x14ac:dyDescent="0.3">
      <c r="A845" s="4" t="s">
        <v>1690</v>
      </c>
      <c r="B845" s="4" t="s">
        <v>1691</v>
      </c>
      <c r="C845" s="5" t="str">
        <f t="shared" si="28"/>
        <v>on,</v>
      </c>
      <c r="D845" s="5" t="str">
        <f t="shared" si="29"/>
        <v>Ander</v>
      </c>
      <c r="E845" s="5" t="str">
        <f t="shared" si="30"/>
        <v>ra E.</v>
      </c>
    </row>
    <row r="846" spans="1:5" ht="15.75" customHeight="1" x14ac:dyDescent="0.3">
      <c r="A846" s="4" t="s">
        <v>1692</v>
      </c>
      <c r="B846" s="4" t="s">
        <v>1693</v>
      </c>
      <c r="C846" s="5" t="str">
        <f t="shared" si="28"/>
        <v>ma,</v>
      </c>
      <c r="D846" s="5" t="str">
        <f t="shared" si="29"/>
        <v>Uchiy</v>
      </c>
      <c r="E846" s="5" t="str">
        <f t="shared" si="30"/>
        <v>ayumi</v>
      </c>
    </row>
    <row r="847" spans="1:5" ht="15.75" customHeight="1" x14ac:dyDescent="0.3">
      <c r="A847" s="4" t="s">
        <v>1694</v>
      </c>
      <c r="B847" s="4" t="s">
        <v>1695</v>
      </c>
      <c r="C847" s="5" t="str">
        <f t="shared" si="28"/>
        <v>, M</v>
      </c>
      <c r="D847" s="5" t="str">
        <f t="shared" si="29"/>
        <v>Desot</v>
      </c>
      <c r="E847" s="5" t="str">
        <f t="shared" si="30"/>
        <v>nessa</v>
      </c>
    </row>
    <row r="848" spans="1:5" ht="15.75" customHeight="1" x14ac:dyDescent="0.3">
      <c r="A848" s="4" t="s">
        <v>1696</v>
      </c>
      <c r="B848" s="4" t="s">
        <v>1697</v>
      </c>
      <c r="C848" s="5" t="str">
        <f t="shared" si="28"/>
        <v xml:space="preserve">s, </v>
      </c>
      <c r="D848" s="5" t="str">
        <f t="shared" si="29"/>
        <v>Edmon</v>
      </c>
      <c r="E848" s="5" t="str">
        <f t="shared" si="30"/>
        <v>ali N</v>
      </c>
    </row>
    <row r="849" spans="1:5" ht="15.75" customHeight="1" x14ac:dyDescent="0.3">
      <c r="A849" s="4" t="s">
        <v>1698</v>
      </c>
      <c r="B849" s="4" t="s">
        <v>1699</v>
      </c>
      <c r="C849" s="5" t="str">
        <f t="shared" si="28"/>
        <v>Ms.</v>
      </c>
      <c r="D849" s="5" t="str">
        <f t="shared" ref="D849:D912" si="31">LEFT(B849,5)</f>
        <v>Otto,</v>
      </c>
      <c r="E849" s="5" t="str">
        <f t="shared" si="30"/>
        <v xml:space="preserve"> Beth</v>
      </c>
    </row>
    <row r="850" spans="1:5" ht="15.75" customHeight="1" x14ac:dyDescent="0.3">
      <c r="A850" s="4" t="s">
        <v>1700</v>
      </c>
      <c r="B850" s="4" t="s">
        <v>1701</v>
      </c>
      <c r="C850" s="5" t="str">
        <f t="shared" si="28"/>
        <v>Mr.</v>
      </c>
      <c r="D850" s="5" t="str">
        <f t="shared" si="31"/>
        <v>Kurt,</v>
      </c>
      <c r="E850" s="5" t="str">
        <f t="shared" si="30"/>
        <v xml:space="preserve"> Alex</v>
      </c>
    </row>
    <row r="851" spans="1:5" ht="15.75" customHeight="1" x14ac:dyDescent="0.3">
      <c r="A851" s="4" t="s">
        <v>1702</v>
      </c>
      <c r="B851" s="4" t="s">
        <v>1703</v>
      </c>
      <c r="C851" s="5" t="str">
        <f t="shared" si="28"/>
        <v xml:space="preserve">e, </v>
      </c>
      <c r="D851" s="5" t="str">
        <f t="shared" si="31"/>
        <v>Duhai</v>
      </c>
      <c r="E851" s="5" t="str">
        <f t="shared" si="30"/>
        <v>encer</v>
      </c>
    </row>
    <row r="852" spans="1:5" ht="15.75" customHeight="1" x14ac:dyDescent="0.3">
      <c r="A852" s="4" t="s">
        <v>1704</v>
      </c>
      <c r="B852" s="4" t="s">
        <v>1705</v>
      </c>
      <c r="C852" s="5" t="str">
        <f t="shared" si="28"/>
        <v xml:space="preserve"> Ms</v>
      </c>
      <c r="D852" s="5" t="str">
        <f t="shared" si="31"/>
        <v>Swann</v>
      </c>
      <c r="E852" s="5" t="str">
        <f t="shared" si="30"/>
        <v>ee W.</v>
      </c>
    </row>
    <row r="853" spans="1:5" ht="15.75" customHeight="1" x14ac:dyDescent="0.3">
      <c r="A853" s="4" t="s">
        <v>1706</v>
      </c>
      <c r="B853" s="4" t="s">
        <v>1707</v>
      </c>
      <c r="C853" s="5" t="str">
        <f t="shared" si="28"/>
        <v>, M</v>
      </c>
      <c r="D853" s="5" t="str">
        <f t="shared" si="31"/>
        <v>Burto</v>
      </c>
      <c r="E853" s="5" t="str">
        <f t="shared" si="30"/>
        <v xml:space="preserve">  Amy</v>
      </c>
    </row>
    <row r="854" spans="1:5" ht="15.75" customHeight="1" x14ac:dyDescent="0.3">
      <c r="A854" s="4" t="s">
        <v>1708</v>
      </c>
      <c r="B854" s="4" t="s">
        <v>1709</v>
      </c>
      <c r="C854" s="5" t="str">
        <f t="shared" si="28"/>
        <v xml:space="preserve">i, </v>
      </c>
      <c r="D854" s="5" t="str">
        <f t="shared" si="31"/>
        <v>Ricar</v>
      </c>
      <c r="E854" s="5" t="str">
        <f t="shared" si="30"/>
        <v>oshua</v>
      </c>
    </row>
    <row r="855" spans="1:5" ht="15.75" customHeight="1" x14ac:dyDescent="0.3">
      <c r="A855" s="4" t="s">
        <v>1710</v>
      </c>
      <c r="B855" s="4" t="s">
        <v>1711</v>
      </c>
      <c r="C855" s="5" t="str">
        <f t="shared" si="28"/>
        <v>, M</v>
      </c>
      <c r="D855" s="5" t="str">
        <f t="shared" si="31"/>
        <v>Josly</v>
      </c>
      <c r="E855" s="5" t="str">
        <f t="shared" si="30"/>
        <v xml:space="preserve"> Fred</v>
      </c>
    </row>
    <row r="856" spans="1:5" ht="15.75" customHeight="1" x14ac:dyDescent="0.3">
      <c r="A856" s="4" t="s">
        <v>1712</v>
      </c>
      <c r="B856" s="4" t="s">
        <v>1713</v>
      </c>
      <c r="C856" s="5" t="str">
        <f t="shared" si="28"/>
        <v>, M</v>
      </c>
      <c r="D856" s="5" t="str">
        <f t="shared" si="31"/>
        <v>Benni</v>
      </c>
      <c r="E856" s="5" t="str">
        <f t="shared" si="30"/>
        <v>eremy</v>
      </c>
    </row>
    <row r="857" spans="1:5" ht="15.75" customHeight="1" x14ac:dyDescent="0.3">
      <c r="A857" s="4" t="s">
        <v>1714</v>
      </c>
      <c r="B857" s="4" t="s">
        <v>1715</v>
      </c>
      <c r="C857" s="5" t="str">
        <f t="shared" si="28"/>
        <v xml:space="preserve">e, </v>
      </c>
      <c r="D857" s="5" t="str">
        <f t="shared" si="31"/>
        <v>Kanya</v>
      </c>
      <c r="E857" s="5" t="str">
        <f t="shared" si="30"/>
        <v>k Sr.</v>
      </c>
    </row>
    <row r="858" spans="1:5" ht="15.75" customHeight="1" x14ac:dyDescent="0.3">
      <c r="A858" s="4" t="s">
        <v>1716</v>
      </c>
      <c r="B858" s="4" t="s">
        <v>1717</v>
      </c>
      <c r="C858" s="5" t="str">
        <f t="shared" si="28"/>
        <v>en,</v>
      </c>
      <c r="D858" s="5" t="str">
        <f t="shared" si="31"/>
        <v>McFad</v>
      </c>
      <c r="E858" s="5" t="str">
        <f t="shared" si="30"/>
        <v>ly M.</v>
      </c>
    </row>
    <row r="859" spans="1:5" ht="15.75" customHeight="1" x14ac:dyDescent="0.3">
      <c r="A859" s="4" t="s">
        <v>1718</v>
      </c>
      <c r="B859" s="4" t="s">
        <v>1719</v>
      </c>
      <c r="C859" s="5" t="str">
        <f t="shared" si="28"/>
        <v>ly,</v>
      </c>
      <c r="D859" s="5" t="str">
        <f t="shared" si="31"/>
        <v>Conno</v>
      </c>
      <c r="E859" s="5" t="str">
        <f t="shared" si="30"/>
        <v>erine</v>
      </c>
    </row>
    <row r="860" spans="1:5" ht="15.75" customHeight="1" x14ac:dyDescent="0.3">
      <c r="A860" s="4" t="s">
        <v>1720</v>
      </c>
      <c r="B860" s="4" t="s">
        <v>1721</v>
      </c>
      <c r="C860" s="5" t="str">
        <f t="shared" si="28"/>
        <v>, M</v>
      </c>
      <c r="D860" s="5" t="str">
        <f t="shared" si="31"/>
        <v>Merin</v>
      </c>
      <c r="E860" s="5" t="str">
        <f t="shared" si="30"/>
        <v>ila L</v>
      </c>
    </row>
    <row r="861" spans="1:5" ht="15.75" customHeight="1" x14ac:dyDescent="0.3">
      <c r="A861" s="4" t="s">
        <v>1722</v>
      </c>
      <c r="B861" s="4" t="s">
        <v>1723</v>
      </c>
      <c r="C861" s="5" t="str">
        <f t="shared" si="28"/>
        <v xml:space="preserve"> Ms</v>
      </c>
      <c r="D861" s="5" t="str">
        <f t="shared" si="31"/>
        <v>Baird</v>
      </c>
      <c r="E861" s="5" t="str">
        <f t="shared" si="30"/>
        <v>nae E</v>
      </c>
    </row>
    <row r="862" spans="1:5" ht="15.75" customHeight="1" x14ac:dyDescent="0.3">
      <c r="A862" s="4" t="s">
        <v>1724</v>
      </c>
      <c r="B862" s="4" t="s">
        <v>1725</v>
      </c>
      <c r="C862" s="5" t="str">
        <f t="shared" si="28"/>
        <v>lli</v>
      </c>
      <c r="D862" s="5" t="str">
        <f t="shared" si="31"/>
        <v>Locat</v>
      </c>
      <c r="E862" s="5" t="str">
        <f t="shared" si="30"/>
        <v xml:space="preserve"> Alex</v>
      </c>
    </row>
    <row r="863" spans="1:5" ht="15.75" customHeight="1" x14ac:dyDescent="0.3">
      <c r="A863" s="4" t="s">
        <v>1726</v>
      </c>
      <c r="B863" s="4" t="s">
        <v>1727</v>
      </c>
      <c r="C863" s="5" t="str">
        <f t="shared" si="28"/>
        <v xml:space="preserve"> Ms</v>
      </c>
      <c r="D863" s="5" t="str">
        <f t="shared" si="31"/>
        <v>Brake</v>
      </c>
      <c r="E863" s="5" t="str">
        <f t="shared" si="30"/>
        <v>thryn</v>
      </c>
    </row>
    <row r="864" spans="1:5" ht="15.75" customHeight="1" x14ac:dyDescent="0.3">
      <c r="A864" s="4" t="s">
        <v>1728</v>
      </c>
      <c r="B864" s="4" t="s">
        <v>1729</v>
      </c>
      <c r="C864" s="5" t="str">
        <f t="shared" si="28"/>
        <v>, M</v>
      </c>
      <c r="D864" s="5" t="str">
        <f t="shared" si="31"/>
        <v>Jacob</v>
      </c>
      <c r="E864" s="5" t="str">
        <f t="shared" si="30"/>
        <v>on L.</v>
      </c>
    </row>
    <row r="865" spans="1:5" ht="15.75" customHeight="1" x14ac:dyDescent="0.3">
      <c r="A865" s="4" t="s">
        <v>1730</v>
      </c>
      <c r="B865" s="4" t="s">
        <v>1731</v>
      </c>
      <c r="C865" s="5" t="str">
        <f t="shared" si="28"/>
        <v>, M</v>
      </c>
      <c r="D865" s="5" t="str">
        <f t="shared" si="31"/>
        <v>Vaugh</v>
      </c>
      <c r="E865" s="5" t="str">
        <f t="shared" si="30"/>
        <v>in J.</v>
      </c>
    </row>
    <row r="866" spans="1:5" ht="15.75" customHeight="1" x14ac:dyDescent="0.3">
      <c r="A866" s="4" t="s">
        <v>1732</v>
      </c>
      <c r="B866" s="4" t="s">
        <v>1733</v>
      </c>
      <c r="C866" s="5" t="str">
        <f t="shared" si="28"/>
        <v>eon</v>
      </c>
      <c r="D866" s="5" t="str">
        <f t="shared" si="31"/>
        <v>Monte</v>
      </c>
      <c r="E866" s="5" t="str">
        <f t="shared" si="30"/>
        <v>en M.</v>
      </c>
    </row>
    <row r="867" spans="1:5" ht="15.75" customHeight="1" x14ac:dyDescent="0.3">
      <c r="A867" s="4" t="s">
        <v>1734</v>
      </c>
      <c r="B867" s="4" t="s">
        <v>1735</v>
      </c>
      <c r="C867" s="5" t="str">
        <f t="shared" si="28"/>
        <v xml:space="preserve">o, </v>
      </c>
      <c r="D867" s="5" t="str">
        <f t="shared" si="31"/>
        <v>Verdu</v>
      </c>
      <c r="E867" s="5" t="str">
        <f t="shared" si="30"/>
        <v>Erika</v>
      </c>
    </row>
    <row r="868" spans="1:5" ht="15.75" customHeight="1" x14ac:dyDescent="0.3">
      <c r="A868" s="4" t="s">
        <v>1736</v>
      </c>
      <c r="B868" s="4" t="s">
        <v>1737</v>
      </c>
      <c r="C868" s="5" t="str">
        <f t="shared" si="28"/>
        <v xml:space="preserve">s, </v>
      </c>
      <c r="D868" s="5" t="str">
        <f t="shared" si="31"/>
        <v>Selle</v>
      </c>
      <c r="E868" s="5" t="str">
        <f t="shared" si="30"/>
        <v xml:space="preserve"> Chad</v>
      </c>
    </row>
    <row r="869" spans="1:5" ht="15.75" customHeight="1" x14ac:dyDescent="0.3">
      <c r="A869" s="4" t="s">
        <v>1738</v>
      </c>
      <c r="B869" s="4" t="s">
        <v>1739</v>
      </c>
      <c r="C869" s="5" t="str">
        <f t="shared" si="28"/>
        <v>, M</v>
      </c>
      <c r="D869" s="5" t="str">
        <f t="shared" si="31"/>
        <v>Bowma</v>
      </c>
      <c r="E869" s="5" t="str">
        <f t="shared" si="30"/>
        <v xml:space="preserve"> Mark</v>
      </c>
    </row>
    <row r="870" spans="1:5" ht="15.75" customHeight="1" x14ac:dyDescent="0.3">
      <c r="A870" s="4" t="s">
        <v>1740</v>
      </c>
      <c r="B870" s="4" t="s">
        <v>1741</v>
      </c>
      <c r="C870" s="5" t="str">
        <f t="shared" si="28"/>
        <v>, M</v>
      </c>
      <c r="D870" s="5" t="str">
        <f t="shared" si="31"/>
        <v>Marle</v>
      </c>
      <c r="E870" s="5" t="str">
        <f t="shared" si="30"/>
        <v>David</v>
      </c>
    </row>
    <row r="871" spans="1:5" ht="15.75" customHeight="1" x14ac:dyDescent="0.3">
      <c r="A871" s="4" t="s">
        <v>1742</v>
      </c>
      <c r="B871" s="4" t="s">
        <v>1743</v>
      </c>
      <c r="C871" s="5" t="str">
        <f t="shared" si="28"/>
        <v>Mr.</v>
      </c>
      <c r="D871" s="5" t="str">
        <f t="shared" si="31"/>
        <v>Grey,</v>
      </c>
      <c r="E871" s="5" t="str">
        <f t="shared" si="30"/>
        <v>hew R</v>
      </c>
    </row>
    <row r="872" spans="1:5" ht="15.75" customHeight="1" x14ac:dyDescent="0.3">
      <c r="A872" s="4" t="s">
        <v>1744</v>
      </c>
      <c r="B872" s="4" t="s">
        <v>1745</v>
      </c>
      <c r="C872" s="5" t="str">
        <f t="shared" si="28"/>
        <v>ke,</v>
      </c>
      <c r="D872" s="5" t="str">
        <f t="shared" si="31"/>
        <v>O'Rou</v>
      </c>
      <c r="E872" s="5" t="str">
        <f t="shared" si="30"/>
        <v xml:space="preserve"> Orla</v>
      </c>
    </row>
    <row r="873" spans="1:5" ht="15.75" customHeight="1" x14ac:dyDescent="0.3">
      <c r="A873" s="4" t="s">
        <v>1746</v>
      </c>
      <c r="B873" s="4" t="s">
        <v>1747</v>
      </c>
      <c r="C873" s="5" t="str">
        <f t="shared" si="28"/>
        <v>li,</v>
      </c>
      <c r="D873" s="5" t="str">
        <f t="shared" si="31"/>
        <v>Fateh</v>
      </c>
      <c r="E873" s="5" t="str">
        <f t="shared" si="30"/>
        <v>sta S</v>
      </c>
    </row>
    <row r="874" spans="1:5" ht="15.75" customHeight="1" x14ac:dyDescent="0.3">
      <c r="A874" s="4" t="s">
        <v>1748</v>
      </c>
      <c r="B874" s="4" t="s">
        <v>1749</v>
      </c>
      <c r="C874" s="5" t="str">
        <f t="shared" si="28"/>
        <v>ayl</v>
      </c>
      <c r="D874" s="5" t="str">
        <f t="shared" si="31"/>
        <v>Piza-</v>
      </c>
      <c r="E874" s="5" t="str">
        <f t="shared" si="30"/>
        <v>Emily</v>
      </c>
    </row>
    <row r="875" spans="1:5" ht="15.75" customHeight="1" x14ac:dyDescent="0.3">
      <c r="A875" s="4" t="s">
        <v>1750</v>
      </c>
      <c r="B875" s="4" t="s">
        <v>1751</v>
      </c>
      <c r="C875" s="5" t="str">
        <f t="shared" si="28"/>
        <v>ugh</v>
      </c>
      <c r="D875" s="5" t="str">
        <f t="shared" si="31"/>
        <v>Cavan</v>
      </c>
      <c r="E875" s="5" t="str">
        <f t="shared" si="30"/>
        <v>ie A.</v>
      </c>
    </row>
    <row r="876" spans="1:5" ht="15.75" customHeight="1" x14ac:dyDescent="0.3">
      <c r="A876" s="4" t="s">
        <v>1752</v>
      </c>
      <c r="B876" s="4" t="s">
        <v>1753</v>
      </c>
      <c r="C876" s="5" t="str">
        <f t="shared" si="28"/>
        <v xml:space="preserve"> Ms</v>
      </c>
      <c r="D876" s="5" t="str">
        <f t="shared" si="31"/>
        <v>Amako</v>
      </c>
      <c r="E876" s="5" t="str">
        <f t="shared" si="30"/>
        <v>egumi</v>
      </c>
    </row>
    <row r="877" spans="1:5" ht="15.75" customHeight="1" x14ac:dyDescent="0.3">
      <c r="A877" s="4" t="s">
        <v>1754</v>
      </c>
      <c r="B877" s="4" t="s">
        <v>1755</v>
      </c>
      <c r="C877" s="5" t="str">
        <f t="shared" si="28"/>
        <v>Ms.</v>
      </c>
      <c r="D877" s="5" t="str">
        <f t="shared" si="31"/>
        <v>Musa,</v>
      </c>
      <c r="E877" s="5" t="str">
        <f t="shared" si="30"/>
        <v>kylar</v>
      </c>
    </row>
    <row r="878" spans="1:5" ht="15.75" customHeight="1" x14ac:dyDescent="0.3">
      <c r="A878" s="4" t="s">
        <v>1756</v>
      </c>
      <c r="B878" s="4" t="s">
        <v>1757</v>
      </c>
      <c r="C878" s="5" t="str">
        <f t="shared" si="28"/>
        <v>ppi</v>
      </c>
      <c r="D878" s="5" t="str">
        <f t="shared" si="31"/>
        <v>Phill</v>
      </c>
      <c r="E878" s="5" t="str">
        <f t="shared" si="30"/>
        <v>toria</v>
      </c>
    </row>
    <row r="879" spans="1:5" ht="15.75" customHeight="1" x14ac:dyDescent="0.3">
      <c r="A879" s="4" t="s">
        <v>1758</v>
      </c>
      <c r="B879" s="4" t="s">
        <v>1759</v>
      </c>
      <c r="C879" s="5" t="str">
        <f t="shared" si="28"/>
        <v xml:space="preserve">s, </v>
      </c>
      <c r="D879" s="5" t="str">
        <f t="shared" si="31"/>
        <v>Hoski</v>
      </c>
      <c r="E879" s="5" t="str">
        <f t="shared" si="30"/>
        <v>nda L</v>
      </c>
    </row>
    <row r="880" spans="1:5" ht="15.75" customHeight="1" x14ac:dyDescent="0.3">
      <c r="A880" s="4" t="s">
        <v>1760</v>
      </c>
      <c r="B880" s="4" t="s">
        <v>1761</v>
      </c>
      <c r="C880" s="5" t="str">
        <f t="shared" si="28"/>
        <v>ano</v>
      </c>
      <c r="D880" s="5" t="str">
        <f t="shared" si="31"/>
        <v>Imbal</v>
      </c>
      <c r="E880" s="5" t="str">
        <f t="shared" si="30"/>
        <v>Renee</v>
      </c>
    </row>
    <row r="881" spans="1:5" ht="15.75" customHeight="1" x14ac:dyDescent="0.3">
      <c r="A881" s="4" t="s">
        <v>1762</v>
      </c>
      <c r="B881" s="4" t="s">
        <v>1763</v>
      </c>
      <c r="C881" s="5" t="str">
        <f t="shared" si="28"/>
        <v>an,</v>
      </c>
      <c r="D881" s="5" t="str">
        <f t="shared" si="31"/>
        <v>Tried</v>
      </c>
      <c r="E881" s="5" t="str">
        <f t="shared" si="30"/>
        <v>ie A.</v>
      </c>
    </row>
    <row r="882" spans="1:5" ht="15.75" customHeight="1" x14ac:dyDescent="0.3">
      <c r="A882" s="4" t="s">
        <v>1764</v>
      </c>
      <c r="B882" s="4" t="s">
        <v>1765</v>
      </c>
      <c r="C882" s="5" t="str">
        <f t="shared" si="28"/>
        <v xml:space="preserve">o, </v>
      </c>
      <c r="D882" s="5" t="str">
        <f t="shared" si="31"/>
        <v>Lovuo</v>
      </c>
      <c r="E882" s="5" t="str">
        <f t="shared" si="30"/>
        <v>amara</v>
      </c>
    </row>
    <row r="883" spans="1:5" ht="15.75" customHeight="1" x14ac:dyDescent="0.3">
      <c r="A883" s="4" t="s">
        <v>1766</v>
      </c>
      <c r="B883" s="4" t="s">
        <v>1767</v>
      </c>
      <c r="C883" s="5" t="str">
        <f t="shared" si="28"/>
        <v xml:space="preserve"> Ms</v>
      </c>
      <c r="D883" s="5" t="str">
        <f t="shared" si="31"/>
        <v>Chung</v>
      </c>
      <c r="E883" s="5" t="str">
        <f t="shared" si="30"/>
        <v xml:space="preserve"> Joan</v>
      </c>
    </row>
    <row r="884" spans="1:5" ht="15.75" customHeight="1" x14ac:dyDescent="0.3">
      <c r="A884" s="4" t="s">
        <v>1768</v>
      </c>
      <c r="B884" s="4" t="s">
        <v>1769</v>
      </c>
      <c r="C884" s="5" t="str">
        <f t="shared" si="28"/>
        <v>, M</v>
      </c>
      <c r="D884" s="5" t="str">
        <f t="shared" si="31"/>
        <v>Newso</v>
      </c>
      <c r="E884" s="5" t="str">
        <f t="shared" si="30"/>
        <v>ee J.</v>
      </c>
    </row>
    <row r="885" spans="1:5" ht="15.75" customHeight="1" x14ac:dyDescent="0.3">
      <c r="A885" s="4" t="s">
        <v>1770</v>
      </c>
      <c r="B885" s="4" t="s">
        <v>1771</v>
      </c>
      <c r="C885" s="5" t="str">
        <f t="shared" si="28"/>
        <v>gto</v>
      </c>
      <c r="D885" s="5" t="str">
        <f t="shared" si="31"/>
        <v>Harri</v>
      </c>
      <c r="E885" s="5" t="str">
        <f t="shared" si="30"/>
        <v>zanne</v>
      </c>
    </row>
    <row r="886" spans="1:5" ht="15.75" customHeight="1" x14ac:dyDescent="0.3">
      <c r="A886" s="4" t="s">
        <v>1772</v>
      </c>
      <c r="B886" s="4" t="s">
        <v>1773</v>
      </c>
      <c r="C886" s="5" t="str">
        <f t="shared" si="28"/>
        <v xml:space="preserve">n, </v>
      </c>
      <c r="D886" s="5" t="str">
        <f t="shared" si="31"/>
        <v>Hoffm</v>
      </c>
      <c r="E886" s="5" t="str">
        <f t="shared" si="30"/>
        <v>in A.</v>
      </c>
    </row>
    <row r="887" spans="1:5" ht="15.75" customHeight="1" x14ac:dyDescent="0.3">
      <c r="A887" s="4" t="s">
        <v>1774</v>
      </c>
      <c r="B887" s="4" t="s">
        <v>1775</v>
      </c>
      <c r="C887" s="5" t="str">
        <f t="shared" si="28"/>
        <v>gt,</v>
      </c>
      <c r="D887" s="5" t="str">
        <f t="shared" si="31"/>
        <v>Van V</v>
      </c>
      <c r="E887" s="5" t="str">
        <f t="shared" si="30"/>
        <v>onwyn</v>
      </c>
    </row>
    <row r="888" spans="1:5" ht="15.75" customHeight="1" x14ac:dyDescent="0.3">
      <c r="A888" s="4" t="s">
        <v>1776</v>
      </c>
      <c r="B888" s="4" t="s">
        <v>1777</v>
      </c>
      <c r="C888" s="5" t="str">
        <f t="shared" si="28"/>
        <v xml:space="preserve">y, </v>
      </c>
      <c r="D888" s="5" t="str">
        <f t="shared" si="31"/>
        <v>Feehl</v>
      </c>
      <c r="E888" s="5" t="str">
        <f t="shared" si="30"/>
        <v>lor J</v>
      </c>
    </row>
    <row r="889" spans="1:5" ht="15.75" customHeight="1" x14ac:dyDescent="0.3">
      <c r="A889" s="4" t="s">
        <v>1778</v>
      </c>
      <c r="B889" s="4" t="s">
        <v>1779</v>
      </c>
      <c r="C889" s="5" t="str">
        <f t="shared" si="28"/>
        <v>th,</v>
      </c>
      <c r="D889" s="5" t="str">
        <f t="shared" si="31"/>
        <v>Ashwo</v>
      </c>
      <c r="E889" s="5" t="str">
        <f t="shared" si="30"/>
        <v>ly M.</v>
      </c>
    </row>
    <row r="890" spans="1:5" ht="15.75" customHeight="1" x14ac:dyDescent="0.3">
      <c r="A890" s="4" t="s">
        <v>1780</v>
      </c>
      <c r="B890" s="4" t="s">
        <v>1781</v>
      </c>
      <c r="C890" s="5" t="str">
        <f t="shared" si="28"/>
        <v>, M</v>
      </c>
      <c r="D890" s="5" t="str">
        <f t="shared" si="31"/>
        <v>Hanse</v>
      </c>
      <c r="E890" s="5" t="str">
        <f t="shared" si="30"/>
        <v>ua E.</v>
      </c>
    </row>
    <row r="891" spans="1:5" ht="15.75" customHeight="1" x14ac:dyDescent="0.3">
      <c r="A891" s="4" t="s">
        <v>1782</v>
      </c>
      <c r="B891" s="4" t="s">
        <v>1783</v>
      </c>
      <c r="C891" s="5" t="str">
        <f t="shared" si="28"/>
        <v>Mr.</v>
      </c>
      <c r="D891" s="5" t="str">
        <f t="shared" si="31"/>
        <v>Czyz,</v>
      </c>
      <c r="E891" s="5" t="str">
        <f t="shared" si="30"/>
        <v>ffrey</v>
      </c>
    </row>
    <row r="892" spans="1:5" ht="15.75" customHeight="1" x14ac:dyDescent="0.3">
      <c r="A892" s="4" t="s">
        <v>1784</v>
      </c>
      <c r="B892" s="4" t="s">
        <v>1785</v>
      </c>
      <c r="C892" s="5" t="str">
        <f t="shared" si="28"/>
        <v>, M</v>
      </c>
      <c r="D892" s="5" t="str">
        <f t="shared" si="31"/>
        <v>Baude</v>
      </c>
      <c r="E892" s="5" t="str">
        <f t="shared" si="30"/>
        <v>rew R</v>
      </c>
    </row>
    <row r="893" spans="1:5" ht="15.75" customHeight="1" x14ac:dyDescent="0.3">
      <c r="A893" s="4" t="s">
        <v>1786</v>
      </c>
      <c r="B893" s="4" t="s">
        <v>1787</v>
      </c>
      <c r="C893" s="5" t="str">
        <f t="shared" si="28"/>
        <v xml:space="preserve">a, </v>
      </c>
      <c r="D893" s="5" t="str">
        <f t="shared" si="31"/>
        <v>Mendo</v>
      </c>
      <c r="E893" s="5" t="str">
        <f t="shared" si="30"/>
        <v>. Sr.</v>
      </c>
    </row>
    <row r="894" spans="1:5" ht="15.75" customHeight="1" x14ac:dyDescent="0.3">
      <c r="A894" s="4" t="s">
        <v>1788</v>
      </c>
      <c r="B894" s="4" t="s">
        <v>1789</v>
      </c>
      <c r="C894" s="5" t="str">
        <f t="shared" si="28"/>
        <v xml:space="preserve"> Mr</v>
      </c>
      <c r="D894" s="5" t="str">
        <f t="shared" si="31"/>
        <v>Glass</v>
      </c>
      <c r="E894" s="5" t="str">
        <f t="shared" si="30"/>
        <v>honda</v>
      </c>
    </row>
    <row r="895" spans="1:5" ht="15.75" customHeight="1" x14ac:dyDescent="0.3">
      <c r="A895" s="4" t="s">
        <v>1790</v>
      </c>
      <c r="B895" s="4" t="s">
        <v>1791</v>
      </c>
      <c r="C895" s="5" t="str">
        <f t="shared" si="28"/>
        <v xml:space="preserve">r, </v>
      </c>
      <c r="D895" s="5" t="str">
        <f t="shared" si="31"/>
        <v>Butch</v>
      </c>
      <c r="E895" s="5" t="str">
        <f t="shared" si="30"/>
        <v xml:space="preserve"> John</v>
      </c>
    </row>
    <row r="896" spans="1:5" ht="15.75" customHeight="1" x14ac:dyDescent="0.3">
      <c r="A896" s="4" t="s">
        <v>1792</v>
      </c>
      <c r="B896" s="4" t="s">
        <v>1793</v>
      </c>
      <c r="C896" s="5" t="str">
        <f t="shared" si="28"/>
        <v xml:space="preserve">r, </v>
      </c>
      <c r="D896" s="5" t="str">
        <f t="shared" si="31"/>
        <v>Trais</v>
      </c>
      <c r="E896" s="5" t="str">
        <f t="shared" si="30"/>
        <v>es J.</v>
      </c>
    </row>
    <row r="897" spans="1:5" ht="15.75" customHeight="1" x14ac:dyDescent="0.3">
      <c r="A897" s="4" t="s">
        <v>1794</v>
      </c>
      <c r="B897" s="4" t="s">
        <v>1795</v>
      </c>
      <c r="C897" s="5" t="str">
        <f t="shared" si="28"/>
        <v>ade</v>
      </c>
      <c r="D897" s="5" t="str">
        <f t="shared" si="31"/>
        <v>Mudy-</v>
      </c>
      <c r="E897" s="5" t="str">
        <f t="shared" si="30"/>
        <v>na I.</v>
      </c>
    </row>
    <row r="898" spans="1:5" ht="15.75" customHeight="1" x14ac:dyDescent="0.3">
      <c r="A898" s="4" t="s">
        <v>1796</v>
      </c>
      <c r="B898" s="4" t="s">
        <v>1797</v>
      </c>
      <c r="C898" s="5" t="str">
        <f t="shared" si="28"/>
        <v>, M</v>
      </c>
      <c r="D898" s="5" t="str">
        <f t="shared" si="31"/>
        <v>Roger</v>
      </c>
      <c r="E898" s="5" t="str">
        <f t="shared" ref="E898:E961" si="32">RIGHT(B898,5)</f>
        <v>cille</v>
      </c>
    </row>
    <row r="899" spans="1:5" ht="15.75" customHeight="1" x14ac:dyDescent="0.3">
      <c r="A899" s="4" t="s">
        <v>1798</v>
      </c>
      <c r="B899" s="4" t="s">
        <v>1799</v>
      </c>
      <c r="C899" s="5" t="str">
        <f t="shared" si="28"/>
        <v xml:space="preserve">s. </v>
      </c>
      <c r="D899" s="5" t="str">
        <f t="shared" si="31"/>
        <v xml:space="preserve">Woo, </v>
      </c>
      <c r="E899" s="5" t="str">
        <f t="shared" si="32"/>
        <v>April</v>
      </c>
    </row>
    <row r="900" spans="1:5" ht="15.75" customHeight="1" x14ac:dyDescent="0.3">
      <c r="A900" s="4" t="s">
        <v>1800</v>
      </c>
      <c r="B900" s="4" t="s">
        <v>1801</v>
      </c>
      <c r="C900" s="5" t="str">
        <f t="shared" si="28"/>
        <v xml:space="preserve"> Mr</v>
      </c>
      <c r="D900" s="5" t="str">
        <f t="shared" si="31"/>
        <v>Walsh</v>
      </c>
      <c r="E900" s="5" t="str">
        <f t="shared" si="32"/>
        <v>obert</v>
      </c>
    </row>
    <row r="901" spans="1:5" ht="15.75" customHeight="1" x14ac:dyDescent="0.3">
      <c r="A901" s="4" t="s">
        <v>1802</v>
      </c>
      <c r="B901" s="4" t="s">
        <v>1803</v>
      </c>
      <c r="C901" s="5" t="str">
        <f t="shared" si="28"/>
        <v xml:space="preserve"> Mr</v>
      </c>
      <c r="D901" s="5" t="str">
        <f t="shared" si="31"/>
        <v>White</v>
      </c>
      <c r="E901" s="5" t="str">
        <f t="shared" si="32"/>
        <v>lyssa</v>
      </c>
    </row>
    <row r="902" spans="1:5" ht="15.75" customHeight="1" x14ac:dyDescent="0.3">
      <c r="A902" s="4" t="s">
        <v>1804</v>
      </c>
      <c r="B902" s="4" t="s">
        <v>1805</v>
      </c>
      <c r="C902" s="5" t="str">
        <f t="shared" si="28"/>
        <v>rd,</v>
      </c>
      <c r="D902" s="5" t="str">
        <f t="shared" si="31"/>
        <v>Shepp</v>
      </c>
      <c r="E902" s="5" t="str">
        <f t="shared" si="32"/>
        <v>ca E.</v>
      </c>
    </row>
    <row r="903" spans="1:5" ht="15.75" customHeight="1" x14ac:dyDescent="0.3">
      <c r="A903" s="4" t="s">
        <v>1806</v>
      </c>
      <c r="B903" s="4" t="s">
        <v>1807</v>
      </c>
      <c r="C903" s="5" t="str">
        <f t="shared" si="28"/>
        <v xml:space="preserve"> Mr</v>
      </c>
      <c r="D903" s="5" t="str">
        <f t="shared" si="31"/>
        <v>Doran</v>
      </c>
      <c r="E903" s="5" t="str">
        <f t="shared" si="32"/>
        <v>ck J.</v>
      </c>
    </row>
    <row r="904" spans="1:5" ht="15.75" customHeight="1" x14ac:dyDescent="0.3">
      <c r="A904" s="4" t="s">
        <v>1808</v>
      </c>
      <c r="B904" s="4" t="s">
        <v>1809</v>
      </c>
      <c r="C904" s="5" t="str">
        <f t="shared" si="28"/>
        <v>se,</v>
      </c>
      <c r="D904" s="5" t="str">
        <f t="shared" si="31"/>
        <v>Labro</v>
      </c>
      <c r="E904" s="5" t="str">
        <f t="shared" si="32"/>
        <v>milie</v>
      </c>
    </row>
    <row r="905" spans="1:5" ht="15.75" customHeight="1" x14ac:dyDescent="0.3">
      <c r="A905" s="4" t="s">
        <v>1810</v>
      </c>
      <c r="B905" s="4" t="s">
        <v>1811</v>
      </c>
      <c r="C905" s="5" t="str">
        <f t="shared" si="28"/>
        <v>, M</v>
      </c>
      <c r="D905" s="5" t="str">
        <f t="shared" si="31"/>
        <v>Thoma</v>
      </c>
      <c r="E905" s="5" t="str">
        <f t="shared" si="32"/>
        <v>in B.</v>
      </c>
    </row>
    <row r="906" spans="1:5" ht="15.75" customHeight="1" x14ac:dyDescent="0.3">
      <c r="A906" s="4" t="s">
        <v>1812</v>
      </c>
      <c r="B906" s="4" t="s">
        <v>1813</v>
      </c>
      <c r="C906" s="5" t="str">
        <f t="shared" si="28"/>
        <v xml:space="preserve">k, </v>
      </c>
      <c r="D906" s="5" t="str">
        <f t="shared" si="31"/>
        <v>Lesni</v>
      </c>
      <c r="E906" s="5" t="str">
        <f t="shared" si="32"/>
        <v>eph W</v>
      </c>
    </row>
    <row r="907" spans="1:5" ht="15.75" customHeight="1" x14ac:dyDescent="0.3">
      <c r="A907" s="4" t="s">
        <v>1814</v>
      </c>
      <c r="B907" s="4" t="s">
        <v>1815</v>
      </c>
      <c r="C907" s="5" t="str">
        <f t="shared" si="28"/>
        <v>, M</v>
      </c>
      <c r="D907" s="5" t="str">
        <f t="shared" si="31"/>
        <v>Prows</v>
      </c>
      <c r="E907" s="5" t="str">
        <f t="shared" si="32"/>
        <v>Wendy</v>
      </c>
    </row>
    <row r="908" spans="1:5" ht="15.75" customHeight="1" x14ac:dyDescent="0.3">
      <c r="A908" s="4" t="s">
        <v>1816</v>
      </c>
      <c r="B908" s="4" t="s">
        <v>1817</v>
      </c>
      <c r="C908" s="5" t="str">
        <f t="shared" si="28"/>
        <v>, M</v>
      </c>
      <c r="D908" s="5" t="str">
        <f t="shared" si="31"/>
        <v>Seige</v>
      </c>
      <c r="E908" s="5" t="str">
        <f t="shared" si="32"/>
        <v>ah L.</v>
      </c>
    </row>
    <row r="909" spans="1:5" ht="15.75" customHeight="1" x14ac:dyDescent="0.3">
      <c r="A909" s="4" t="s">
        <v>1818</v>
      </c>
      <c r="B909" s="4" t="s">
        <v>1819</v>
      </c>
      <c r="C909" s="5" t="str">
        <f t="shared" si="28"/>
        <v>Mr.</v>
      </c>
      <c r="D909" s="5" t="str">
        <f t="shared" si="31"/>
        <v>Blas,</v>
      </c>
      <c r="E909" s="5" t="str">
        <f t="shared" si="32"/>
        <v>ne L.</v>
      </c>
    </row>
    <row r="910" spans="1:5" ht="15.75" customHeight="1" x14ac:dyDescent="0.3">
      <c r="A910" s="4" t="s">
        <v>1820</v>
      </c>
      <c r="B910" s="4" t="s">
        <v>1821</v>
      </c>
      <c r="C910" s="5" t="str">
        <f t="shared" si="28"/>
        <v xml:space="preserve">n, </v>
      </c>
      <c r="D910" s="5" t="str">
        <f t="shared" si="31"/>
        <v>Simps</v>
      </c>
      <c r="E910" s="5" t="str">
        <f t="shared" si="32"/>
        <v>on M.</v>
      </c>
    </row>
    <row r="911" spans="1:5" ht="15.75" customHeight="1" x14ac:dyDescent="0.3">
      <c r="A911" s="4" t="s">
        <v>1822</v>
      </c>
      <c r="B911" s="4" t="s">
        <v>1823</v>
      </c>
      <c r="C911" s="5" t="str">
        <f t="shared" si="28"/>
        <v xml:space="preserve">n, </v>
      </c>
      <c r="D911" s="5" t="str">
        <f t="shared" si="31"/>
        <v>Gierm</v>
      </c>
      <c r="E911" s="5" t="str">
        <f t="shared" si="32"/>
        <v>loris</v>
      </c>
    </row>
    <row r="912" spans="1:5" ht="15.75" customHeight="1" x14ac:dyDescent="0.3">
      <c r="A912" s="4" t="s">
        <v>1824</v>
      </c>
      <c r="B912" s="4" t="s">
        <v>1825</v>
      </c>
      <c r="C912" s="5" t="str">
        <f t="shared" si="28"/>
        <v xml:space="preserve">d, </v>
      </c>
      <c r="D912" s="5" t="str">
        <f t="shared" si="31"/>
        <v>Jeula</v>
      </c>
      <c r="E912" s="5" t="str">
        <f t="shared" si="32"/>
        <v xml:space="preserve"> Marc</v>
      </c>
    </row>
    <row r="913" spans="1:5" ht="15.75" customHeight="1" x14ac:dyDescent="0.3">
      <c r="A913" s="4" t="s">
        <v>1826</v>
      </c>
      <c r="B913" s="4" t="s">
        <v>1827</v>
      </c>
      <c r="C913" s="5" t="str">
        <f t="shared" si="28"/>
        <v xml:space="preserve">y, </v>
      </c>
      <c r="D913" s="5" t="str">
        <f t="shared" ref="D913:D976" si="33">LEFT(B913,5)</f>
        <v>Chorn</v>
      </c>
      <c r="E913" s="5" t="str">
        <f t="shared" si="32"/>
        <v>opher</v>
      </c>
    </row>
    <row r="914" spans="1:5" ht="15.75" customHeight="1" x14ac:dyDescent="0.3">
      <c r="A914" s="4" t="s">
        <v>1828</v>
      </c>
      <c r="B914" s="4" t="s">
        <v>1829</v>
      </c>
      <c r="C914" s="5" t="str">
        <f t="shared" si="28"/>
        <v>Mr.</v>
      </c>
      <c r="D914" s="5" t="str">
        <f t="shared" si="33"/>
        <v>Rook,</v>
      </c>
      <c r="E914" s="5" t="str">
        <f t="shared" si="32"/>
        <v>Kevin</v>
      </c>
    </row>
    <row r="915" spans="1:5" ht="15.75" customHeight="1" x14ac:dyDescent="0.3">
      <c r="A915" s="4" t="s">
        <v>1830</v>
      </c>
      <c r="B915" s="4" t="s">
        <v>1831</v>
      </c>
      <c r="C915" s="5" t="str">
        <f t="shared" si="28"/>
        <v>, M</v>
      </c>
      <c r="D915" s="5" t="str">
        <f t="shared" si="33"/>
        <v>Wrigh</v>
      </c>
      <c r="E915" s="5" t="str">
        <f t="shared" si="32"/>
        <v>ron N</v>
      </c>
    </row>
    <row r="916" spans="1:5" ht="15.75" customHeight="1" x14ac:dyDescent="0.3">
      <c r="A916" s="4" t="s">
        <v>1832</v>
      </c>
      <c r="B916" s="4" t="s">
        <v>1833</v>
      </c>
      <c r="C916" s="5" t="str">
        <f t="shared" si="28"/>
        <v>Mr.</v>
      </c>
      <c r="D916" s="5" t="str">
        <f t="shared" si="33"/>
        <v>Chin,</v>
      </c>
      <c r="E916" s="5" t="str">
        <f t="shared" si="32"/>
        <v>ce D.</v>
      </c>
    </row>
    <row r="917" spans="1:5" ht="15.75" customHeight="1" x14ac:dyDescent="0.3">
      <c r="A917" s="4" t="s">
        <v>1834</v>
      </c>
      <c r="B917" s="4" t="s">
        <v>1835</v>
      </c>
      <c r="C917" s="5" t="str">
        <f t="shared" si="28"/>
        <v xml:space="preserve"> Mr</v>
      </c>
      <c r="D917" s="5" t="str">
        <f t="shared" si="33"/>
        <v>White</v>
      </c>
      <c r="E917" s="5" t="str">
        <f t="shared" si="32"/>
        <v>lcolm</v>
      </c>
    </row>
    <row r="918" spans="1:5" ht="15.75" customHeight="1" x14ac:dyDescent="0.3">
      <c r="A918" s="4" t="s">
        <v>1836</v>
      </c>
      <c r="B918" s="4" t="s">
        <v>1837</v>
      </c>
      <c r="C918" s="5" t="str">
        <f t="shared" si="28"/>
        <v>, M</v>
      </c>
      <c r="D918" s="5" t="str">
        <f t="shared" si="33"/>
        <v>Savag</v>
      </c>
      <c r="E918" s="5" t="str">
        <f t="shared" si="32"/>
        <v>na E.</v>
      </c>
    </row>
    <row r="919" spans="1:5" ht="15.75" customHeight="1" x14ac:dyDescent="0.3">
      <c r="A919" s="4" t="s">
        <v>1838</v>
      </c>
      <c r="B919" s="4" t="s">
        <v>1839</v>
      </c>
      <c r="C919" s="5" t="str">
        <f t="shared" si="28"/>
        <v>ngs</v>
      </c>
      <c r="D919" s="5" t="str">
        <f t="shared" si="33"/>
        <v>Hitch</v>
      </c>
      <c r="E919" s="5" t="str">
        <f t="shared" si="32"/>
        <v>Jenny</v>
      </c>
    </row>
    <row r="920" spans="1:5" ht="15.75" customHeight="1" x14ac:dyDescent="0.3">
      <c r="A920" s="4" t="s">
        <v>1840</v>
      </c>
      <c r="B920" s="4" t="s">
        <v>1841</v>
      </c>
      <c r="C920" s="5" t="str">
        <f t="shared" si="28"/>
        <v>, M</v>
      </c>
      <c r="D920" s="5" t="str">
        <f t="shared" si="33"/>
        <v>Truit</v>
      </c>
      <c r="E920" s="5" t="str">
        <f t="shared" si="32"/>
        <v>ssa L</v>
      </c>
    </row>
    <row r="921" spans="1:5" ht="15.75" customHeight="1" x14ac:dyDescent="0.3">
      <c r="A921" s="4" t="s">
        <v>1842</v>
      </c>
      <c r="B921" s="4" t="s">
        <v>1843</v>
      </c>
      <c r="C921" s="5" t="str">
        <f t="shared" si="28"/>
        <v xml:space="preserve"> Ms</v>
      </c>
      <c r="D921" s="5" t="str">
        <f t="shared" si="33"/>
        <v>Chang</v>
      </c>
      <c r="E921" s="5" t="str">
        <f t="shared" si="32"/>
        <v>ia J.</v>
      </c>
    </row>
    <row r="922" spans="1:5" ht="15.75" customHeight="1" x14ac:dyDescent="0.3">
      <c r="A922" s="4" t="s">
        <v>1844</v>
      </c>
      <c r="B922" s="4" t="s">
        <v>1845</v>
      </c>
      <c r="C922" s="5" t="str">
        <f t="shared" si="28"/>
        <v>Ms.</v>
      </c>
      <c r="D922" s="5" t="str">
        <f t="shared" si="33"/>
        <v>Frey,</v>
      </c>
      <c r="E922" s="5" t="str">
        <f t="shared" si="32"/>
        <v>ura A</v>
      </c>
    </row>
    <row r="923" spans="1:5" ht="15.75" customHeight="1" x14ac:dyDescent="0.3">
      <c r="A923" s="4" t="s">
        <v>1846</v>
      </c>
      <c r="B923" s="4" t="s">
        <v>1847</v>
      </c>
      <c r="C923" s="5" t="str">
        <f t="shared" si="28"/>
        <v xml:space="preserve">a, </v>
      </c>
      <c r="D923" s="5" t="str">
        <f t="shared" si="33"/>
        <v>Krish</v>
      </c>
      <c r="E923" s="5" t="str">
        <f t="shared" si="32"/>
        <v>Aditi</v>
      </c>
    </row>
    <row r="924" spans="1:5" ht="15.75" customHeight="1" x14ac:dyDescent="0.3">
      <c r="A924" s="4" t="s">
        <v>1848</v>
      </c>
      <c r="B924" s="4" t="s">
        <v>1849</v>
      </c>
      <c r="C924" s="5" t="str">
        <f t="shared" si="28"/>
        <v xml:space="preserve"> Ms</v>
      </c>
      <c r="D924" s="5" t="str">
        <f t="shared" si="33"/>
        <v>Maher</v>
      </c>
      <c r="E924" s="5" t="str">
        <f t="shared" si="32"/>
        <v>ah A.</v>
      </c>
    </row>
    <row r="925" spans="1:5" ht="15.75" customHeight="1" x14ac:dyDescent="0.3">
      <c r="A925" s="4" t="s">
        <v>1850</v>
      </c>
      <c r="B925" s="4" t="s">
        <v>1851</v>
      </c>
      <c r="C925" s="5" t="str">
        <f t="shared" si="28"/>
        <v>, M</v>
      </c>
      <c r="D925" s="5" t="str">
        <f t="shared" si="33"/>
        <v>Boivi</v>
      </c>
      <c r="E925" s="5" t="str">
        <f t="shared" si="32"/>
        <v>ianne</v>
      </c>
    </row>
    <row r="926" spans="1:5" ht="15.75" customHeight="1" x14ac:dyDescent="0.3">
      <c r="A926" s="4" t="s">
        <v>1852</v>
      </c>
      <c r="B926" s="4" t="s">
        <v>1853</v>
      </c>
      <c r="C926" s="5" t="str">
        <f t="shared" si="28"/>
        <v>ter</v>
      </c>
      <c r="D926" s="5" t="str">
        <f t="shared" si="33"/>
        <v>McAli</v>
      </c>
      <c r="E926" s="5" t="str">
        <f t="shared" si="32"/>
        <v>Carla</v>
      </c>
    </row>
    <row r="927" spans="1:5" ht="15.75" customHeight="1" x14ac:dyDescent="0.3">
      <c r="A927" s="4" t="s">
        <v>1854</v>
      </c>
      <c r="B927" s="4" t="s">
        <v>1855</v>
      </c>
      <c r="C927" s="5" t="str">
        <f t="shared" si="28"/>
        <v>ova</v>
      </c>
      <c r="D927" s="5" t="str">
        <f t="shared" si="33"/>
        <v>Akhme</v>
      </c>
      <c r="E927" s="5" t="str">
        <f t="shared" si="32"/>
        <v>ksana</v>
      </c>
    </row>
    <row r="928" spans="1:5" ht="15.75" customHeight="1" x14ac:dyDescent="0.3">
      <c r="A928" s="4" t="s">
        <v>1856</v>
      </c>
      <c r="B928" s="4" t="s">
        <v>1857</v>
      </c>
      <c r="C928" s="5" t="str">
        <f t="shared" si="28"/>
        <v>, M</v>
      </c>
      <c r="D928" s="5" t="str">
        <f t="shared" si="33"/>
        <v>Tucke</v>
      </c>
      <c r="E928" s="5" t="str">
        <f t="shared" si="32"/>
        <v>ca B.</v>
      </c>
    </row>
    <row r="929" spans="1:5" ht="15.75" customHeight="1" x14ac:dyDescent="0.3">
      <c r="A929" s="4" t="s">
        <v>1858</v>
      </c>
      <c r="B929" s="4" t="s">
        <v>1859</v>
      </c>
      <c r="C929" s="5" t="str">
        <f t="shared" si="28"/>
        <v>spa</v>
      </c>
      <c r="D929" s="5" t="str">
        <f t="shared" si="33"/>
        <v>Grame</v>
      </c>
      <c r="E929" s="5" t="str">
        <f t="shared" si="32"/>
        <v>ia A.</v>
      </c>
    </row>
    <row r="930" spans="1:5" ht="15.75" customHeight="1" x14ac:dyDescent="0.3">
      <c r="A930" s="4" t="s">
        <v>1860</v>
      </c>
      <c r="B930" s="4" t="s">
        <v>1861</v>
      </c>
      <c r="C930" s="5" t="str">
        <f t="shared" si="28"/>
        <v>ith</v>
      </c>
      <c r="D930" s="5" t="str">
        <f t="shared" si="33"/>
        <v>Golds</v>
      </c>
      <c r="E930" s="5" t="str">
        <f t="shared" si="32"/>
        <v>isa M</v>
      </c>
    </row>
    <row r="931" spans="1:5" ht="15.75" customHeight="1" x14ac:dyDescent="0.3">
      <c r="A931" s="4" t="s">
        <v>1862</v>
      </c>
      <c r="B931" s="4" t="s">
        <v>1863</v>
      </c>
      <c r="C931" s="5" t="str">
        <f t="shared" si="28"/>
        <v xml:space="preserve">r, </v>
      </c>
      <c r="D931" s="5" t="str">
        <f t="shared" si="33"/>
        <v>Trant</v>
      </c>
      <c r="E931" s="5" t="str">
        <f t="shared" si="32"/>
        <v>e Jr.</v>
      </c>
    </row>
    <row r="932" spans="1:5" ht="15.75" customHeight="1" x14ac:dyDescent="0.3">
      <c r="A932" s="4" t="s">
        <v>1864</v>
      </c>
      <c r="B932" s="4" t="s">
        <v>1865</v>
      </c>
      <c r="C932" s="5" t="str">
        <f t="shared" si="28"/>
        <v xml:space="preserve">s. </v>
      </c>
      <c r="D932" s="5" t="str">
        <f t="shared" si="33"/>
        <v>Tu, M</v>
      </c>
      <c r="E932" s="5" t="str">
        <f t="shared" si="32"/>
        <v>ffany</v>
      </c>
    </row>
    <row r="933" spans="1:5" ht="15.75" customHeight="1" x14ac:dyDescent="0.3">
      <c r="A933" s="4" t="s">
        <v>1866</v>
      </c>
      <c r="B933" s="4" t="s">
        <v>1867</v>
      </c>
      <c r="C933" s="5" t="str">
        <f t="shared" si="28"/>
        <v>, M</v>
      </c>
      <c r="D933" s="5" t="str">
        <f t="shared" si="33"/>
        <v>Kaczk</v>
      </c>
      <c r="E933" s="5" t="str">
        <f t="shared" si="32"/>
        <v xml:space="preserve"> Greg</v>
      </c>
    </row>
    <row r="934" spans="1:5" ht="15.75" customHeight="1" x14ac:dyDescent="0.3">
      <c r="A934" s="4" t="s">
        <v>1868</v>
      </c>
      <c r="B934" s="4" t="s">
        <v>1869</v>
      </c>
      <c r="C934" s="5" t="str">
        <f t="shared" si="28"/>
        <v>, M</v>
      </c>
      <c r="D934" s="5" t="str">
        <f t="shared" si="33"/>
        <v>Hunte</v>
      </c>
      <c r="E934" s="5" t="str">
        <f t="shared" si="32"/>
        <v xml:space="preserve"> Dale</v>
      </c>
    </row>
    <row r="935" spans="1:5" ht="15.75" customHeight="1" x14ac:dyDescent="0.3">
      <c r="A935" s="4" t="s">
        <v>1870</v>
      </c>
      <c r="B935" s="4" t="s">
        <v>1871</v>
      </c>
      <c r="C935" s="5" t="str">
        <f t="shared" si="28"/>
        <v xml:space="preserve"> Ms</v>
      </c>
      <c r="D935" s="5" t="str">
        <f t="shared" si="33"/>
        <v>Moran</v>
      </c>
      <c r="E935" s="5" t="str">
        <f t="shared" si="32"/>
        <v>ny A.</v>
      </c>
    </row>
    <row r="936" spans="1:5" ht="15.75" customHeight="1" x14ac:dyDescent="0.3">
      <c r="A936" s="4" t="s">
        <v>1872</v>
      </c>
      <c r="B936" s="4" t="s">
        <v>1873</v>
      </c>
      <c r="C936" s="5" t="str">
        <f t="shared" si="28"/>
        <v xml:space="preserve"> Mr</v>
      </c>
      <c r="D936" s="5" t="str">
        <f t="shared" si="33"/>
        <v>Ashby</v>
      </c>
      <c r="E936" s="5" t="str">
        <f t="shared" si="32"/>
        <v>ert S</v>
      </c>
    </row>
    <row r="937" spans="1:5" ht="15.75" customHeight="1" x14ac:dyDescent="0.3">
      <c r="A937" s="4" t="s">
        <v>1874</v>
      </c>
      <c r="B937" s="4" t="s">
        <v>1875</v>
      </c>
      <c r="C937" s="5" t="str">
        <f t="shared" si="28"/>
        <v xml:space="preserve"> Mr</v>
      </c>
      <c r="D937" s="5" t="str">
        <f t="shared" si="33"/>
        <v>Ausen</v>
      </c>
      <c r="E937" s="5" t="str">
        <f t="shared" si="32"/>
        <v>meron</v>
      </c>
    </row>
    <row r="938" spans="1:5" ht="15.75" customHeight="1" x14ac:dyDescent="0.3">
      <c r="A938" s="4" t="s">
        <v>1876</v>
      </c>
      <c r="B938" s="4" t="s">
        <v>1877</v>
      </c>
      <c r="C938" s="5" t="str">
        <f t="shared" si="28"/>
        <v>, M</v>
      </c>
      <c r="D938" s="5" t="str">
        <f t="shared" si="33"/>
        <v>Savag</v>
      </c>
      <c r="E938" s="5" t="str">
        <f t="shared" si="32"/>
        <v>lrike</v>
      </c>
    </row>
    <row r="939" spans="1:5" ht="15.75" customHeight="1" x14ac:dyDescent="0.3">
      <c r="A939" s="4" t="s">
        <v>1878</v>
      </c>
      <c r="B939" s="4" t="s">
        <v>1879</v>
      </c>
      <c r="C939" s="5" t="str">
        <f t="shared" si="28"/>
        <v xml:space="preserve">y, </v>
      </c>
      <c r="D939" s="5" t="str">
        <f t="shared" si="33"/>
        <v>O'Lea</v>
      </c>
      <c r="E939" s="5" t="str">
        <f t="shared" si="32"/>
        <v>yn A.</v>
      </c>
    </row>
    <row r="940" spans="1:5" ht="15.75" customHeight="1" x14ac:dyDescent="0.3">
      <c r="A940" s="4" t="s">
        <v>1880</v>
      </c>
      <c r="B940" s="4" t="s">
        <v>1881</v>
      </c>
      <c r="C940" s="5" t="str">
        <f t="shared" si="28"/>
        <v>le,</v>
      </c>
      <c r="D940" s="5" t="str">
        <f t="shared" si="33"/>
        <v>Scovi</v>
      </c>
      <c r="E940" s="5" t="str">
        <f t="shared" si="32"/>
        <v>an B.</v>
      </c>
    </row>
    <row r="941" spans="1:5" ht="15.75" customHeight="1" x14ac:dyDescent="0.3">
      <c r="A941" s="4" t="s">
        <v>1882</v>
      </c>
      <c r="B941" s="4" t="s">
        <v>1883</v>
      </c>
      <c r="C941" s="5" t="str">
        <f t="shared" si="28"/>
        <v>Mr.</v>
      </c>
      <c r="D941" s="5" t="str">
        <f t="shared" si="33"/>
        <v>Kaus,</v>
      </c>
      <c r="E941" s="5" t="str">
        <f t="shared" si="32"/>
        <v>Peter</v>
      </c>
    </row>
    <row r="942" spans="1:5" ht="15.75" customHeight="1" x14ac:dyDescent="0.3">
      <c r="A942" s="4" t="s">
        <v>1884</v>
      </c>
      <c r="B942" s="4" t="s">
        <v>1885</v>
      </c>
      <c r="C942" s="5" t="str">
        <f t="shared" si="28"/>
        <v>, M</v>
      </c>
      <c r="D942" s="5" t="str">
        <f t="shared" si="33"/>
        <v>Raine</v>
      </c>
      <c r="E942" s="5" t="str">
        <f t="shared" si="32"/>
        <v>ndler</v>
      </c>
    </row>
    <row r="943" spans="1:5" ht="15.75" customHeight="1" x14ac:dyDescent="0.3">
      <c r="A943" s="4" t="s">
        <v>1886</v>
      </c>
      <c r="B943" s="4" t="s">
        <v>1887</v>
      </c>
      <c r="C943" s="5" t="str">
        <f t="shared" si="28"/>
        <v xml:space="preserve"> Ms</v>
      </c>
      <c r="D943" s="5" t="str">
        <f t="shared" si="33"/>
        <v>Rasch</v>
      </c>
      <c r="E943" s="5" t="str">
        <f t="shared" si="32"/>
        <v>na M.</v>
      </c>
    </row>
    <row r="944" spans="1:5" ht="15.75" customHeight="1" x14ac:dyDescent="0.3">
      <c r="A944" s="4" t="s">
        <v>1888</v>
      </c>
      <c r="B944" s="4" t="s">
        <v>1889</v>
      </c>
      <c r="C944" s="5" t="str">
        <f t="shared" si="28"/>
        <v>tt,</v>
      </c>
      <c r="D944" s="5" t="str">
        <f t="shared" si="33"/>
        <v>Plunk</v>
      </c>
      <c r="E944" s="5" t="str">
        <f t="shared" si="32"/>
        <v>Natty</v>
      </c>
    </row>
    <row r="945" spans="1:5" ht="15.75" customHeight="1" x14ac:dyDescent="0.3">
      <c r="A945" s="4" t="s">
        <v>1890</v>
      </c>
      <c r="B945" s="4" t="s">
        <v>1891</v>
      </c>
      <c r="C945" s="5" t="str">
        <f t="shared" si="28"/>
        <v>, M</v>
      </c>
      <c r="D945" s="5" t="str">
        <f t="shared" si="33"/>
        <v>Murph</v>
      </c>
      <c r="E945" s="5" t="str">
        <f t="shared" si="32"/>
        <v>las T</v>
      </c>
    </row>
    <row r="946" spans="1:5" ht="15.75" customHeight="1" x14ac:dyDescent="0.3">
      <c r="A946" s="4" t="s">
        <v>1892</v>
      </c>
      <c r="B946" s="4" t="s">
        <v>1893</v>
      </c>
      <c r="C946" s="5" t="str">
        <f t="shared" si="28"/>
        <v>, M</v>
      </c>
      <c r="D946" s="5" t="str">
        <f t="shared" si="33"/>
        <v>Gusme</v>
      </c>
      <c r="E946" s="5" t="str">
        <f t="shared" si="32"/>
        <v>becca</v>
      </c>
    </row>
    <row r="947" spans="1:5" ht="15.75" customHeight="1" x14ac:dyDescent="0.3">
      <c r="A947" s="4" t="s">
        <v>1894</v>
      </c>
      <c r="B947" s="4" t="s">
        <v>1895</v>
      </c>
      <c r="C947" s="5" t="str">
        <f t="shared" si="28"/>
        <v>, M</v>
      </c>
      <c r="D947" s="5" t="str">
        <f t="shared" si="33"/>
        <v>Loftu</v>
      </c>
      <c r="E947" s="5" t="str">
        <f t="shared" si="32"/>
        <v xml:space="preserve"> John</v>
      </c>
    </row>
    <row r="948" spans="1:5" ht="15.75" customHeight="1" x14ac:dyDescent="0.3">
      <c r="A948" s="4" t="s">
        <v>1896</v>
      </c>
      <c r="B948" s="4" t="s">
        <v>1897</v>
      </c>
      <c r="C948" s="5" t="str">
        <f t="shared" si="28"/>
        <v xml:space="preserve"> Mr</v>
      </c>
      <c r="D948" s="5" t="str">
        <f t="shared" si="33"/>
        <v>Scott</v>
      </c>
      <c r="E948" s="5" t="str">
        <f t="shared" si="32"/>
        <v>ony G</v>
      </c>
    </row>
    <row r="949" spans="1:5" ht="15.75" customHeight="1" x14ac:dyDescent="0.3">
      <c r="A949" s="4" t="s">
        <v>1898</v>
      </c>
      <c r="B949" s="4" t="s">
        <v>1899</v>
      </c>
      <c r="C949" s="5" t="str">
        <f t="shared" si="28"/>
        <v xml:space="preserve">z, </v>
      </c>
      <c r="D949" s="5" t="str">
        <f t="shared" si="33"/>
        <v>Alvar</v>
      </c>
      <c r="E949" s="5" t="str">
        <f t="shared" si="32"/>
        <v xml:space="preserve"> Eric</v>
      </c>
    </row>
    <row r="950" spans="1:5" ht="15.75" customHeight="1" x14ac:dyDescent="0.3">
      <c r="A950" s="4" t="s">
        <v>1900</v>
      </c>
      <c r="B950" s="4" t="s">
        <v>1901</v>
      </c>
      <c r="C950" s="5" t="str">
        <f t="shared" si="28"/>
        <v>son</v>
      </c>
      <c r="D950" s="5" t="str">
        <f t="shared" si="33"/>
        <v>Peter</v>
      </c>
      <c r="E950" s="5" t="str">
        <f t="shared" si="32"/>
        <v xml:space="preserve"> Erik</v>
      </c>
    </row>
    <row r="951" spans="1:5" ht="15.75" customHeight="1" x14ac:dyDescent="0.3">
      <c r="A951" s="4" t="s">
        <v>1902</v>
      </c>
      <c r="B951" s="4" t="s">
        <v>1903</v>
      </c>
      <c r="C951" s="5" t="str">
        <f t="shared" si="28"/>
        <v>Mr.</v>
      </c>
      <c r="D951" s="5" t="str">
        <f t="shared" si="33"/>
        <v>Liaw,</v>
      </c>
      <c r="E951" s="5" t="str">
        <f t="shared" si="32"/>
        <v>hew T</v>
      </c>
    </row>
    <row r="952" spans="1:5" ht="15.75" customHeight="1" x14ac:dyDescent="0.3">
      <c r="A952" s="4" t="s">
        <v>1904</v>
      </c>
      <c r="B952" s="4" t="s">
        <v>1905</v>
      </c>
      <c r="C952" s="5" t="str">
        <f t="shared" si="28"/>
        <v>di,</v>
      </c>
      <c r="D952" s="5" t="str">
        <f t="shared" si="33"/>
        <v>Tripa</v>
      </c>
      <c r="E952" s="5" t="str">
        <f t="shared" si="32"/>
        <v>andra</v>
      </c>
    </row>
    <row r="953" spans="1:5" ht="15.75" customHeight="1" x14ac:dyDescent="0.3">
      <c r="A953" s="4" t="s">
        <v>1906</v>
      </c>
      <c r="B953" s="4" t="s">
        <v>1907</v>
      </c>
      <c r="C953" s="5" t="str">
        <f t="shared" si="28"/>
        <v>, M</v>
      </c>
      <c r="D953" s="5" t="str">
        <f t="shared" si="33"/>
        <v>Kelle</v>
      </c>
      <c r="E953" s="5" t="str">
        <f t="shared" si="32"/>
        <v>ary C</v>
      </c>
    </row>
    <row r="954" spans="1:5" ht="15.75" customHeight="1" x14ac:dyDescent="0.3">
      <c r="A954" s="4" t="s">
        <v>1908</v>
      </c>
      <c r="B954" s="4" t="s">
        <v>1909</v>
      </c>
      <c r="C954" s="5" t="str">
        <f t="shared" si="28"/>
        <v>, M</v>
      </c>
      <c r="D954" s="5" t="str">
        <f t="shared" si="33"/>
        <v>Endar</v>
      </c>
      <c r="E954" s="5" t="str">
        <f t="shared" si="32"/>
        <v>ie A.</v>
      </c>
    </row>
    <row r="955" spans="1:5" ht="15.75" customHeight="1" x14ac:dyDescent="0.3">
      <c r="A955" s="4" t="s">
        <v>1910</v>
      </c>
      <c r="B955" s="4" t="s">
        <v>1911</v>
      </c>
      <c r="C955" s="5" t="str">
        <f t="shared" si="28"/>
        <v xml:space="preserve"> Mr</v>
      </c>
      <c r="D955" s="5" t="str">
        <f t="shared" si="33"/>
        <v>Valle</v>
      </c>
      <c r="E955" s="5" t="str">
        <f t="shared" si="32"/>
        <v>o Sr.</v>
      </c>
    </row>
    <row r="956" spans="1:5" ht="15.75" customHeight="1" x14ac:dyDescent="0.3">
      <c r="A956" s="4" t="s">
        <v>1912</v>
      </c>
      <c r="B956" s="4" t="s">
        <v>1913</v>
      </c>
      <c r="C956" s="5" t="str">
        <f t="shared" si="28"/>
        <v xml:space="preserve">n, </v>
      </c>
      <c r="D956" s="5" t="str">
        <f t="shared" si="33"/>
        <v>Germa</v>
      </c>
      <c r="E956" s="5" t="str">
        <f t="shared" si="32"/>
        <v>ew R.</v>
      </c>
    </row>
    <row r="957" spans="1:5" ht="15.75" customHeight="1" x14ac:dyDescent="0.3">
      <c r="A957" s="4" t="s">
        <v>1914</v>
      </c>
      <c r="B957" s="4" t="s">
        <v>1915</v>
      </c>
      <c r="C957" s="5" t="str">
        <f t="shared" si="28"/>
        <v xml:space="preserve">y, </v>
      </c>
      <c r="D957" s="5" t="str">
        <f t="shared" si="33"/>
        <v>Finec</v>
      </c>
      <c r="E957" s="5" t="str">
        <f t="shared" si="32"/>
        <v>han E</v>
      </c>
    </row>
    <row r="958" spans="1:5" ht="15.75" customHeight="1" x14ac:dyDescent="0.3">
      <c r="A958" s="4" t="s">
        <v>1916</v>
      </c>
      <c r="B958" s="4" t="s">
        <v>1917</v>
      </c>
      <c r="C958" s="5" t="str">
        <f t="shared" si="28"/>
        <v xml:space="preserve">a, </v>
      </c>
      <c r="D958" s="5" t="str">
        <f t="shared" si="33"/>
        <v>Mendo</v>
      </c>
      <c r="E958" s="5" t="str">
        <f t="shared" si="32"/>
        <v xml:space="preserve"> Eric</v>
      </c>
    </row>
    <row r="959" spans="1:5" ht="15.75" customHeight="1" x14ac:dyDescent="0.3">
      <c r="A959" s="4" t="s">
        <v>1918</v>
      </c>
      <c r="B959" s="4" t="s">
        <v>1919</v>
      </c>
      <c r="C959" s="5" t="str">
        <f t="shared" si="28"/>
        <v xml:space="preserve">s. </v>
      </c>
      <c r="D959" s="5" t="str">
        <f t="shared" si="33"/>
        <v xml:space="preserve">Roe, </v>
      </c>
      <c r="E959" s="5" t="str">
        <f t="shared" si="32"/>
        <v>isa B</v>
      </c>
    </row>
    <row r="960" spans="1:5" ht="15.75" customHeight="1" x14ac:dyDescent="0.3">
      <c r="A960" s="4" t="s">
        <v>1920</v>
      </c>
      <c r="B960" s="4" t="s">
        <v>1921</v>
      </c>
      <c r="C960" s="5" t="str">
        <f t="shared" si="28"/>
        <v>Mrs</v>
      </c>
      <c r="D960" s="5" t="str">
        <f t="shared" si="33"/>
        <v>Webb,</v>
      </c>
      <c r="E960" s="5" t="str">
        <f t="shared" si="32"/>
        <v>ne R.</v>
      </c>
    </row>
    <row r="961" spans="1:5" ht="15.75" customHeight="1" x14ac:dyDescent="0.3">
      <c r="A961" s="4" t="s">
        <v>1922</v>
      </c>
      <c r="B961" s="4" t="s">
        <v>1923</v>
      </c>
      <c r="C961" s="5" t="str">
        <f t="shared" si="28"/>
        <v xml:space="preserve">r, </v>
      </c>
      <c r="D961" s="5" t="str">
        <f t="shared" si="33"/>
        <v>Stock</v>
      </c>
      <c r="E961" s="5" t="str">
        <f t="shared" si="32"/>
        <v>son M</v>
      </c>
    </row>
    <row r="962" spans="1:5" ht="15.75" customHeight="1" x14ac:dyDescent="0.3">
      <c r="A962" s="4" t="s">
        <v>1924</v>
      </c>
      <c r="B962" s="4" t="s">
        <v>1925</v>
      </c>
      <c r="C962" s="5" t="str">
        <f t="shared" si="28"/>
        <v>on,</v>
      </c>
      <c r="D962" s="5" t="str">
        <f t="shared" si="33"/>
        <v>Jacob</v>
      </c>
      <c r="E962" s="5" t="str">
        <f t="shared" ref="E962:E1025" si="34">RIGHT(B962,5)</f>
        <v>ah E.</v>
      </c>
    </row>
    <row r="963" spans="1:5" ht="15.75" customHeight="1" x14ac:dyDescent="0.3">
      <c r="A963" s="4" t="s">
        <v>1926</v>
      </c>
      <c r="B963" s="4" t="s">
        <v>1927</v>
      </c>
      <c r="C963" s="5" t="str">
        <f t="shared" si="28"/>
        <v>Mr.</v>
      </c>
      <c r="D963" s="5" t="str">
        <f t="shared" si="33"/>
        <v>Shaw,</v>
      </c>
      <c r="E963" s="5" t="str">
        <f t="shared" si="34"/>
        <v>lip J</v>
      </c>
    </row>
    <row r="964" spans="1:5" ht="15.75" customHeight="1" x14ac:dyDescent="0.3">
      <c r="A964" s="4" t="s">
        <v>1928</v>
      </c>
      <c r="B964" s="4" t="s">
        <v>1929</v>
      </c>
      <c r="C964" s="5" t="str">
        <f t="shared" si="28"/>
        <v xml:space="preserve">n, </v>
      </c>
      <c r="D964" s="5" t="str">
        <f t="shared" si="33"/>
        <v>Goodw</v>
      </c>
      <c r="E964" s="5" t="str">
        <f t="shared" si="34"/>
        <v>an A.</v>
      </c>
    </row>
    <row r="965" spans="1:5" ht="15.75" customHeight="1" x14ac:dyDescent="0.3">
      <c r="A965" s="4" t="s">
        <v>1930</v>
      </c>
      <c r="B965" s="4" t="s">
        <v>1931</v>
      </c>
      <c r="C965" s="5" t="str">
        <f t="shared" si="28"/>
        <v xml:space="preserve"> Mr</v>
      </c>
      <c r="D965" s="5" t="str">
        <f t="shared" si="33"/>
        <v>Brock</v>
      </c>
      <c r="E965" s="5" t="str">
        <f t="shared" si="34"/>
        <v>ura D</v>
      </c>
    </row>
    <row r="966" spans="1:5" ht="15.75" customHeight="1" x14ac:dyDescent="0.3">
      <c r="A966" s="4" t="s">
        <v>1932</v>
      </c>
      <c r="B966" s="4" t="s">
        <v>1933</v>
      </c>
      <c r="C966" s="5" t="str">
        <f t="shared" si="28"/>
        <v>Ms.</v>
      </c>
      <c r="D966" s="5" t="str">
        <f t="shared" si="33"/>
        <v>Papp,</v>
      </c>
      <c r="E966" s="5" t="str">
        <f t="shared" si="34"/>
        <v>an E.</v>
      </c>
    </row>
    <row r="967" spans="1:5" ht="15.75" customHeight="1" x14ac:dyDescent="0.3">
      <c r="A967" s="4" t="s">
        <v>1934</v>
      </c>
      <c r="B967" s="4" t="s">
        <v>1935</v>
      </c>
      <c r="C967" s="5" t="str">
        <f t="shared" si="28"/>
        <v>sa,</v>
      </c>
      <c r="D967" s="5" t="str">
        <f t="shared" si="33"/>
        <v>Sirag</v>
      </c>
      <c r="E967" s="5" t="str">
        <f t="shared" si="34"/>
        <v>on J.</v>
      </c>
    </row>
    <row r="968" spans="1:5" ht="15.75" customHeight="1" x14ac:dyDescent="0.3">
      <c r="A968" s="4" t="s">
        <v>1936</v>
      </c>
      <c r="B968" s="4" t="s">
        <v>1937</v>
      </c>
      <c r="C968" s="5" t="str">
        <f t="shared" si="28"/>
        <v xml:space="preserve">o, </v>
      </c>
      <c r="D968" s="5" t="str">
        <f t="shared" si="33"/>
        <v>Pizar</v>
      </c>
      <c r="E968" s="5" t="str">
        <f t="shared" si="34"/>
        <v>lle M</v>
      </c>
    </row>
    <row r="969" spans="1:5" ht="15.75" customHeight="1" x14ac:dyDescent="0.3">
      <c r="A969" s="4" t="s">
        <v>1938</v>
      </c>
      <c r="B969" s="4" t="s">
        <v>1939</v>
      </c>
      <c r="C969" s="5" t="str">
        <f t="shared" si="28"/>
        <v xml:space="preserve">e, </v>
      </c>
      <c r="D969" s="5" t="str">
        <f t="shared" si="33"/>
        <v>Stran</v>
      </c>
      <c r="E969" s="5" t="str">
        <f t="shared" si="34"/>
        <v>Casey</v>
      </c>
    </row>
    <row r="970" spans="1:5" ht="15.75" customHeight="1" x14ac:dyDescent="0.3">
      <c r="A970" s="4" t="s">
        <v>1940</v>
      </c>
      <c r="B970" s="4" t="s">
        <v>1941</v>
      </c>
      <c r="C970" s="5" t="str">
        <f t="shared" si="28"/>
        <v>er,</v>
      </c>
      <c r="D970" s="5" t="str">
        <f t="shared" si="33"/>
        <v>Eidin</v>
      </c>
      <c r="E970" s="5" t="str">
        <f t="shared" si="34"/>
        <v>ica L</v>
      </c>
    </row>
    <row r="971" spans="1:5" ht="15.75" customHeight="1" x14ac:dyDescent="0.3">
      <c r="A971" s="4" t="s">
        <v>1942</v>
      </c>
      <c r="B971" s="4" t="s">
        <v>1943</v>
      </c>
      <c r="C971" s="5" t="str">
        <f t="shared" si="28"/>
        <v>rg,</v>
      </c>
      <c r="D971" s="5" t="str">
        <f t="shared" si="33"/>
        <v>Ginsb</v>
      </c>
      <c r="E971" s="5" t="str">
        <f t="shared" si="34"/>
        <v>don F</v>
      </c>
    </row>
    <row r="972" spans="1:5" ht="15.75" customHeight="1" x14ac:dyDescent="0.3">
      <c r="A972" s="4" t="s">
        <v>1944</v>
      </c>
      <c r="B972" s="4" t="s">
        <v>1945</v>
      </c>
      <c r="C972" s="5" t="str">
        <f t="shared" si="28"/>
        <v xml:space="preserve"> Ms</v>
      </c>
      <c r="D972" s="5" t="str">
        <f t="shared" si="33"/>
        <v>Truex</v>
      </c>
      <c r="E972" s="5" t="str">
        <f t="shared" si="34"/>
        <v>lissa</v>
      </c>
    </row>
    <row r="973" spans="1:5" ht="15.75" customHeight="1" x14ac:dyDescent="0.3">
      <c r="A973" s="4" t="s">
        <v>1946</v>
      </c>
      <c r="B973" s="4" t="s">
        <v>1947</v>
      </c>
      <c r="C973" s="5" t="str">
        <f t="shared" si="28"/>
        <v xml:space="preserve">s, </v>
      </c>
      <c r="D973" s="5" t="str">
        <f t="shared" si="33"/>
        <v>Higgi</v>
      </c>
      <c r="E973" s="5" t="str">
        <f t="shared" si="34"/>
        <v>lle N</v>
      </c>
    </row>
    <row r="974" spans="1:5" ht="15.75" customHeight="1" x14ac:dyDescent="0.3">
      <c r="A974" s="4" t="s">
        <v>1948</v>
      </c>
      <c r="B974" s="4" t="s">
        <v>1949</v>
      </c>
      <c r="C974" s="5" t="str">
        <f t="shared" si="28"/>
        <v xml:space="preserve">y, </v>
      </c>
      <c r="D974" s="5" t="str">
        <f t="shared" si="33"/>
        <v>McCur</v>
      </c>
      <c r="E974" s="5" t="str">
        <f t="shared" si="34"/>
        <v>tthew</v>
      </c>
    </row>
    <row r="975" spans="1:5" ht="15.75" customHeight="1" x14ac:dyDescent="0.3">
      <c r="A975" s="4" t="s">
        <v>1950</v>
      </c>
      <c r="B975" s="4" t="s">
        <v>1951</v>
      </c>
      <c r="C975" s="5" t="str">
        <f t="shared" si="28"/>
        <v>, M</v>
      </c>
      <c r="D975" s="5" t="str">
        <f t="shared" si="33"/>
        <v>Hughe</v>
      </c>
      <c r="E975" s="5" t="str">
        <f t="shared" si="34"/>
        <v>ttina</v>
      </c>
    </row>
    <row r="976" spans="1:5" ht="15.75" customHeight="1" x14ac:dyDescent="0.3">
      <c r="A976" s="4" t="s">
        <v>1952</v>
      </c>
      <c r="B976" s="4" t="s">
        <v>1953</v>
      </c>
      <c r="C976" s="5" t="str">
        <f t="shared" si="28"/>
        <v>, M</v>
      </c>
      <c r="D976" s="5" t="str">
        <f t="shared" si="33"/>
        <v>Varne</v>
      </c>
      <c r="E976" s="5" t="str">
        <f t="shared" si="34"/>
        <v>ander</v>
      </c>
    </row>
    <row r="977" spans="1:5" ht="15.75" customHeight="1" x14ac:dyDescent="0.3">
      <c r="A977" s="4" t="s">
        <v>1954</v>
      </c>
      <c r="B977" s="4" t="s">
        <v>1955</v>
      </c>
      <c r="C977" s="5" t="str">
        <f t="shared" si="28"/>
        <v>, M</v>
      </c>
      <c r="D977" s="5" t="str">
        <f t="shared" ref="D977:D1040" si="35">LEFT(B977,5)</f>
        <v>Dahme</v>
      </c>
      <c r="E977" s="5" t="str">
        <f t="shared" si="34"/>
        <v>Holli</v>
      </c>
    </row>
    <row r="978" spans="1:5" ht="15.75" customHeight="1" x14ac:dyDescent="0.3">
      <c r="A978" s="4" t="s">
        <v>1956</v>
      </c>
      <c r="B978" s="4" t="s">
        <v>1957</v>
      </c>
      <c r="C978" s="5" t="str">
        <f t="shared" si="28"/>
        <v xml:space="preserve"> Mr</v>
      </c>
      <c r="D978" s="5" t="str">
        <f t="shared" si="35"/>
        <v>Young</v>
      </c>
      <c r="E978" s="5" t="str">
        <f t="shared" si="34"/>
        <v>her C</v>
      </c>
    </row>
    <row r="979" spans="1:5" ht="15.75" customHeight="1" x14ac:dyDescent="0.3">
      <c r="A979" s="4" t="s">
        <v>1958</v>
      </c>
      <c r="B979" s="4" t="s">
        <v>1959</v>
      </c>
      <c r="C979" s="5" t="str">
        <f t="shared" si="28"/>
        <v>, M</v>
      </c>
      <c r="D979" s="5" t="str">
        <f t="shared" si="35"/>
        <v>Frase</v>
      </c>
      <c r="E979" s="5" t="str">
        <f t="shared" si="34"/>
        <v xml:space="preserve"> Kyle</v>
      </c>
    </row>
    <row r="980" spans="1:5" ht="15.75" customHeight="1" x14ac:dyDescent="0.3">
      <c r="A980" s="4" t="s">
        <v>1960</v>
      </c>
      <c r="B980" s="4" t="s">
        <v>1961</v>
      </c>
      <c r="C980" s="5" t="str">
        <f t="shared" si="28"/>
        <v>Mr.</v>
      </c>
      <c r="D980" s="5" t="str">
        <f t="shared" si="35"/>
        <v>Deeg,</v>
      </c>
      <c r="E980" s="5" t="str">
        <f t="shared" si="34"/>
        <v>mas J</v>
      </c>
    </row>
    <row r="981" spans="1:5" ht="15.75" customHeight="1" x14ac:dyDescent="0.3">
      <c r="A981" s="4" t="s">
        <v>1962</v>
      </c>
      <c r="B981" s="4" t="s">
        <v>1963</v>
      </c>
      <c r="C981" s="5" t="str">
        <f t="shared" si="28"/>
        <v>son</v>
      </c>
      <c r="D981" s="5" t="str">
        <f t="shared" si="35"/>
        <v>Rober</v>
      </c>
      <c r="E981" s="5" t="str">
        <f t="shared" si="34"/>
        <v>Chris</v>
      </c>
    </row>
    <row r="982" spans="1:5" ht="15.75" customHeight="1" x14ac:dyDescent="0.3">
      <c r="A982" s="4" t="s">
        <v>1964</v>
      </c>
      <c r="B982" s="4" t="s">
        <v>1965</v>
      </c>
      <c r="C982" s="5" t="str">
        <f t="shared" si="28"/>
        <v>Mr.</v>
      </c>
      <c r="D982" s="5" t="str">
        <f t="shared" si="35"/>
        <v>Peck,</v>
      </c>
      <c r="E982" s="5" t="str">
        <f t="shared" si="34"/>
        <v>raham</v>
      </c>
    </row>
    <row r="983" spans="1:5" ht="15.75" customHeight="1" x14ac:dyDescent="0.3">
      <c r="A983" s="4" t="s">
        <v>1966</v>
      </c>
      <c r="B983" s="4" t="s">
        <v>1967</v>
      </c>
      <c r="C983" s="5" t="str">
        <f t="shared" si="28"/>
        <v>, M</v>
      </c>
      <c r="D983" s="5" t="str">
        <f t="shared" si="35"/>
        <v>Burge</v>
      </c>
      <c r="E983" s="5" t="str">
        <f t="shared" si="34"/>
        <v>rrett</v>
      </c>
    </row>
    <row r="984" spans="1:5" ht="15.75" customHeight="1" x14ac:dyDescent="0.3">
      <c r="A984" s="4" t="s">
        <v>1968</v>
      </c>
      <c r="B984" s="4" t="s">
        <v>1969</v>
      </c>
      <c r="C984" s="5" t="str">
        <f t="shared" si="28"/>
        <v xml:space="preserve"> Mr</v>
      </c>
      <c r="D984" s="5" t="str">
        <f t="shared" si="35"/>
        <v>Blain</v>
      </c>
      <c r="E984" s="5" t="str">
        <f t="shared" si="34"/>
        <v>ndrew</v>
      </c>
    </row>
    <row r="985" spans="1:5" ht="15.75" customHeight="1" x14ac:dyDescent="0.3">
      <c r="A985" s="4" t="s">
        <v>1970</v>
      </c>
      <c r="B985" s="4" t="s">
        <v>1971</v>
      </c>
      <c r="C985" s="5" t="str">
        <f t="shared" si="28"/>
        <v xml:space="preserve">s, </v>
      </c>
      <c r="D985" s="5" t="str">
        <f t="shared" si="35"/>
        <v>Winte</v>
      </c>
      <c r="E985" s="5" t="str">
        <f t="shared" si="34"/>
        <v>lle M</v>
      </c>
    </row>
    <row r="986" spans="1:5" ht="15.75" customHeight="1" x14ac:dyDescent="0.3">
      <c r="A986" s="4" t="s">
        <v>1972</v>
      </c>
      <c r="B986" s="4" t="s">
        <v>1973</v>
      </c>
      <c r="C986" s="5" t="str">
        <f t="shared" si="28"/>
        <v xml:space="preserve"> Mr</v>
      </c>
      <c r="D986" s="5" t="str">
        <f t="shared" si="35"/>
        <v>McCue</v>
      </c>
      <c r="E986" s="5" t="str">
        <f t="shared" si="34"/>
        <v>el T.</v>
      </c>
    </row>
    <row r="987" spans="1:5" ht="15.75" customHeight="1" x14ac:dyDescent="0.3">
      <c r="A987" s="4" t="s">
        <v>1974</v>
      </c>
      <c r="B987" s="4" t="s">
        <v>1975</v>
      </c>
      <c r="C987" s="5" t="str">
        <f t="shared" si="28"/>
        <v xml:space="preserve">r, </v>
      </c>
      <c r="D987" s="5" t="str">
        <f t="shared" si="35"/>
        <v>Webst</v>
      </c>
      <c r="E987" s="5" t="str">
        <f t="shared" si="34"/>
        <v>eanne</v>
      </c>
    </row>
    <row r="988" spans="1:5" ht="15.75" customHeight="1" x14ac:dyDescent="0.3">
      <c r="A988" s="4" t="s">
        <v>1976</v>
      </c>
      <c r="B988" s="4" t="s">
        <v>1977</v>
      </c>
      <c r="C988" s="5" t="str">
        <f t="shared" si="28"/>
        <v>on,</v>
      </c>
      <c r="D988" s="5" t="str">
        <f t="shared" si="35"/>
        <v>Ander</v>
      </c>
      <c r="E988" s="5" t="str">
        <f t="shared" si="34"/>
        <v>arrie</v>
      </c>
    </row>
    <row r="989" spans="1:5" ht="15.75" customHeight="1" x14ac:dyDescent="0.3">
      <c r="A989" s="4" t="s">
        <v>1978</v>
      </c>
      <c r="B989" s="4" t="s">
        <v>1979</v>
      </c>
      <c r="C989" s="5" t="str">
        <f t="shared" si="28"/>
        <v>one</v>
      </c>
      <c r="D989" s="5" t="str">
        <f t="shared" si="35"/>
        <v>Chiap</v>
      </c>
      <c r="E989" s="5" t="str">
        <f t="shared" si="34"/>
        <v>zanne</v>
      </c>
    </row>
    <row r="990" spans="1:5" ht="15.75" customHeight="1" x14ac:dyDescent="0.3">
      <c r="A990" s="4" t="s">
        <v>1980</v>
      </c>
      <c r="B990" s="4" t="s">
        <v>1981</v>
      </c>
      <c r="C990" s="5" t="str">
        <f t="shared" si="28"/>
        <v>Ms.</v>
      </c>
      <c r="D990" s="5" t="str">
        <f t="shared" si="35"/>
        <v>Opie,</v>
      </c>
      <c r="E990" s="5" t="str">
        <f t="shared" si="34"/>
        <v>ne P.</v>
      </c>
    </row>
    <row r="991" spans="1:5" ht="15.75" customHeight="1" x14ac:dyDescent="0.3">
      <c r="A991" s="4" t="s">
        <v>1982</v>
      </c>
      <c r="B991" s="4" t="s">
        <v>1983</v>
      </c>
      <c r="C991" s="5" t="str">
        <f t="shared" si="28"/>
        <v>ly,</v>
      </c>
      <c r="D991" s="5" t="str">
        <f t="shared" si="35"/>
        <v>Donne</v>
      </c>
      <c r="E991" s="5" t="str">
        <f t="shared" si="34"/>
        <v>nifer</v>
      </c>
    </row>
    <row r="992" spans="1:5" ht="15.75" customHeight="1" x14ac:dyDescent="0.3">
      <c r="A992" s="4" t="s">
        <v>1984</v>
      </c>
      <c r="B992" s="4" t="s">
        <v>1985</v>
      </c>
      <c r="C992" s="5" t="str">
        <f t="shared" si="28"/>
        <v>Ms.</v>
      </c>
      <c r="D992" s="5" t="str">
        <f t="shared" si="35"/>
        <v>Rall,</v>
      </c>
      <c r="E992" s="5" t="str">
        <f t="shared" si="34"/>
        <v>racie</v>
      </c>
    </row>
    <row r="993" spans="1:5" ht="15.75" customHeight="1" x14ac:dyDescent="0.3">
      <c r="A993" s="4" t="s">
        <v>1986</v>
      </c>
      <c r="B993" s="4" t="s">
        <v>1987</v>
      </c>
      <c r="C993" s="5" t="str">
        <f t="shared" si="28"/>
        <v>ll,</v>
      </c>
      <c r="D993" s="5" t="str">
        <f t="shared" si="35"/>
        <v>Mitch</v>
      </c>
      <c r="E993" s="5" t="str">
        <f t="shared" si="34"/>
        <v>an D.</v>
      </c>
    </row>
    <row r="994" spans="1:5" ht="15.75" customHeight="1" x14ac:dyDescent="0.3">
      <c r="A994" s="4" t="s">
        <v>1988</v>
      </c>
      <c r="B994" s="4" t="s">
        <v>1989</v>
      </c>
      <c r="C994" s="5" t="str">
        <f t="shared" si="28"/>
        <v>Mr.</v>
      </c>
      <c r="D994" s="5" t="str">
        <f t="shared" si="35"/>
        <v>Chen,</v>
      </c>
      <c r="E994" s="5" t="str">
        <f t="shared" si="34"/>
        <v>iweng</v>
      </c>
    </row>
    <row r="995" spans="1:5" ht="15.75" customHeight="1" x14ac:dyDescent="0.3">
      <c r="A995" s="4" t="s">
        <v>1990</v>
      </c>
      <c r="B995" s="4" t="s">
        <v>1991</v>
      </c>
      <c r="C995" s="5" t="str">
        <f t="shared" si="28"/>
        <v>, M</v>
      </c>
      <c r="D995" s="5" t="str">
        <f t="shared" si="35"/>
        <v>Tufar</v>
      </c>
      <c r="E995" s="5" t="str">
        <f t="shared" si="34"/>
        <v>sa M.</v>
      </c>
    </row>
    <row r="996" spans="1:5" ht="15.75" customHeight="1" x14ac:dyDescent="0.3">
      <c r="A996" s="4" t="s">
        <v>1992</v>
      </c>
      <c r="B996" s="4" t="s">
        <v>1993</v>
      </c>
      <c r="C996" s="5" t="str">
        <f t="shared" si="28"/>
        <v>, M</v>
      </c>
      <c r="D996" s="5" t="str">
        <f t="shared" si="35"/>
        <v>Peter</v>
      </c>
      <c r="E996" s="5" t="str">
        <f t="shared" si="34"/>
        <v>iel J</v>
      </c>
    </row>
    <row r="997" spans="1:5" ht="15.75" customHeight="1" x14ac:dyDescent="0.3">
      <c r="A997" s="4" t="s">
        <v>1994</v>
      </c>
      <c r="B997" s="4" t="s">
        <v>1995</v>
      </c>
      <c r="C997" s="5" t="str">
        <f t="shared" si="28"/>
        <v xml:space="preserve">k, </v>
      </c>
      <c r="D997" s="5" t="str">
        <f t="shared" si="35"/>
        <v>Sused</v>
      </c>
      <c r="E997" s="5" t="str">
        <f t="shared" si="34"/>
        <v>ey M.</v>
      </c>
    </row>
    <row r="998" spans="1:5" ht="15.75" customHeight="1" x14ac:dyDescent="0.3">
      <c r="A998" s="4" t="s">
        <v>1996</v>
      </c>
      <c r="B998" s="4" t="s">
        <v>1997</v>
      </c>
      <c r="C998" s="5" t="str">
        <f t="shared" si="28"/>
        <v>, M</v>
      </c>
      <c r="D998" s="5" t="str">
        <f t="shared" si="35"/>
        <v>Garci</v>
      </c>
      <c r="E998" s="5" t="str">
        <f t="shared" si="34"/>
        <v>se A.</v>
      </c>
    </row>
    <row r="999" spans="1:5" ht="15.75" customHeight="1" x14ac:dyDescent="0.3">
      <c r="A999" s="4" t="s">
        <v>1998</v>
      </c>
      <c r="B999" s="4" t="s">
        <v>1999</v>
      </c>
      <c r="C999" s="5" t="str">
        <f t="shared" si="28"/>
        <v xml:space="preserve"> Mr</v>
      </c>
      <c r="D999" s="5" t="str">
        <f t="shared" si="35"/>
        <v>Deady</v>
      </c>
      <c r="E999" s="5" t="str">
        <f t="shared" si="34"/>
        <v>auren</v>
      </c>
    </row>
    <row r="1000" spans="1:5" ht="15.75" customHeight="1" x14ac:dyDescent="0.3">
      <c r="A1000" s="4" t="s">
        <v>2000</v>
      </c>
      <c r="B1000" s="4" t="s">
        <v>2001</v>
      </c>
      <c r="C1000" s="5" t="str">
        <f t="shared" si="28"/>
        <v>ll,</v>
      </c>
      <c r="D1000" s="5" t="str">
        <f t="shared" si="35"/>
        <v>Campb</v>
      </c>
      <c r="E1000" s="5" t="str">
        <f t="shared" si="34"/>
        <v>on M.</v>
      </c>
    </row>
    <row r="1001" spans="1:5" ht="15.75" customHeight="1" x14ac:dyDescent="0.3">
      <c r="A1001" s="4" t="s">
        <v>2002</v>
      </c>
      <c r="B1001" s="4" t="s">
        <v>2003</v>
      </c>
      <c r="C1001" s="5" t="str">
        <f t="shared" si="28"/>
        <v>er,</v>
      </c>
      <c r="D1001" s="5" t="str">
        <f t="shared" si="35"/>
        <v>Schae</v>
      </c>
      <c r="E1001" s="5" t="str">
        <f t="shared" si="34"/>
        <v>nie A</v>
      </c>
    </row>
    <row r="1002" spans="1:5" ht="15.75" customHeight="1" x14ac:dyDescent="0.3">
      <c r="A1002" s="4" t="s">
        <v>2004</v>
      </c>
      <c r="B1002" s="4" t="s">
        <v>2005</v>
      </c>
      <c r="C1002" s="5" t="str">
        <f t="shared" si="28"/>
        <v>san</v>
      </c>
      <c r="D1002" s="5" t="str">
        <f t="shared" si="35"/>
        <v>D'Ale</v>
      </c>
      <c r="E1002" s="5" t="str">
        <f t="shared" si="34"/>
        <v>trick</v>
      </c>
    </row>
    <row r="1003" spans="1:5" ht="15.75" customHeight="1" x14ac:dyDescent="0.3">
      <c r="A1003" s="4" t="s">
        <v>2006</v>
      </c>
      <c r="B1003" s="4" t="s">
        <v>2007</v>
      </c>
      <c r="C1003" s="5" t="str">
        <f t="shared" si="28"/>
        <v>Mrs</v>
      </c>
      <c r="D1003" s="5" t="str">
        <f t="shared" si="35"/>
        <v>Wyss,</v>
      </c>
      <c r="E1003" s="5" t="str">
        <f t="shared" si="34"/>
        <v>rista</v>
      </c>
    </row>
    <row r="1004" spans="1:5" ht="15.75" customHeight="1" x14ac:dyDescent="0.3">
      <c r="A1004" s="4" t="s">
        <v>2008</v>
      </c>
      <c r="B1004" s="4" t="s">
        <v>2009</v>
      </c>
      <c r="C1004" s="5" t="str">
        <f t="shared" si="28"/>
        <v>Ms.</v>
      </c>
      <c r="D1004" s="5" t="str">
        <f t="shared" si="35"/>
        <v>Rose,</v>
      </c>
      <c r="E1004" s="5" t="str">
        <f t="shared" si="34"/>
        <v>nessa</v>
      </c>
    </row>
    <row r="1005" spans="1:5" ht="15.75" customHeight="1" x14ac:dyDescent="0.3">
      <c r="A1005" s="4" t="s">
        <v>2010</v>
      </c>
      <c r="B1005" s="4" t="s">
        <v>2011</v>
      </c>
      <c r="C1005" s="5" t="str">
        <f t="shared" si="28"/>
        <v>, M</v>
      </c>
      <c r="D1005" s="5" t="str">
        <f t="shared" si="35"/>
        <v>Hoppe</v>
      </c>
      <c r="E1005" s="5" t="str">
        <f t="shared" si="34"/>
        <v>an M.</v>
      </c>
    </row>
    <row r="1006" spans="1:5" ht="15.75" customHeight="1" x14ac:dyDescent="0.3">
      <c r="A1006" s="4" t="s">
        <v>2012</v>
      </c>
      <c r="B1006" s="4" t="s">
        <v>2013</v>
      </c>
      <c r="C1006" s="5" t="str">
        <f t="shared" si="28"/>
        <v>an,</v>
      </c>
      <c r="D1006" s="5" t="str">
        <f t="shared" si="35"/>
        <v>Finne</v>
      </c>
      <c r="E1006" s="5" t="str">
        <f t="shared" si="34"/>
        <v>homas</v>
      </c>
    </row>
    <row r="1007" spans="1:5" ht="15.75" customHeight="1" x14ac:dyDescent="0.3">
      <c r="A1007" s="4" t="s">
        <v>2014</v>
      </c>
      <c r="B1007" s="4" t="s">
        <v>2015</v>
      </c>
      <c r="C1007" s="5" t="str">
        <f t="shared" si="28"/>
        <v>, M</v>
      </c>
      <c r="D1007" s="5" t="str">
        <f t="shared" si="35"/>
        <v>Basha</v>
      </c>
      <c r="E1007" s="5" t="str">
        <f t="shared" si="34"/>
        <v>da N.</v>
      </c>
    </row>
    <row r="1008" spans="1:5" ht="15.75" customHeight="1" x14ac:dyDescent="0.3">
      <c r="A1008" s="4" t="s">
        <v>2016</v>
      </c>
      <c r="B1008" s="4" t="s">
        <v>2017</v>
      </c>
      <c r="C1008" s="5" t="str">
        <f t="shared" si="28"/>
        <v xml:space="preserve"> Ms</v>
      </c>
      <c r="D1008" s="5" t="str">
        <f t="shared" si="35"/>
        <v>Inman</v>
      </c>
      <c r="E1008" s="5" t="str">
        <f t="shared" si="34"/>
        <v>sa P.</v>
      </c>
    </row>
    <row r="1009" spans="1:5" ht="15.75" customHeight="1" x14ac:dyDescent="0.3">
      <c r="A1009" s="4" t="s">
        <v>2018</v>
      </c>
      <c r="B1009" s="4" t="s">
        <v>2019</v>
      </c>
      <c r="C1009" s="5" t="str">
        <f t="shared" si="28"/>
        <v xml:space="preserve"> Mr</v>
      </c>
      <c r="D1009" s="5" t="str">
        <f t="shared" si="35"/>
        <v>Oscal</v>
      </c>
      <c r="E1009" s="5" t="str">
        <f t="shared" si="34"/>
        <v>orian</v>
      </c>
    </row>
    <row r="1010" spans="1:5" ht="15.75" customHeight="1" x14ac:dyDescent="0.3">
      <c r="A1010" s="4" t="s">
        <v>2020</v>
      </c>
      <c r="B1010" s="4" t="s">
        <v>2021</v>
      </c>
      <c r="C1010" s="5" t="str">
        <f t="shared" si="28"/>
        <v xml:space="preserve"> Ms</v>
      </c>
      <c r="D1010" s="5" t="str">
        <f t="shared" si="35"/>
        <v>Craft</v>
      </c>
      <c r="E1010" s="5" t="str">
        <f t="shared" si="34"/>
        <v xml:space="preserve">  Amy</v>
      </c>
    </row>
    <row r="1011" spans="1:5" ht="15.75" customHeight="1" x14ac:dyDescent="0.3">
      <c r="A1011" s="4" t="s">
        <v>2022</v>
      </c>
      <c r="B1011" s="4" t="s">
        <v>2023</v>
      </c>
      <c r="C1011" s="5" t="str">
        <f t="shared" si="28"/>
        <v>, M</v>
      </c>
      <c r="D1011" s="5" t="str">
        <f t="shared" si="35"/>
        <v>Kebed</v>
      </c>
      <c r="E1011" s="5" t="str">
        <f t="shared" si="34"/>
        <v>Aberu</v>
      </c>
    </row>
    <row r="1012" spans="1:5" ht="15.75" customHeight="1" x14ac:dyDescent="0.3">
      <c r="A1012" s="4" t="s">
        <v>2024</v>
      </c>
      <c r="B1012" s="4" t="s">
        <v>2025</v>
      </c>
      <c r="C1012" s="5" t="str">
        <f t="shared" si="28"/>
        <v xml:space="preserve">l, </v>
      </c>
      <c r="D1012" s="5" t="str">
        <f t="shared" si="35"/>
        <v>Strob</v>
      </c>
      <c r="E1012" s="5" t="str">
        <f t="shared" si="34"/>
        <v>shley</v>
      </c>
    </row>
    <row r="1013" spans="1:5" ht="15.75" customHeight="1" x14ac:dyDescent="0.3">
      <c r="A1013" s="4" t="s">
        <v>2026</v>
      </c>
      <c r="B1013" s="4" t="s">
        <v>2027</v>
      </c>
      <c r="C1013" s="5" t="str">
        <f t="shared" si="28"/>
        <v>, M</v>
      </c>
      <c r="D1013" s="5" t="str">
        <f t="shared" si="35"/>
        <v>Dalto</v>
      </c>
      <c r="E1013" s="5" t="str">
        <f t="shared" si="34"/>
        <v>nna E</v>
      </c>
    </row>
    <row r="1014" spans="1:5" ht="15.75" customHeight="1" x14ac:dyDescent="0.3">
      <c r="A1014" s="4" t="s">
        <v>2028</v>
      </c>
      <c r="B1014" s="4" t="s">
        <v>2029</v>
      </c>
      <c r="C1014" s="5" t="str">
        <f t="shared" si="28"/>
        <v>to,</v>
      </c>
      <c r="D1014" s="5" t="str">
        <f t="shared" si="35"/>
        <v>Morim</v>
      </c>
      <c r="E1014" s="5" t="str">
        <f t="shared" si="34"/>
        <v>ia K.</v>
      </c>
    </row>
    <row r="1015" spans="1:5" ht="15.75" customHeight="1" x14ac:dyDescent="0.3">
      <c r="A1015" s="4" t="s">
        <v>2030</v>
      </c>
      <c r="B1015" s="4" t="s">
        <v>2031</v>
      </c>
      <c r="C1015" s="5" t="str">
        <f t="shared" si="28"/>
        <v xml:space="preserve">e, </v>
      </c>
      <c r="D1015" s="5" t="str">
        <f t="shared" si="35"/>
        <v>Manlo</v>
      </c>
      <c r="E1015" s="5" t="str">
        <f t="shared" si="34"/>
        <v>ley E</v>
      </c>
    </row>
    <row r="1016" spans="1:5" ht="15.75" customHeight="1" x14ac:dyDescent="0.3">
      <c r="A1016" s="4" t="s">
        <v>2032</v>
      </c>
      <c r="B1016" s="4" t="s">
        <v>2033</v>
      </c>
      <c r="C1016" s="5" t="str">
        <f t="shared" si="28"/>
        <v>, M</v>
      </c>
      <c r="D1016" s="5" t="str">
        <f t="shared" si="35"/>
        <v>Madzi</v>
      </c>
      <c r="E1016" s="5" t="str">
        <f t="shared" si="34"/>
        <v>andra</v>
      </c>
    </row>
    <row r="1017" spans="1:5" ht="15.75" customHeight="1" x14ac:dyDescent="0.3">
      <c r="A1017" s="4" t="s">
        <v>2034</v>
      </c>
      <c r="B1017" s="4" t="s">
        <v>2035</v>
      </c>
      <c r="C1017" s="5" t="str">
        <f t="shared" si="28"/>
        <v>, M</v>
      </c>
      <c r="D1017" s="5" t="str">
        <f t="shared" si="35"/>
        <v>Hobso</v>
      </c>
      <c r="E1017" s="5" t="str">
        <f t="shared" si="34"/>
        <v>ery L</v>
      </c>
    </row>
    <row r="1018" spans="1:5" ht="15.75" customHeight="1" x14ac:dyDescent="0.3">
      <c r="A1018" s="4" t="s">
        <v>2036</v>
      </c>
      <c r="B1018" s="4" t="s">
        <v>2037</v>
      </c>
      <c r="C1018" s="5" t="str">
        <f t="shared" si="28"/>
        <v xml:space="preserve"> Mr</v>
      </c>
      <c r="D1018" s="5" t="str">
        <f t="shared" si="35"/>
        <v>Reyes</v>
      </c>
      <c r="E1018" s="5" t="str">
        <f t="shared" si="34"/>
        <v>na G.</v>
      </c>
    </row>
    <row r="1019" spans="1:5" ht="15.75" customHeight="1" x14ac:dyDescent="0.3">
      <c r="A1019" s="4" t="s">
        <v>2038</v>
      </c>
      <c r="B1019" s="4" t="s">
        <v>2039</v>
      </c>
      <c r="C1019" s="5" t="str">
        <f t="shared" si="28"/>
        <v xml:space="preserve">y, </v>
      </c>
      <c r="D1019" s="5" t="str">
        <f t="shared" si="35"/>
        <v>Tiern</v>
      </c>
      <c r="E1019" s="5" t="str">
        <f t="shared" si="34"/>
        <v>ie F.</v>
      </c>
    </row>
    <row r="1020" spans="1:5" ht="15.75" customHeight="1" x14ac:dyDescent="0.3">
      <c r="A1020" s="4" t="s">
        <v>2040</v>
      </c>
      <c r="B1020" s="4" t="s">
        <v>2041</v>
      </c>
      <c r="C1020" s="5" t="str">
        <f t="shared" si="28"/>
        <v>, M</v>
      </c>
      <c r="D1020" s="5" t="str">
        <f t="shared" si="35"/>
        <v>Gabri</v>
      </c>
      <c r="E1020" s="5" t="str">
        <f t="shared" si="34"/>
        <v>ephen</v>
      </c>
    </row>
    <row r="1021" spans="1:5" ht="15.75" customHeight="1" x14ac:dyDescent="0.3">
      <c r="A1021" s="4" t="s">
        <v>2042</v>
      </c>
      <c r="B1021" s="4" t="s">
        <v>2043</v>
      </c>
      <c r="C1021" s="5" t="str">
        <f t="shared" si="28"/>
        <v>, M</v>
      </c>
      <c r="D1021" s="5" t="str">
        <f t="shared" si="35"/>
        <v>Howar</v>
      </c>
      <c r="E1021" s="5" t="str">
        <f t="shared" si="34"/>
        <v>za J.</v>
      </c>
    </row>
    <row r="1022" spans="1:5" ht="15.75" customHeight="1" x14ac:dyDescent="0.3">
      <c r="A1022" s="4" t="s">
        <v>2044</v>
      </c>
      <c r="B1022" s="4" t="s">
        <v>2045</v>
      </c>
      <c r="C1022" s="5" t="str">
        <f t="shared" si="28"/>
        <v>, M</v>
      </c>
      <c r="D1022" s="5" t="str">
        <f t="shared" si="35"/>
        <v>Kalla</v>
      </c>
      <c r="E1022" s="5" t="str">
        <f t="shared" si="34"/>
        <v>an M.</v>
      </c>
    </row>
    <row r="1023" spans="1:5" ht="15.75" customHeight="1" x14ac:dyDescent="0.3">
      <c r="A1023" s="4" t="s">
        <v>2046</v>
      </c>
      <c r="B1023" s="4" t="s">
        <v>2047</v>
      </c>
      <c r="C1023" s="5" t="str">
        <f t="shared" si="28"/>
        <v>amo</v>
      </c>
      <c r="D1023" s="5" t="str">
        <f t="shared" si="35"/>
        <v>Legui</v>
      </c>
      <c r="E1023" s="5" t="str">
        <f t="shared" si="34"/>
        <v>ia L.</v>
      </c>
    </row>
    <row r="1024" spans="1:5" ht="15.75" customHeight="1" x14ac:dyDescent="0.3">
      <c r="A1024" s="4" t="s">
        <v>2048</v>
      </c>
      <c r="B1024" s="4" t="s">
        <v>2049</v>
      </c>
      <c r="C1024" s="5" t="str">
        <f t="shared" si="28"/>
        <v>in,</v>
      </c>
      <c r="D1024" s="5" t="str">
        <f t="shared" si="35"/>
        <v>Escar</v>
      </c>
      <c r="E1024" s="5" t="str">
        <f t="shared" si="34"/>
        <v>ica M</v>
      </c>
    </row>
    <row r="1025" spans="1:5" ht="15.75" customHeight="1" x14ac:dyDescent="0.3">
      <c r="A1025" s="4" t="s">
        <v>2050</v>
      </c>
      <c r="B1025" s="4" t="s">
        <v>2051</v>
      </c>
      <c r="C1025" s="5" t="str">
        <f t="shared" si="28"/>
        <v>, M</v>
      </c>
      <c r="D1025" s="5" t="str">
        <f t="shared" si="35"/>
        <v>Chore</v>
      </c>
      <c r="E1025" s="5" t="str">
        <f t="shared" si="34"/>
        <v>y Jr.</v>
      </c>
    </row>
    <row r="1026" spans="1:5" ht="15.75" customHeight="1" x14ac:dyDescent="0.3">
      <c r="A1026" s="4" t="s">
        <v>2052</v>
      </c>
      <c r="B1026" s="4" t="s">
        <v>2053</v>
      </c>
      <c r="C1026" s="5" t="str">
        <f t="shared" si="28"/>
        <v xml:space="preserve"> Mr</v>
      </c>
      <c r="D1026" s="5" t="str">
        <f t="shared" si="35"/>
        <v>McVay</v>
      </c>
      <c r="E1026" s="5" t="str">
        <f t="shared" ref="E1026:E1089" si="36">RIGHT(B1026,5)</f>
        <v>David</v>
      </c>
    </row>
    <row r="1027" spans="1:5" ht="15.75" customHeight="1" x14ac:dyDescent="0.3">
      <c r="A1027" s="4" t="s">
        <v>2054</v>
      </c>
      <c r="B1027" s="4" t="s">
        <v>2055</v>
      </c>
      <c r="C1027" s="5" t="str">
        <f t="shared" si="28"/>
        <v>, M</v>
      </c>
      <c r="D1027" s="5" t="str">
        <f t="shared" si="35"/>
        <v>Vinso</v>
      </c>
      <c r="E1027" s="5" t="str">
        <f t="shared" si="36"/>
        <v xml:space="preserve">  Tim</v>
      </c>
    </row>
    <row r="1028" spans="1:5" ht="15.75" customHeight="1" x14ac:dyDescent="0.3">
      <c r="A1028" s="4" t="s">
        <v>2056</v>
      </c>
      <c r="B1028" s="4" t="s">
        <v>2057</v>
      </c>
      <c r="C1028" s="5" t="str">
        <f t="shared" si="28"/>
        <v>e-D</v>
      </c>
      <c r="D1028" s="5" t="str">
        <f t="shared" si="35"/>
        <v>Astri</v>
      </c>
      <c r="E1028" s="5" t="str">
        <f t="shared" si="36"/>
        <v>mma M</v>
      </c>
    </row>
    <row r="1029" spans="1:5" ht="15.75" customHeight="1" x14ac:dyDescent="0.3">
      <c r="A1029" s="4" t="s">
        <v>2058</v>
      </c>
      <c r="B1029" s="4" t="s">
        <v>2059</v>
      </c>
      <c r="C1029" s="5" t="str">
        <f t="shared" si="28"/>
        <v>, M</v>
      </c>
      <c r="D1029" s="5" t="str">
        <f t="shared" si="35"/>
        <v>Harde</v>
      </c>
      <c r="E1029" s="5" t="str">
        <f t="shared" si="36"/>
        <v xml:space="preserve">  Tim</v>
      </c>
    </row>
    <row r="1030" spans="1:5" ht="15.75" customHeight="1" x14ac:dyDescent="0.3">
      <c r="A1030" s="4" t="s">
        <v>2060</v>
      </c>
      <c r="B1030" s="4" t="s">
        <v>2061</v>
      </c>
      <c r="C1030" s="5" t="str">
        <f t="shared" si="28"/>
        <v>Mr.</v>
      </c>
      <c r="D1030" s="5" t="str">
        <f t="shared" si="35"/>
        <v>Bell,</v>
      </c>
      <c r="E1030" s="5" t="str">
        <f t="shared" si="36"/>
        <v>trick</v>
      </c>
    </row>
    <row r="1031" spans="1:5" ht="15.75" customHeight="1" x14ac:dyDescent="0.3">
      <c r="A1031" s="4" t="s">
        <v>2062</v>
      </c>
      <c r="B1031" s="4" t="s">
        <v>2063</v>
      </c>
      <c r="C1031" s="5" t="str">
        <f t="shared" si="28"/>
        <v xml:space="preserve"> Ms</v>
      </c>
      <c r="D1031" s="5" t="str">
        <f t="shared" si="35"/>
        <v>Dawes</v>
      </c>
      <c r="E1031" s="5" t="str">
        <f t="shared" si="36"/>
        <v>et K.</v>
      </c>
    </row>
    <row r="1032" spans="1:5" ht="15.75" customHeight="1" x14ac:dyDescent="0.3">
      <c r="A1032" s="4" t="s">
        <v>2064</v>
      </c>
      <c r="B1032" s="4" t="s">
        <v>2065</v>
      </c>
      <c r="C1032" s="5" t="str">
        <f t="shared" si="28"/>
        <v>, M</v>
      </c>
      <c r="D1032" s="5" t="str">
        <f t="shared" si="35"/>
        <v>Lario</v>
      </c>
      <c r="E1032" s="5" t="str">
        <f t="shared" si="36"/>
        <v>briel</v>
      </c>
    </row>
    <row r="1033" spans="1:5" ht="15.75" customHeight="1" x14ac:dyDescent="0.3">
      <c r="A1033" s="4" t="s">
        <v>2066</v>
      </c>
      <c r="B1033" s="4" t="s">
        <v>2067</v>
      </c>
      <c r="C1033" s="5" t="str">
        <f t="shared" si="28"/>
        <v>zuk</v>
      </c>
      <c r="D1033" s="5" t="str">
        <f t="shared" si="35"/>
        <v>Yarem</v>
      </c>
      <c r="E1033" s="5" t="str">
        <f t="shared" si="36"/>
        <v>tasha</v>
      </c>
    </row>
    <row r="1034" spans="1:5" ht="15.75" customHeight="1" x14ac:dyDescent="0.3">
      <c r="A1034" s="4" t="s">
        <v>2068</v>
      </c>
      <c r="B1034" s="4" t="s">
        <v>2069</v>
      </c>
      <c r="C1034" s="5" t="str">
        <f t="shared" si="28"/>
        <v>, M</v>
      </c>
      <c r="D1034" s="5" t="str">
        <f t="shared" si="35"/>
        <v>Knigh</v>
      </c>
      <c r="E1034" s="5" t="str">
        <f t="shared" si="36"/>
        <v>by A.</v>
      </c>
    </row>
    <row r="1035" spans="1:5" ht="15.75" customHeight="1" x14ac:dyDescent="0.3">
      <c r="A1035" s="4" t="s">
        <v>2070</v>
      </c>
      <c r="B1035" s="4" t="s">
        <v>2071</v>
      </c>
      <c r="C1035" s="5" t="str">
        <f t="shared" si="28"/>
        <v>an,</v>
      </c>
      <c r="D1035" s="5" t="str">
        <f t="shared" si="35"/>
        <v>Evers</v>
      </c>
      <c r="E1035" s="5" t="str">
        <f t="shared" si="36"/>
        <v>helle</v>
      </c>
    </row>
    <row r="1036" spans="1:5" ht="15.75" customHeight="1" x14ac:dyDescent="0.3">
      <c r="A1036" s="4" t="s">
        <v>2072</v>
      </c>
      <c r="B1036" s="4" t="s">
        <v>2073</v>
      </c>
      <c r="C1036" s="5" t="str">
        <f t="shared" si="28"/>
        <v xml:space="preserve">y, </v>
      </c>
      <c r="D1036" s="5" t="str">
        <f t="shared" si="35"/>
        <v>Hicko</v>
      </c>
      <c r="E1036" s="5" t="str">
        <f t="shared" si="36"/>
        <v>ndree</v>
      </c>
    </row>
    <row r="1037" spans="1:5" ht="15.75" customHeight="1" x14ac:dyDescent="0.3">
      <c r="A1037" s="4" t="s">
        <v>2074</v>
      </c>
      <c r="B1037" s="4" t="s">
        <v>2075</v>
      </c>
      <c r="C1037" s="5" t="str">
        <f t="shared" si="28"/>
        <v>, M</v>
      </c>
      <c r="D1037" s="5" t="str">
        <f t="shared" si="35"/>
        <v>Moone</v>
      </c>
      <c r="E1037" s="5" t="str">
        <f t="shared" si="36"/>
        <v xml:space="preserve"> Tara</v>
      </c>
    </row>
    <row r="1038" spans="1:5" ht="15.75" customHeight="1" x14ac:dyDescent="0.3">
      <c r="A1038" s="4" t="s">
        <v>2076</v>
      </c>
      <c r="B1038" s="4" t="s">
        <v>2077</v>
      </c>
      <c r="C1038" s="5" t="str">
        <f t="shared" ref="C1038:C1292" si="37">MID(B1038,7,3)</f>
        <v>ead</v>
      </c>
      <c r="D1038" s="5" t="str">
        <f t="shared" si="35"/>
        <v>Craig</v>
      </c>
      <c r="E1038" s="5" t="str">
        <f t="shared" si="36"/>
        <v>aniel</v>
      </c>
    </row>
    <row r="1039" spans="1:5" ht="15.75" customHeight="1" x14ac:dyDescent="0.3">
      <c r="A1039" s="4" t="s">
        <v>2078</v>
      </c>
      <c r="B1039" s="4" t="s">
        <v>2079</v>
      </c>
      <c r="C1039" s="5" t="str">
        <f t="shared" si="37"/>
        <v xml:space="preserve">r, </v>
      </c>
      <c r="D1039" s="5" t="str">
        <f t="shared" si="35"/>
        <v>Gardn</v>
      </c>
      <c r="E1039" s="5" t="str">
        <f t="shared" si="36"/>
        <v>hua P</v>
      </c>
    </row>
    <row r="1040" spans="1:5" ht="15.75" customHeight="1" x14ac:dyDescent="0.3">
      <c r="A1040" s="4" t="s">
        <v>2080</v>
      </c>
      <c r="B1040" s="4" t="s">
        <v>2081</v>
      </c>
      <c r="C1040" s="5" t="str">
        <f t="shared" si="37"/>
        <v xml:space="preserve">z, </v>
      </c>
      <c r="D1040" s="5" t="str">
        <f t="shared" si="35"/>
        <v>Lohre</v>
      </c>
      <c r="E1040" s="5" t="str">
        <f t="shared" si="36"/>
        <v>rin C</v>
      </c>
    </row>
    <row r="1041" spans="1:5" ht="15.75" customHeight="1" x14ac:dyDescent="0.3">
      <c r="A1041" s="4" t="s">
        <v>2082</v>
      </c>
      <c r="B1041" s="4" t="s">
        <v>2083</v>
      </c>
      <c r="C1041" s="5" t="str">
        <f t="shared" si="37"/>
        <v>, M</v>
      </c>
      <c r="D1041" s="5" t="str">
        <f t="shared" ref="D1041:D1104" si="38">LEFT(B1041,5)</f>
        <v>Demis</v>
      </c>
      <c r="E1041" s="5" t="str">
        <f t="shared" si="36"/>
        <v>Shure</v>
      </c>
    </row>
    <row r="1042" spans="1:5" ht="15.75" customHeight="1" x14ac:dyDescent="0.3">
      <c r="A1042" s="4" t="s">
        <v>2084</v>
      </c>
      <c r="B1042" s="4" t="s">
        <v>2085</v>
      </c>
      <c r="C1042" s="5" t="str">
        <f t="shared" si="37"/>
        <v>, M</v>
      </c>
      <c r="D1042" s="5" t="str">
        <f t="shared" si="38"/>
        <v>Nelso</v>
      </c>
      <c r="E1042" s="5" t="str">
        <f t="shared" si="36"/>
        <v>chard</v>
      </c>
    </row>
    <row r="1043" spans="1:5" ht="15.75" customHeight="1" x14ac:dyDescent="0.3">
      <c r="A1043" s="4" t="s">
        <v>2086</v>
      </c>
      <c r="B1043" s="4" t="s">
        <v>2087</v>
      </c>
      <c r="C1043" s="5" t="str">
        <f t="shared" si="37"/>
        <v xml:space="preserve">d, </v>
      </c>
      <c r="D1043" s="5" t="str">
        <f t="shared" si="38"/>
        <v>Guita</v>
      </c>
      <c r="E1043" s="5" t="str">
        <f t="shared" si="36"/>
        <v>renda</v>
      </c>
    </row>
    <row r="1044" spans="1:5" ht="15.75" customHeight="1" x14ac:dyDescent="0.3">
      <c r="A1044" s="4" t="s">
        <v>2088</v>
      </c>
      <c r="B1044" s="4" t="s">
        <v>2089</v>
      </c>
      <c r="C1044" s="5" t="str">
        <f t="shared" si="37"/>
        <v xml:space="preserve"> Mr</v>
      </c>
      <c r="D1044" s="5" t="str">
        <f t="shared" si="38"/>
        <v>Navas</v>
      </c>
      <c r="E1044" s="5" t="str">
        <f t="shared" si="36"/>
        <v>eph M</v>
      </c>
    </row>
    <row r="1045" spans="1:5" ht="15.75" customHeight="1" x14ac:dyDescent="0.3">
      <c r="A1045" s="4" t="s">
        <v>2090</v>
      </c>
      <c r="B1045" s="4" t="s">
        <v>2091</v>
      </c>
      <c r="C1045" s="5" t="str">
        <f t="shared" si="37"/>
        <v>, M</v>
      </c>
      <c r="D1045" s="5" t="str">
        <f t="shared" si="38"/>
        <v>Ptuch</v>
      </c>
      <c r="E1045" s="5" t="str">
        <f t="shared" si="36"/>
        <v>en J.</v>
      </c>
    </row>
    <row r="1046" spans="1:5" ht="15.75" customHeight="1" x14ac:dyDescent="0.3">
      <c r="A1046" s="4" t="s">
        <v>2092</v>
      </c>
      <c r="B1046" s="4" t="s">
        <v>2093</v>
      </c>
      <c r="C1046" s="5" t="str">
        <f t="shared" si="37"/>
        <v xml:space="preserve">c, </v>
      </c>
      <c r="D1046" s="5" t="str">
        <f t="shared" si="38"/>
        <v>Kirou</v>
      </c>
      <c r="E1046" s="5" t="str">
        <f t="shared" si="36"/>
        <v>athya</v>
      </c>
    </row>
    <row r="1047" spans="1:5" ht="15.75" customHeight="1" x14ac:dyDescent="0.3">
      <c r="A1047" s="4" t="s">
        <v>2094</v>
      </c>
      <c r="B1047" s="4" t="s">
        <v>2095</v>
      </c>
      <c r="C1047" s="5" t="str">
        <f t="shared" si="37"/>
        <v xml:space="preserve"> Mr</v>
      </c>
      <c r="D1047" s="5" t="str">
        <f t="shared" si="38"/>
        <v>Toews</v>
      </c>
      <c r="E1047" s="5" t="str">
        <f t="shared" si="36"/>
        <v>esley</v>
      </c>
    </row>
    <row r="1048" spans="1:5" ht="15.75" customHeight="1" x14ac:dyDescent="0.3">
      <c r="A1048" s="4" t="s">
        <v>2096</v>
      </c>
      <c r="B1048" s="4" t="s">
        <v>2097</v>
      </c>
      <c r="C1048" s="5" t="str">
        <f t="shared" si="37"/>
        <v xml:space="preserve"> Mr</v>
      </c>
      <c r="D1048" s="5" t="str">
        <f t="shared" si="38"/>
        <v>Perry</v>
      </c>
      <c r="E1048" s="5" t="str">
        <f t="shared" si="36"/>
        <v xml:space="preserve">  Tim</v>
      </c>
    </row>
    <row r="1049" spans="1:5" ht="15.75" customHeight="1" x14ac:dyDescent="0.3">
      <c r="A1049" s="4" t="s">
        <v>2098</v>
      </c>
      <c r="B1049" s="4" t="s">
        <v>2099</v>
      </c>
      <c r="C1049" s="5" t="str">
        <f t="shared" si="37"/>
        <v xml:space="preserve"> Ms</v>
      </c>
      <c r="D1049" s="5" t="str">
        <f t="shared" si="38"/>
        <v>Kretz</v>
      </c>
      <c r="E1049" s="5" t="str">
        <f t="shared" si="36"/>
        <v>ie L.</v>
      </c>
    </row>
    <row r="1050" spans="1:5" ht="15.75" customHeight="1" x14ac:dyDescent="0.3">
      <c r="A1050" s="4" t="s">
        <v>2100</v>
      </c>
      <c r="B1050" s="4" t="s">
        <v>2101</v>
      </c>
      <c r="C1050" s="5" t="str">
        <f t="shared" si="37"/>
        <v>, M</v>
      </c>
      <c r="D1050" s="5" t="str">
        <f t="shared" si="38"/>
        <v>Hempe</v>
      </c>
      <c r="E1050" s="5" t="str">
        <f t="shared" si="36"/>
        <v>andra</v>
      </c>
    </row>
    <row r="1051" spans="1:5" ht="15.75" customHeight="1" x14ac:dyDescent="0.3">
      <c r="A1051" s="4" t="s">
        <v>2102</v>
      </c>
      <c r="B1051" s="4" t="s">
        <v>2103</v>
      </c>
      <c r="C1051" s="5" t="str">
        <f t="shared" si="37"/>
        <v xml:space="preserve">m, </v>
      </c>
      <c r="D1051" s="5" t="str">
        <f t="shared" si="38"/>
        <v>McBro</v>
      </c>
      <c r="E1051" s="5" t="str">
        <f t="shared" si="36"/>
        <v>ffany</v>
      </c>
    </row>
    <row r="1052" spans="1:5" ht="15.75" customHeight="1" x14ac:dyDescent="0.3">
      <c r="A1052" s="4" t="s">
        <v>2104</v>
      </c>
      <c r="B1052" s="4" t="s">
        <v>2105</v>
      </c>
      <c r="C1052" s="5" t="str">
        <f t="shared" si="37"/>
        <v>rs.</v>
      </c>
      <c r="D1052" s="5" t="str">
        <f t="shared" si="38"/>
        <v xml:space="preserve">Yoo, </v>
      </c>
      <c r="E1052" s="5" t="str">
        <f t="shared" si="36"/>
        <v>cca J</v>
      </c>
    </row>
    <row r="1053" spans="1:5" ht="15.75" customHeight="1" x14ac:dyDescent="0.3">
      <c r="A1053" s="4" t="s">
        <v>2106</v>
      </c>
      <c r="B1053" s="4" t="s">
        <v>2107</v>
      </c>
      <c r="C1053" s="5" t="str">
        <f t="shared" si="37"/>
        <v>Mr.</v>
      </c>
      <c r="D1053" s="5" t="str">
        <f t="shared" si="38"/>
        <v>Rand,</v>
      </c>
      <c r="E1053" s="5" t="str">
        <f t="shared" si="36"/>
        <v>in T.</v>
      </c>
    </row>
    <row r="1054" spans="1:5" ht="15.75" customHeight="1" x14ac:dyDescent="0.3">
      <c r="A1054" s="4" t="s">
        <v>2108</v>
      </c>
      <c r="B1054" s="4" t="s">
        <v>2109</v>
      </c>
      <c r="C1054" s="5" t="str">
        <f t="shared" si="37"/>
        <v xml:space="preserve"> Ms</v>
      </c>
      <c r="D1054" s="5" t="str">
        <f t="shared" si="38"/>
        <v>Wolfe</v>
      </c>
      <c r="E1054" s="5" t="str">
        <f t="shared" si="36"/>
        <v>mie T</v>
      </c>
    </row>
    <row r="1055" spans="1:5" ht="15.75" customHeight="1" x14ac:dyDescent="0.3">
      <c r="A1055" s="4" t="s">
        <v>2110</v>
      </c>
      <c r="B1055" s="4" t="s">
        <v>2111</v>
      </c>
      <c r="C1055" s="5" t="str">
        <f t="shared" si="37"/>
        <v xml:space="preserve"> Mr</v>
      </c>
      <c r="D1055" s="5" t="str">
        <f t="shared" si="38"/>
        <v>Vance</v>
      </c>
      <c r="E1055" s="5" t="str">
        <f t="shared" si="36"/>
        <v>ew T.</v>
      </c>
    </row>
    <row r="1056" spans="1:5" ht="15.75" customHeight="1" x14ac:dyDescent="0.3">
      <c r="A1056" s="4" t="s">
        <v>2112</v>
      </c>
      <c r="B1056" s="4" t="s">
        <v>2113</v>
      </c>
      <c r="C1056" s="5" t="str">
        <f t="shared" si="37"/>
        <v xml:space="preserve">t, </v>
      </c>
      <c r="D1056" s="5" t="str">
        <f t="shared" si="38"/>
        <v>Burne</v>
      </c>
      <c r="E1056" s="5" t="str">
        <f t="shared" si="36"/>
        <v>Emily</v>
      </c>
    </row>
    <row r="1057" spans="1:5" ht="15.75" customHeight="1" x14ac:dyDescent="0.3">
      <c r="A1057" s="4" t="s">
        <v>2114</v>
      </c>
      <c r="B1057" s="4" t="s">
        <v>2115</v>
      </c>
      <c r="C1057" s="5" t="str">
        <f t="shared" si="37"/>
        <v>, M</v>
      </c>
      <c r="D1057" s="5" t="str">
        <f t="shared" si="38"/>
        <v>Claso</v>
      </c>
      <c r="E1057" s="5" t="str">
        <f t="shared" si="36"/>
        <v>llian</v>
      </c>
    </row>
    <row r="1058" spans="1:5" ht="15.75" customHeight="1" x14ac:dyDescent="0.3">
      <c r="A1058" s="4" t="s">
        <v>2116</v>
      </c>
      <c r="B1058" s="4" t="s">
        <v>2117</v>
      </c>
      <c r="C1058" s="5" t="str">
        <f t="shared" si="37"/>
        <v>ly,</v>
      </c>
      <c r="D1058" s="5" t="str">
        <f t="shared" si="38"/>
        <v>Donne</v>
      </c>
      <c r="E1058" s="5" t="str">
        <f t="shared" si="36"/>
        <v>nn E.</v>
      </c>
    </row>
    <row r="1059" spans="1:5" ht="15.75" customHeight="1" x14ac:dyDescent="0.3">
      <c r="A1059" s="4" t="s">
        <v>2118</v>
      </c>
      <c r="B1059" s="4" t="s">
        <v>2119</v>
      </c>
      <c r="C1059" s="5" t="str">
        <f t="shared" si="37"/>
        <v xml:space="preserve"> Ms</v>
      </c>
      <c r="D1059" s="5" t="str">
        <f t="shared" si="38"/>
        <v>Pietz</v>
      </c>
      <c r="E1059" s="5" t="str">
        <f t="shared" si="36"/>
        <v>isa M</v>
      </c>
    </row>
    <row r="1060" spans="1:5" ht="15.75" customHeight="1" x14ac:dyDescent="0.3">
      <c r="A1060" s="4" t="s">
        <v>2120</v>
      </c>
      <c r="B1060" s="4" t="s">
        <v>2121</v>
      </c>
      <c r="C1060" s="5" t="str">
        <f t="shared" si="37"/>
        <v>amp</v>
      </c>
      <c r="D1060" s="5" t="str">
        <f t="shared" si="38"/>
        <v>Tegen</v>
      </c>
      <c r="E1060" s="5" t="str">
        <f t="shared" si="36"/>
        <v xml:space="preserve"> Matt</v>
      </c>
    </row>
    <row r="1061" spans="1:5" ht="15.75" customHeight="1" x14ac:dyDescent="0.3">
      <c r="A1061" s="4" t="s">
        <v>2122</v>
      </c>
      <c r="B1061" s="4" t="s">
        <v>2123</v>
      </c>
      <c r="C1061" s="5" t="str">
        <f t="shared" si="37"/>
        <v xml:space="preserve"> Mr</v>
      </c>
      <c r="D1061" s="5" t="str">
        <f t="shared" si="38"/>
        <v>Dover</v>
      </c>
      <c r="E1061" s="5" t="str">
        <f t="shared" si="36"/>
        <v>as A.</v>
      </c>
    </row>
    <row r="1062" spans="1:5" ht="15.75" customHeight="1" x14ac:dyDescent="0.3">
      <c r="A1062" s="4" t="s">
        <v>2124</v>
      </c>
      <c r="B1062" s="4" t="s">
        <v>2125</v>
      </c>
      <c r="C1062" s="5" t="str">
        <f t="shared" si="37"/>
        <v>eye</v>
      </c>
      <c r="D1062" s="5" t="str">
        <f t="shared" si="38"/>
        <v>Docke</v>
      </c>
      <c r="E1062" s="5" t="str">
        <f t="shared" si="36"/>
        <v>vin J</v>
      </c>
    </row>
    <row r="1063" spans="1:5" ht="15.75" customHeight="1" x14ac:dyDescent="0.3">
      <c r="A1063" s="4" t="s">
        <v>2126</v>
      </c>
      <c r="B1063" s="4" t="s">
        <v>2127</v>
      </c>
      <c r="C1063" s="5" t="str">
        <f t="shared" si="37"/>
        <v>, M</v>
      </c>
      <c r="D1063" s="5" t="str">
        <f t="shared" si="38"/>
        <v>Steel</v>
      </c>
      <c r="E1063" s="5" t="str">
        <f t="shared" si="36"/>
        <v>. III</v>
      </c>
    </row>
    <row r="1064" spans="1:5" ht="15.75" customHeight="1" x14ac:dyDescent="0.3">
      <c r="A1064" s="4" t="s">
        <v>2128</v>
      </c>
      <c r="B1064" s="4" t="s">
        <v>2129</v>
      </c>
      <c r="C1064" s="5" t="str">
        <f t="shared" si="37"/>
        <v xml:space="preserve"> Mr</v>
      </c>
      <c r="D1064" s="5" t="str">
        <f t="shared" si="38"/>
        <v>Harel</v>
      </c>
      <c r="E1064" s="5" t="str">
        <f t="shared" si="36"/>
        <v xml:space="preserve">  Gal</v>
      </c>
    </row>
    <row r="1065" spans="1:5" ht="15.75" customHeight="1" x14ac:dyDescent="0.3">
      <c r="A1065" s="4" t="s">
        <v>2130</v>
      </c>
      <c r="B1065" s="4" t="s">
        <v>2131</v>
      </c>
      <c r="C1065" s="5" t="str">
        <f t="shared" si="37"/>
        <v>, M</v>
      </c>
      <c r="D1065" s="5" t="str">
        <f t="shared" si="38"/>
        <v>Aguil</v>
      </c>
      <c r="E1065" s="5" t="str">
        <f t="shared" si="36"/>
        <v>Anton</v>
      </c>
    </row>
    <row r="1066" spans="1:5" ht="15.75" customHeight="1" x14ac:dyDescent="0.3">
      <c r="A1066" s="4" t="s">
        <v>2132</v>
      </c>
      <c r="B1066" s="4" t="s">
        <v>2133</v>
      </c>
      <c r="C1066" s="5" t="str">
        <f t="shared" si="37"/>
        <v>o S</v>
      </c>
      <c r="D1066" s="5" t="str">
        <f t="shared" si="38"/>
        <v>Valle</v>
      </c>
      <c r="E1066" s="5" t="str">
        <f t="shared" si="36"/>
        <v>azmin</v>
      </c>
    </row>
    <row r="1067" spans="1:5" ht="15.75" customHeight="1" x14ac:dyDescent="0.3">
      <c r="A1067" s="4" t="s">
        <v>2134</v>
      </c>
      <c r="B1067" s="4" t="s">
        <v>2135</v>
      </c>
      <c r="C1067" s="5" t="str">
        <f t="shared" si="37"/>
        <v>im,</v>
      </c>
      <c r="D1067" s="5" t="str">
        <f t="shared" si="38"/>
        <v>Beish</v>
      </c>
      <c r="E1067" s="5" t="str">
        <f t="shared" si="36"/>
        <v>orian</v>
      </c>
    </row>
    <row r="1068" spans="1:5" ht="15.75" customHeight="1" x14ac:dyDescent="0.3">
      <c r="A1068" s="4" t="s">
        <v>2136</v>
      </c>
      <c r="B1068" s="4" t="s">
        <v>2137</v>
      </c>
      <c r="C1068" s="5" t="str">
        <f t="shared" si="37"/>
        <v xml:space="preserve">f, </v>
      </c>
      <c r="D1068" s="5" t="str">
        <f t="shared" si="38"/>
        <v>Lenho</v>
      </c>
      <c r="E1068" s="5" t="str">
        <f t="shared" si="36"/>
        <v>ren L</v>
      </c>
    </row>
    <row r="1069" spans="1:5" ht="15.75" customHeight="1" x14ac:dyDescent="0.3">
      <c r="A1069" s="4" t="s">
        <v>2138</v>
      </c>
      <c r="B1069" s="4" t="s">
        <v>2139</v>
      </c>
      <c r="C1069" s="5" t="str">
        <f t="shared" si="37"/>
        <v>in,</v>
      </c>
      <c r="D1069" s="5" t="str">
        <f t="shared" si="38"/>
        <v>Wehrw</v>
      </c>
      <c r="E1069" s="5" t="str">
        <f t="shared" si="36"/>
        <v>Scott</v>
      </c>
    </row>
    <row r="1070" spans="1:5" ht="15.75" customHeight="1" x14ac:dyDescent="0.3">
      <c r="A1070" s="4" t="s">
        <v>2140</v>
      </c>
      <c r="B1070" s="4" t="s">
        <v>2141</v>
      </c>
      <c r="C1070" s="5" t="str">
        <f t="shared" si="37"/>
        <v xml:space="preserve">e, </v>
      </c>
      <c r="D1070" s="5" t="str">
        <f t="shared" si="38"/>
        <v>Walla</v>
      </c>
      <c r="E1070" s="5" t="str">
        <f t="shared" si="36"/>
        <v>laire</v>
      </c>
    </row>
    <row r="1071" spans="1:5" ht="15.75" customHeight="1" x14ac:dyDescent="0.3">
      <c r="A1071" s="4" t="s">
        <v>2142</v>
      </c>
      <c r="B1071" s="4" t="s">
        <v>2143</v>
      </c>
      <c r="C1071" s="5" t="str">
        <f t="shared" si="37"/>
        <v>itz</v>
      </c>
      <c r="D1071" s="5" t="str">
        <f t="shared" si="38"/>
        <v>Marko</v>
      </c>
      <c r="E1071" s="5" t="str">
        <f t="shared" si="36"/>
        <v>nn M.</v>
      </c>
    </row>
    <row r="1072" spans="1:5" ht="15.75" customHeight="1" x14ac:dyDescent="0.3">
      <c r="A1072" s="4" t="s">
        <v>2144</v>
      </c>
      <c r="B1072" s="4" t="s">
        <v>2145</v>
      </c>
      <c r="C1072" s="5" t="str">
        <f t="shared" si="37"/>
        <v xml:space="preserve">s. </v>
      </c>
      <c r="D1072" s="5" t="str">
        <f t="shared" si="38"/>
        <v xml:space="preserve">Vos, </v>
      </c>
      <c r="E1072" s="5" t="str">
        <f t="shared" si="36"/>
        <v>haron</v>
      </c>
    </row>
    <row r="1073" spans="1:5" ht="15.75" customHeight="1" x14ac:dyDescent="0.3">
      <c r="A1073" s="4" t="s">
        <v>2146</v>
      </c>
      <c r="B1073" s="4" t="s">
        <v>2147</v>
      </c>
      <c r="C1073" s="5" t="str">
        <f t="shared" si="37"/>
        <v>, M</v>
      </c>
      <c r="D1073" s="5" t="str">
        <f t="shared" si="38"/>
        <v>McLeo</v>
      </c>
      <c r="E1073" s="5" t="str">
        <f t="shared" si="36"/>
        <v>ndice</v>
      </c>
    </row>
    <row r="1074" spans="1:5" ht="15.75" customHeight="1" x14ac:dyDescent="0.3">
      <c r="A1074" s="4" t="s">
        <v>2148</v>
      </c>
      <c r="B1074" s="4" t="s">
        <v>2149</v>
      </c>
      <c r="C1074" s="5" t="str">
        <f t="shared" si="37"/>
        <v>, M</v>
      </c>
      <c r="D1074" s="5" t="str">
        <f t="shared" si="38"/>
        <v>Balco</v>
      </c>
      <c r="E1074" s="5" t="str">
        <f t="shared" si="36"/>
        <v>fer D</v>
      </c>
    </row>
    <row r="1075" spans="1:5" ht="15.75" customHeight="1" x14ac:dyDescent="0.3">
      <c r="A1075" s="4" t="s">
        <v>2150</v>
      </c>
      <c r="B1075" s="4" t="s">
        <v>2151</v>
      </c>
      <c r="C1075" s="5" t="str">
        <f t="shared" si="37"/>
        <v xml:space="preserve"> Mr</v>
      </c>
      <c r="D1075" s="5" t="str">
        <f t="shared" si="38"/>
        <v>Dirth</v>
      </c>
      <c r="E1075" s="5" t="str">
        <f t="shared" si="36"/>
        <v xml:space="preserve"> Eric</v>
      </c>
    </row>
    <row r="1076" spans="1:5" ht="15.75" customHeight="1" x14ac:dyDescent="0.3">
      <c r="A1076" s="4" t="s">
        <v>2152</v>
      </c>
      <c r="B1076" s="4" t="s">
        <v>2153</v>
      </c>
      <c r="C1076" s="5" t="str">
        <f t="shared" si="37"/>
        <v xml:space="preserve">h, </v>
      </c>
      <c r="D1076" s="5" t="str">
        <f t="shared" si="38"/>
        <v>Ingli</v>
      </c>
      <c r="E1076" s="5" t="str">
        <f t="shared" si="36"/>
        <v>Bryan</v>
      </c>
    </row>
    <row r="1077" spans="1:5" ht="15.75" customHeight="1" x14ac:dyDescent="0.3">
      <c r="A1077" s="4" t="s">
        <v>2154</v>
      </c>
      <c r="B1077" s="4" t="s">
        <v>2155</v>
      </c>
      <c r="C1077" s="5" t="str">
        <f t="shared" si="37"/>
        <v>ws,</v>
      </c>
      <c r="D1077" s="5" t="str">
        <f t="shared" si="38"/>
        <v>Matth</v>
      </c>
      <c r="E1077" s="5" t="str">
        <f t="shared" si="36"/>
        <v>on R.</v>
      </c>
    </row>
    <row r="1078" spans="1:5" ht="15.75" customHeight="1" x14ac:dyDescent="0.3">
      <c r="A1078" s="4" t="s">
        <v>2156</v>
      </c>
      <c r="B1078" s="4" t="s">
        <v>2157</v>
      </c>
      <c r="C1078" s="5" t="str">
        <f t="shared" si="37"/>
        <v>Mus</v>
      </c>
      <c r="D1078" s="5" t="str">
        <f t="shared" si="38"/>
        <v>Massa</v>
      </c>
      <c r="E1078" s="5" t="str">
        <f t="shared" si="36"/>
        <v>Elena</v>
      </c>
    </row>
    <row r="1079" spans="1:5" ht="15.75" customHeight="1" x14ac:dyDescent="0.3">
      <c r="A1079" s="4" t="s">
        <v>2158</v>
      </c>
      <c r="B1079" s="4" t="s">
        <v>2159</v>
      </c>
      <c r="C1079" s="5" t="str">
        <f t="shared" si="37"/>
        <v>, M</v>
      </c>
      <c r="D1079" s="5" t="str">
        <f t="shared" si="38"/>
        <v>Baile</v>
      </c>
      <c r="E1079" s="5" t="str">
        <f t="shared" si="36"/>
        <v>Chris</v>
      </c>
    </row>
    <row r="1080" spans="1:5" ht="15.75" customHeight="1" x14ac:dyDescent="0.3">
      <c r="A1080" s="4" t="s">
        <v>2160</v>
      </c>
      <c r="B1080" s="4" t="s">
        <v>2161</v>
      </c>
      <c r="C1080" s="5" t="str">
        <f t="shared" si="37"/>
        <v>, M</v>
      </c>
      <c r="D1080" s="5" t="str">
        <f t="shared" si="38"/>
        <v>Jacob</v>
      </c>
      <c r="E1080" s="5" t="str">
        <f t="shared" si="36"/>
        <v xml:space="preserve"> Bert</v>
      </c>
    </row>
    <row r="1081" spans="1:5" ht="15.75" customHeight="1" x14ac:dyDescent="0.3">
      <c r="A1081" s="4" t="s">
        <v>2162</v>
      </c>
      <c r="B1081" s="4" t="s">
        <v>2163</v>
      </c>
      <c r="C1081" s="5" t="str">
        <f t="shared" si="37"/>
        <v>ngs</v>
      </c>
      <c r="D1081" s="5" t="str">
        <f t="shared" si="38"/>
        <v>Crimm</v>
      </c>
      <c r="E1081" s="5" t="str">
        <f t="shared" si="36"/>
        <v>hn P.</v>
      </c>
    </row>
    <row r="1082" spans="1:5" ht="15.75" customHeight="1" x14ac:dyDescent="0.3">
      <c r="A1082" s="4" t="s">
        <v>2164</v>
      </c>
      <c r="B1082" s="4" t="s">
        <v>2165</v>
      </c>
      <c r="C1082" s="5" t="str">
        <f t="shared" si="37"/>
        <v xml:space="preserve"> Mr</v>
      </c>
      <c r="D1082" s="5" t="str">
        <f t="shared" si="38"/>
        <v>Crane</v>
      </c>
      <c r="E1082" s="5" t="str">
        <f t="shared" si="36"/>
        <v>iel P</v>
      </c>
    </row>
    <row r="1083" spans="1:5" ht="15.75" customHeight="1" x14ac:dyDescent="0.3">
      <c r="A1083" s="4" t="s">
        <v>2166</v>
      </c>
      <c r="B1083" s="4" t="s">
        <v>2167</v>
      </c>
      <c r="C1083" s="5" t="str">
        <f t="shared" si="37"/>
        <v>fag</v>
      </c>
      <c r="D1083" s="5" t="str">
        <f t="shared" si="38"/>
        <v>Swart</v>
      </c>
      <c r="E1083" s="5" t="str">
        <f t="shared" si="36"/>
        <v>sa K.</v>
      </c>
    </row>
    <row r="1084" spans="1:5" ht="15.75" customHeight="1" x14ac:dyDescent="0.3">
      <c r="A1084" s="4" t="s">
        <v>2168</v>
      </c>
      <c r="B1084" s="4" t="s">
        <v>2169</v>
      </c>
      <c r="C1084" s="5" t="str">
        <f t="shared" si="37"/>
        <v>ger</v>
      </c>
      <c r="D1084" s="5" t="str">
        <f t="shared" si="38"/>
        <v>Cleve</v>
      </c>
      <c r="E1084" s="5" t="str">
        <f t="shared" si="36"/>
        <v>stine</v>
      </c>
    </row>
    <row r="1085" spans="1:5" ht="15.75" customHeight="1" x14ac:dyDescent="0.3">
      <c r="A1085" s="4" t="s">
        <v>2170</v>
      </c>
      <c r="B1085" s="4" t="s">
        <v>2171</v>
      </c>
      <c r="C1085" s="5" t="str">
        <f t="shared" si="37"/>
        <v>rdt</v>
      </c>
      <c r="D1085" s="5" t="str">
        <f t="shared" si="38"/>
        <v>Reich</v>
      </c>
      <c r="E1085" s="5" t="str">
        <f t="shared" si="36"/>
        <v>aul A</v>
      </c>
    </row>
    <row r="1086" spans="1:5" ht="15.75" customHeight="1" x14ac:dyDescent="0.3">
      <c r="A1086" s="4" t="s">
        <v>2172</v>
      </c>
      <c r="B1086" s="4" t="s">
        <v>2173</v>
      </c>
      <c r="C1086" s="5" t="str">
        <f t="shared" si="37"/>
        <v>, M</v>
      </c>
      <c r="D1086" s="5" t="str">
        <f t="shared" si="38"/>
        <v>Morto</v>
      </c>
      <c r="E1086" s="5" t="str">
        <f t="shared" si="36"/>
        <v>Bryan</v>
      </c>
    </row>
    <row r="1087" spans="1:5" ht="15.75" customHeight="1" x14ac:dyDescent="0.3">
      <c r="A1087" s="4" t="s">
        <v>2174</v>
      </c>
      <c r="B1087" s="4" t="s">
        <v>2175</v>
      </c>
      <c r="C1087" s="5" t="str">
        <f t="shared" si="37"/>
        <v>um,</v>
      </c>
      <c r="D1087" s="5" t="str">
        <f t="shared" si="38"/>
        <v>Sunst</v>
      </c>
      <c r="E1087" s="5" t="str">
        <f t="shared" si="36"/>
        <v>Chris</v>
      </c>
    </row>
    <row r="1088" spans="1:5" ht="15.75" customHeight="1" x14ac:dyDescent="0.3">
      <c r="A1088" s="4" t="s">
        <v>2176</v>
      </c>
      <c r="B1088" s="4" t="s">
        <v>2177</v>
      </c>
      <c r="C1088" s="5" t="str">
        <f t="shared" si="37"/>
        <v>elt</v>
      </c>
      <c r="D1088" s="5" t="str">
        <f t="shared" si="38"/>
        <v>Frown</v>
      </c>
      <c r="E1088" s="5" t="str">
        <f t="shared" si="36"/>
        <v>lah B</v>
      </c>
    </row>
    <row r="1089" spans="1:5" ht="15.75" customHeight="1" x14ac:dyDescent="0.3">
      <c r="A1089" s="4" t="s">
        <v>2178</v>
      </c>
      <c r="B1089" s="4" t="s">
        <v>2179</v>
      </c>
      <c r="C1089" s="5" t="str">
        <f t="shared" si="37"/>
        <v xml:space="preserve">r, </v>
      </c>
      <c r="D1089" s="5" t="str">
        <f t="shared" si="38"/>
        <v>Richt</v>
      </c>
      <c r="E1089" s="5" t="str">
        <f t="shared" si="36"/>
        <v>te M.</v>
      </c>
    </row>
    <row r="1090" spans="1:5" ht="15.75" customHeight="1" x14ac:dyDescent="0.3">
      <c r="A1090" s="4" t="s">
        <v>2180</v>
      </c>
      <c r="B1090" s="4" t="s">
        <v>2181</v>
      </c>
      <c r="C1090" s="5" t="str">
        <f t="shared" si="37"/>
        <v xml:space="preserve">d, </v>
      </c>
      <c r="D1090" s="5" t="str">
        <f t="shared" si="38"/>
        <v>Engla</v>
      </c>
      <c r="E1090" s="5" t="str">
        <f t="shared" ref="E1090:E1153" si="39">RIGHT(B1090,5)</f>
        <v xml:space="preserve"> Yoko</v>
      </c>
    </row>
    <row r="1091" spans="1:5" ht="15.75" customHeight="1" x14ac:dyDescent="0.3">
      <c r="A1091" s="4" t="s">
        <v>2182</v>
      </c>
      <c r="B1091" s="4" t="s">
        <v>2183</v>
      </c>
      <c r="C1091" s="5" t="str">
        <f t="shared" si="37"/>
        <v>, M</v>
      </c>
      <c r="D1091" s="5" t="str">
        <f t="shared" si="38"/>
        <v>McLea</v>
      </c>
      <c r="E1091" s="5" t="str">
        <f t="shared" si="39"/>
        <v>Laura</v>
      </c>
    </row>
    <row r="1092" spans="1:5" ht="15.75" customHeight="1" x14ac:dyDescent="0.3">
      <c r="A1092" s="4" t="s">
        <v>2184</v>
      </c>
      <c r="B1092" s="4" t="s">
        <v>2185</v>
      </c>
      <c r="C1092" s="5" t="str">
        <f t="shared" si="37"/>
        <v xml:space="preserve">r, </v>
      </c>
      <c r="D1092" s="5" t="str">
        <f t="shared" si="38"/>
        <v>Gardn</v>
      </c>
      <c r="E1092" s="5" t="str">
        <f t="shared" si="39"/>
        <v>ss A.</v>
      </c>
    </row>
    <row r="1093" spans="1:5" ht="15.75" customHeight="1" x14ac:dyDescent="0.3">
      <c r="A1093" s="4" t="s">
        <v>2186</v>
      </c>
      <c r="B1093" s="4" t="s">
        <v>2187</v>
      </c>
      <c r="C1093" s="5" t="str">
        <f t="shared" si="37"/>
        <v>Mr.</v>
      </c>
      <c r="D1093" s="5" t="str">
        <f t="shared" si="38"/>
        <v>Lane,</v>
      </c>
      <c r="E1093" s="5" t="str">
        <f t="shared" si="39"/>
        <v>am G.</v>
      </c>
    </row>
    <row r="1094" spans="1:5" ht="15.75" customHeight="1" x14ac:dyDescent="0.3">
      <c r="A1094" s="4" t="s">
        <v>2188</v>
      </c>
      <c r="B1094" s="4" t="s">
        <v>2189</v>
      </c>
      <c r="C1094" s="5" t="str">
        <f t="shared" si="37"/>
        <v>en,</v>
      </c>
      <c r="D1094" s="5" t="str">
        <f t="shared" si="38"/>
        <v>Vonac</v>
      </c>
      <c r="E1094" s="5" t="str">
        <f t="shared" si="39"/>
        <v>Paige</v>
      </c>
    </row>
    <row r="1095" spans="1:5" ht="15.75" customHeight="1" x14ac:dyDescent="0.3">
      <c r="A1095" s="4" t="s">
        <v>2190</v>
      </c>
      <c r="B1095" s="4" t="s">
        <v>2191</v>
      </c>
      <c r="C1095" s="5" t="str">
        <f t="shared" si="37"/>
        <v xml:space="preserve"> Mr</v>
      </c>
      <c r="D1095" s="5" t="str">
        <f t="shared" si="38"/>
        <v>Smith</v>
      </c>
      <c r="E1095" s="5" t="str">
        <f t="shared" si="39"/>
        <v>hew J</v>
      </c>
    </row>
    <row r="1096" spans="1:5" ht="15.75" customHeight="1" x14ac:dyDescent="0.3">
      <c r="A1096" s="4" t="s">
        <v>2192</v>
      </c>
      <c r="B1096" s="4" t="s">
        <v>2193</v>
      </c>
      <c r="C1096" s="5" t="str">
        <f t="shared" si="37"/>
        <v xml:space="preserve">l, </v>
      </c>
      <c r="D1096" s="5" t="str">
        <f t="shared" si="38"/>
        <v>Kidwe</v>
      </c>
      <c r="E1096" s="5" t="str">
        <f t="shared" si="39"/>
        <v>tthew</v>
      </c>
    </row>
    <row r="1097" spans="1:5" ht="15.75" customHeight="1" x14ac:dyDescent="0.3">
      <c r="A1097" s="4" t="s">
        <v>2194</v>
      </c>
      <c r="B1097" s="4" t="s">
        <v>2195</v>
      </c>
      <c r="C1097" s="5" t="str">
        <f t="shared" si="37"/>
        <v>our</v>
      </c>
      <c r="D1097" s="5" t="str">
        <f t="shared" si="38"/>
        <v>Betan</v>
      </c>
      <c r="E1097" s="5" t="str">
        <f t="shared" si="39"/>
        <v>Maria</v>
      </c>
    </row>
    <row r="1098" spans="1:5" ht="15.75" customHeight="1" x14ac:dyDescent="0.3">
      <c r="A1098" s="4" t="s">
        <v>2196</v>
      </c>
      <c r="B1098" s="4" t="s">
        <v>2197</v>
      </c>
      <c r="C1098" s="5" t="str">
        <f t="shared" si="37"/>
        <v>om,</v>
      </c>
      <c r="D1098" s="5" t="str">
        <f t="shared" si="38"/>
        <v>Henst</v>
      </c>
      <c r="E1098" s="5" t="str">
        <f t="shared" si="39"/>
        <v>nie D</v>
      </c>
    </row>
    <row r="1099" spans="1:5" ht="15.75" customHeight="1" x14ac:dyDescent="0.3">
      <c r="A1099" s="4" t="s">
        <v>2198</v>
      </c>
      <c r="B1099" s="4" t="s">
        <v>2199</v>
      </c>
      <c r="C1099" s="5" t="str">
        <f t="shared" si="37"/>
        <v xml:space="preserve">a, </v>
      </c>
      <c r="D1099" s="5" t="str">
        <f t="shared" si="38"/>
        <v>Perei</v>
      </c>
      <c r="E1099" s="5" t="str">
        <f t="shared" si="39"/>
        <v>ffany</v>
      </c>
    </row>
    <row r="1100" spans="1:5" ht="15.75" customHeight="1" x14ac:dyDescent="0.3">
      <c r="A1100" s="4" t="s">
        <v>2200</v>
      </c>
      <c r="B1100" s="4" t="s">
        <v>2201</v>
      </c>
      <c r="C1100" s="5" t="str">
        <f t="shared" si="37"/>
        <v xml:space="preserve"> Ms</v>
      </c>
      <c r="D1100" s="5" t="str">
        <f t="shared" si="38"/>
        <v>Black</v>
      </c>
      <c r="E1100" s="5" t="str">
        <f t="shared" si="39"/>
        <v>ra M.</v>
      </c>
    </row>
    <row r="1101" spans="1:5" ht="15.75" customHeight="1" x14ac:dyDescent="0.3">
      <c r="A1101" s="4" t="s">
        <v>2202</v>
      </c>
      <c r="B1101" s="4" t="s">
        <v>2203</v>
      </c>
      <c r="C1101" s="5" t="str">
        <f t="shared" si="37"/>
        <v xml:space="preserve"> Mr</v>
      </c>
      <c r="D1101" s="5" t="str">
        <f t="shared" si="38"/>
        <v>Brown</v>
      </c>
      <c r="E1101" s="5" t="str">
        <f t="shared" si="39"/>
        <v>tt A.</v>
      </c>
    </row>
    <row r="1102" spans="1:5" ht="15.75" customHeight="1" x14ac:dyDescent="0.3">
      <c r="A1102" s="4" t="s">
        <v>2204</v>
      </c>
      <c r="B1102" s="4" t="s">
        <v>2205</v>
      </c>
      <c r="C1102" s="5" t="str">
        <f t="shared" si="37"/>
        <v>er,</v>
      </c>
      <c r="D1102" s="5" t="str">
        <f t="shared" si="38"/>
        <v>Reaso</v>
      </c>
      <c r="E1102" s="5" t="str">
        <f t="shared" si="39"/>
        <v>auren</v>
      </c>
    </row>
    <row r="1103" spans="1:5" ht="15.75" customHeight="1" x14ac:dyDescent="0.3">
      <c r="A1103" s="4" t="s">
        <v>2206</v>
      </c>
      <c r="B1103" s="4" t="s">
        <v>2207</v>
      </c>
      <c r="C1103" s="5" t="str">
        <f t="shared" si="37"/>
        <v>lak</v>
      </c>
      <c r="D1103" s="5" t="str">
        <f t="shared" si="38"/>
        <v>Wandz</v>
      </c>
      <c r="E1103" s="5" t="str">
        <f t="shared" si="39"/>
        <v>Scott</v>
      </c>
    </row>
    <row r="1104" spans="1:5" ht="15.75" customHeight="1" x14ac:dyDescent="0.3">
      <c r="A1104" s="4" t="s">
        <v>2208</v>
      </c>
      <c r="B1104" s="4" t="s">
        <v>2209</v>
      </c>
      <c r="C1104" s="5" t="str">
        <f t="shared" si="37"/>
        <v>, M</v>
      </c>
      <c r="D1104" s="5" t="str">
        <f t="shared" si="38"/>
        <v>Carve</v>
      </c>
      <c r="E1104" s="5" t="str">
        <f t="shared" si="39"/>
        <v>an A.</v>
      </c>
    </row>
    <row r="1105" spans="1:5" ht="15.75" customHeight="1" x14ac:dyDescent="0.3">
      <c r="A1105" s="4" t="s">
        <v>2210</v>
      </c>
      <c r="B1105" s="4" t="s">
        <v>2211</v>
      </c>
      <c r="C1105" s="5" t="str">
        <f t="shared" si="37"/>
        <v>, M</v>
      </c>
      <c r="D1105" s="5" t="str">
        <f t="shared" ref="D1105:D1168" si="40">LEFT(B1105,5)</f>
        <v>Borro</v>
      </c>
      <c r="E1105" s="5" t="str">
        <f t="shared" si="39"/>
        <v>in R.</v>
      </c>
    </row>
    <row r="1106" spans="1:5" ht="15.75" customHeight="1" x14ac:dyDescent="0.3">
      <c r="A1106" s="4" t="s">
        <v>2212</v>
      </c>
      <c r="B1106" s="4" t="s">
        <v>2213</v>
      </c>
      <c r="C1106" s="5" t="str">
        <f t="shared" si="37"/>
        <v>Mr.</v>
      </c>
      <c r="D1106" s="5" t="str">
        <f t="shared" si="40"/>
        <v>Saad,</v>
      </c>
      <c r="E1106" s="5" t="str">
        <f t="shared" si="39"/>
        <v>ammad</v>
      </c>
    </row>
    <row r="1107" spans="1:5" ht="15.75" customHeight="1" x14ac:dyDescent="0.3">
      <c r="A1107" s="4" t="s">
        <v>2214</v>
      </c>
      <c r="B1107" s="4" t="s">
        <v>2215</v>
      </c>
      <c r="C1107" s="5" t="str">
        <f t="shared" si="37"/>
        <v>Mr.</v>
      </c>
      <c r="D1107" s="5" t="str">
        <f t="shared" si="40"/>
        <v>Paul,</v>
      </c>
      <c r="E1107" s="5" t="str">
        <f t="shared" si="39"/>
        <v>arlie</v>
      </c>
    </row>
    <row r="1108" spans="1:5" ht="15.75" customHeight="1" x14ac:dyDescent="0.3">
      <c r="A1108" s="4" t="s">
        <v>2216</v>
      </c>
      <c r="B1108" s="4" t="s">
        <v>2217</v>
      </c>
      <c r="C1108" s="5" t="str">
        <f t="shared" si="37"/>
        <v xml:space="preserve"> Mr</v>
      </c>
      <c r="D1108" s="5" t="str">
        <f t="shared" si="40"/>
        <v>Trail</v>
      </c>
      <c r="E1108" s="5" t="str">
        <f t="shared" si="39"/>
        <v>Brent</v>
      </c>
    </row>
    <row r="1109" spans="1:5" ht="15.75" customHeight="1" x14ac:dyDescent="0.3">
      <c r="A1109" s="4" t="s">
        <v>2218</v>
      </c>
      <c r="B1109" s="4" t="s">
        <v>2219</v>
      </c>
      <c r="C1109" s="5" t="str">
        <f t="shared" si="37"/>
        <v>, M</v>
      </c>
      <c r="D1109" s="5" t="str">
        <f t="shared" si="40"/>
        <v>Bento</v>
      </c>
      <c r="E1109" s="5" t="str">
        <f t="shared" si="39"/>
        <v>lli M</v>
      </c>
    </row>
    <row r="1110" spans="1:5" ht="15.75" customHeight="1" x14ac:dyDescent="0.3">
      <c r="A1110" s="4" t="s">
        <v>2220</v>
      </c>
      <c r="B1110" s="4" t="s">
        <v>2221</v>
      </c>
      <c r="C1110" s="5" t="str">
        <f t="shared" si="37"/>
        <v>, M</v>
      </c>
      <c r="D1110" s="5" t="str">
        <f t="shared" si="40"/>
        <v>Bauma</v>
      </c>
      <c r="E1110" s="5" t="str">
        <f t="shared" si="39"/>
        <v>dan H</v>
      </c>
    </row>
    <row r="1111" spans="1:5" ht="15.75" customHeight="1" x14ac:dyDescent="0.3">
      <c r="A1111" s="4" t="s">
        <v>2222</v>
      </c>
      <c r="B1111" s="4" t="s">
        <v>2223</v>
      </c>
      <c r="C1111" s="5" t="str">
        <f t="shared" si="37"/>
        <v>, M</v>
      </c>
      <c r="D1111" s="5" t="str">
        <f t="shared" si="40"/>
        <v>Bakul</v>
      </c>
      <c r="E1111" s="5" t="str">
        <f t="shared" si="39"/>
        <v>ah M.</v>
      </c>
    </row>
    <row r="1112" spans="1:5" ht="15.75" customHeight="1" x14ac:dyDescent="0.3">
      <c r="A1112" s="4" t="s">
        <v>2224</v>
      </c>
      <c r="B1112" s="4" t="s">
        <v>2225</v>
      </c>
      <c r="C1112" s="5" t="str">
        <f t="shared" si="37"/>
        <v xml:space="preserve">s, </v>
      </c>
      <c r="D1112" s="5" t="str">
        <f t="shared" si="40"/>
        <v>Edwar</v>
      </c>
      <c r="E1112" s="5" t="str">
        <f t="shared" si="39"/>
        <v>nifer</v>
      </c>
    </row>
    <row r="1113" spans="1:5" ht="15.75" customHeight="1" x14ac:dyDescent="0.3">
      <c r="A1113" s="4" t="s">
        <v>2226</v>
      </c>
      <c r="B1113" s="4" t="s">
        <v>2227</v>
      </c>
      <c r="C1113" s="5" t="str">
        <f t="shared" si="37"/>
        <v xml:space="preserve"> Mr</v>
      </c>
      <c r="D1113" s="5" t="str">
        <f t="shared" si="40"/>
        <v>Davis</v>
      </c>
      <c r="E1113" s="5" t="str">
        <f t="shared" si="39"/>
        <v>ura J</v>
      </c>
    </row>
    <row r="1114" spans="1:5" ht="15.75" customHeight="1" x14ac:dyDescent="0.3">
      <c r="A1114" s="4" t="s">
        <v>2228</v>
      </c>
      <c r="B1114" s="4" t="s">
        <v>2229</v>
      </c>
      <c r="C1114" s="5" t="str">
        <f t="shared" si="37"/>
        <v>, M</v>
      </c>
      <c r="D1114" s="5" t="str">
        <f t="shared" si="40"/>
        <v>Weile</v>
      </c>
      <c r="E1114" s="5" t="str">
        <f t="shared" si="39"/>
        <v>homas</v>
      </c>
    </row>
    <row r="1115" spans="1:5" ht="15.75" customHeight="1" x14ac:dyDescent="0.3">
      <c r="A1115" s="4" t="s">
        <v>2230</v>
      </c>
      <c r="B1115" s="4" t="s">
        <v>2231</v>
      </c>
      <c r="C1115" s="5" t="str">
        <f t="shared" si="37"/>
        <v>, M</v>
      </c>
      <c r="D1115" s="5" t="str">
        <f t="shared" si="40"/>
        <v>Schaa</v>
      </c>
      <c r="E1115" s="5" t="str">
        <f t="shared" si="39"/>
        <v>isele</v>
      </c>
    </row>
    <row r="1116" spans="1:5" ht="15.75" customHeight="1" x14ac:dyDescent="0.3">
      <c r="A1116" s="4" t="s">
        <v>2232</v>
      </c>
      <c r="B1116" s="4" t="s">
        <v>2233</v>
      </c>
      <c r="C1116" s="5" t="str">
        <f t="shared" si="37"/>
        <v>Ms.</v>
      </c>
      <c r="D1116" s="5" t="str">
        <f t="shared" si="40"/>
        <v>Sack,</v>
      </c>
      <c r="E1116" s="5" t="str">
        <f t="shared" si="39"/>
        <v>yra L</v>
      </c>
    </row>
    <row r="1117" spans="1:5" ht="15.75" customHeight="1" x14ac:dyDescent="0.3">
      <c r="A1117" s="4" t="s">
        <v>2234</v>
      </c>
      <c r="B1117" s="4" t="s">
        <v>2235</v>
      </c>
      <c r="C1117" s="5" t="str">
        <f t="shared" si="37"/>
        <v xml:space="preserve">d, </v>
      </c>
      <c r="D1117" s="5" t="str">
        <f t="shared" si="40"/>
        <v>Chena</v>
      </c>
      <c r="E1117" s="5" t="str">
        <f t="shared" si="39"/>
        <v>sa M.</v>
      </c>
    </row>
    <row r="1118" spans="1:5" ht="15.75" customHeight="1" x14ac:dyDescent="0.3">
      <c r="A1118" s="4" t="s">
        <v>2236</v>
      </c>
      <c r="B1118" s="4" t="s">
        <v>2237</v>
      </c>
      <c r="C1118" s="5" t="str">
        <f t="shared" si="37"/>
        <v>mso</v>
      </c>
      <c r="D1118" s="5" t="str">
        <f t="shared" si="40"/>
        <v>Willi</v>
      </c>
      <c r="E1118" s="5" t="str">
        <f t="shared" si="39"/>
        <v>or F.</v>
      </c>
    </row>
    <row r="1119" spans="1:5" ht="15.75" customHeight="1" x14ac:dyDescent="0.3">
      <c r="A1119" s="4" t="s">
        <v>2238</v>
      </c>
      <c r="B1119" s="4" t="s">
        <v>2239</v>
      </c>
      <c r="C1119" s="5" t="str">
        <f t="shared" si="37"/>
        <v>, M</v>
      </c>
      <c r="D1119" s="5" t="str">
        <f t="shared" si="40"/>
        <v>Dolla</v>
      </c>
      <c r="E1119" s="5" t="str">
        <f t="shared" si="39"/>
        <v>abeth</v>
      </c>
    </row>
    <row r="1120" spans="1:5" ht="15.75" customHeight="1" x14ac:dyDescent="0.3">
      <c r="A1120" s="4" t="s">
        <v>2240</v>
      </c>
      <c r="B1120" s="4" t="s">
        <v>2241</v>
      </c>
      <c r="C1120" s="5" t="str">
        <f t="shared" si="37"/>
        <v xml:space="preserve">e, </v>
      </c>
      <c r="D1120" s="5" t="str">
        <f t="shared" si="40"/>
        <v>Sprag</v>
      </c>
      <c r="E1120" s="5" t="str">
        <f t="shared" si="39"/>
        <v>nneth</v>
      </c>
    </row>
    <row r="1121" spans="1:5" ht="15.75" customHeight="1" x14ac:dyDescent="0.3">
      <c r="A1121" s="4" t="s">
        <v>2242</v>
      </c>
      <c r="B1121" s="4" t="s">
        <v>2243</v>
      </c>
      <c r="C1121" s="5" t="str">
        <f t="shared" si="37"/>
        <v xml:space="preserve">l, </v>
      </c>
      <c r="D1121" s="5" t="str">
        <f t="shared" si="40"/>
        <v>Miche</v>
      </c>
      <c r="E1121" s="5" t="str">
        <f t="shared" si="39"/>
        <v>rt G.</v>
      </c>
    </row>
    <row r="1122" spans="1:5" ht="15.75" customHeight="1" x14ac:dyDescent="0.3">
      <c r="A1122" s="4" t="s">
        <v>2244</v>
      </c>
      <c r="B1122" s="4" t="s">
        <v>2245</v>
      </c>
      <c r="C1122" s="5" t="str">
        <f t="shared" si="37"/>
        <v>er,</v>
      </c>
      <c r="D1122" s="5" t="str">
        <f t="shared" si="40"/>
        <v>Datwy</v>
      </c>
      <c r="E1122" s="5" t="str">
        <f t="shared" si="39"/>
        <v>as C.</v>
      </c>
    </row>
    <row r="1123" spans="1:5" ht="15.75" customHeight="1" x14ac:dyDescent="0.3">
      <c r="A1123" s="4" t="s">
        <v>2246</v>
      </c>
      <c r="B1123" s="4" t="s">
        <v>2247</v>
      </c>
      <c r="C1123" s="5" t="str">
        <f t="shared" si="37"/>
        <v>Mr.</v>
      </c>
      <c r="D1123" s="5" t="str">
        <f t="shared" si="40"/>
        <v>Mead,</v>
      </c>
      <c r="E1123" s="5" t="str">
        <f t="shared" si="39"/>
        <v>ew J.</v>
      </c>
    </row>
    <row r="1124" spans="1:5" ht="15.75" customHeight="1" x14ac:dyDescent="0.3">
      <c r="A1124" s="4" t="s">
        <v>2248</v>
      </c>
      <c r="B1124" s="4" t="s">
        <v>2249</v>
      </c>
      <c r="C1124" s="5" t="str">
        <f t="shared" si="37"/>
        <v xml:space="preserve">y, </v>
      </c>
      <c r="D1124" s="5" t="str">
        <f t="shared" si="40"/>
        <v>Kenne</v>
      </c>
      <c r="E1124" s="5" t="str">
        <f t="shared" si="39"/>
        <v>ry D.</v>
      </c>
    </row>
    <row r="1125" spans="1:5" ht="15.75" customHeight="1" x14ac:dyDescent="0.3">
      <c r="A1125" s="4" t="s">
        <v>2250</v>
      </c>
      <c r="B1125" s="4" t="s">
        <v>2251</v>
      </c>
      <c r="C1125" s="5" t="str">
        <f t="shared" si="37"/>
        <v xml:space="preserve"> Mr</v>
      </c>
      <c r="D1125" s="5" t="str">
        <f t="shared" si="40"/>
        <v>Czech</v>
      </c>
      <c r="E1125" s="5" t="str">
        <f t="shared" si="39"/>
        <v>er D.</v>
      </c>
    </row>
    <row r="1126" spans="1:5" ht="15.75" customHeight="1" x14ac:dyDescent="0.3">
      <c r="A1126" s="4" t="s">
        <v>2252</v>
      </c>
      <c r="B1126" s="4" t="s">
        <v>2253</v>
      </c>
      <c r="C1126" s="5" t="str">
        <f t="shared" si="37"/>
        <v xml:space="preserve">n, </v>
      </c>
      <c r="D1126" s="5" t="str">
        <f t="shared" si="40"/>
        <v>O'Bri</v>
      </c>
      <c r="E1126" s="5" t="str">
        <f t="shared" si="39"/>
        <v>Jamie</v>
      </c>
    </row>
    <row r="1127" spans="1:5" ht="15.75" customHeight="1" x14ac:dyDescent="0.3">
      <c r="A1127" s="4" t="s">
        <v>2254</v>
      </c>
      <c r="B1127" s="4" t="s">
        <v>2255</v>
      </c>
      <c r="C1127" s="5" t="str">
        <f t="shared" si="37"/>
        <v xml:space="preserve">n, </v>
      </c>
      <c r="D1127" s="5" t="str">
        <f t="shared" si="40"/>
        <v>Bachm</v>
      </c>
      <c r="E1127" s="5" t="str">
        <f t="shared" si="39"/>
        <v>riell</v>
      </c>
    </row>
    <row r="1128" spans="1:5" ht="15.75" customHeight="1" x14ac:dyDescent="0.3">
      <c r="A1128" s="4" t="s">
        <v>2256</v>
      </c>
      <c r="B1128" s="4" t="s">
        <v>2257</v>
      </c>
      <c r="C1128" s="5" t="str">
        <f t="shared" si="37"/>
        <v>, M</v>
      </c>
      <c r="D1128" s="5" t="str">
        <f t="shared" si="40"/>
        <v>Bedna</v>
      </c>
      <c r="E1128" s="5" t="str">
        <f t="shared" si="39"/>
        <v>opher</v>
      </c>
    </row>
    <row r="1129" spans="1:5" ht="15.75" customHeight="1" x14ac:dyDescent="0.3">
      <c r="A1129" s="4" t="s">
        <v>2258</v>
      </c>
      <c r="B1129" s="4" t="s">
        <v>2259</v>
      </c>
      <c r="C1129" s="5" t="str">
        <f t="shared" si="37"/>
        <v>Mr.</v>
      </c>
      <c r="D1129" s="5" t="str">
        <f t="shared" si="40"/>
        <v>Daye,</v>
      </c>
      <c r="E1129" s="5" t="str">
        <f t="shared" si="39"/>
        <v xml:space="preserve"> Ryan</v>
      </c>
    </row>
    <row r="1130" spans="1:5" ht="15.75" customHeight="1" x14ac:dyDescent="0.3">
      <c r="A1130" s="4" t="s">
        <v>2260</v>
      </c>
      <c r="B1130" s="4" t="s">
        <v>2261</v>
      </c>
      <c r="C1130" s="5" t="str">
        <f t="shared" si="37"/>
        <v>, M</v>
      </c>
      <c r="D1130" s="5" t="str">
        <f t="shared" si="40"/>
        <v>Clark</v>
      </c>
      <c r="E1130" s="5" t="str">
        <f t="shared" si="39"/>
        <v>as B.</v>
      </c>
    </row>
    <row r="1131" spans="1:5" ht="15.75" customHeight="1" x14ac:dyDescent="0.3">
      <c r="A1131" s="4" t="s">
        <v>2262</v>
      </c>
      <c r="B1131" s="4" t="s">
        <v>2263</v>
      </c>
      <c r="C1131" s="5" t="str">
        <f t="shared" si="37"/>
        <v xml:space="preserve"> Ms</v>
      </c>
      <c r="D1131" s="5" t="str">
        <f t="shared" si="40"/>
        <v>Koren</v>
      </c>
      <c r="E1131" s="5" t="str">
        <f t="shared" si="39"/>
        <v>Katie</v>
      </c>
    </row>
    <row r="1132" spans="1:5" ht="15.75" customHeight="1" x14ac:dyDescent="0.3">
      <c r="A1132" s="4" t="s">
        <v>2264</v>
      </c>
      <c r="B1132" s="4" t="s">
        <v>2265</v>
      </c>
      <c r="C1132" s="5" t="str">
        <f t="shared" si="37"/>
        <v>to,</v>
      </c>
      <c r="D1132" s="5" t="str">
        <f t="shared" si="40"/>
        <v>Kuram</v>
      </c>
      <c r="E1132" s="5" t="str">
        <f t="shared" si="39"/>
        <v>lle L</v>
      </c>
    </row>
    <row r="1133" spans="1:5" ht="15.75" customHeight="1" x14ac:dyDescent="0.3">
      <c r="A1133" s="4" t="s">
        <v>2266</v>
      </c>
      <c r="B1133" s="4" t="s">
        <v>2267</v>
      </c>
      <c r="C1133" s="5" t="str">
        <f t="shared" si="37"/>
        <v>Ms.</v>
      </c>
      <c r="D1133" s="5" t="str">
        <f t="shared" si="40"/>
        <v>Lynn,</v>
      </c>
      <c r="E1133" s="5" t="str">
        <f t="shared" si="39"/>
        <v>lleen</v>
      </c>
    </row>
    <row r="1134" spans="1:5" ht="15.75" customHeight="1" x14ac:dyDescent="0.3">
      <c r="A1134" s="4" t="s">
        <v>2268</v>
      </c>
      <c r="B1134" s="4" t="s">
        <v>2269</v>
      </c>
      <c r="C1134" s="5" t="str">
        <f t="shared" si="37"/>
        <v>en,</v>
      </c>
      <c r="D1134" s="5" t="str">
        <f t="shared" si="40"/>
        <v>Dierk</v>
      </c>
      <c r="E1134" s="5" t="str">
        <f t="shared" si="39"/>
        <v>ory A</v>
      </c>
    </row>
    <row r="1135" spans="1:5" ht="15.75" customHeight="1" x14ac:dyDescent="0.3">
      <c r="A1135" s="4" t="s">
        <v>2270</v>
      </c>
      <c r="B1135" s="4" t="s">
        <v>2271</v>
      </c>
      <c r="C1135" s="5" t="str">
        <f t="shared" si="37"/>
        <v xml:space="preserve">r, </v>
      </c>
      <c r="D1135" s="5" t="str">
        <f t="shared" si="40"/>
        <v>Zoell</v>
      </c>
      <c r="E1135" s="5" t="str">
        <f t="shared" si="39"/>
        <v xml:space="preserve"> Lara</v>
      </c>
    </row>
    <row r="1136" spans="1:5" ht="15.75" customHeight="1" x14ac:dyDescent="0.3">
      <c r="A1136" s="4" t="s">
        <v>2272</v>
      </c>
      <c r="B1136" s="4" t="s">
        <v>2273</v>
      </c>
      <c r="C1136" s="5" t="str">
        <f t="shared" si="37"/>
        <v>, M</v>
      </c>
      <c r="D1136" s="5" t="str">
        <f t="shared" si="40"/>
        <v>Flesc</v>
      </c>
      <c r="E1136" s="5" t="str">
        <f t="shared" si="39"/>
        <v>Megan</v>
      </c>
    </row>
    <row r="1137" spans="1:5" ht="15.75" customHeight="1" x14ac:dyDescent="0.3">
      <c r="A1137" s="4" t="s">
        <v>2274</v>
      </c>
      <c r="B1137" s="4" t="s">
        <v>2275</v>
      </c>
      <c r="C1137" s="5" t="str">
        <f t="shared" si="37"/>
        <v>, M</v>
      </c>
      <c r="D1137" s="5" t="str">
        <f t="shared" si="40"/>
        <v>Maltb</v>
      </c>
      <c r="E1137" s="5" t="str">
        <f t="shared" si="39"/>
        <v xml:space="preserve"> Sara</v>
      </c>
    </row>
    <row r="1138" spans="1:5" ht="15.75" customHeight="1" x14ac:dyDescent="0.3">
      <c r="A1138" s="4" t="s">
        <v>2276</v>
      </c>
      <c r="B1138" s="4" t="s">
        <v>2277</v>
      </c>
      <c r="C1138" s="5" t="str">
        <f t="shared" si="37"/>
        <v>ce,</v>
      </c>
      <c r="D1138" s="5" t="str">
        <f t="shared" si="40"/>
        <v>Custa</v>
      </c>
      <c r="E1138" s="5" t="str">
        <f t="shared" si="39"/>
        <v>ie J.</v>
      </c>
    </row>
    <row r="1139" spans="1:5" ht="15.75" customHeight="1" x14ac:dyDescent="0.3">
      <c r="A1139" s="4" t="s">
        <v>2278</v>
      </c>
      <c r="B1139" s="4" t="s">
        <v>2279</v>
      </c>
      <c r="C1139" s="5" t="str">
        <f t="shared" si="37"/>
        <v>Ms.</v>
      </c>
      <c r="D1139" s="5" t="str">
        <f t="shared" si="40"/>
        <v>Choi,</v>
      </c>
      <c r="E1139" s="5" t="str">
        <f t="shared" si="39"/>
        <v>th S.</v>
      </c>
    </row>
    <row r="1140" spans="1:5" ht="15.75" customHeight="1" x14ac:dyDescent="0.3">
      <c r="A1140" s="4" t="s">
        <v>2280</v>
      </c>
      <c r="B1140" s="4" t="s">
        <v>2281</v>
      </c>
      <c r="C1140" s="5" t="str">
        <f t="shared" si="37"/>
        <v xml:space="preserve">t, </v>
      </c>
      <c r="D1140" s="5" t="str">
        <f t="shared" si="40"/>
        <v>Barne</v>
      </c>
      <c r="E1140" s="5" t="str">
        <f t="shared" si="39"/>
        <v>rma S</v>
      </c>
    </row>
    <row r="1141" spans="1:5" ht="15.75" customHeight="1" x14ac:dyDescent="0.3">
      <c r="A1141" s="4" t="s">
        <v>2282</v>
      </c>
      <c r="B1141" s="4" t="s">
        <v>2283</v>
      </c>
      <c r="C1141" s="5" t="str">
        <f t="shared" si="37"/>
        <v>, M</v>
      </c>
      <c r="D1141" s="5" t="str">
        <f t="shared" si="40"/>
        <v>Proul</v>
      </c>
      <c r="E1141" s="5" t="str">
        <f t="shared" si="39"/>
        <v xml:space="preserve"> Ryan</v>
      </c>
    </row>
    <row r="1142" spans="1:5" ht="15.75" customHeight="1" x14ac:dyDescent="0.3">
      <c r="A1142" s="4" t="s">
        <v>2284</v>
      </c>
      <c r="B1142" s="4" t="s">
        <v>2285</v>
      </c>
      <c r="C1142" s="5" t="str">
        <f t="shared" si="37"/>
        <v>on,</v>
      </c>
      <c r="D1142" s="5" t="str">
        <f t="shared" si="40"/>
        <v>Hamil</v>
      </c>
      <c r="E1142" s="5" t="str">
        <f t="shared" si="39"/>
        <v>aniel</v>
      </c>
    </row>
    <row r="1143" spans="1:5" ht="15.75" customHeight="1" x14ac:dyDescent="0.3">
      <c r="A1143" s="4" t="s">
        <v>2286</v>
      </c>
      <c r="B1143" s="4" t="s">
        <v>2287</v>
      </c>
      <c r="C1143" s="5" t="str">
        <f t="shared" si="37"/>
        <v xml:space="preserve">e, </v>
      </c>
      <c r="D1143" s="5" t="str">
        <f t="shared" si="40"/>
        <v>Lundi</v>
      </c>
      <c r="E1143" s="5" t="str">
        <f t="shared" si="39"/>
        <v>Sarah</v>
      </c>
    </row>
    <row r="1144" spans="1:5" ht="15.75" customHeight="1" x14ac:dyDescent="0.3">
      <c r="A1144" s="4" t="s">
        <v>2288</v>
      </c>
      <c r="B1144" s="4" t="s">
        <v>2289</v>
      </c>
      <c r="C1144" s="5" t="str">
        <f t="shared" si="37"/>
        <v xml:space="preserve">n, </v>
      </c>
      <c r="D1144" s="5" t="str">
        <f t="shared" si="40"/>
        <v>Paull</v>
      </c>
      <c r="E1144" s="5" t="str">
        <f t="shared" si="39"/>
        <v>hew J</v>
      </c>
    </row>
    <row r="1145" spans="1:5" ht="15.75" customHeight="1" x14ac:dyDescent="0.3">
      <c r="A1145" s="4" t="s">
        <v>2290</v>
      </c>
      <c r="B1145" s="4" t="s">
        <v>2291</v>
      </c>
      <c r="C1145" s="5" t="str">
        <f t="shared" si="37"/>
        <v xml:space="preserve">a, </v>
      </c>
      <c r="D1145" s="5" t="str">
        <f t="shared" si="40"/>
        <v>Deluc</v>
      </c>
      <c r="E1145" s="5" t="str">
        <f t="shared" si="39"/>
        <v>cesca</v>
      </c>
    </row>
    <row r="1146" spans="1:5" ht="15.75" customHeight="1" x14ac:dyDescent="0.3">
      <c r="A1146" s="4" t="s">
        <v>2292</v>
      </c>
      <c r="B1146" s="4" t="s">
        <v>2293</v>
      </c>
      <c r="C1146" s="5" t="str">
        <f t="shared" si="37"/>
        <v>ine</v>
      </c>
      <c r="D1146" s="5" t="str">
        <f t="shared" si="40"/>
        <v>Valen</v>
      </c>
      <c r="E1146" s="5" t="str">
        <f t="shared" si="39"/>
        <v>icole</v>
      </c>
    </row>
    <row r="1147" spans="1:5" ht="15.75" customHeight="1" x14ac:dyDescent="0.3">
      <c r="A1147" s="4" t="s">
        <v>2294</v>
      </c>
      <c r="B1147" s="4" t="s">
        <v>2295</v>
      </c>
      <c r="C1147" s="5" t="str">
        <f t="shared" si="37"/>
        <v>, M</v>
      </c>
      <c r="D1147" s="5" t="str">
        <f t="shared" si="40"/>
        <v>Mohar</v>
      </c>
      <c r="E1147" s="5" t="str">
        <f t="shared" si="39"/>
        <v>iyuki</v>
      </c>
    </row>
    <row r="1148" spans="1:5" ht="15.75" customHeight="1" x14ac:dyDescent="0.3">
      <c r="A1148" s="4" t="s">
        <v>2296</v>
      </c>
      <c r="B1148" s="4" t="s">
        <v>2297</v>
      </c>
      <c r="C1148" s="5" t="str">
        <f t="shared" si="37"/>
        <v>oth</v>
      </c>
      <c r="D1148" s="5" t="str">
        <f t="shared" si="40"/>
        <v>Fairb</v>
      </c>
      <c r="E1148" s="5" t="str">
        <f t="shared" si="39"/>
        <v>om L.</v>
      </c>
    </row>
    <row r="1149" spans="1:5" ht="15.75" customHeight="1" x14ac:dyDescent="0.3">
      <c r="A1149" s="4" t="s">
        <v>2298</v>
      </c>
      <c r="B1149" s="4" t="s">
        <v>2299</v>
      </c>
      <c r="C1149" s="5" t="str">
        <f t="shared" si="37"/>
        <v xml:space="preserve"> Mr</v>
      </c>
      <c r="D1149" s="5" t="str">
        <f t="shared" si="40"/>
        <v>Fagan</v>
      </c>
      <c r="E1149" s="5" t="str">
        <f t="shared" si="39"/>
        <v>Brian</v>
      </c>
    </row>
    <row r="1150" spans="1:5" ht="15.75" customHeight="1" x14ac:dyDescent="0.3">
      <c r="A1150" s="4" t="s">
        <v>2300</v>
      </c>
      <c r="B1150" s="4" t="s">
        <v>2301</v>
      </c>
      <c r="C1150" s="5" t="str">
        <f t="shared" si="37"/>
        <v>Mr.</v>
      </c>
      <c r="D1150" s="5" t="str">
        <f t="shared" si="40"/>
        <v>Toth,</v>
      </c>
      <c r="E1150" s="5" t="str">
        <f t="shared" si="39"/>
        <v>tthew</v>
      </c>
    </row>
    <row r="1151" spans="1:5" ht="15.75" customHeight="1" x14ac:dyDescent="0.3">
      <c r="A1151" s="4" t="s">
        <v>2302</v>
      </c>
      <c r="B1151" s="4" t="s">
        <v>2303</v>
      </c>
      <c r="C1151" s="5" t="str">
        <f t="shared" si="37"/>
        <v xml:space="preserve"> Ms</v>
      </c>
      <c r="D1151" s="5" t="str">
        <f t="shared" si="40"/>
        <v>Guinn</v>
      </c>
      <c r="E1151" s="5" t="str">
        <f t="shared" si="39"/>
        <v>Julee</v>
      </c>
    </row>
    <row r="1152" spans="1:5" ht="15.75" customHeight="1" x14ac:dyDescent="0.3">
      <c r="A1152" s="4" t="s">
        <v>2304</v>
      </c>
      <c r="B1152" s="4" t="s">
        <v>2305</v>
      </c>
      <c r="C1152" s="5" t="str">
        <f t="shared" si="37"/>
        <v>, M</v>
      </c>
      <c r="D1152" s="5" t="str">
        <f t="shared" si="40"/>
        <v>Roger</v>
      </c>
      <c r="E1152" s="5" t="str">
        <f t="shared" si="39"/>
        <v>er M.</v>
      </c>
    </row>
    <row r="1153" spans="1:5" ht="15.75" customHeight="1" x14ac:dyDescent="0.3">
      <c r="A1153" s="4" t="s">
        <v>2306</v>
      </c>
      <c r="B1153" s="4" t="s">
        <v>2307</v>
      </c>
      <c r="C1153" s="5" t="str">
        <f t="shared" si="37"/>
        <v xml:space="preserve">y, </v>
      </c>
      <c r="D1153" s="5" t="str">
        <f t="shared" si="40"/>
        <v>Divin</v>
      </c>
      <c r="E1153" s="5" t="str">
        <f t="shared" si="39"/>
        <v>iaran</v>
      </c>
    </row>
    <row r="1154" spans="1:5" ht="15.75" customHeight="1" x14ac:dyDescent="0.3">
      <c r="A1154" s="4" t="s">
        <v>2308</v>
      </c>
      <c r="B1154" s="4" t="s">
        <v>2309</v>
      </c>
      <c r="C1154" s="5" t="str">
        <f t="shared" si="37"/>
        <v xml:space="preserve">t, </v>
      </c>
      <c r="D1154" s="5" t="str">
        <f t="shared" si="40"/>
        <v>Marla</v>
      </c>
      <c r="E1154" s="5" t="str">
        <f t="shared" ref="E1154:E1217" si="41">RIGHT(B1154,5)</f>
        <v xml:space="preserve"> Kara</v>
      </c>
    </row>
    <row r="1155" spans="1:5" ht="15.75" customHeight="1" x14ac:dyDescent="0.3">
      <c r="A1155" s="4" t="s">
        <v>2310</v>
      </c>
      <c r="B1155" s="4" t="s">
        <v>2311</v>
      </c>
      <c r="C1155" s="5" t="str">
        <f t="shared" si="37"/>
        <v xml:space="preserve"> Ms</v>
      </c>
      <c r="D1155" s="5" t="str">
        <f t="shared" si="40"/>
        <v>Ohler</v>
      </c>
      <c r="E1155" s="5" t="str">
        <f t="shared" si="41"/>
        <v>Makie</v>
      </c>
    </row>
    <row r="1156" spans="1:5" ht="15.75" customHeight="1" x14ac:dyDescent="0.3">
      <c r="A1156" s="4" t="s">
        <v>2312</v>
      </c>
      <c r="B1156" s="4" t="s">
        <v>2313</v>
      </c>
      <c r="C1156" s="5" t="str">
        <f t="shared" si="37"/>
        <v xml:space="preserve">r, </v>
      </c>
      <c r="D1156" s="5" t="str">
        <f t="shared" si="40"/>
        <v>Mossl</v>
      </c>
      <c r="E1156" s="5" t="str">
        <f t="shared" si="41"/>
        <v>ily E</v>
      </c>
    </row>
    <row r="1157" spans="1:5" ht="15.75" customHeight="1" x14ac:dyDescent="0.3">
      <c r="A1157" s="4" t="s">
        <v>2314</v>
      </c>
      <c r="B1157" s="4" t="s">
        <v>2315</v>
      </c>
      <c r="C1157" s="5" t="str">
        <f t="shared" si="37"/>
        <v>, M</v>
      </c>
      <c r="D1157" s="5" t="str">
        <f t="shared" si="40"/>
        <v>Segal</v>
      </c>
      <c r="E1157" s="5" t="str">
        <f t="shared" si="41"/>
        <v xml:space="preserve"> Cary</v>
      </c>
    </row>
    <row r="1158" spans="1:5" ht="15.75" customHeight="1" x14ac:dyDescent="0.3">
      <c r="A1158" s="4" t="s">
        <v>2316</v>
      </c>
      <c r="B1158" s="4" t="s">
        <v>2317</v>
      </c>
      <c r="C1158" s="5" t="str">
        <f t="shared" si="37"/>
        <v>er,</v>
      </c>
      <c r="D1158" s="5" t="str">
        <f t="shared" si="40"/>
        <v>Sprie</v>
      </c>
      <c r="E1158" s="5" t="str">
        <f t="shared" si="41"/>
        <v>teven</v>
      </c>
    </row>
    <row r="1159" spans="1:5" ht="15.75" customHeight="1" x14ac:dyDescent="0.3">
      <c r="A1159" s="4" t="s">
        <v>2318</v>
      </c>
      <c r="B1159" s="4" t="s">
        <v>2319</v>
      </c>
      <c r="C1159" s="5" t="str">
        <f t="shared" si="37"/>
        <v>, M</v>
      </c>
      <c r="D1159" s="5" t="str">
        <f t="shared" si="40"/>
        <v>Blanc</v>
      </c>
      <c r="E1159" s="5" t="str">
        <f t="shared" si="41"/>
        <v>o Sr.</v>
      </c>
    </row>
    <row r="1160" spans="1:5" ht="15.75" customHeight="1" x14ac:dyDescent="0.3">
      <c r="A1160" s="4" t="s">
        <v>2320</v>
      </c>
      <c r="B1160" s="4" t="s">
        <v>2321</v>
      </c>
      <c r="C1160" s="5" t="str">
        <f t="shared" si="37"/>
        <v>ck,</v>
      </c>
      <c r="D1160" s="5" t="str">
        <f t="shared" si="40"/>
        <v>Shept</v>
      </c>
      <c r="E1160" s="5" t="str">
        <f t="shared" si="41"/>
        <v>tiana</v>
      </c>
    </row>
    <row r="1161" spans="1:5" ht="15.75" customHeight="1" x14ac:dyDescent="0.3">
      <c r="A1161" s="4" t="s">
        <v>2322</v>
      </c>
      <c r="B1161" s="4" t="s">
        <v>2323</v>
      </c>
      <c r="C1161" s="5" t="str">
        <f t="shared" si="37"/>
        <v>ak,</v>
      </c>
      <c r="D1161" s="5" t="str">
        <f t="shared" si="40"/>
        <v>Chrun</v>
      </c>
      <c r="E1161" s="5" t="str">
        <f t="shared" si="41"/>
        <v>an T.</v>
      </c>
    </row>
    <row r="1162" spans="1:5" ht="15.75" customHeight="1" x14ac:dyDescent="0.3">
      <c r="A1162" s="4" t="s">
        <v>2324</v>
      </c>
      <c r="B1162" s="4" t="s">
        <v>2325</v>
      </c>
      <c r="C1162" s="5" t="str">
        <f t="shared" si="37"/>
        <v>, M</v>
      </c>
      <c r="D1162" s="5" t="str">
        <f t="shared" si="40"/>
        <v>Mille</v>
      </c>
      <c r="E1162" s="5" t="str">
        <f t="shared" si="41"/>
        <v>sa A.</v>
      </c>
    </row>
    <row r="1163" spans="1:5" ht="15.75" customHeight="1" x14ac:dyDescent="0.3">
      <c r="A1163" s="4" t="s">
        <v>2326</v>
      </c>
      <c r="B1163" s="4" t="s">
        <v>2327</v>
      </c>
      <c r="C1163" s="5" t="str">
        <f t="shared" si="37"/>
        <v xml:space="preserve"> Ms</v>
      </c>
      <c r="D1163" s="5" t="str">
        <f t="shared" si="40"/>
        <v>Theis</v>
      </c>
      <c r="E1163" s="5" t="str">
        <f t="shared" si="41"/>
        <v>yn E.</v>
      </c>
    </row>
    <row r="1164" spans="1:5" ht="15.75" customHeight="1" x14ac:dyDescent="0.3">
      <c r="A1164" s="4" t="s">
        <v>2328</v>
      </c>
      <c r="B1164" s="4" t="s">
        <v>2329</v>
      </c>
      <c r="C1164" s="5" t="str">
        <f t="shared" si="37"/>
        <v>, M</v>
      </c>
      <c r="D1164" s="5" t="str">
        <f t="shared" si="40"/>
        <v>Sadle</v>
      </c>
      <c r="E1164" s="5" t="str">
        <f t="shared" si="41"/>
        <v>xwell</v>
      </c>
    </row>
    <row r="1165" spans="1:5" ht="15.75" customHeight="1" x14ac:dyDescent="0.3">
      <c r="A1165" s="4" t="s">
        <v>2330</v>
      </c>
      <c r="B1165" s="4" t="s">
        <v>2331</v>
      </c>
      <c r="C1165" s="5" t="str">
        <f t="shared" si="37"/>
        <v xml:space="preserve"> Ms</v>
      </c>
      <c r="D1165" s="5" t="str">
        <f t="shared" si="40"/>
        <v>Auger</v>
      </c>
      <c r="E1165" s="5" t="str">
        <f t="shared" si="41"/>
        <v>scale</v>
      </c>
    </row>
    <row r="1166" spans="1:5" ht="15.75" customHeight="1" x14ac:dyDescent="0.3">
      <c r="A1166" s="4" t="s">
        <v>2332</v>
      </c>
      <c r="B1166" s="4" t="s">
        <v>2333</v>
      </c>
      <c r="C1166" s="5" t="str">
        <f t="shared" si="37"/>
        <v>an,</v>
      </c>
      <c r="D1166" s="5" t="str">
        <f t="shared" si="40"/>
        <v>Stead</v>
      </c>
      <c r="E1166" s="5" t="str">
        <f t="shared" si="41"/>
        <v>Becca</v>
      </c>
    </row>
    <row r="1167" spans="1:5" ht="15.75" customHeight="1" x14ac:dyDescent="0.3">
      <c r="A1167" s="4" t="s">
        <v>2334</v>
      </c>
      <c r="B1167" s="4" t="s">
        <v>2335</v>
      </c>
      <c r="C1167" s="5" t="str">
        <f t="shared" si="37"/>
        <v>on,</v>
      </c>
      <c r="D1167" s="5" t="str">
        <f t="shared" si="40"/>
        <v>McCar</v>
      </c>
      <c r="E1167" s="5" t="str">
        <f t="shared" si="41"/>
        <v>Grace</v>
      </c>
    </row>
    <row r="1168" spans="1:5" ht="15.75" customHeight="1" x14ac:dyDescent="0.3">
      <c r="A1168" s="4" t="s">
        <v>2336</v>
      </c>
      <c r="B1168" s="4" t="s">
        <v>2337</v>
      </c>
      <c r="C1168" s="5" t="str">
        <f t="shared" si="37"/>
        <v xml:space="preserve">r, </v>
      </c>
      <c r="D1168" s="5" t="str">
        <f t="shared" si="40"/>
        <v>Roeck</v>
      </c>
      <c r="E1168" s="5" t="str">
        <f t="shared" si="41"/>
        <v>antha</v>
      </c>
    </row>
    <row r="1169" spans="1:5" ht="15.75" customHeight="1" x14ac:dyDescent="0.3">
      <c r="A1169" s="4" t="s">
        <v>2338</v>
      </c>
      <c r="B1169" s="4" t="s">
        <v>2339</v>
      </c>
      <c r="C1169" s="5" t="str">
        <f t="shared" si="37"/>
        <v>ra,</v>
      </c>
      <c r="D1169" s="5" t="str">
        <f t="shared" ref="D1169:D1232" si="42">LEFT(B1169,5)</f>
        <v>Giuma</v>
      </c>
      <c r="E1169" s="5" t="str">
        <f t="shared" si="41"/>
        <v>le R.</v>
      </c>
    </row>
    <row r="1170" spans="1:5" ht="15.75" customHeight="1" x14ac:dyDescent="0.3">
      <c r="A1170" s="4" t="s">
        <v>2340</v>
      </c>
      <c r="B1170" s="4" t="s">
        <v>2341</v>
      </c>
      <c r="C1170" s="5" t="str">
        <f t="shared" si="37"/>
        <v>, M</v>
      </c>
      <c r="D1170" s="5" t="str">
        <f t="shared" si="42"/>
        <v>Peter</v>
      </c>
      <c r="E1170" s="5" t="str">
        <f t="shared" si="41"/>
        <v>vid W</v>
      </c>
    </row>
    <row r="1171" spans="1:5" ht="15.75" customHeight="1" x14ac:dyDescent="0.3">
      <c r="A1171" s="4" t="s">
        <v>2342</v>
      </c>
      <c r="B1171" s="4" t="s">
        <v>2343</v>
      </c>
      <c r="C1171" s="5" t="str">
        <f t="shared" si="37"/>
        <v xml:space="preserve"> Mr</v>
      </c>
      <c r="D1171" s="5" t="str">
        <f t="shared" si="42"/>
        <v>Bower</v>
      </c>
      <c r="E1171" s="5" t="str">
        <f t="shared" si="41"/>
        <v>Grant</v>
      </c>
    </row>
    <row r="1172" spans="1:5" ht="15.75" customHeight="1" x14ac:dyDescent="0.3">
      <c r="A1172" s="4" t="s">
        <v>2344</v>
      </c>
      <c r="B1172" s="4" t="s">
        <v>2345</v>
      </c>
      <c r="C1172" s="5" t="str">
        <f t="shared" si="37"/>
        <v>Mrs</v>
      </c>
      <c r="D1172" s="5" t="str">
        <f t="shared" si="42"/>
        <v>Chen,</v>
      </c>
      <c r="E1172" s="5" t="str">
        <f t="shared" si="41"/>
        <v>ophia</v>
      </c>
    </row>
    <row r="1173" spans="1:5" ht="15.75" customHeight="1" x14ac:dyDescent="0.3">
      <c r="A1173" s="4" t="s">
        <v>2346</v>
      </c>
      <c r="B1173" s="4" t="s">
        <v>2347</v>
      </c>
      <c r="C1173" s="5" t="str">
        <f t="shared" si="37"/>
        <v>cio</v>
      </c>
      <c r="D1173" s="5" t="str">
        <f t="shared" si="42"/>
        <v>Capri</v>
      </c>
      <c r="E1173" s="5" t="str">
        <f t="shared" si="41"/>
        <v>stina</v>
      </c>
    </row>
    <row r="1174" spans="1:5" ht="15.75" customHeight="1" x14ac:dyDescent="0.3">
      <c r="A1174" s="4" t="s">
        <v>2348</v>
      </c>
      <c r="B1174" s="4" t="s">
        <v>2349</v>
      </c>
      <c r="C1174" s="5" t="str">
        <f t="shared" si="37"/>
        <v>ck,</v>
      </c>
      <c r="D1174" s="5" t="str">
        <f t="shared" si="42"/>
        <v>Starb</v>
      </c>
      <c r="E1174" s="5" t="str">
        <f t="shared" si="41"/>
        <v>am L.</v>
      </c>
    </row>
    <row r="1175" spans="1:5" ht="15.75" customHeight="1" x14ac:dyDescent="0.3">
      <c r="A1175" s="4" t="s">
        <v>2350</v>
      </c>
      <c r="B1175" s="4" t="s">
        <v>2351</v>
      </c>
      <c r="C1175" s="5" t="str">
        <f t="shared" si="37"/>
        <v xml:space="preserve">n, </v>
      </c>
      <c r="D1175" s="5" t="str">
        <f t="shared" si="42"/>
        <v>McMah</v>
      </c>
      <c r="E1175" s="5" t="str">
        <f t="shared" si="41"/>
        <v>ey R.</v>
      </c>
    </row>
    <row r="1176" spans="1:5" ht="15.75" customHeight="1" x14ac:dyDescent="0.3">
      <c r="A1176" s="4" t="s">
        <v>2352</v>
      </c>
      <c r="B1176" s="4" t="s">
        <v>2353</v>
      </c>
      <c r="C1176" s="5" t="str">
        <f t="shared" si="37"/>
        <v xml:space="preserve">l, </v>
      </c>
      <c r="D1176" s="5" t="str">
        <f t="shared" si="42"/>
        <v>Risse</v>
      </c>
      <c r="E1176" s="5" t="str">
        <f t="shared" si="41"/>
        <v>Ethan</v>
      </c>
    </row>
    <row r="1177" spans="1:5" ht="15.75" customHeight="1" x14ac:dyDescent="0.3">
      <c r="A1177" s="4" t="s">
        <v>2354</v>
      </c>
      <c r="B1177" s="4" t="s">
        <v>2355</v>
      </c>
      <c r="C1177" s="5" t="str">
        <f t="shared" si="37"/>
        <v xml:space="preserve">y, </v>
      </c>
      <c r="D1177" s="5" t="str">
        <f t="shared" si="42"/>
        <v>Kromr</v>
      </c>
      <c r="E1177" s="5" t="str">
        <f t="shared" si="41"/>
        <v>rew W</v>
      </c>
    </row>
    <row r="1178" spans="1:5" ht="15.75" customHeight="1" x14ac:dyDescent="0.3">
      <c r="A1178" s="4" t="s">
        <v>2356</v>
      </c>
      <c r="B1178" s="4" t="s">
        <v>2357</v>
      </c>
      <c r="C1178" s="5" t="str">
        <f t="shared" si="37"/>
        <v>di,</v>
      </c>
      <c r="D1178" s="5" t="str">
        <f t="shared" si="42"/>
        <v>Manfr</v>
      </c>
      <c r="E1178" s="5" t="str">
        <f t="shared" si="41"/>
        <v>ark G</v>
      </c>
    </row>
    <row r="1179" spans="1:5" ht="15.75" customHeight="1" x14ac:dyDescent="0.3">
      <c r="A1179" s="4" t="s">
        <v>2358</v>
      </c>
      <c r="B1179" s="4" t="s">
        <v>2359</v>
      </c>
      <c r="C1179" s="5" t="str">
        <f t="shared" si="37"/>
        <v>ing</v>
      </c>
      <c r="D1179" s="5" t="str">
        <f t="shared" si="42"/>
        <v>Manwa</v>
      </c>
      <c r="E1179" s="5" t="str">
        <f t="shared" si="41"/>
        <v>ey E.</v>
      </c>
    </row>
    <row r="1180" spans="1:5" ht="15.75" customHeight="1" x14ac:dyDescent="0.3">
      <c r="A1180" s="4" t="s">
        <v>2360</v>
      </c>
      <c r="B1180" s="4" t="s">
        <v>2361</v>
      </c>
      <c r="C1180" s="5" t="str">
        <f t="shared" si="37"/>
        <v>ews</v>
      </c>
      <c r="D1180" s="5" t="str">
        <f t="shared" si="42"/>
        <v>Tomas</v>
      </c>
      <c r="E1180" s="5" t="str">
        <f t="shared" si="41"/>
        <v xml:space="preserve"> Jeff</v>
      </c>
    </row>
    <row r="1181" spans="1:5" ht="15.75" customHeight="1" x14ac:dyDescent="0.3">
      <c r="A1181" s="4" t="s">
        <v>2362</v>
      </c>
      <c r="B1181" s="4" t="s">
        <v>2363</v>
      </c>
      <c r="C1181" s="5" t="str">
        <f t="shared" si="37"/>
        <v>, M</v>
      </c>
      <c r="D1181" s="5" t="str">
        <f t="shared" si="42"/>
        <v>Ganno</v>
      </c>
      <c r="E1181" s="5" t="str">
        <f t="shared" si="41"/>
        <v xml:space="preserve">  Amy</v>
      </c>
    </row>
    <row r="1182" spans="1:5" ht="15.75" customHeight="1" x14ac:dyDescent="0.3">
      <c r="A1182" s="4" t="s">
        <v>2364</v>
      </c>
      <c r="B1182" s="4" t="s">
        <v>2365</v>
      </c>
      <c r="C1182" s="5" t="str">
        <f t="shared" si="37"/>
        <v>Mr.</v>
      </c>
      <c r="D1182" s="5" t="str">
        <f t="shared" si="42"/>
        <v>Frye,</v>
      </c>
      <c r="E1182" s="5" t="str">
        <f t="shared" si="41"/>
        <v xml:space="preserve"> Adam</v>
      </c>
    </row>
    <row r="1183" spans="1:5" ht="15.75" customHeight="1" x14ac:dyDescent="0.3">
      <c r="A1183" s="4" t="s">
        <v>2366</v>
      </c>
      <c r="B1183" s="4" t="s">
        <v>2367</v>
      </c>
      <c r="C1183" s="5" t="str">
        <f t="shared" si="37"/>
        <v xml:space="preserve">s, </v>
      </c>
      <c r="D1183" s="5" t="str">
        <f t="shared" si="42"/>
        <v>Jenki</v>
      </c>
      <c r="E1183" s="5" t="str">
        <f t="shared" si="41"/>
        <v>tin M</v>
      </c>
    </row>
    <row r="1184" spans="1:5" ht="15.75" customHeight="1" x14ac:dyDescent="0.3">
      <c r="A1184" s="4" t="s">
        <v>2368</v>
      </c>
      <c r="B1184" s="4" t="s">
        <v>2369</v>
      </c>
      <c r="C1184" s="5" t="str">
        <f t="shared" si="37"/>
        <v xml:space="preserve">r, </v>
      </c>
      <c r="D1184" s="5" t="str">
        <f t="shared" si="42"/>
        <v>Curri</v>
      </c>
      <c r="E1184" s="5" t="str">
        <f t="shared" si="41"/>
        <v>nn B.</v>
      </c>
    </row>
    <row r="1185" spans="1:5" ht="15.75" customHeight="1" x14ac:dyDescent="0.3">
      <c r="A1185" s="4" t="s">
        <v>2370</v>
      </c>
      <c r="B1185" s="4" t="s">
        <v>2371</v>
      </c>
      <c r="C1185" s="5" t="str">
        <f t="shared" si="37"/>
        <v>nda</v>
      </c>
      <c r="D1185" s="5" t="str">
        <f t="shared" si="42"/>
        <v>Whitt</v>
      </c>
      <c r="E1185" s="5" t="str">
        <f t="shared" si="41"/>
        <v>mie A</v>
      </c>
    </row>
    <row r="1186" spans="1:5" ht="15.75" customHeight="1" x14ac:dyDescent="0.3">
      <c r="A1186" s="4" t="s">
        <v>2372</v>
      </c>
      <c r="B1186" s="4" t="s">
        <v>2373</v>
      </c>
      <c r="C1186" s="5" t="str">
        <f t="shared" si="37"/>
        <v>Mr.</v>
      </c>
      <c r="D1186" s="5" t="str">
        <f t="shared" si="42"/>
        <v>Rixe,</v>
      </c>
      <c r="E1186" s="5" t="str">
        <f t="shared" si="41"/>
        <v>ey A.</v>
      </c>
    </row>
    <row r="1187" spans="1:5" ht="15.75" customHeight="1" x14ac:dyDescent="0.3">
      <c r="A1187" s="4" t="s">
        <v>2374</v>
      </c>
      <c r="B1187" s="4" t="s">
        <v>2375</v>
      </c>
      <c r="C1187" s="5" t="str">
        <f t="shared" si="37"/>
        <v>-La</v>
      </c>
      <c r="D1187" s="5" t="str">
        <f t="shared" si="42"/>
        <v>Ballo</v>
      </c>
      <c r="E1187" s="5" t="str">
        <f t="shared" si="41"/>
        <v>icole</v>
      </c>
    </row>
    <row r="1188" spans="1:5" ht="15.75" customHeight="1" x14ac:dyDescent="0.3">
      <c r="A1188" s="4" t="s">
        <v>2376</v>
      </c>
      <c r="B1188" s="4" t="s">
        <v>2377</v>
      </c>
      <c r="C1188" s="5" t="str">
        <f t="shared" si="37"/>
        <v xml:space="preserve">s, </v>
      </c>
      <c r="D1188" s="5" t="str">
        <f t="shared" si="42"/>
        <v>Zafer</v>
      </c>
      <c r="E1188" s="5" t="str">
        <f t="shared" si="41"/>
        <v>udrey</v>
      </c>
    </row>
    <row r="1189" spans="1:5" ht="15.75" customHeight="1" x14ac:dyDescent="0.3">
      <c r="A1189" s="4" t="s">
        <v>2378</v>
      </c>
      <c r="B1189" s="4" t="s">
        <v>2379</v>
      </c>
      <c r="C1189" s="5" t="str">
        <f t="shared" si="37"/>
        <v xml:space="preserve">n, </v>
      </c>
      <c r="D1189" s="5" t="str">
        <f t="shared" si="42"/>
        <v>Jacks</v>
      </c>
      <c r="E1189" s="5" t="str">
        <f t="shared" si="41"/>
        <v>Jacob</v>
      </c>
    </row>
    <row r="1190" spans="1:5" ht="15.75" customHeight="1" x14ac:dyDescent="0.3">
      <c r="A1190" s="4" t="s">
        <v>2380</v>
      </c>
      <c r="B1190" s="4" t="s">
        <v>2381</v>
      </c>
      <c r="C1190" s="5" t="str">
        <f t="shared" si="37"/>
        <v>Mar</v>
      </c>
      <c r="D1190" s="5" t="str">
        <f t="shared" si="42"/>
        <v>Evans</v>
      </c>
      <c r="E1190" s="5" t="str">
        <f t="shared" si="41"/>
        <v>iel S</v>
      </c>
    </row>
    <row r="1191" spans="1:5" ht="15.75" customHeight="1" x14ac:dyDescent="0.3">
      <c r="A1191" s="4" t="s">
        <v>2382</v>
      </c>
      <c r="B1191" s="4" t="s">
        <v>2383</v>
      </c>
      <c r="C1191" s="5" t="str">
        <f t="shared" si="37"/>
        <v xml:space="preserve">d, </v>
      </c>
      <c r="D1191" s="5" t="str">
        <f t="shared" si="42"/>
        <v>Samla</v>
      </c>
      <c r="E1191" s="5" t="str">
        <f t="shared" si="41"/>
        <v>rc C.</v>
      </c>
    </row>
    <row r="1192" spans="1:5" ht="15.75" customHeight="1" x14ac:dyDescent="0.3">
      <c r="A1192" s="4" t="s">
        <v>2384</v>
      </c>
      <c r="B1192" s="4" t="s">
        <v>2385</v>
      </c>
      <c r="C1192" s="5" t="str">
        <f t="shared" si="37"/>
        <v xml:space="preserve">o, </v>
      </c>
      <c r="D1192" s="5" t="str">
        <f t="shared" si="42"/>
        <v>Shapi</v>
      </c>
      <c r="E1192" s="5" t="str">
        <f t="shared" si="41"/>
        <v>ark S</v>
      </c>
    </row>
    <row r="1193" spans="1:5" ht="15.75" customHeight="1" x14ac:dyDescent="0.3">
      <c r="A1193" s="4" t="s">
        <v>2386</v>
      </c>
      <c r="B1193" s="4" t="s">
        <v>2387</v>
      </c>
      <c r="C1193" s="5" t="str">
        <f t="shared" si="37"/>
        <v xml:space="preserve">r, </v>
      </c>
      <c r="D1193" s="5" t="str">
        <f t="shared" si="42"/>
        <v>Snitz</v>
      </c>
      <c r="E1193" s="5" t="str">
        <f t="shared" si="41"/>
        <v xml:space="preserve">  Dan</v>
      </c>
    </row>
    <row r="1194" spans="1:5" ht="15.75" customHeight="1" x14ac:dyDescent="0.3">
      <c r="A1194" s="4" t="s">
        <v>2388</v>
      </c>
      <c r="B1194" s="4" t="s">
        <v>2389</v>
      </c>
      <c r="C1194" s="5" t="str">
        <f t="shared" si="37"/>
        <v>Arr</v>
      </c>
      <c r="D1194" s="5" t="str">
        <f t="shared" si="42"/>
        <v>Herra</v>
      </c>
      <c r="E1194" s="5" t="str">
        <f t="shared" si="41"/>
        <v>riela</v>
      </c>
    </row>
    <row r="1195" spans="1:5" ht="15.75" customHeight="1" x14ac:dyDescent="0.3">
      <c r="A1195" s="4" t="s">
        <v>2390</v>
      </c>
      <c r="B1195" s="4" t="s">
        <v>2391</v>
      </c>
      <c r="C1195" s="5" t="str">
        <f t="shared" si="37"/>
        <v xml:space="preserve">s, </v>
      </c>
      <c r="D1195" s="5" t="str">
        <f t="shared" si="42"/>
        <v>Watte</v>
      </c>
      <c r="E1195" s="5" t="str">
        <f t="shared" si="41"/>
        <v>manda</v>
      </c>
    </row>
    <row r="1196" spans="1:5" ht="15.75" customHeight="1" x14ac:dyDescent="0.3">
      <c r="A1196" s="4" t="s">
        <v>2392</v>
      </c>
      <c r="B1196" s="4" t="s">
        <v>2393</v>
      </c>
      <c r="C1196" s="5" t="str">
        <f t="shared" si="37"/>
        <v>-Be</v>
      </c>
      <c r="D1196" s="5" t="str">
        <f t="shared" si="42"/>
        <v>Steel</v>
      </c>
      <c r="E1196" s="5" t="str">
        <f t="shared" si="41"/>
        <v xml:space="preserve"> Dara</v>
      </c>
    </row>
    <row r="1197" spans="1:5" ht="15.75" customHeight="1" x14ac:dyDescent="0.3">
      <c r="A1197" s="4" t="s">
        <v>2394</v>
      </c>
      <c r="B1197" s="4" t="s">
        <v>2395</v>
      </c>
      <c r="C1197" s="5" t="str">
        <f t="shared" si="37"/>
        <v>ens</v>
      </c>
      <c r="D1197" s="5" t="str">
        <f t="shared" si="42"/>
        <v>Chris</v>
      </c>
      <c r="E1197" s="5" t="str">
        <f t="shared" si="41"/>
        <v>lle R</v>
      </c>
    </row>
    <row r="1198" spans="1:5" ht="15.75" customHeight="1" x14ac:dyDescent="0.3">
      <c r="A1198" s="4" t="s">
        <v>2396</v>
      </c>
      <c r="B1198" s="4" t="s">
        <v>2397</v>
      </c>
      <c r="C1198" s="5" t="str">
        <f t="shared" si="37"/>
        <v xml:space="preserve"> Ms</v>
      </c>
      <c r="D1198" s="5" t="str">
        <f t="shared" si="42"/>
        <v>Hodge</v>
      </c>
      <c r="E1198" s="5" t="str">
        <f t="shared" si="41"/>
        <v>nda J</v>
      </c>
    </row>
    <row r="1199" spans="1:5" ht="15.75" customHeight="1" x14ac:dyDescent="0.3">
      <c r="A1199" s="4" t="s">
        <v>2398</v>
      </c>
      <c r="B1199" s="4" t="s">
        <v>2399</v>
      </c>
      <c r="C1199" s="5" t="str">
        <f t="shared" si="37"/>
        <v>hol</v>
      </c>
      <c r="D1199" s="5" t="str">
        <f t="shared" si="42"/>
        <v>Ruste</v>
      </c>
      <c r="E1199" s="5" t="str">
        <f t="shared" si="41"/>
        <v xml:space="preserve">  Tim</v>
      </c>
    </row>
    <row r="1200" spans="1:5" ht="15.75" customHeight="1" x14ac:dyDescent="0.3">
      <c r="A1200" s="4" t="s">
        <v>2400</v>
      </c>
      <c r="B1200" s="4" t="s">
        <v>2401</v>
      </c>
      <c r="C1200" s="5" t="str">
        <f t="shared" si="37"/>
        <v>ce,</v>
      </c>
      <c r="D1200" s="5" t="str">
        <f t="shared" si="42"/>
        <v>Lafra</v>
      </c>
      <c r="E1200" s="5" t="str">
        <f t="shared" si="41"/>
        <v>lvain</v>
      </c>
    </row>
    <row r="1201" spans="1:5" ht="15.75" customHeight="1" x14ac:dyDescent="0.3">
      <c r="A1201" s="4" t="s">
        <v>2402</v>
      </c>
      <c r="B1201" s="4" t="s">
        <v>2403</v>
      </c>
      <c r="C1201" s="5" t="str">
        <f t="shared" si="37"/>
        <v>, M</v>
      </c>
      <c r="D1201" s="5" t="str">
        <f t="shared" si="42"/>
        <v>Halli</v>
      </c>
      <c r="E1201" s="5" t="str">
        <f t="shared" si="41"/>
        <v>isa M</v>
      </c>
    </row>
    <row r="1202" spans="1:5" ht="15.75" customHeight="1" x14ac:dyDescent="0.3">
      <c r="A1202" s="4" t="s">
        <v>2404</v>
      </c>
      <c r="B1202" s="4" t="s">
        <v>2405</v>
      </c>
      <c r="C1202" s="5" t="str">
        <f t="shared" si="37"/>
        <v>ll,</v>
      </c>
      <c r="D1202" s="5" t="str">
        <f t="shared" si="42"/>
        <v>Marsh</v>
      </c>
      <c r="E1202" s="5" t="str">
        <f t="shared" si="41"/>
        <v xml:space="preserve"> Ryan</v>
      </c>
    </row>
    <row r="1203" spans="1:5" ht="15.75" customHeight="1" x14ac:dyDescent="0.3">
      <c r="A1203" s="4" t="s">
        <v>2406</v>
      </c>
      <c r="B1203" s="4" t="s">
        <v>2407</v>
      </c>
      <c r="C1203" s="5" t="str">
        <f t="shared" si="37"/>
        <v>tz,</v>
      </c>
      <c r="D1203" s="5" t="str">
        <f t="shared" si="42"/>
        <v>Salow</v>
      </c>
      <c r="E1203" s="5" t="str">
        <f t="shared" si="41"/>
        <v>lin M</v>
      </c>
    </row>
    <row r="1204" spans="1:5" ht="15.75" customHeight="1" x14ac:dyDescent="0.3">
      <c r="A1204" s="4" t="s">
        <v>2408</v>
      </c>
      <c r="B1204" s="4" t="s">
        <v>2409</v>
      </c>
      <c r="C1204" s="5" t="str">
        <f t="shared" si="37"/>
        <v xml:space="preserve"> Mr</v>
      </c>
      <c r="D1204" s="5" t="str">
        <f t="shared" si="42"/>
        <v>Blake</v>
      </c>
      <c r="E1204" s="5" t="str">
        <f t="shared" si="41"/>
        <v>am R.</v>
      </c>
    </row>
    <row r="1205" spans="1:5" ht="15.75" customHeight="1" x14ac:dyDescent="0.3">
      <c r="A1205" s="4" t="s">
        <v>2410</v>
      </c>
      <c r="B1205" s="4" t="s">
        <v>2411</v>
      </c>
      <c r="C1205" s="5" t="str">
        <f t="shared" si="37"/>
        <v>ak,</v>
      </c>
      <c r="D1205" s="5" t="str">
        <f t="shared" si="42"/>
        <v>Lange</v>
      </c>
      <c r="E1205" s="5" t="str">
        <f t="shared" si="41"/>
        <v>Bruce</v>
      </c>
    </row>
    <row r="1206" spans="1:5" ht="15.75" customHeight="1" x14ac:dyDescent="0.3">
      <c r="A1206" s="4" t="s">
        <v>2412</v>
      </c>
      <c r="B1206" s="4" t="s">
        <v>2413</v>
      </c>
      <c r="C1206" s="5" t="str">
        <f t="shared" si="37"/>
        <v xml:space="preserve">a, </v>
      </c>
      <c r="D1206" s="5" t="str">
        <f t="shared" si="42"/>
        <v>Bonil</v>
      </c>
      <c r="E1206" s="5" t="str">
        <f t="shared" si="41"/>
        <v>onica</v>
      </c>
    </row>
    <row r="1207" spans="1:5" ht="15.75" customHeight="1" x14ac:dyDescent="0.3">
      <c r="A1207" s="4" t="s">
        <v>2414</v>
      </c>
      <c r="B1207" s="4" t="s">
        <v>2415</v>
      </c>
      <c r="C1207" s="5" t="str">
        <f t="shared" si="37"/>
        <v>ton</v>
      </c>
      <c r="D1207" s="5" t="str">
        <f t="shared" si="42"/>
        <v>Ciaba</v>
      </c>
      <c r="E1207" s="5" t="str">
        <f t="shared" si="41"/>
        <v>arren</v>
      </c>
    </row>
    <row r="1208" spans="1:5" ht="15.75" customHeight="1" x14ac:dyDescent="0.3">
      <c r="A1208" s="4" t="s">
        <v>2416</v>
      </c>
      <c r="B1208" s="4" t="s">
        <v>2417</v>
      </c>
      <c r="C1208" s="5" t="str">
        <f t="shared" si="37"/>
        <v xml:space="preserve">ro </v>
      </c>
      <c r="D1208" s="5" t="str">
        <f t="shared" si="42"/>
        <v>Escan</v>
      </c>
      <c r="E1208" s="5" t="str">
        <f t="shared" si="41"/>
        <v>niela</v>
      </c>
    </row>
    <row r="1209" spans="1:5" ht="15.75" customHeight="1" x14ac:dyDescent="0.3">
      <c r="A1209" s="4" t="s">
        <v>2418</v>
      </c>
      <c r="B1209" s="4" t="s">
        <v>2419</v>
      </c>
      <c r="C1209" s="5" t="str">
        <f t="shared" si="37"/>
        <v>Ms.</v>
      </c>
      <c r="D1209" s="5" t="str">
        <f t="shared" si="42"/>
        <v>Lowe,</v>
      </c>
      <c r="E1209" s="5" t="str">
        <f t="shared" si="41"/>
        <v>dre A</v>
      </c>
    </row>
    <row r="1210" spans="1:5" ht="15.75" customHeight="1" x14ac:dyDescent="0.3">
      <c r="A1210" s="4" t="s">
        <v>2420</v>
      </c>
      <c r="B1210" s="4" t="s">
        <v>2421</v>
      </c>
      <c r="C1210" s="5" t="str">
        <f t="shared" si="37"/>
        <v>, M</v>
      </c>
      <c r="D1210" s="5" t="str">
        <f t="shared" si="42"/>
        <v>Osmar</v>
      </c>
      <c r="E1210" s="5" t="str">
        <f t="shared" si="41"/>
        <v>thias</v>
      </c>
    </row>
    <row r="1211" spans="1:5" ht="15.75" customHeight="1" x14ac:dyDescent="0.3">
      <c r="A1211" s="4" t="s">
        <v>2422</v>
      </c>
      <c r="B1211" s="4" t="s">
        <v>2423</v>
      </c>
      <c r="C1211" s="5" t="str">
        <f t="shared" si="37"/>
        <v>, M</v>
      </c>
      <c r="D1211" s="5" t="str">
        <f t="shared" si="42"/>
        <v>Lawso</v>
      </c>
      <c r="E1211" s="5" t="str">
        <f t="shared" si="41"/>
        <v>tthew</v>
      </c>
    </row>
    <row r="1212" spans="1:5" ht="15.75" customHeight="1" x14ac:dyDescent="0.3">
      <c r="A1212" s="4" t="s">
        <v>2424</v>
      </c>
      <c r="B1212" s="4" t="s">
        <v>2425</v>
      </c>
      <c r="C1212" s="5" t="str">
        <f t="shared" si="37"/>
        <v xml:space="preserve">k, </v>
      </c>
      <c r="D1212" s="5" t="str">
        <f t="shared" si="42"/>
        <v>Warwi</v>
      </c>
      <c r="E1212" s="5" t="str">
        <f t="shared" si="41"/>
        <v xml:space="preserve"> Kurt</v>
      </c>
    </row>
    <row r="1213" spans="1:5" ht="15.75" customHeight="1" x14ac:dyDescent="0.3">
      <c r="A1213" s="4" t="s">
        <v>2426</v>
      </c>
      <c r="B1213" s="4" t="s">
        <v>2427</v>
      </c>
      <c r="C1213" s="5" t="str">
        <f t="shared" si="37"/>
        <v>on,</v>
      </c>
      <c r="D1213" s="5" t="str">
        <f t="shared" si="42"/>
        <v>Magnu</v>
      </c>
      <c r="E1213" s="5" t="str">
        <f t="shared" si="41"/>
        <v>amuel</v>
      </c>
    </row>
    <row r="1214" spans="1:5" ht="15.75" customHeight="1" x14ac:dyDescent="0.3">
      <c r="A1214" s="4" t="s">
        <v>2428</v>
      </c>
      <c r="B1214" s="4" t="s">
        <v>2429</v>
      </c>
      <c r="C1214" s="5" t="str">
        <f t="shared" si="37"/>
        <v xml:space="preserve"> Mr</v>
      </c>
      <c r="D1214" s="5" t="str">
        <f t="shared" si="42"/>
        <v>Marsh</v>
      </c>
      <c r="E1214" s="5" t="str">
        <f t="shared" si="41"/>
        <v>Emily</v>
      </c>
    </row>
    <row r="1215" spans="1:5" ht="15.75" customHeight="1" x14ac:dyDescent="0.3">
      <c r="A1215" s="4" t="s">
        <v>2430</v>
      </c>
      <c r="B1215" s="4" t="s">
        <v>2431</v>
      </c>
      <c r="C1215" s="5" t="str">
        <f t="shared" si="37"/>
        <v>Ms.</v>
      </c>
      <c r="D1215" s="5" t="str">
        <f t="shared" si="42"/>
        <v>Kari,</v>
      </c>
      <c r="E1215" s="5" t="str">
        <f t="shared" si="41"/>
        <v>ffany</v>
      </c>
    </row>
    <row r="1216" spans="1:5" ht="15.75" customHeight="1" x14ac:dyDescent="0.3">
      <c r="A1216" s="4" t="s">
        <v>2432</v>
      </c>
      <c r="B1216" s="4" t="s">
        <v>2433</v>
      </c>
      <c r="C1216" s="5" t="str">
        <f t="shared" si="37"/>
        <v>for</v>
      </c>
      <c r="D1216" s="5" t="str">
        <f t="shared" si="42"/>
        <v>Stand</v>
      </c>
      <c r="E1216" s="5" t="str">
        <f t="shared" si="41"/>
        <v>lex F</v>
      </c>
    </row>
    <row r="1217" spans="1:5" ht="15.75" customHeight="1" x14ac:dyDescent="0.3">
      <c r="A1217" s="4" t="s">
        <v>2434</v>
      </c>
      <c r="B1217" s="4" t="s">
        <v>2435</v>
      </c>
      <c r="C1217" s="5" t="str">
        <f t="shared" si="37"/>
        <v xml:space="preserve">n, </v>
      </c>
      <c r="D1217" s="5" t="str">
        <f t="shared" si="42"/>
        <v>Sherw</v>
      </c>
      <c r="E1217" s="5" t="str">
        <f t="shared" si="41"/>
        <v>Alice</v>
      </c>
    </row>
    <row r="1218" spans="1:5" ht="15.75" customHeight="1" x14ac:dyDescent="0.3">
      <c r="A1218" s="4" t="s">
        <v>2436</v>
      </c>
      <c r="B1218" s="4" t="s">
        <v>2437</v>
      </c>
      <c r="C1218" s="5" t="str">
        <f t="shared" si="37"/>
        <v>, M</v>
      </c>
      <c r="D1218" s="5" t="str">
        <f t="shared" si="42"/>
        <v>Parke</v>
      </c>
      <c r="E1218" s="5" t="str">
        <f t="shared" ref="E1218:E1281" si="43">RIGHT(B1218,5)</f>
        <v>on M.</v>
      </c>
    </row>
    <row r="1219" spans="1:5" ht="15.75" customHeight="1" x14ac:dyDescent="0.3">
      <c r="A1219" s="4" t="s">
        <v>2438</v>
      </c>
      <c r="B1219" s="4" t="s">
        <v>2439</v>
      </c>
      <c r="C1219" s="5" t="str">
        <f t="shared" si="37"/>
        <v xml:space="preserve">i, </v>
      </c>
      <c r="D1219" s="5" t="str">
        <f t="shared" si="42"/>
        <v>Bleke</v>
      </c>
      <c r="E1219" s="5" t="str">
        <f t="shared" si="43"/>
        <v>stand</v>
      </c>
    </row>
    <row r="1220" spans="1:5" ht="15.75" customHeight="1" x14ac:dyDescent="0.3">
      <c r="A1220" s="4" t="s">
        <v>2440</v>
      </c>
      <c r="B1220" s="4" t="s">
        <v>2441</v>
      </c>
      <c r="C1220" s="5" t="str">
        <f t="shared" si="37"/>
        <v>ple</v>
      </c>
      <c r="D1220" s="5" t="str">
        <f t="shared" si="42"/>
        <v>Vanga</v>
      </c>
      <c r="E1220" s="5" t="str">
        <f t="shared" si="43"/>
        <v>ephen</v>
      </c>
    </row>
    <row r="1221" spans="1:5" ht="15.75" customHeight="1" x14ac:dyDescent="0.3">
      <c r="A1221" s="4" t="s">
        <v>2442</v>
      </c>
      <c r="B1221" s="4" t="s">
        <v>2443</v>
      </c>
      <c r="C1221" s="5" t="str">
        <f t="shared" si="37"/>
        <v xml:space="preserve"> Mr</v>
      </c>
      <c r="D1221" s="5" t="str">
        <f t="shared" si="42"/>
        <v>Hiatt</v>
      </c>
      <c r="E1221" s="5" t="str">
        <f t="shared" si="43"/>
        <v>Jon M</v>
      </c>
    </row>
    <row r="1222" spans="1:5" ht="15.75" customHeight="1" x14ac:dyDescent="0.3">
      <c r="A1222" s="4" t="s">
        <v>2444</v>
      </c>
      <c r="B1222" s="4" t="s">
        <v>2445</v>
      </c>
      <c r="C1222" s="5" t="str">
        <f t="shared" si="37"/>
        <v xml:space="preserve">e, </v>
      </c>
      <c r="D1222" s="5" t="str">
        <f t="shared" si="42"/>
        <v>Tades</v>
      </c>
      <c r="E1222" s="5" t="str">
        <f t="shared" si="43"/>
        <v>Fasil</v>
      </c>
    </row>
    <row r="1223" spans="1:5" ht="15.75" customHeight="1" x14ac:dyDescent="0.3">
      <c r="A1223" s="4" t="s">
        <v>2446</v>
      </c>
      <c r="B1223" s="4" t="s">
        <v>2447</v>
      </c>
      <c r="C1223" s="5" t="str">
        <f t="shared" si="37"/>
        <v xml:space="preserve">l, </v>
      </c>
      <c r="D1223" s="5" t="str">
        <f t="shared" si="42"/>
        <v>Jaswe</v>
      </c>
      <c r="E1223" s="5" t="str">
        <f t="shared" si="43"/>
        <v>an C.</v>
      </c>
    </row>
    <row r="1224" spans="1:5" ht="15.75" customHeight="1" x14ac:dyDescent="0.3">
      <c r="A1224" s="4" t="s">
        <v>2448</v>
      </c>
      <c r="B1224" s="4" t="s">
        <v>2449</v>
      </c>
      <c r="C1224" s="5" t="str">
        <f t="shared" si="37"/>
        <v>ps-</v>
      </c>
      <c r="D1224" s="5" t="str">
        <f t="shared" si="42"/>
        <v>Phill</v>
      </c>
      <c r="E1224" s="5" t="str">
        <f t="shared" si="43"/>
        <v>sa J.</v>
      </c>
    </row>
    <row r="1225" spans="1:5" ht="15.75" customHeight="1" x14ac:dyDescent="0.3">
      <c r="A1225" s="4" t="s">
        <v>2450</v>
      </c>
      <c r="B1225" s="4" t="s">
        <v>2451</v>
      </c>
      <c r="C1225" s="5" t="str">
        <f t="shared" si="37"/>
        <v xml:space="preserve"> Mr</v>
      </c>
      <c r="D1225" s="5" t="str">
        <f t="shared" si="42"/>
        <v>Clark</v>
      </c>
      <c r="E1225" s="5" t="str">
        <f t="shared" si="43"/>
        <v>ron P</v>
      </c>
    </row>
    <row r="1226" spans="1:5" ht="15.75" customHeight="1" x14ac:dyDescent="0.3">
      <c r="A1226" s="4" t="s">
        <v>2452</v>
      </c>
      <c r="B1226" s="4" t="s">
        <v>2453</v>
      </c>
      <c r="C1226" s="5" t="str">
        <f t="shared" si="37"/>
        <v>Ms.</v>
      </c>
      <c r="D1226" s="5" t="str">
        <f t="shared" si="42"/>
        <v>Wang,</v>
      </c>
      <c r="E1226" s="5" t="str">
        <f t="shared" si="43"/>
        <v>arina</v>
      </c>
    </row>
    <row r="1227" spans="1:5" ht="15.75" customHeight="1" x14ac:dyDescent="0.3">
      <c r="A1227" s="4" t="s">
        <v>2454</v>
      </c>
      <c r="B1227" s="4" t="s">
        <v>2455</v>
      </c>
      <c r="C1227" s="5" t="str">
        <f t="shared" si="37"/>
        <v>sse</v>
      </c>
      <c r="D1227" s="5" t="str">
        <f t="shared" si="42"/>
        <v>Desru</v>
      </c>
      <c r="E1227" s="5" t="str">
        <f t="shared" si="43"/>
        <v xml:space="preserve"> Carl</v>
      </c>
    </row>
    <row r="1228" spans="1:5" ht="15.75" customHeight="1" x14ac:dyDescent="0.3">
      <c r="A1228" s="4" t="s">
        <v>2456</v>
      </c>
      <c r="B1228" s="4" t="s">
        <v>2457</v>
      </c>
      <c r="C1228" s="5" t="str">
        <f t="shared" si="37"/>
        <v>Ms.</v>
      </c>
      <c r="D1228" s="5" t="str">
        <f t="shared" si="42"/>
        <v>Ripp,</v>
      </c>
      <c r="E1228" s="5" t="str">
        <f t="shared" si="43"/>
        <v>ey J.</v>
      </c>
    </row>
    <row r="1229" spans="1:5" ht="15.75" customHeight="1" x14ac:dyDescent="0.3">
      <c r="A1229" s="4" t="s">
        <v>2458</v>
      </c>
      <c r="B1229" s="4" t="s">
        <v>2459</v>
      </c>
      <c r="C1229" s="5" t="str">
        <f t="shared" si="37"/>
        <v>, M</v>
      </c>
      <c r="D1229" s="5" t="str">
        <f t="shared" si="42"/>
        <v>Harri</v>
      </c>
      <c r="E1229" s="5" t="str">
        <f t="shared" si="43"/>
        <v>en A.</v>
      </c>
    </row>
    <row r="1230" spans="1:5" ht="15.75" customHeight="1" x14ac:dyDescent="0.3">
      <c r="A1230" s="4" t="s">
        <v>2460</v>
      </c>
      <c r="B1230" s="4" t="s">
        <v>2461</v>
      </c>
      <c r="C1230" s="5" t="str">
        <f t="shared" si="37"/>
        <v>, M</v>
      </c>
      <c r="D1230" s="5" t="str">
        <f t="shared" si="42"/>
        <v>Shafe</v>
      </c>
      <c r="E1230" s="5" t="str">
        <f t="shared" si="43"/>
        <v xml:space="preserve">  Dan</v>
      </c>
    </row>
    <row r="1231" spans="1:5" ht="15.75" customHeight="1" x14ac:dyDescent="0.3">
      <c r="A1231" s="4" t="s">
        <v>2462</v>
      </c>
      <c r="B1231" s="4" t="s">
        <v>2463</v>
      </c>
      <c r="C1231" s="5" t="str">
        <f t="shared" si="37"/>
        <v>th,</v>
      </c>
      <c r="D1231" s="5" t="str">
        <f t="shared" si="42"/>
        <v>Hemes</v>
      </c>
      <c r="E1231" s="5" t="str">
        <f t="shared" si="43"/>
        <v>tie C</v>
      </c>
    </row>
    <row r="1232" spans="1:5" ht="15.75" customHeight="1" x14ac:dyDescent="0.3">
      <c r="A1232" s="4" t="s">
        <v>2464</v>
      </c>
      <c r="B1232" s="4" t="s">
        <v>2465</v>
      </c>
      <c r="C1232" s="5" t="str">
        <f t="shared" si="37"/>
        <v xml:space="preserve"> Ms</v>
      </c>
      <c r="D1232" s="5" t="str">
        <f t="shared" si="42"/>
        <v>Vinci</v>
      </c>
      <c r="E1232" s="5" t="str">
        <f t="shared" si="43"/>
        <v>ssa K</v>
      </c>
    </row>
    <row r="1233" spans="1:5" ht="15.75" customHeight="1" x14ac:dyDescent="0.3">
      <c r="A1233" s="4" t="s">
        <v>2466</v>
      </c>
      <c r="B1233" s="4" t="s">
        <v>2467</v>
      </c>
      <c r="C1233" s="5" t="str">
        <f t="shared" si="37"/>
        <v>d-H</v>
      </c>
      <c r="D1233" s="5" t="str">
        <f t="shared" ref="D1233:D1296" si="44">LEFT(B1233,5)</f>
        <v>Diamo</v>
      </c>
      <c r="E1233" s="5" t="str">
        <f t="shared" si="43"/>
        <v>ara H</v>
      </c>
    </row>
    <row r="1234" spans="1:5" ht="15.75" customHeight="1" x14ac:dyDescent="0.3">
      <c r="A1234" s="4" t="s">
        <v>2468</v>
      </c>
      <c r="B1234" s="4" t="s">
        <v>2469</v>
      </c>
      <c r="C1234" s="5" t="str">
        <f t="shared" si="37"/>
        <v>Mr.</v>
      </c>
      <c r="D1234" s="5" t="str">
        <f t="shared" si="44"/>
        <v>Soto,</v>
      </c>
      <c r="E1234" s="5" t="str">
        <f t="shared" si="43"/>
        <v>arlos</v>
      </c>
    </row>
    <row r="1235" spans="1:5" ht="15.75" customHeight="1" x14ac:dyDescent="0.3">
      <c r="A1235" s="4" t="s">
        <v>2470</v>
      </c>
      <c r="B1235" s="4" t="s">
        <v>2471</v>
      </c>
      <c r="C1235" s="5" t="str">
        <f t="shared" si="37"/>
        <v>, M</v>
      </c>
      <c r="D1235" s="5" t="str">
        <f t="shared" si="44"/>
        <v>Howar</v>
      </c>
      <c r="E1235" s="5" t="str">
        <f t="shared" si="43"/>
        <v>n III</v>
      </c>
    </row>
    <row r="1236" spans="1:5" ht="15.75" customHeight="1" x14ac:dyDescent="0.3">
      <c r="A1236" s="4" t="s">
        <v>2472</v>
      </c>
      <c r="B1236" s="4" t="s">
        <v>2473</v>
      </c>
      <c r="C1236" s="5" t="str">
        <f t="shared" si="37"/>
        <v xml:space="preserve">k, </v>
      </c>
      <c r="D1236" s="5" t="str">
        <f t="shared" si="44"/>
        <v>Patri</v>
      </c>
      <c r="E1236" s="5" t="str">
        <f t="shared" si="43"/>
        <v>rah M</v>
      </c>
    </row>
    <row r="1237" spans="1:5" ht="15.75" customHeight="1" x14ac:dyDescent="0.3">
      <c r="A1237" s="4" t="s">
        <v>2474</v>
      </c>
      <c r="B1237" s="4" t="s">
        <v>2475</v>
      </c>
      <c r="C1237" s="5" t="str">
        <f t="shared" si="37"/>
        <v xml:space="preserve"> Mr</v>
      </c>
      <c r="D1237" s="5" t="str">
        <f t="shared" si="44"/>
        <v>Dacko</v>
      </c>
      <c r="E1237" s="5" t="str">
        <f t="shared" si="43"/>
        <v>tin C</v>
      </c>
    </row>
    <row r="1238" spans="1:5" ht="15.75" customHeight="1" x14ac:dyDescent="0.3">
      <c r="A1238" s="4" t="s">
        <v>2476</v>
      </c>
      <c r="B1238" s="4" t="s">
        <v>2477</v>
      </c>
      <c r="C1238" s="5" t="str">
        <f t="shared" si="37"/>
        <v xml:space="preserve">y, </v>
      </c>
      <c r="D1238" s="5" t="str">
        <f t="shared" si="44"/>
        <v>Glass</v>
      </c>
      <c r="E1238" s="5" t="str">
        <f t="shared" si="43"/>
        <v>ey M.</v>
      </c>
    </row>
    <row r="1239" spans="1:5" ht="15.75" customHeight="1" x14ac:dyDescent="0.3">
      <c r="A1239" s="4" t="s">
        <v>2478</v>
      </c>
      <c r="B1239" s="4" t="s">
        <v>2479</v>
      </c>
      <c r="C1239" s="5" t="str">
        <f t="shared" si="37"/>
        <v>tte</v>
      </c>
      <c r="D1239" s="5" t="str">
        <f t="shared" si="44"/>
        <v>Frech</v>
      </c>
      <c r="E1239" s="5" t="str">
        <f t="shared" si="43"/>
        <v>amuel</v>
      </c>
    </row>
    <row r="1240" spans="1:5" ht="15.75" customHeight="1" x14ac:dyDescent="0.3">
      <c r="A1240" s="4" t="s">
        <v>2480</v>
      </c>
      <c r="B1240" s="4" t="s">
        <v>2481</v>
      </c>
      <c r="C1240" s="5" t="str">
        <f t="shared" si="37"/>
        <v xml:space="preserve">z, </v>
      </c>
      <c r="D1240" s="5" t="str">
        <f t="shared" si="44"/>
        <v>Benit</v>
      </c>
      <c r="E1240" s="5" t="str">
        <f t="shared" si="43"/>
        <v>aulio</v>
      </c>
    </row>
    <row r="1241" spans="1:5" ht="15.75" customHeight="1" x14ac:dyDescent="0.3">
      <c r="A1241" s="4" t="s">
        <v>2482</v>
      </c>
      <c r="B1241" s="4" t="s">
        <v>2483</v>
      </c>
      <c r="C1241" s="5" t="str">
        <f t="shared" si="37"/>
        <v>er,</v>
      </c>
      <c r="D1241" s="5" t="str">
        <f t="shared" si="44"/>
        <v>Gauth</v>
      </c>
      <c r="E1241" s="5" t="str">
        <f t="shared" si="43"/>
        <v>Marie</v>
      </c>
    </row>
    <row r="1242" spans="1:5" ht="15.75" customHeight="1" x14ac:dyDescent="0.3">
      <c r="A1242" s="4" t="s">
        <v>2484</v>
      </c>
      <c r="B1242" s="4" t="s">
        <v>2485</v>
      </c>
      <c r="C1242" s="5" t="str">
        <f t="shared" si="37"/>
        <v xml:space="preserve">i, </v>
      </c>
      <c r="D1242" s="5" t="str">
        <f t="shared" si="44"/>
        <v>Fazio</v>
      </c>
      <c r="E1242" s="5" t="str">
        <f t="shared" si="43"/>
        <v>el K.</v>
      </c>
    </row>
    <row r="1243" spans="1:5" ht="15.75" customHeight="1" x14ac:dyDescent="0.3">
      <c r="A1243" s="4" t="s">
        <v>2486</v>
      </c>
      <c r="B1243" s="4" t="s">
        <v>2487</v>
      </c>
      <c r="C1243" s="5" t="str">
        <f t="shared" si="37"/>
        <v xml:space="preserve">y, </v>
      </c>
      <c r="D1243" s="5" t="str">
        <f t="shared" si="44"/>
        <v>Chorn</v>
      </c>
      <c r="E1243" s="5" t="str">
        <f t="shared" si="43"/>
        <v xml:space="preserve"> Yuki</v>
      </c>
    </row>
    <row r="1244" spans="1:5" ht="15.75" customHeight="1" x14ac:dyDescent="0.3">
      <c r="A1244" s="4" t="s">
        <v>2488</v>
      </c>
      <c r="B1244" s="4" t="s">
        <v>2489</v>
      </c>
      <c r="C1244" s="5" t="str">
        <f t="shared" si="37"/>
        <v>hau</v>
      </c>
      <c r="D1244" s="5" t="str">
        <f t="shared" si="44"/>
        <v>Danne</v>
      </c>
      <c r="E1244" s="5" t="str">
        <f t="shared" si="43"/>
        <v>Rafer</v>
      </c>
    </row>
    <row r="1245" spans="1:5" ht="15.75" customHeight="1" x14ac:dyDescent="0.3">
      <c r="A1245" s="4" t="s">
        <v>2490</v>
      </c>
      <c r="B1245" s="4" t="s">
        <v>2491</v>
      </c>
      <c r="C1245" s="5" t="str">
        <f t="shared" si="37"/>
        <v>, M</v>
      </c>
      <c r="D1245" s="5" t="str">
        <f t="shared" si="44"/>
        <v>McCom</v>
      </c>
      <c r="E1245" s="5" t="str">
        <f t="shared" si="43"/>
        <v>laire</v>
      </c>
    </row>
    <row r="1246" spans="1:5" ht="15.75" customHeight="1" x14ac:dyDescent="0.3">
      <c r="A1246" s="4" t="s">
        <v>2492</v>
      </c>
      <c r="B1246" s="4" t="s">
        <v>2493</v>
      </c>
      <c r="C1246" s="5" t="str">
        <f t="shared" si="37"/>
        <v xml:space="preserve"> Ms</v>
      </c>
      <c r="D1246" s="5" t="str">
        <f t="shared" si="44"/>
        <v>Blake</v>
      </c>
      <c r="E1246" s="5" t="str">
        <f t="shared" si="43"/>
        <v>nn J.</v>
      </c>
    </row>
    <row r="1247" spans="1:5" ht="15.75" customHeight="1" x14ac:dyDescent="0.3">
      <c r="A1247" s="4" t="s">
        <v>2494</v>
      </c>
      <c r="B1247" s="4" t="s">
        <v>2495</v>
      </c>
      <c r="C1247" s="5" t="str">
        <f t="shared" si="37"/>
        <v>iva</v>
      </c>
      <c r="D1247" s="5" t="str">
        <f t="shared" si="44"/>
        <v>Samba</v>
      </c>
      <c r="E1247" s="5" t="str">
        <f t="shared" si="43"/>
        <v>ahesh</v>
      </c>
    </row>
    <row r="1248" spans="1:5" ht="15.75" customHeight="1" x14ac:dyDescent="0.3">
      <c r="A1248" s="4" t="s">
        <v>2496</v>
      </c>
      <c r="B1248" s="4" t="s">
        <v>2497</v>
      </c>
      <c r="C1248" s="5" t="str">
        <f t="shared" si="37"/>
        <v xml:space="preserve"> Mr</v>
      </c>
      <c r="D1248" s="5" t="str">
        <f t="shared" si="44"/>
        <v>Maina</v>
      </c>
      <c r="E1248" s="5" t="str">
        <f t="shared" si="43"/>
        <v>anley</v>
      </c>
    </row>
    <row r="1249" spans="1:5" ht="15.75" customHeight="1" x14ac:dyDescent="0.3">
      <c r="A1249" s="4" t="s">
        <v>2498</v>
      </c>
      <c r="B1249" s="4" t="s">
        <v>2499</v>
      </c>
      <c r="C1249" s="5" t="str">
        <f t="shared" si="37"/>
        <v xml:space="preserve">n, </v>
      </c>
      <c r="D1249" s="5" t="str">
        <f t="shared" si="44"/>
        <v>Keshi</v>
      </c>
      <c r="E1249" s="5" t="str">
        <f t="shared" si="43"/>
        <v>egory</v>
      </c>
    </row>
    <row r="1250" spans="1:5" ht="15.75" customHeight="1" x14ac:dyDescent="0.3">
      <c r="A1250" s="4" t="s">
        <v>2500</v>
      </c>
      <c r="B1250" s="4" t="s">
        <v>2501</v>
      </c>
      <c r="C1250" s="5" t="str">
        <f t="shared" si="37"/>
        <v>Mr.</v>
      </c>
      <c r="D1250" s="5" t="str">
        <f t="shared" si="44"/>
        <v>Maas,</v>
      </c>
      <c r="E1250" s="5" t="str">
        <f t="shared" si="43"/>
        <v xml:space="preserve"> Eric</v>
      </c>
    </row>
    <row r="1251" spans="1:5" ht="15.75" customHeight="1" x14ac:dyDescent="0.3">
      <c r="A1251" s="4" t="s">
        <v>2502</v>
      </c>
      <c r="B1251" s="4" t="s">
        <v>2503</v>
      </c>
      <c r="C1251" s="5" t="str">
        <f t="shared" si="37"/>
        <v xml:space="preserve">c, </v>
      </c>
      <c r="D1251" s="5" t="str">
        <f t="shared" si="44"/>
        <v>Sinas</v>
      </c>
      <c r="E1251" s="5" t="str">
        <f t="shared" si="43"/>
        <v>hel M</v>
      </c>
    </row>
    <row r="1252" spans="1:5" ht="15.75" customHeight="1" x14ac:dyDescent="0.3">
      <c r="A1252" s="4" t="s">
        <v>2504</v>
      </c>
      <c r="B1252" s="4" t="s">
        <v>2505</v>
      </c>
      <c r="C1252" s="5" t="str">
        <f t="shared" si="37"/>
        <v xml:space="preserve"> Ka</v>
      </c>
      <c r="D1252" s="5" t="str">
        <f t="shared" si="44"/>
        <v>Van D</v>
      </c>
      <c r="E1252" s="5" t="str">
        <f t="shared" si="43"/>
        <v>Fritz</v>
      </c>
    </row>
    <row r="1253" spans="1:5" ht="15.75" customHeight="1" x14ac:dyDescent="0.3">
      <c r="A1253" s="4" t="s">
        <v>2506</v>
      </c>
      <c r="B1253" s="4" t="s">
        <v>2507</v>
      </c>
      <c r="C1253" s="5" t="str">
        <f t="shared" si="37"/>
        <v xml:space="preserve"> Mr</v>
      </c>
      <c r="D1253" s="5" t="str">
        <f t="shared" si="44"/>
        <v>Ruffo</v>
      </c>
      <c r="E1253" s="5" t="str">
        <f t="shared" si="43"/>
        <v xml:space="preserve"> Brad</v>
      </c>
    </row>
    <row r="1254" spans="1:5" ht="15.75" customHeight="1" x14ac:dyDescent="0.3">
      <c r="A1254" s="4" t="s">
        <v>2508</v>
      </c>
      <c r="B1254" s="4" t="s">
        <v>2509</v>
      </c>
      <c r="C1254" s="5" t="str">
        <f t="shared" si="37"/>
        <v>Ms.</v>
      </c>
      <c r="D1254" s="5" t="str">
        <f t="shared" si="44"/>
        <v>Long,</v>
      </c>
      <c r="E1254" s="5" t="str">
        <f t="shared" si="43"/>
        <v>ire M</v>
      </c>
    </row>
    <row r="1255" spans="1:5" ht="15.75" customHeight="1" x14ac:dyDescent="0.3">
      <c r="A1255" s="4" t="s">
        <v>2510</v>
      </c>
      <c r="B1255" s="4" t="s">
        <v>2511</v>
      </c>
      <c r="C1255" s="5" t="str">
        <f t="shared" si="37"/>
        <v xml:space="preserve"> Mr</v>
      </c>
      <c r="D1255" s="5" t="str">
        <f t="shared" si="44"/>
        <v>Rohde</v>
      </c>
      <c r="E1255" s="5" t="str">
        <f t="shared" si="43"/>
        <v>nifer</v>
      </c>
    </row>
    <row r="1256" spans="1:5" ht="15.75" customHeight="1" x14ac:dyDescent="0.3">
      <c r="A1256" s="4" t="s">
        <v>2512</v>
      </c>
      <c r="B1256" s="4" t="s">
        <v>2513</v>
      </c>
      <c r="C1256" s="5" t="str">
        <f t="shared" si="37"/>
        <v xml:space="preserve"> Ms</v>
      </c>
      <c r="D1256" s="5" t="str">
        <f t="shared" si="44"/>
        <v>Bonzi</v>
      </c>
      <c r="E1256" s="5" t="str">
        <f t="shared" si="43"/>
        <v>ia S.</v>
      </c>
    </row>
    <row r="1257" spans="1:5" ht="15.75" customHeight="1" x14ac:dyDescent="0.3">
      <c r="A1257" s="4" t="s">
        <v>2514</v>
      </c>
      <c r="B1257" s="4" t="s">
        <v>2515</v>
      </c>
      <c r="C1257" s="5" t="str">
        <f t="shared" si="37"/>
        <v xml:space="preserve"> Ms</v>
      </c>
      <c r="D1257" s="5" t="str">
        <f t="shared" si="44"/>
        <v>Moore</v>
      </c>
      <c r="E1257" s="5" t="str">
        <f t="shared" si="43"/>
        <v>ine E</v>
      </c>
    </row>
    <row r="1258" spans="1:5" ht="15.75" customHeight="1" x14ac:dyDescent="0.3">
      <c r="A1258" s="4" t="s">
        <v>2516</v>
      </c>
      <c r="B1258" s="4" t="s">
        <v>2517</v>
      </c>
      <c r="C1258" s="5" t="str">
        <f t="shared" si="37"/>
        <v xml:space="preserve">e, </v>
      </c>
      <c r="D1258" s="5" t="str">
        <f t="shared" si="44"/>
        <v>McGra</v>
      </c>
      <c r="E1258" s="5" t="str">
        <f t="shared" si="43"/>
        <v>chael</v>
      </c>
    </row>
    <row r="1259" spans="1:5" ht="15.75" customHeight="1" x14ac:dyDescent="0.3">
      <c r="A1259" s="4" t="s">
        <v>2518</v>
      </c>
      <c r="B1259" s="4" t="s">
        <v>2519</v>
      </c>
      <c r="C1259" s="5" t="str">
        <f t="shared" si="37"/>
        <v>wsk</v>
      </c>
      <c r="D1259" s="5" t="str">
        <f t="shared" si="44"/>
        <v>Stepn</v>
      </c>
      <c r="E1259" s="5" t="str">
        <f t="shared" si="43"/>
        <v>xanne</v>
      </c>
    </row>
    <row r="1260" spans="1:5" ht="15.75" customHeight="1" x14ac:dyDescent="0.3">
      <c r="A1260" s="4" t="s">
        <v>2520</v>
      </c>
      <c r="B1260" s="4" t="s">
        <v>2521</v>
      </c>
      <c r="C1260" s="5" t="str">
        <f t="shared" si="37"/>
        <v>, M</v>
      </c>
      <c r="D1260" s="5" t="str">
        <f t="shared" si="44"/>
        <v>Merkl</v>
      </c>
      <c r="E1260" s="5" t="str">
        <f t="shared" si="43"/>
        <v>srael</v>
      </c>
    </row>
    <row r="1261" spans="1:5" ht="15.75" customHeight="1" x14ac:dyDescent="0.3">
      <c r="A1261" s="4" t="s">
        <v>2522</v>
      </c>
      <c r="B1261" s="4" t="s">
        <v>2523</v>
      </c>
      <c r="C1261" s="5" t="str">
        <f t="shared" si="37"/>
        <v>er,</v>
      </c>
      <c r="D1261" s="5" t="str">
        <f t="shared" si="44"/>
        <v>Schae</v>
      </c>
      <c r="E1261" s="5" t="str">
        <f t="shared" si="43"/>
        <v>malya</v>
      </c>
    </row>
    <row r="1262" spans="1:5" ht="15.75" customHeight="1" x14ac:dyDescent="0.3">
      <c r="A1262" s="4" t="s">
        <v>2524</v>
      </c>
      <c r="B1262" s="4" t="s">
        <v>2525</v>
      </c>
      <c r="C1262" s="5" t="str">
        <f t="shared" si="37"/>
        <v>on,</v>
      </c>
      <c r="D1262" s="5" t="str">
        <f t="shared" si="44"/>
        <v>Vigne</v>
      </c>
      <c r="E1262" s="5" t="str">
        <f t="shared" si="43"/>
        <v>Peter</v>
      </c>
    </row>
    <row r="1263" spans="1:5" ht="15.75" customHeight="1" x14ac:dyDescent="0.3">
      <c r="A1263" s="4" t="s">
        <v>2526</v>
      </c>
      <c r="B1263" s="4" t="s">
        <v>2527</v>
      </c>
      <c r="C1263" s="5" t="str">
        <f t="shared" si="37"/>
        <v xml:space="preserve"> Ms</v>
      </c>
      <c r="D1263" s="5" t="str">
        <f t="shared" si="44"/>
        <v>Mucci</v>
      </c>
      <c r="E1263" s="5" t="str">
        <f t="shared" si="43"/>
        <v>licia</v>
      </c>
    </row>
    <row r="1264" spans="1:5" ht="15.75" customHeight="1" x14ac:dyDescent="0.3">
      <c r="A1264" s="4" t="s">
        <v>2528</v>
      </c>
      <c r="B1264" s="4" t="s">
        <v>2529</v>
      </c>
      <c r="C1264" s="5" t="str">
        <f t="shared" si="37"/>
        <v>ald</v>
      </c>
      <c r="D1264" s="5" t="str">
        <f t="shared" si="44"/>
        <v>MacDo</v>
      </c>
      <c r="E1264" s="5" t="str">
        <f t="shared" si="43"/>
        <v>ah K.</v>
      </c>
    </row>
    <row r="1265" spans="1:5" ht="15.75" customHeight="1" x14ac:dyDescent="0.3">
      <c r="A1265" s="4" t="s">
        <v>2530</v>
      </c>
      <c r="B1265" s="4" t="s">
        <v>2531</v>
      </c>
      <c r="C1265" s="5" t="str">
        <f t="shared" si="37"/>
        <v>Mr.</v>
      </c>
      <c r="D1265" s="5" t="str">
        <f t="shared" si="44"/>
        <v>Deng,</v>
      </c>
      <c r="E1265" s="5" t="str">
        <f t="shared" si="43"/>
        <v>uomin</v>
      </c>
    </row>
    <row r="1266" spans="1:5" ht="15.75" customHeight="1" x14ac:dyDescent="0.3">
      <c r="A1266" s="4" t="s">
        <v>2532</v>
      </c>
      <c r="B1266" s="4" t="s">
        <v>2533</v>
      </c>
      <c r="C1266" s="5" t="str">
        <f t="shared" si="37"/>
        <v xml:space="preserve">a, </v>
      </c>
      <c r="D1266" s="5" t="str">
        <f t="shared" si="44"/>
        <v>De Ma</v>
      </c>
      <c r="E1266" s="5" t="str">
        <f t="shared" si="43"/>
        <v>avier</v>
      </c>
    </row>
    <row r="1267" spans="1:5" ht="15.75" customHeight="1" x14ac:dyDescent="0.3">
      <c r="A1267" s="4" t="s">
        <v>2534</v>
      </c>
      <c r="B1267" s="4" t="s">
        <v>2535</v>
      </c>
      <c r="C1267" s="5" t="str">
        <f t="shared" si="37"/>
        <v>lan</v>
      </c>
      <c r="D1267" s="5" t="str">
        <f t="shared" si="44"/>
        <v>Stric</v>
      </c>
      <c r="E1267" s="5" t="str">
        <f t="shared" si="43"/>
        <v xml:space="preserve"> Matt</v>
      </c>
    </row>
    <row r="1268" spans="1:5" ht="15.75" customHeight="1" x14ac:dyDescent="0.3">
      <c r="A1268" s="4" t="s">
        <v>2536</v>
      </c>
      <c r="B1268" s="4" t="s">
        <v>2537</v>
      </c>
      <c r="C1268" s="5" t="str">
        <f t="shared" si="37"/>
        <v>, M</v>
      </c>
      <c r="D1268" s="5" t="str">
        <f t="shared" si="44"/>
        <v>Chene</v>
      </c>
      <c r="E1268" s="5" t="str">
        <f t="shared" si="43"/>
        <v>mas S</v>
      </c>
    </row>
    <row r="1269" spans="1:5" ht="15.75" customHeight="1" x14ac:dyDescent="0.3">
      <c r="A1269" s="4" t="s">
        <v>2538</v>
      </c>
      <c r="B1269" s="4" t="s">
        <v>2539</v>
      </c>
      <c r="C1269" s="5" t="str">
        <f t="shared" si="37"/>
        <v xml:space="preserve"> Ms</v>
      </c>
      <c r="D1269" s="5" t="str">
        <f t="shared" si="44"/>
        <v>Godoy</v>
      </c>
      <c r="E1269" s="5" t="str">
        <f t="shared" si="43"/>
        <v>ricia</v>
      </c>
    </row>
    <row r="1270" spans="1:5" ht="15.75" customHeight="1" x14ac:dyDescent="0.3">
      <c r="A1270" s="4" t="s">
        <v>2540</v>
      </c>
      <c r="B1270" s="4" t="s">
        <v>2541</v>
      </c>
      <c r="C1270" s="5" t="str">
        <f t="shared" si="37"/>
        <v xml:space="preserve"> Ms</v>
      </c>
      <c r="D1270" s="5" t="str">
        <f t="shared" si="44"/>
        <v>Rider</v>
      </c>
      <c r="E1270" s="5" t="str">
        <f t="shared" si="43"/>
        <v>licia</v>
      </c>
    </row>
    <row r="1271" spans="1:5" ht="15.75" customHeight="1" x14ac:dyDescent="0.3">
      <c r="A1271" s="4" t="s">
        <v>2542</v>
      </c>
      <c r="B1271" s="4" t="s">
        <v>2543</v>
      </c>
      <c r="C1271" s="5" t="str">
        <f t="shared" si="37"/>
        <v xml:space="preserve"> Ms</v>
      </c>
      <c r="D1271" s="5" t="str">
        <f t="shared" si="44"/>
        <v>Evans</v>
      </c>
      <c r="E1271" s="5" t="str">
        <f t="shared" si="43"/>
        <v>er V.</v>
      </c>
    </row>
    <row r="1272" spans="1:5" ht="15.75" customHeight="1" x14ac:dyDescent="0.3">
      <c r="A1272" s="4" t="s">
        <v>2544</v>
      </c>
      <c r="B1272" s="4" t="s">
        <v>2545</v>
      </c>
      <c r="C1272" s="5" t="str">
        <f t="shared" si="37"/>
        <v>on,</v>
      </c>
      <c r="D1272" s="5" t="str">
        <f t="shared" si="44"/>
        <v>Ander</v>
      </c>
      <c r="E1272" s="5" t="str">
        <f t="shared" si="43"/>
        <v>el W.</v>
      </c>
    </row>
    <row r="1273" spans="1:5" ht="15.75" customHeight="1" x14ac:dyDescent="0.3">
      <c r="A1273" s="4" t="s">
        <v>2546</v>
      </c>
      <c r="B1273" s="4" t="s">
        <v>2547</v>
      </c>
      <c r="C1273" s="5" t="str">
        <f t="shared" si="37"/>
        <v xml:space="preserve">s, </v>
      </c>
      <c r="D1273" s="5" t="str">
        <f t="shared" si="44"/>
        <v>Walte</v>
      </c>
      <c r="E1273" s="5" t="str">
        <f t="shared" si="43"/>
        <v>die C</v>
      </c>
    </row>
    <row r="1274" spans="1:5" ht="15.75" customHeight="1" x14ac:dyDescent="0.3">
      <c r="A1274" s="4" t="s">
        <v>2548</v>
      </c>
      <c r="B1274" s="4" t="s">
        <v>2549</v>
      </c>
      <c r="C1274" s="5" t="str">
        <f t="shared" si="37"/>
        <v xml:space="preserve">f, </v>
      </c>
      <c r="D1274" s="5" t="str">
        <f t="shared" si="44"/>
        <v>Leboe</v>
      </c>
      <c r="E1274" s="5" t="str">
        <f t="shared" si="43"/>
        <v>ime M</v>
      </c>
    </row>
    <row r="1275" spans="1:5" ht="15.75" customHeight="1" x14ac:dyDescent="0.3">
      <c r="A1275" s="4" t="s">
        <v>2550</v>
      </c>
      <c r="B1275" s="4" t="s">
        <v>2551</v>
      </c>
      <c r="C1275" s="5" t="str">
        <f t="shared" si="37"/>
        <v>el,</v>
      </c>
      <c r="D1275" s="5" t="str">
        <f t="shared" si="44"/>
        <v>Schei</v>
      </c>
      <c r="E1275" s="5" t="str">
        <f t="shared" si="43"/>
        <v>ark D</v>
      </c>
    </row>
    <row r="1276" spans="1:5" ht="15.75" customHeight="1" x14ac:dyDescent="0.3">
      <c r="A1276" s="4" t="s">
        <v>2552</v>
      </c>
      <c r="B1276" s="4" t="s">
        <v>2553</v>
      </c>
      <c r="C1276" s="5" t="str">
        <f t="shared" si="37"/>
        <v>, M</v>
      </c>
      <c r="D1276" s="5" t="str">
        <f t="shared" si="44"/>
        <v>Ritte</v>
      </c>
      <c r="E1276" s="5" t="str">
        <f t="shared" si="43"/>
        <v xml:space="preserve"> Adam</v>
      </c>
    </row>
    <row r="1277" spans="1:5" ht="15.75" customHeight="1" x14ac:dyDescent="0.3">
      <c r="A1277" s="4" t="s">
        <v>2554</v>
      </c>
      <c r="B1277" s="4" t="s">
        <v>2555</v>
      </c>
      <c r="C1277" s="5" t="str">
        <f t="shared" si="37"/>
        <v>Mr.</v>
      </c>
      <c r="D1277" s="5" t="str">
        <f t="shared" si="44"/>
        <v>Deeg,</v>
      </c>
      <c r="E1277" s="5" t="str">
        <f t="shared" si="43"/>
        <v>tin M</v>
      </c>
    </row>
    <row r="1278" spans="1:5" ht="15.75" customHeight="1" x14ac:dyDescent="0.3">
      <c r="A1278" s="4" t="s">
        <v>2556</v>
      </c>
      <c r="B1278" s="4" t="s">
        <v>2557</v>
      </c>
      <c r="C1278" s="5" t="str">
        <f t="shared" si="37"/>
        <v>, M</v>
      </c>
      <c r="D1278" s="5" t="str">
        <f t="shared" si="44"/>
        <v>Preto</v>
      </c>
      <c r="E1278" s="5" t="str">
        <f t="shared" si="43"/>
        <v>na V.</v>
      </c>
    </row>
    <row r="1279" spans="1:5" ht="15.75" customHeight="1" x14ac:dyDescent="0.3">
      <c r="A1279" s="4" t="s">
        <v>2558</v>
      </c>
      <c r="B1279" s="4" t="s">
        <v>2559</v>
      </c>
      <c r="C1279" s="5" t="str">
        <f t="shared" si="37"/>
        <v xml:space="preserve">y, </v>
      </c>
      <c r="D1279" s="5" t="str">
        <f t="shared" si="44"/>
        <v>Wills</v>
      </c>
      <c r="E1279" s="5" t="str">
        <f t="shared" si="43"/>
        <v>ana L</v>
      </c>
    </row>
    <row r="1280" spans="1:5" ht="15.75" customHeight="1" x14ac:dyDescent="0.3">
      <c r="A1280" s="4" t="s">
        <v>2560</v>
      </c>
      <c r="B1280" s="4" t="s">
        <v>2561</v>
      </c>
      <c r="C1280" s="5" t="str">
        <f t="shared" si="37"/>
        <v xml:space="preserve"> Ms</v>
      </c>
      <c r="D1280" s="5" t="str">
        <f t="shared" si="44"/>
        <v>Roach</v>
      </c>
      <c r="E1280" s="5" t="str">
        <f t="shared" si="43"/>
        <v>Laura</v>
      </c>
    </row>
    <row r="1281" spans="1:5" ht="15.75" customHeight="1" x14ac:dyDescent="0.3">
      <c r="A1281" s="4" t="s">
        <v>2562</v>
      </c>
      <c r="B1281" s="4" t="s">
        <v>2563</v>
      </c>
      <c r="C1281" s="5" t="str">
        <f t="shared" si="37"/>
        <v>en,</v>
      </c>
      <c r="D1281" s="5" t="str">
        <f t="shared" si="44"/>
        <v>Jacob</v>
      </c>
      <c r="E1281" s="5" t="str">
        <f t="shared" si="43"/>
        <v>C III</v>
      </c>
    </row>
    <row r="1282" spans="1:5" ht="15.75" customHeight="1" x14ac:dyDescent="0.3">
      <c r="A1282" s="4" t="s">
        <v>2564</v>
      </c>
      <c r="B1282" s="4" t="s">
        <v>2565</v>
      </c>
      <c r="C1282" s="5" t="str">
        <f t="shared" si="37"/>
        <v>, M</v>
      </c>
      <c r="D1282" s="5" t="str">
        <f t="shared" si="44"/>
        <v>O'Hor</v>
      </c>
      <c r="E1282" s="5" t="str">
        <f t="shared" ref="E1282:E1345" si="45">RIGHT(B1282,5)</f>
        <v xml:space="preserve"> Paul</v>
      </c>
    </row>
    <row r="1283" spans="1:5" ht="15.75" customHeight="1" x14ac:dyDescent="0.3">
      <c r="A1283" s="4" t="s">
        <v>2566</v>
      </c>
      <c r="B1283" s="4" t="s">
        <v>2567</v>
      </c>
      <c r="C1283" s="5" t="str">
        <f t="shared" si="37"/>
        <v xml:space="preserve"> Ms</v>
      </c>
      <c r="D1283" s="5" t="str">
        <f t="shared" si="44"/>
        <v>Amato</v>
      </c>
      <c r="E1283" s="5" t="str">
        <f t="shared" si="45"/>
        <v>er D.</v>
      </c>
    </row>
    <row r="1284" spans="1:5" ht="15.75" customHeight="1" x14ac:dyDescent="0.3">
      <c r="A1284" s="4" t="s">
        <v>2568</v>
      </c>
      <c r="B1284" s="4" t="s">
        <v>2569</v>
      </c>
      <c r="C1284" s="5" t="str">
        <f t="shared" si="37"/>
        <v>Mr.</v>
      </c>
      <c r="D1284" s="5" t="str">
        <f t="shared" si="44"/>
        <v>Reed,</v>
      </c>
      <c r="E1284" s="5" t="str">
        <f t="shared" si="45"/>
        <v xml:space="preserve"> Erik</v>
      </c>
    </row>
    <row r="1285" spans="1:5" ht="15.75" customHeight="1" x14ac:dyDescent="0.3">
      <c r="A1285" s="4" t="s">
        <v>2570</v>
      </c>
      <c r="B1285" s="4" t="s">
        <v>2571</v>
      </c>
      <c r="C1285" s="5" t="str">
        <f t="shared" si="37"/>
        <v>, M</v>
      </c>
      <c r="D1285" s="5" t="str">
        <f t="shared" si="44"/>
        <v>Wegne</v>
      </c>
      <c r="E1285" s="5" t="str">
        <f t="shared" si="45"/>
        <v>ana J</v>
      </c>
    </row>
    <row r="1286" spans="1:5" ht="15.75" customHeight="1" x14ac:dyDescent="0.3">
      <c r="A1286" s="4" t="s">
        <v>2572</v>
      </c>
      <c r="B1286" s="4" t="s">
        <v>2573</v>
      </c>
      <c r="C1286" s="5" t="str">
        <f t="shared" si="37"/>
        <v xml:space="preserve"> Ms</v>
      </c>
      <c r="D1286" s="5" t="str">
        <f t="shared" si="44"/>
        <v>Bokun</v>
      </c>
      <c r="E1286" s="5" t="str">
        <f t="shared" si="45"/>
        <v>cca E</v>
      </c>
    </row>
    <row r="1287" spans="1:5" ht="15.75" customHeight="1" x14ac:dyDescent="0.3">
      <c r="A1287" s="4" t="s">
        <v>2574</v>
      </c>
      <c r="B1287" s="4" t="s">
        <v>2575</v>
      </c>
      <c r="C1287" s="5" t="str">
        <f t="shared" si="37"/>
        <v xml:space="preserve">y, </v>
      </c>
      <c r="D1287" s="5" t="str">
        <f t="shared" si="44"/>
        <v>Ainsl</v>
      </c>
      <c r="E1287" s="5" t="str">
        <f t="shared" si="45"/>
        <v>ie M.</v>
      </c>
    </row>
    <row r="1288" spans="1:5" ht="15.75" customHeight="1" x14ac:dyDescent="0.3">
      <c r="A1288" s="4" t="s">
        <v>2576</v>
      </c>
      <c r="B1288" s="4" t="s">
        <v>2577</v>
      </c>
      <c r="C1288" s="5" t="str">
        <f t="shared" si="37"/>
        <v>, M</v>
      </c>
      <c r="D1288" s="5" t="str">
        <f t="shared" si="44"/>
        <v>Foste</v>
      </c>
      <c r="E1288" s="5" t="str">
        <f t="shared" si="45"/>
        <v>th A.</v>
      </c>
    </row>
    <row r="1289" spans="1:5" ht="15.75" customHeight="1" x14ac:dyDescent="0.3">
      <c r="A1289" s="4" t="s">
        <v>2578</v>
      </c>
      <c r="B1289" s="4" t="s">
        <v>2579</v>
      </c>
      <c r="C1289" s="5" t="str">
        <f t="shared" si="37"/>
        <v>ck,</v>
      </c>
      <c r="D1289" s="5" t="str">
        <f t="shared" si="44"/>
        <v>Overp</v>
      </c>
      <c r="E1289" s="5" t="str">
        <f t="shared" si="45"/>
        <v>Sarah</v>
      </c>
    </row>
    <row r="1290" spans="1:5" ht="15.75" customHeight="1" x14ac:dyDescent="0.3">
      <c r="A1290" s="4" t="s">
        <v>2580</v>
      </c>
      <c r="B1290" s="4" t="s">
        <v>2581</v>
      </c>
      <c r="C1290" s="5" t="str">
        <f t="shared" si="37"/>
        <v>, M</v>
      </c>
      <c r="D1290" s="5" t="str">
        <f t="shared" si="44"/>
        <v>Levin</v>
      </c>
      <c r="E1290" s="5" t="str">
        <f t="shared" si="45"/>
        <v>ie J.</v>
      </c>
    </row>
    <row r="1291" spans="1:5" ht="15.75" customHeight="1" x14ac:dyDescent="0.3">
      <c r="A1291" s="4" t="s">
        <v>2582</v>
      </c>
      <c r="B1291" s="4" t="s">
        <v>2583</v>
      </c>
      <c r="C1291" s="5" t="str">
        <f t="shared" si="37"/>
        <v>Ms.</v>
      </c>
      <c r="D1291" s="5" t="str">
        <f t="shared" si="44"/>
        <v>Jean,</v>
      </c>
      <c r="E1291" s="5" t="str">
        <f t="shared" si="45"/>
        <v>Annie</v>
      </c>
    </row>
    <row r="1292" spans="1:5" ht="15.75" customHeight="1" x14ac:dyDescent="0.3">
      <c r="A1292" s="4" t="s">
        <v>2584</v>
      </c>
      <c r="B1292" s="4" t="s">
        <v>2585</v>
      </c>
      <c r="C1292" s="5" t="str">
        <f t="shared" si="37"/>
        <v>Ms.</v>
      </c>
      <c r="D1292" s="5" t="str">
        <f t="shared" si="44"/>
        <v>Wild,</v>
      </c>
      <c r="E1292" s="5" t="str">
        <f t="shared" si="45"/>
        <v>ndsey</v>
      </c>
    </row>
    <row r="1293" spans="1:5" ht="15.75" customHeight="1" x14ac:dyDescent="0.3">
      <c r="A1293" s="4" t="s">
        <v>2586</v>
      </c>
      <c r="B1293" s="4" t="s">
        <v>2587</v>
      </c>
      <c r="C1293" s="5" t="str">
        <f t="shared" ref="C1293:C1547" si="46">MID(B1293,7,3)</f>
        <v xml:space="preserve"> Ms</v>
      </c>
      <c r="D1293" s="5" t="str">
        <f t="shared" si="44"/>
        <v>Tabor</v>
      </c>
      <c r="E1293" s="5" t="str">
        <f t="shared" si="45"/>
        <v>Laura</v>
      </c>
    </row>
    <row r="1294" spans="1:5" ht="15.75" customHeight="1" x14ac:dyDescent="0.3">
      <c r="A1294" s="4" t="s">
        <v>2588</v>
      </c>
      <c r="B1294" s="4" t="s">
        <v>2589</v>
      </c>
      <c r="C1294" s="5" t="str">
        <f t="shared" si="46"/>
        <v xml:space="preserve">n, </v>
      </c>
      <c r="D1294" s="5" t="str">
        <f t="shared" si="44"/>
        <v>Steff</v>
      </c>
      <c r="E1294" s="5" t="str">
        <f t="shared" si="45"/>
        <v>Amy T</v>
      </c>
    </row>
    <row r="1295" spans="1:5" ht="15.75" customHeight="1" x14ac:dyDescent="0.3">
      <c r="A1295" s="4" t="s">
        <v>2590</v>
      </c>
      <c r="B1295" s="4" t="s">
        <v>2591</v>
      </c>
      <c r="C1295" s="5" t="str">
        <f t="shared" si="46"/>
        <v>, M</v>
      </c>
      <c r="D1295" s="5" t="str">
        <f t="shared" si="44"/>
        <v>Tadic</v>
      </c>
      <c r="E1295" s="5" t="str">
        <f t="shared" si="45"/>
        <v>ina D</v>
      </c>
    </row>
    <row r="1296" spans="1:5" ht="15.75" customHeight="1" x14ac:dyDescent="0.3">
      <c r="A1296" s="4" t="s">
        <v>2592</v>
      </c>
      <c r="B1296" s="4" t="s">
        <v>2593</v>
      </c>
      <c r="C1296" s="5" t="str">
        <f t="shared" si="46"/>
        <v>ens</v>
      </c>
      <c r="D1296" s="5" t="str">
        <f t="shared" si="44"/>
        <v>Chris</v>
      </c>
      <c r="E1296" s="5" t="str">
        <f t="shared" si="45"/>
        <v xml:space="preserve"> B.j.</v>
      </c>
    </row>
    <row r="1297" spans="1:5" ht="15.75" customHeight="1" x14ac:dyDescent="0.3">
      <c r="A1297" s="4" t="s">
        <v>2594</v>
      </c>
      <c r="B1297" s="4" t="s">
        <v>2595</v>
      </c>
      <c r="C1297" s="5" t="str">
        <f t="shared" si="46"/>
        <v xml:space="preserve"> Ms</v>
      </c>
      <c r="D1297" s="5" t="str">
        <f t="shared" ref="D1297:D1360" si="47">LEFT(B1297,5)</f>
        <v>Shell</v>
      </c>
      <c r="E1297" s="5" t="str">
        <f t="shared" si="45"/>
        <v>lison</v>
      </c>
    </row>
    <row r="1298" spans="1:5" ht="15.75" customHeight="1" x14ac:dyDescent="0.3">
      <c r="A1298" s="4" t="s">
        <v>2596</v>
      </c>
      <c r="B1298" s="4" t="s">
        <v>2597</v>
      </c>
      <c r="C1298" s="5" t="str">
        <f t="shared" si="46"/>
        <v xml:space="preserve">r. </v>
      </c>
      <c r="D1298" s="5" t="str">
        <f t="shared" si="47"/>
        <v xml:space="preserve">Rao, </v>
      </c>
      <c r="E1298" s="5" t="str">
        <f t="shared" si="45"/>
        <v>il K.</v>
      </c>
    </row>
    <row r="1299" spans="1:5" ht="15.75" customHeight="1" x14ac:dyDescent="0.3">
      <c r="A1299" s="4" t="s">
        <v>2598</v>
      </c>
      <c r="B1299" s="4" t="s">
        <v>2599</v>
      </c>
      <c r="C1299" s="5" t="str">
        <f t="shared" si="46"/>
        <v xml:space="preserve"> Mr</v>
      </c>
      <c r="D1299" s="5" t="str">
        <f t="shared" si="47"/>
        <v>Myers</v>
      </c>
      <c r="E1299" s="5" t="str">
        <f t="shared" si="45"/>
        <v>unter</v>
      </c>
    </row>
    <row r="1300" spans="1:5" ht="15.75" customHeight="1" x14ac:dyDescent="0.3">
      <c r="A1300" s="4" t="s">
        <v>2600</v>
      </c>
      <c r="B1300" s="4" t="s">
        <v>2601</v>
      </c>
      <c r="C1300" s="5" t="str">
        <f t="shared" si="46"/>
        <v>, M</v>
      </c>
      <c r="D1300" s="5" t="str">
        <f t="shared" si="47"/>
        <v>McLea</v>
      </c>
      <c r="E1300" s="5" t="str">
        <f t="shared" si="45"/>
        <v>andra</v>
      </c>
    </row>
    <row r="1301" spans="1:5" ht="15.75" customHeight="1" x14ac:dyDescent="0.3">
      <c r="A1301" s="4" t="s">
        <v>2602</v>
      </c>
      <c r="B1301" s="4" t="s">
        <v>2603</v>
      </c>
      <c r="C1301" s="5" t="str">
        <f t="shared" si="46"/>
        <v xml:space="preserve"> Mr</v>
      </c>
      <c r="D1301" s="5" t="str">
        <f t="shared" si="47"/>
        <v>Gomez</v>
      </c>
      <c r="E1301" s="5" t="str">
        <f t="shared" si="45"/>
        <v>obert</v>
      </c>
    </row>
    <row r="1302" spans="1:5" ht="15.75" customHeight="1" x14ac:dyDescent="0.3">
      <c r="A1302" s="4" t="s">
        <v>2604</v>
      </c>
      <c r="B1302" s="4" t="s">
        <v>2605</v>
      </c>
      <c r="C1302" s="5" t="str">
        <f t="shared" si="46"/>
        <v>way</v>
      </c>
      <c r="D1302" s="5" t="str">
        <f t="shared" si="47"/>
        <v>Hemin</v>
      </c>
      <c r="E1302" s="5" t="str">
        <f t="shared" si="45"/>
        <v>odney</v>
      </c>
    </row>
    <row r="1303" spans="1:5" ht="15.75" customHeight="1" x14ac:dyDescent="0.3">
      <c r="A1303" s="4" t="s">
        <v>2606</v>
      </c>
      <c r="B1303" s="4" t="s">
        <v>2607</v>
      </c>
      <c r="C1303" s="5" t="str">
        <f t="shared" si="46"/>
        <v>Mr.</v>
      </c>
      <c r="D1303" s="5" t="str">
        <f t="shared" si="47"/>
        <v>Pett,</v>
      </c>
      <c r="E1303" s="5" t="str">
        <f t="shared" si="45"/>
        <v>arl R</v>
      </c>
    </row>
    <row r="1304" spans="1:5" ht="15.75" customHeight="1" x14ac:dyDescent="0.3">
      <c r="A1304" s="4" t="s">
        <v>2608</v>
      </c>
      <c r="B1304" s="4" t="s">
        <v>2609</v>
      </c>
      <c r="C1304" s="5" t="str">
        <f t="shared" si="46"/>
        <v>st,</v>
      </c>
      <c r="D1304" s="5" t="str">
        <f t="shared" si="47"/>
        <v>Meing</v>
      </c>
      <c r="E1304" s="5" t="str">
        <f t="shared" si="45"/>
        <v>ilian</v>
      </c>
    </row>
    <row r="1305" spans="1:5" ht="15.75" customHeight="1" x14ac:dyDescent="0.3">
      <c r="A1305" s="4" t="s">
        <v>2610</v>
      </c>
      <c r="B1305" s="4" t="s">
        <v>2611</v>
      </c>
      <c r="C1305" s="5" t="str">
        <f t="shared" si="46"/>
        <v>hy,</v>
      </c>
      <c r="D1305" s="5" t="str">
        <f t="shared" si="47"/>
        <v>McCar</v>
      </c>
      <c r="E1305" s="5" t="str">
        <f t="shared" si="45"/>
        <v xml:space="preserve"> Erik</v>
      </c>
    </row>
    <row r="1306" spans="1:5" ht="15.75" customHeight="1" x14ac:dyDescent="0.3">
      <c r="A1306" s="4" t="s">
        <v>2612</v>
      </c>
      <c r="B1306" s="4" t="s">
        <v>2613</v>
      </c>
      <c r="C1306" s="5" t="str">
        <f t="shared" si="46"/>
        <v xml:space="preserve"> Mr</v>
      </c>
      <c r="D1306" s="5" t="str">
        <f t="shared" si="47"/>
        <v>Boyle</v>
      </c>
      <c r="E1306" s="5" t="str">
        <f t="shared" si="45"/>
        <v>opher</v>
      </c>
    </row>
    <row r="1307" spans="1:5" ht="15.75" customHeight="1" x14ac:dyDescent="0.3">
      <c r="A1307" s="4" t="s">
        <v>2614</v>
      </c>
      <c r="B1307" s="4" t="s">
        <v>2615</v>
      </c>
      <c r="C1307" s="5" t="str">
        <f t="shared" si="46"/>
        <v>sen</v>
      </c>
      <c r="D1307" s="5" t="str">
        <f t="shared" si="47"/>
        <v>Gunde</v>
      </c>
      <c r="E1307" s="5" t="str">
        <f t="shared" si="45"/>
        <v>Eirik</v>
      </c>
    </row>
    <row r="1308" spans="1:5" ht="15.75" customHeight="1" x14ac:dyDescent="0.3">
      <c r="A1308" s="4" t="s">
        <v>2616</v>
      </c>
      <c r="B1308" s="4" t="s">
        <v>2617</v>
      </c>
      <c r="C1308" s="5" t="str">
        <f t="shared" si="46"/>
        <v>nke</v>
      </c>
      <c r="D1308" s="5" t="str">
        <f t="shared" si="47"/>
        <v>Wolsw</v>
      </c>
      <c r="E1308" s="5" t="str">
        <f t="shared" si="45"/>
        <v xml:space="preserve">  Rik</v>
      </c>
    </row>
    <row r="1309" spans="1:5" ht="15.75" customHeight="1" x14ac:dyDescent="0.3">
      <c r="A1309" s="4" t="s">
        <v>2618</v>
      </c>
      <c r="B1309" s="4" t="s">
        <v>2619</v>
      </c>
      <c r="C1309" s="5" t="str">
        <f t="shared" si="46"/>
        <v>ger</v>
      </c>
      <c r="D1309" s="5" t="str">
        <f t="shared" si="47"/>
        <v>Bombe</v>
      </c>
      <c r="E1309" s="5" t="str">
        <f t="shared" si="45"/>
        <v>hew R</v>
      </c>
    </row>
    <row r="1310" spans="1:5" ht="15.75" customHeight="1" x14ac:dyDescent="0.3">
      <c r="A1310" s="4" t="s">
        <v>2620</v>
      </c>
      <c r="B1310" s="4" t="s">
        <v>2621</v>
      </c>
      <c r="C1310" s="5" t="str">
        <f t="shared" si="46"/>
        <v xml:space="preserve">r. </v>
      </c>
      <c r="D1310" s="5" t="str">
        <f t="shared" si="47"/>
        <v xml:space="preserve">Roy, </v>
      </c>
      <c r="E1310" s="5" t="str">
        <f t="shared" si="45"/>
        <v>iel G</v>
      </c>
    </row>
    <row r="1311" spans="1:5" ht="15.75" customHeight="1" x14ac:dyDescent="0.3">
      <c r="A1311" s="4" t="s">
        <v>2622</v>
      </c>
      <c r="B1311" s="4" t="s">
        <v>2623</v>
      </c>
      <c r="C1311" s="5" t="str">
        <f t="shared" si="46"/>
        <v>re,</v>
      </c>
      <c r="D1311" s="5" t="str">
        <f t="shared" si="47"/>
        <v>Lapie</v>
      </c>
      <c r="E1311" s="5" t="str">
        <f t="shared" si="45"/>
        <v>nnick</v>
      </c>
    </row>
    <row r="1312" spans="1:5" ht="15.75" customHeight="1" x14ac:dyDescent="0.3">
      <c r="A1312" s="4" t="s">
        <v>2624</v>
      </c>
      <c r="B1312" s="4" t="s">
        <v>2625</v>
      </c>
      <c r="C1312" s="5" t="str">
        <f t="shared" si="46"/>
        <v xml:space="preserve"> Mr</v>
      </c>
      <c r="D1312" s="5" t="str">
        <f t="shared" si="47"/>
        <v>Beaty</v>
      </c>
      <c r="E1312" s="5" t="str">
        <f t="shared" si="45"/>
        <v>ean R</v>
      </c>
    </row>
    <row r="1313" spans="1:5" ht="15.75" customHeight="1" x14ac:dyDescent="0.3">
      <c r="A1313" s="4" t="s">
        <v>2626</v>
      </c>
      <c r="B1313" s="4" t="s">
        <v>2627</v>
      </c>
      <c r="C1313" s="5" t="str">
        <f t="shared" si="46"/>
        <v>, M</v>
      </c>
      <c r="D1313" s="5" t="str">
        <f t="shared" si="47"/>
        <v>Hamme</v>
      </c>
      <c r="E1313" s="5" t="str">
        <f t="shared" si="45"/>
        <v>Peter</v>
      </c>
    </row>
    <row r="1314" spans="1:5" ht="15.75" customHeight="1" x14ac:dyDescent="0.3">
      <c r="A1314" s="4" t="s">
        <v>2628</v>
      </c>
      <c r="B1314" s="4" t="s">
        <v>2629</v>
      </c>
      <c r="C1314" s="5" t="str">
        <f t="shared" si="46"/>
        <v>ph,</v>
      </c>
      <c r="D1314" s="5" t="str">
        <f t="shared" si="47"/>
        <v>Rando</v>
      </c>
      <c r="E1314" s="5" t="str">
        <f t="shared" si="45"/>
        <v>ra A.</v>
      </c>
    </row>
    <row r="1315" spans="1:5" ht="15.75" customHeight="1" x14ac:dyDescent="0.3">
      <c r="A1315" s="4" t="s">
        <v>2630</v>
      </c>
      <c r="B1315" s="4" t="s">
        <v>2631</v>
      </c>
      <c r="C1315" s="5" t="str">
        <f t="shared" si="46"/>
        <v>son</v>
      </c>
      <c r="D1315" s="5" t="str">
        <f t="shared" si="47"/>
        <v>Maste</v>
      </c>
      <c r="E1315" s="5" t="str">
        <f t="shared" si="45"/>
        <v>in C.</v>
      </c>
    </row>
    <row r="1316" spans="1:5" ht="15.75" customHeight="1" x14ac:dyDescent="0.3">
      <c r="A1316" s="4" t="s">
        <v>2632</v>
      </c>
      <c r="B1316" s="4" t="s">
        <v>2633</v>
      </c>
      <c r="C1316" s="5" t="str">
        <f t="shared" si="46"/>
        <v>, M</v>
      </c>
      <c r="D1316" s="5" t="str">
        <f t="shared" si="47"/>
        <v>Fries</v>
      </c>
      <c r="E1316" s="5" t="str">
        <f t="shared" si="45"/>
        <v>ibaud</v>
      </c>
    </row>
    <row r="1317" spans="1:5" ht="15.75" customHeight="1" x14ac:dyDescent="0.3">
      <c r="A1317" s="4" t="s">
        <v>2634</v>
      </c>
      <c r="B1317" s="4" t="s">
        <v>2635</v>
      </c>
      <c r="C1317" s="5" t="str">
        <f t="shared" si="46"/>
        <v xml:space="preserve">i, </v>
      </c>
      <c r="D1317" s="5" t="str">
        <f t="shared" si="47"/>
        <v>Manto</v>
      </c>
      <c r="E1317" s="5" t="str">
        <f t="shared" si="45"/>
        <v xml:space="preserve"> Lisa</v>
      </c>
    </row>
    <row r="1318" spans="1:5" ht="15.75" customHeight="1" x14ac:dyDescent="0.3">
      <c r="A1318" s="4" t="s">
        <v>2636</v>
      </c>
      <c r="B1318" s="4" t="s">
        <v>2637</v>
      </c>
      <c r="C1318" s="5" t="str">
        <f t="shared" si="46"/>
        <v>, M</v>
      </c>
      <c r="D1318" s="5" t="str">
        <f t="shared" si="47"/>
        <v>Bodee</v>
      </c>
      <c r="E1318" s="5" t="str">
        <f t="shared" si="45"/>
        <v>en K.</v>
      </c>
    </row>
    <row r="1319" spans="1:5" ht="15.75" customHeight="1" x14ac:dyDescent="0.3">
      <c r="A1319" s="4" t="s">
        <v>2638</v>
      </c>
      <c r="B1319" s="4" t="s">
        <v>2639</v>
      </c>
      <c r="C1319" s="5" t="str">
        <f t="shared" si="46"/>
        <v>son</v>
      </c>
      <c r="D1319" s="5" t="str">
        <f t="shared" si="47"/>
        <v>McPhe</v>
      </c>
      <c r="E1319" s="5" t="str">
        <f t="shared" si="45"/>
        <v>rtina</v>
      </c>
    </row>
    <row r="1320" spans="1:5" ht="15.75" customHeight="1" x14ac:dyDescent="0.3">
      <c r="A1320" s="4" t="s">
        <v>2640</v>
      </c>
      <c r="B1320" s="4" t="s">
        <v>2641</v>
      </c>
      <c r="C1320" s="5" t="str">
        <f t="shared" si="46"/>
        <v xml:space="preserve"> Mr</v>
      </c>
      <c r="D1320" s="5" t="str">
        <f t="shared" si="47"/>
        <v>Palko</v>
      </c>
      <c r="E1320" s="5" t="str">
        <f t="shared" si="45"/>
        <v>tin J</v>
      </c>
    </row>
    <row r="1321" spans="1:5" ht="15.75" customHeight="1" x14ac:dyDescent="0.3">
      <c r="A1321" s="4" t="s">
        <v>2642</v>
      </c>
      <c r="B1321" s="4" t="s">
        <v>2643</v>
      </c>
      <c r="C1321" s="5" t="str">
        <f t="shared" si="46"/>
        <v>itt</v>
      </c>
      <c r="D1321" s="5" t="str">
        <f t="shared" si="47"/>
        <v>Breat</v>
      </c>
      <c r="E1321" s="5" t="str">
        <f t="shared" si="45"/>
        <v>elsey</v>
      </c>
    </row>
    <row r="1322" spans="1:5" ht="15.75" customHeight="1" x14ac:dyDescent="0.3">
      <c r="A1322" s="4" t="s">
        <v>2644</v>
      </c>
      <c r="B1322" s="4" t="s">
        <v>2645</v>
      </c>
      <c r="C1322" s="5" t="str">
        <f t="shared" si="46"/>
        <v xml:space="preserve"> Mr</v>
      </c>
      <c r="D1322" s="5" t="str">
        <f t="shared" si="47"/>
        <v>Evora</v>
      </c>
      <c r="E1322" s="5" t="str">
        <f t="shared" si="45"/>
        <v>el V.</v>
      </c>
    </row>
    <row r="1323" spans="1:5" ht="15.75" customHeight="1" x14ac:dyDescent="0.3">
      <c r="A1323" s="4" t="s">
        <v>2646</v>
      </c>
      <c r="B1323" s="4" t="s">
        <v>2647</v>
      </c>
      <c r="C1323" s="5" t="str">
        <f t="shared" si="46"/>
        <v xml:space="preserve">r, </v>
      </c>
      <c r="D1323" s="5" t="str">
        <f t="shared" si="47"/>
        <v>Fisch</v>
      </c>
      <c r="E1323" s="5" t="str">
        <f t="shared" si="45"/>
        <v>aeger</v>
      </c>
    </row>
    <row r="1324" spans="1:5" ht="15.75" customHeight="1" x14ac:dyDescent="0.3">
      <c r="A1324" s="4" t="s">
        <v>2648</v>
      </c>
      <c r="B1324" s="4" t="s">
        <v>2649</v>
      </c>
      <c r="C1324" s="5" t="str">
        <f t="shared" si="46"/>
        <v>Ms.</v>
      </c>
      <c r="D1324" s="5" t="str">
        <f t="shared" si="47"/>
        <v>Deba,</v>
      </c>
      <c r="E1324" s="5" t="str">
        <f t="shared" si="45"/>
        <v>unesh</v>
      </c>
    </row>
    <row r="1325" spans="1:5" ht="15.75" customHeight="1" x14ac:dyDescent="0.3">
      <c r="A1325" s="4" t="s">
        <v>2650</v>
      </c>
      <c r="B1325" s="4" t="s">
        <v>2651</v>
      </c>
      <c r="C1325" s="5" t="str">
        <f t="shared" si="46"/>
        <v>, M</v>
      </c>
      <c r="D1325" s="5" t="str">
        <f t="shared" si="47"/>
        <v>Lelou</v>
      </c>
      <c r="E1325" s="5" t="str">
        <f t="shared" si="45"/>
        <v>Mirte</v>
      </c>
    </row>
    <row r="1326" spans="1:5" ht="15.75" customHeight="1" x14ac:dyDescent="0.3">
      <c r="A1326" s="4" t="s">
        <v>2652</v>
      </c>
      <c r="B1326" s="4" t="s">
        <v>2653</v>
      </c>
      <c r="C1326" s="5" t="str">
        <f t="shared" si="46"/>
        <v>, M</v>
      </c>
      <c r="D1326" s="5" t="str">
        <f t="shared" si="47"/>
        <v>Labar</v>
      </c>
      <c r="E1326" s="5" t="str">
        <f t="shared" si="45"/>
        <v>Megan</v>
      </c>
    </row>
    <row r="1327" spans="1:5" ht="15.75" customHeight="1" x14ac:dyDescent="0.3">
      <c r="A1327" s="4" t="s">
        <v>2654</v>
      </c>
      <c r="B1327" s="4" t="s">
        <v>2655</v>
      </c>
      <c r="C1327" s="5" t="str">
        <f t="shared" si="46"/>
        <v>, M</v>
      </c>
      <c r="D1327" s="5" t="str">
        <f t="shared" si="47"/>
        <v>Arouc</v>
      </c>
      <c r="E1327" s="5" t="str">
        <f t="shared" si="45"/>
        <v>ry A.</v>
      </c>
    </row>
    <row r="1328" spans="1:5" ht="15.75" customHeight="1" x14ac:dyDescent="0.3">
      <c r="A1328" s="4" t="s">
        <v>2656</v>
      </c>
      <c r="B1328" s="4" t="s">
        <v>2657</v>
      </c>
      <c r="C1328" s="5" t="str">
        <f t="shared" si="46"/>
        <v xml:space="preserve"> Ms</v>
      </c>
      <c r="D1328" s="5" t="str">
        <f t="shared" si="47"/>
        <v>Reese</v>
      </c>
      <c r="E1328" s="5" t="str">
        <f t="shared" si="45"/>
        <v>istin</v>
      </c>
    </row>
    <row r="1329" spans="1:5" ht="15.75" customHeight="1" x14ac:dyDescent="0.3">
      <c r="A1329" s="4" t="s">
        <v>2658</v>
      </c>
      <c r="B1329" s="4" t="s">
        <v>2659</v>
      </c>
      <c r="C1329" s="5" t="str">
        <f t="shared" si="46"/>
        <v>key</v>
      </c>
      <c r="D1329" s="5" t="str">
        <f t="shared" si="47"/>
        <v>McClo</v>
      </c>
      <c r="E1329" s="5" t="str">
        <f t="shared" si="45"/>
        <v>er R.</v>
      </c>
    </row>
    <row r="1330" spans="1:5" ht="15.75" customHeight="1" x14ac:dyDescent="0.3">
      <c r="A1330" s="4" t="s">
        <v>2660</v>
      </c>
      <c r="B1330" s="4" t="s">
        <v>2661</v>
      </c>
      <c r="C1330" s="5" t="str">
        <f t="shared" si="46"/>
        <v>, M</v>
      </c>
      <c r="D1330" s="5" t="str">
        <f t="shared" si="47"/>
        <v>Tedse</v>
      </c>
      <c r="E1330" s="5" t="str">
        <f t="shared" si="45"/>
        <v>eth A</v>
      </c>
    </row>
    <row r="1331" spans="1:5" ht="15.75" customHeight="1" x14ac:dyDescent="0.3">
      <c r="A1331" s="4" t="s">
        <v>2662</v>
      </c>
      <c r="B1331" s="4" t="s">
        <v>2663</v>
      </c>
      <c r="C1331" s="5" t="str">
        <f t="shared" si="46"/>
        <v>nge</v>
      </c>
      <c r="D1331" s="5" t="str">
        <f t="shared" si="47"/>
        <v>Koehl</v>
      </c>
      <c r="E1331" s="5" t="str">
        <f t="shared" si="45"/>
        <v>ndrew</v>
      </c>
    </row>
    <row r="1332" spans="1:5" ht="15.75" customHeight="1" x14ac:dyDescent="0.3">
      <c r="A1332" s="4" t="s">
        <v>2664</v>
      </c>
      <c r="B1332" s="4" t="s">
        <v>2665</v>
      </c>
      <c r="C1332" s="5" t="str">
        <f t="shared" si="46"/>
        <v>hat</v>
      </c>
      <c r="D1332" s="5" t="str">
        <f t="shared" si="47"/>
        <v>Piele</v>
      </c>
      <c r="E1332" s="5" t="str">
        <f t="shared" si="45"/>
        <v>wn M.</v>
      </c>
    </row>
    <row r="1333" spans="1:5" ht="15.75" customHeight="1" x14ac:dyDescent="0.3">
      <c r="A1333" s="4" t="s">
        <v>2666</v>
      </c>
      <c r="B1333" s="4" t="s">
        <v>2667</v>
      </c>
      <c r="C1333" s="5" t="str">
        <f t="shared" si="46"/>
        <v>en,</v>
      </c>
      <c r="D1333" s="5" t="str">
        <f t="shared" si="47"/>
        <v>Korho</v>
      </c>
      <c r="E1333" s="5" t="str">
        <f t="shared" si="45"/>
        <v>han P</v>
      </c>
    </row>
    <row r="1334" spans="1:5" ht="15.75" customHeight="1" x14ac:dyDescent="0.3">
      <c r="A1334" s="4" t="s">
        <v>2668</v>
      </c>
      <c r="B1334" s="4" t="s">
        <v>2669</v>
      </c>
      <c r="C1334" s="5" t="str">
        <f t="shared" si="46"/>
        <v>Mrs</v>
      </c>
      <c r="D1334" s="5" t="str">
        <f t="shared" si="47"/>
        <v>Kehr,</v>
      </c>
      <c r="E1334" s="5" t="str">
        <f t="shared" si="45"/>
        <v xml:space="preserve"> Gina</v>
      </c>
    </row>
    <row r="1335" spans="1:5" ht="15.75" customHeight="1" x14ac:dyDescent="0.3">
      <c r="A1335" s="4" t="s">
        <v>2670</v>
      </c>
      <c r="B1335" s="4" t="s">
        <v>2671</v>
      </c>
      <c r="C1335" s="5" t="str">
        <f t="shared" si="46"/>
        <v>na,</v>
      </c>
      <c r="D1335" s="5" t="str">
        <f t="shared" si="47"/>
        <v>Monta</v>
      </c>
      <c r="E1335" s="5" t="str">
        <f t="shared" si="45"/>
        <v xml:space="preserve"> Dino</v>
      </c>
    </row>
    <row r="1336" spans="1:5" ht="15.75" customHeight="1" x14ac:dyDescent="0.3">
      <c r="A1336" s="4" t="s">
        <v>2672</v>
      </c>
      <c r="B1336" s="4" t="s">
        <v>2673</v>
      </c>
      <c r="C1336" s="5" t="str">
        <f t="shared" si="46"/>
        <v xml:space="preserve">r, </v>
      </c>
      <c r="D1336" s="5" t="str">
        <f t="shared" si="47"/>
        <v>M√ºll</v>
      </c>
      <c r="E1336" s="5" t="str">
        <f t="shared" si="45"/>
        <v xml:space="preserve">  Jan</v>
      </c>
    </row>
    <row r="1337" spans="1:5" ht="15.75" customHeight="1" x14ac:dyDescent="0.3">
      <c r="A1337" s="4" t="s">
        <v>2674</v>
      </c>
      <c r="B1337" s="4" t="s">
        <v>2675</v>
      </c>
      <c r="C1337" s="5" t="str">
        <f t="shared" si="46"/>
        <v xml:space="preserve"> Mr</v>
      </c>
      <c r="D1337" s="5" t="str">
        <f t="shared" si="47"/>
        <v>Baker</v>
      </c>
      <c r="E1337" s="5" t="str">
        <f t="shared" si="45"/>
        <v>an E.</v>
      </c>
    </row>
    <row r="1338" spans="1:5" ht="15.75" customHeight="1" x14ac:dyDescent="0.3">
      <c r="A1338" s="4" t="s">
        <v>2676</v>
      </c>
      <c r="B1338" s="4" t="s">
        <v>2677</v>
      </c>
      <c r="C1338" s="5" t="str">
        <f t="shared" si="46"/>
        <v>tto</v>
      </c>
      <c r="D1338" s="5" t="str">
        <f t="shared" si="47"/>
        <v>Sideb</v>
      </c>
      <c r="E1338" s="5" t="str">
        <f t="shared" si="45"/>
        <v>ark A</v>
      </c>
    </row>
    <row r="1339" spans="1:5" ht="15.75" customHeight="1" x14ac:dyDescent="0.3">
      <c r="A1339" s="4" t="s">
        <v>2678</v>
      </c>
      <c r="B1339" s="4" t="s">
        <v>2679</v>
      </c>
      <c r="C1339" s="5" t="str">
        <f t="shared" si="46"/>
        <v xml:space="preserve">n, </v>
      </c>
      <c r="D1339" s="5" t="str">
        <f t="shared" si="47"/>
        <v>Johns</v>
      </c>
      <c r="E1339" s="5" t="str">
        <f t="shared" si="45"/>
        <v xml:space="preserve"> Mary</v>
      </c>
    </row>
    <row r="1340" spans="1:5" ht="15.75" customHeight="1" x14ac:dyDescent="0.3">
      <c r="A1340" s="4" t="s">
        <v>2680</v>
      </c>
      <c r="B1340" s="4" t="s">
        <v>2681</v>
      </c>
      <c r="C1340" s="5" t="str">
        <f t="shared" si="46"/>
        <v>, M</v>
      </c>
      <c r="D1340" s="5" t="str">
        <f t="shared" si="47"/>
        <v>Morri</v>
      </c>
      <c r="E1340" s="5" t="str">
        <f t="shared" si="45"/>
        <v>amuel</v>
      </c>
    </row>
    <row r="1341" spans="1:5" ht="15.75" customHeight="1" x14ac:dyDescent="0.3">
      <c r="A1341" s="4" t="s">
        <v>2682</v>
      </c>
      <c r="B1341" s="4" t="s">
        <v>2683</v>
      </c>
      <c r="C1341" s="5" t="str">
        <f t="shared" si="46"/>
        <v>on,</v>
      </c>
      <c r="D1341" s="5" t="str">
        <f t="shared" si="47"/>
        <v>Chais</v>
      </c>
      <c r="E1341" s="5" t="str">
        <f t="shared" si="45"/>
        <v>tan J</v>
      </c>
    </row>
    <row r="1342" spans="1:5" ht="15.75" customHeight="1" x14ac:dyDescent="0.3">
      <c r="A1342" s="4" t="s">
        <v>2684</v>
      </c>
      <c r="B1342" s="4" t="s">
        <v>2685</v>
      </c>
      <c r="C1342" s="5" t="str">
        <f t="shared" si="46"/>
        <v>, M</v>
      </c>
      <c r="D1342" s="5" t="str">
        <f t="shared" si="47"/>
        <v>Pigot</v>
      </c>
      <c r="E1342" s="5" t="str">
        <f t="shared" si="45"/>
        <v>ca L.</v>
      </c>
    </row>
    <row r="1343" spans="1:5" ht="15.75" customHeight="1" x14ac:dyDescent="0.3">
      <c r="A1343" s="4" t="s">
        <v>2686</v>
      </c>
      <c r="B1343" s="4" t="s">
        <v>2687</v>
      </c>
      <c r="C1343" s="5" t="str">
        <f t="shared" si="46"/>
        <v>ne,</v>
      </c>
      <c r="D1343" s="5" t="str">
        <f t="shared" si="47"/>
        <v>Cochr</v>
      </c>
      <c r="E1343" s="5" t="str">
        <f t="shared" si="45"/>
        <v>rysta</v>
      </c>
    </row>
    <row r="1344" spans="1:5" ht="15.75" customHeight="1" x14ac:dyDescent="0.3">
      <c r="A1344" s="4" t="s">
        <v>2688</v>
      </c>
      <c r="B1344" s="4" t="s">
        <v>2689</v>
      </c>
      <c r="C1344" s="5" t="str">
        <f t="shared" si="46"/>
        <v>ge,</v>
      </c>
      <c r="D1344" s="5" t="str">
        <f t="shared" si="47"/>
        <v>Armit</v>
      </c>
      <c r="E1344" s="5" t="str">
        <f t="shared" si="45"/>
        <v>ascia</v>
      </c>
    </row>
    <row r="1345" spans="1:5" ht="15.75" customHeight="1" x14ac:dyDescent="0.3">
      <c r="A1345" s="4" t="s">
        <v>2690</v>
      </c>
      <c r="B1345" s="4" t="s">
        <v>2691</v>
      </c>
      <c r="C1345" s="5" t="str">
        <f t="shared" si="46"/>
        <v>Ms.</v>
      </c>
      <c r="D1345" s="5" t="str">
        <f t="shared" si="47"/>
        <v>Shen,</v>
      </c>
      <c r="E1345" s="5" t="str">
        <f t="shared" si="45"/>
        <v>Jenny</v>
      </c>
    </row>
    <row r="1346" spans="1:5" ht="15.75" customHeight="1" x14ac:dyDescent="0.3">
      <c r="A1346" s="4" t="s">
        <v>2692</v>
      </c>
      <c r="B1346" s="4" t="s">
        <v>2693</v>
      </c>
      <c r="C1346" s="5" t="str">
        <f t="shared" si="46"/>
        <v xml:space="preserve">y, </v>
      </c>
      <c r="D1346" s="5" t="str">
        <f t="shared" si="47"/>
        <v>O'Kel</v>
      </c>
      <c r="E1346" s="5" t="str">
        <f t="shared" ref="E1346:E1409" si="48">RIGHT(B1346,5)</f>
        <v>Brian</v>
      </c>
    </row>
    <row r="1347" spans="1:5" ht="15.75" customHeight="1" x14ac:dyDescent="0.3">
      <c r="A1347" s="4" t="s">
        <v>2694</v>
      </c>
      <c r="B1347" s="4" t="s">
        <v>2695</v>
      </c>
      <c r="C1347" s="5" t="str">
        <f t="shared" si="46"/>
        <v>Ms.</v>
      </c>
      <c r="D1347" s="5" t="str">
        <f t="shared" si="47"/>
        <v>Huff,</v>
      </c>
      <c r="E1347" s="5" t="str">
        <f t="shared" si="48"/>
        <v>onica</v>
      </c>
    </row>
    <row r="1348" spans="1:5" ht="15.75" customHeight="1" x14ac:dyDescent="0.3">
      <c r="A1348" s="4" t="s">
        <v>2696</v>
      </c>
      <c r="B1348" s="4" t="s">
        <v>2697</v>
      </c>
      <c r="C1348" s="5" t="str">
        <f t="shared" si="46"/>
        <v xml:space="preserve">r. </v>
      </c>
      <c r="D1348" s="5" t="str">
        <f t="shared" si="47"/>
        <v xml:space="preserve">Dye, </v>
      </c>
      <c r="E1348" s="5" t="str">
        <f t="shared" si="48"/>
        <v>Tyler</v>
      </c>
    </row>
    <row r="1349" spans="1:5" ht="15.75" customHeight="1" x14ac:dyDescent="0.3">
      <c r="A1349" s="4" t="s">
        <v>2698</v>
      </c>
      <c r="B1349" s="4" t="s">
        <v>2699</v>
      </c>
      <c r="C1349" s="5" t="str">
        <f t="shared" si="46"/>
        <v xml:space="preserve">d, </v>
      </c>
      <c r="D1349" s="5" t="str">
        <f t="shared" si="47"/>
        <v>Willa</v>
      </c>
      <c r="E1349" s="5" t="str">
        <f t="shared" si="48"/>
        <v>lly C</v>
      </c>
    </row>
    <row r="1350" spans="1:5" ht="15.75" customHeight="1" x14ac:dyDescent="0.3">
      <c r="A1350" s="4" t="s">
        <v>2700</v>
      </c>
      <c r="B1350" s="4" t="s">
        <v>2701</v>
      </c>
      <c r="C1350" s="5" t="str">
        <f t="shared" si="46"/>
        <v>rio</v>
      </c>
      <c r="D1350" s="5" t="str">
        <f t="shared" si="47"/>
        <v>D'Add</v>
      </c>
      <c r="E1350" s="5" t="str">
        <f t="shared" si="48"/>
        <v>Emily</v>
      </c>
    </row>
    <row r="1351" spans="1:5" ht="15.75" customHeight="1" x14ac:dyDescent="0.3">
      <c r="A1351" s="4" t="s">
        <v>2702</v>
      </c>
      <c r="B1351" s="4" t="s">
        <v>2703</v>
      </c>
      <c r="C1351" s="5" t="str">
        <f t="shared" si="46"/>
        <v>an,</v>
      </c>
      <c r="D1351" s="5" t="str">
        <f t="shared" si="47"/>
        <v>Bucha</v>
      </c>
      <c r="E1351" s="5" t="str">
        <f t="shared" si="48"/>
        <v>mes V</v>
      </c>
    </row>
    <row r="1352" spans="1:5" ht="15.75" customHeight="1" x14ac:dyDescent="0.3">
      <c r="A1352" s="4" t="s">
        <v>2704</v>
      </c>
      <c r="B1352" s="4" t="s">
        <v>2705</v>
      </c>
      <c r="C1352" s="5" t="str">
        <f t="shared" si="46"/>
        <v xml:space="preserve"> Ms</v>
      </c>
      <c r="D1352" s="5" t="str">
        <f t="shared" si="47"/>
        <v>Clark</v>
      </c>
      <c r="E1352" s="5" t="str">
        <f t="shared" si="48"/>
        <v>Angie</v>
      </c>
    </row>
    <row r="1353" spans="1:5" ht="15.75" customHeight="1" x14ac:dyDescent="0.3">
      <c r="A1353" s="4" t="s">
        <v>2706</v>
      </c>
      <c r="B1353" s="4" t="s">
        <v>2707</v>
      </c>
      <c r="C1353" s="5" t="str">
        <f t="shared" si="46"/>
        <v>on,</v>
      </c>
      <c r="D1353" s="5" t="str">
        <f t="shared" si="47"/>
        <v>Water</v>
      </c>
      <c r="E1353" s="5" t="str">
        <f t="shared" si="48"/>
        <v>el J.</v>
      </c>
    </row>
    <row r="1354" spans="1:5" ht="15.75" customHeight="1" x14ac:dyDescent="0.3">
      <c r="A1354" s="4" t="s">
        <v>2708</v>
      </c>
      <c r="B1354" s="4" t="s">
        <v>2709</v>
      </c>
      <c r="C1354" s="5" t="str">
        <f t="shared" si="46"/>
        <v xml:space="preserve"> Ms</v>
      </c>
      <c r="D1354" s="5" t="str">
        <f t="shared" si="47"/>
        <v>Piras</v>
      </c>
      <c r="E1354" s="5" t="str">
        <f t="shared" si="48"/>
        <v>abina</v>
      </c>
    </row>
    <row r="1355" spans="1:5" ht="15.75" customHeight="1" x14ac:dyDescent="0.3">
      <c r="A1355" s="4" t="s">
        <v>2710</v>
      </c>
      <c r="B1355" s="4" t="s">
        <v>2711</v>
      </c>
      <c r="C1355" s="5" t="str">
        <f t="shared" si="46"/>
        <v xml:space="preserve"> Ms</v>
      </c>
      <c r="D1355" s="5" t="str">
        <f t="shared" si="47"/>
        <v>Olson</v>
      </c>
      <c r="E1355" s="5" t="str">
        <f t="shared" si="48"/>
        <v>Amy C</v>
      </c>
    </row>
    <row r="1356" spans="1:5" ht="15.75" customHeight="1" x14ac:dyDescent="0.3">
      <c r="A1356" s="4" t="s">
        <v>2712</v>
      </c>
      <c r="B1356" s="4" t="s">
        <v>2713</v>
      </c>
      <c r="C1356" s="5" t="str">
        <f t="shared" si="46"/>
        <v>di,</v>
      </c>
      <c r="D1356" s="5" t="str">
        <f t="shared" si="47"/>
        <v>Manfr</v>
      </c>
      <c r="E1356" s="5" t="str">
        <f t="shared" si="48"/>
        <v>ria U</v>
      </c>
    </row>
    <row r="1357" spans="1:5" ht="15.75" customHeight="1" x14ac:dyDescent="0.3">
      <c r="A1357" s="4" t="s">
        <v>2714</v>
      </c>
      <c r="B1357" s="4" t="s">
        <v>2715</v>
      </c>
      <c r="C1357" s="5" t="str">
        <f t="shared" si="46"/>
        <v>rg,</v>
      </c>
      <c r="D1357" s="5" t="str">
        <f t="shared" si="47"/>
        <v>Landb</v>
      </c>
      <c r="E1357" s="5" t="str">
        <f t="shared" si="48"/>
        <v>lia B</v>
      </c>
    </row>
    <row r="1358" spans="1:5" ht="15.75" customHeight="1" x14ac:dyDescent="0.3">
      <c r="A1358" s="4" t="s">
        <v>2716</v>
      </c>
      <c r="B1358" s="4" t="s">
        <v>2717</v>
      </c>
      <c r="C1358" s="5" t="str">
        <f t="shared" si="46"/>
        <v xml:space="preserve"> Ms</v>
      </c>
      <c r="D1358" s="5" t="str">
        <f t="shared" si="47"/>
        <v>Flynn</v>
      </c>
      <c r="E1358" s="5" t="str">
        <f t="shared" si="48"/>
        <v>kie J</v>
      </c>
    </row>
    <row r="1359" spans="1:5" ht="15.75" customHeight="1" x14ac:dyDescent="0.3">
      <c r="A1359" s="4" t="s">
        <v>2718</v>
      </c>
      <c r="B1359" s="4" t="s">
        <v>2719</v>
      </c>
      <c r="C1359" s="5" t="str">
        <f t="shared" si="46"/>
        <v>, M</v>
      </c>
      <c r="D1359" s="5" t="str">
        <f t="shared" si="47"/>
        <v>Bisho</v>
      </c>
      <c r="E1359" s="5" t="str">
        <f t="shared" si="48"/>
        <v>ustin</v>
      </c>
    </row>
    <row r="1360" spans="1:5" ht="15.75" customHeight="1" x14ac:dyDescent="0.3">
      <c r="A1360" s="4" t="s">
        <v>2720</v>
      </c>
      <c r="B1360" s="4" t="s">
        <v>2721</v>
      </c>
      <c r="C1360" s="5" t="str">
        <f t="shared" si="46"/>
        <v>, M</v>
      </c>
      <c r="D1360" s="5" t="str">
        <f t="shared" si="47"/>
        <v>Devit</v>
      </c>
      <c r="E1360" s="5" t="str">
        <f t="shared" si="48"/>
        <v>Kerry</v>
      </c>
    </row>
    <row r="1361" spans="1:5" ht="15.75" customHeight="1" x14ac:dyDescent="0.3">
      <c r="A1361" s="4" t="s">
        <v>2722</v>
      </c>
      <c r="B1361" s="4" t="s">
        <v>2723</v>
      </c>
      <c r="C1361" s="5" t="str">
        <f t="shared" si="46"/>
        <v xml:space="preserve"> Ms</v>
      </c>
      <c r="D1361" s="5" t="str">
        <f t="shared" ref="D1361:D1424" si="49">LEFT(B1361,5)</f>
        <v>Lynch</v>
      </c>
      <c r="E1361" s="5" t="str">
        <f t="shared" si="48"/>
        <v>dy G.</v>
      </c>
    </row>
    <row r="1362" spans="1:5" ht="15.75" customHeight="1" x14ac:dyDescent="0.3">
      <c r="A1362" s="4" t="s">
        <v>2724</v>
      </c>
      <c r="B1362" s="4" t="s">
        <v>2725</v>
      </c>
      <c r="C1362" s="5" t="str">
        <f t="shared" si="46"/>
        <v>tan</v>
      </c>
      <c r="D1362" s="5" t="str">
        <f t="shared" si="49"/>
        <v>Tramo</v>
      </c>
      <c r="E1362" s="5" t="str">
        <f t="shared" si="48"/>
        <v>nnaro</v>
      </c>
    </row>
    <row r="1363" spans="1:5" ht="15.75" customHeight="1" x14ac:dyDescent="0.3">
      <c r="A1363" s="4" t="s">
        <v>2726</v>
      </c>
      <c r="B1363" s="4" t="s">
        <v>2727</v>
      </c>
      <c r="C1363" s="5" t="str">
        <f t="shared" si="46"/>
        <v>on,</v>
      </c>
      <c r="D1363" s="5" t="str">
        <f t="shared" si="49"/>
        <v>David</v>
      </c>
      <c r="E1363" s="5" t="str">
        <f t="shared" si="48"/>
        <v>Terry</v>
      </c>
    </row>
    <row r="1364" spans="1:5" ht="15.75" customHeight="1" x14ac:dyDescent="0.3">
      <c r="A1364" s="4" t="s">
        <v>2728</v>
      </c>
      <c r="B1364" s="4" t="s">
        <v>2729</v>
      </c>
      <c r="C1364" s="5" t="str">
        <f t="shared" si="46"/>
        <v xml:space="preserve"> Mr</v>
      </c>
      <c r="D1364" s="5" t="str">
        <f t="shared" si="49"/>
        <v>Burke</v>
      </c>
      <c r="E1364" s="5" t="str">
        <f t="shared" si="48"/>
        <v>ick J</v>
      </c>
    </row>
    <row r="1365" spans="1:5" ht="15.75" customHeight="1" x14ac:dyDescent="0.3">
      <c r="A1365" s="4" t="s">
        <v>2730</v>
      </c>
      <c r="B1365" s="4" t="s">
        <v>2731</v>
      </c>
      <c r="C1365" s="5" t="str">
        <f t="shared" si="46"/>
        <v>, M</v>
      </c>
      <c r="D1365" s="5" t="str">
        <f t="shared" si="49"/>
        <v>McGra</v>
      </c>
      <c r="E1365" s="5" t="str">
        <f t="shared" si="48"/>
        <v>Keara</v>
      </c>
    </row>
    <row r="1366" spans="1:5" ht="15.75" customHeight="1" x14ac:dyDescent="0.3">
      <c r="A1366" s="4" t="s">
        <v>2732</v>
      </c>
      <c r="B1366" s="4" t="s">
        <v>2733</v>
      </c>
      <c r="C1366" s="5" t="str">
        <f t="shared" si="46"/>
        <v xml:space="preserve">e, </v>
      </c>
      <c r="D1366" s="5" t="str">
        <f t="shared" si="49"/>
        <v>Fellu</v>
      </c>
      <c r="E1366" s="5" t="str">
        <f t="shared" si="48"/>
        <v>icole</v>
      </c>
    </row>
    <row r="1367" spans="1:5" ht="15.75" customHeight="1" x14ac:dyDescent="0.3">
      <c r="A1367" s="4" t="s">
        <v>2734</v>
      </c>
      <c r="B1367" s="4" t="s">
        <v>2735</v>
      </c>
      <c r="C1367" s="5" t="str">
        <f t="shared" si="46"/>
        <v xml:space="preserve">d, </v>
      </c>
      <c r="D1367" s="5" t="str">
        <f t="shared" si="49"/>
        <v>Sanfo</v>
      </c>
      <c r="E1367" s="5" t="str">
        <f t="shared" si="48"/>
        <v>atena</v>
      </c>
    </row>
    <row r="1368" spans="1:5" ht="15.75" customHeight="1" x14ac:dyDescent="0.3">
      <c r="A1368" s="4" t="s">
        <v>2736</v>
      </c>
      <c r="B1368" s="4" t="s">
        <v>2737</v>
      </c>
      <c r="C1368" s="5" t="str">
        <f t="shared" si="46"/>
        <v xml:space="preserve"> Ms</v>
      </c>
      <c r="D1368" s="5" t="str">
        <f t="shared" si="49"/>
        <v>Wrenn</v>
      </c>
      <c r="E1368" s="5" t="str">
        <f t="shared" si="48"/>
        <v>an K.</v>
      </c>
    </row>
    <row r="1369" spans="1:5" ht="15.75" customHeight="1" x14ac:dyDescent="0.3">
      <c r="A1369" s="4" t="s">
        <v>2738</v>
      </c>
      <c r="B1369" s="4" t="s">
        <v>2739</v>
      </c>
      <c r="C1369" s="5" t="str">
        <f t="shared" si="46"/>
        <v xml:space="preserve">y, </v>
      </c>
      <c r="D1369" s="5" t="str">
        <f t="shared" si="49"/>
        <v>Linds</v>
      </c>
      <c r="E1369" s="5" t="str">
        <f t="shared" si="48"/>
        <v>Brian</v>
      </c>
    </row>
    <row r="1370" spans="1:5" ht="15.75" customHeight="1" x14ac:dyDescent="0.3">
      <c r="A1370" s="4" t="s">
        <v>2740</v>
      </c>
      <c r="B1370" s="4" t="s">
        <v>2741</v>
      </c>
      <c r="C1370" s="5" t="str">
        <f t="shared" si="46"/>
        <v xml:space="preserve">r, </v>
      </c>
      <c r="D1370" s="5" t="str">
        <f t="shared" si="49"/>
        <v>Krueg</v>
      </c>
      <c r="E1370" s="5" t="str">
        <f t="shared" si="48"/>
        <v>trick</v>
      </c>
    </row>
    <row r="1371" spans="1:5" ht="15.75" customHeight="1" x14ac:dyDescent="0.3">
      <c r="A1371" s="4" t="s">
        <v>2742</v>
      </c>
      <c r="B1371" s="4" t="s">
        <v>2743</v>
      </c>
      <c r="C1371" s="5" t="str">
        <f t="shared" si="46"/>
        <v>, M</v>
      </c>
      <c r="D1371" s="5" t="str">
        <f t="shared" si="49"/>
        <v>Bable</v>
      </c>
      <c r="E1371" s="5" t="str">
        <f t="shared" si="48"/>
        <v>sse J</v>
      </c>
    </row>
    <row r="1372" spans="1:5" ht="15.75" customHeight="1" x14ac:dyDescent="0.3">
      <c r="A1372" s="4" t="s">
        <v>2744</v>
      </c>
      <c r="B1372" s="4" t="s">
        <v>2745</v>
      </c>
      <c r="C1372" s="5" t="str">
        <f t="shared" si="46"/>
        <v>ski</v>
      </c>
      <c r="D1372" s="5" t="str">
        <f t="shared" si="49"/>
        <v>Breze</v>
      </c>
      <c r="E1372" s="5" t="str">
        <f t="shared" si="48"/>
        <v>sey M</v>
      </c>
    </row>
    <row r="1373" spans="1:5" ht="15.75" customHeight="1" x14ac:dyDescent="0.3">
      <c r="A1373" s="4" t="s">
        <v>2746</v>
      </c>
      <c r="B1373" s="4" t="s">
        <v>2747</v>
      </c>
      <c r="C1373" s="5" t="str">
        <f t="shared" si="46"/>
        <v>ner</v>
      </c>
      <c r="D1373" s="5" t="str">
        <f t="shared" si="49"/>
        <v>Marsc</v>
      </c>
      <c r="E1373" s="5" t="str">
        <f t="shared" si="48"/>
        <v>te K.</v>
      </c>
    </row>
    <row r="1374" spans="1:5" ht="15.75" customHeight="1" x14ac:dyDescent="0.3">
      <c r="A1374" s="4" t="s">
        <v>2748</v>
      </c>
      <c r="B1374" s="4" t="s">
        <v>2749</v>
      </c>
      <c r="C1374" s="5" t="str">
        <f t="shared" si="46"/>
        <v>Mr.</v>
      </c>
      <c r="D1374" s="5" t="str">
        <f t="shared" si="49"/>
        <v>King,</v>
      </c>
      <c r="E1374" s="5" t="str">
        <f t="shared" si="48"/>
        <v>ravis</v>
      </c>
    </row>
    <row r="1375" spans="1:5" ht="15.75" customHeight="1" x14ac:dyDescent="0.3">
      <c r="A1375" s="4" t="s">
        <v>2750</v>
      </c>
      <c r="B1375" s="4" t="s">
        <v>2751</v>
      </c>
      <c r="C1375" s="5" t="str">
        <f t="shared" si="46"/>
        <v>, M</v>
      </c>
      <c r="D1375" s="5" t="str">
        <f t="shared" si="49"/>
        <v>Monte</v>
      </c>
      <c r="E1375" s="5" t="str">
        <f t="shared" si="48"/>
        <v>Ricky</v>
      </c>
    </row>
    <row r="1376" spans="1:5" ht="15.75" customHeight="1" x14ac:dyDescent="0.3">
      <c r="A1376" s="4" t="s">
        <v>2752</v>
      </c>
      <c r="B1376" s="4" t="s">
        <v>2753</v>
      </c>
      <c r="C1376" s="5" t="str">
        <f t="shared" si="46"/>
        <v>ll,</v>
      </c>
      <c r="D1376" s="5" t="str">
        <f t="shared" si="49"/>
        <v>Campb</v>
      </c>
      <c r="E1376" s="5" t="str">
        <f t="shared" si="48"/>
        <v>en L.</v>
      </c>
    </row>
    <row r="1377" spans="1:5" ht="15.75" customHeight="1" x14ac:dyDescent="0.3">
      <c r="A1377" s="4" t="s">
        <v>2754</v>
      </c>
      <c r="B1377" s="4" t="s">
        <v>2755</v>
      </c>
      <c r="C1377" s="5" t="str">
        <f t="shared" si="46"/>
        <v>Mr.</v>
      </c>
      <c r="D1377" s="5" t="str">
        <f t="shared" si="49"/>
        <v>Hurt,</v>
      </c>
      <c r="E1377" s="5" t="str">
        <f t="shared" si="48"/>
        <v>lie A</v>
      </c>
    </row>
    <row r="1378" spans="1:5" ht="15.75" customHeight="1" x14ac:dyDescent="0.3">
      <c r="A1378" s="4" t="s">
        <v>2756</v>
      </c>
      <c r="B1378" s="4" t="s">
        <v>2757</v>
      </c>
      <c r="C1378" s="5" t="str">
        <f t="shared" si="46"/>
        <v xml:space="preserve"> Mr</v>
      </c>
      <c r="D1378" s="5" t="str">
        <f t="shared" si="49"/>
        <v>Garey</v>
      </c>
      <c r="E1378" s="5" t="str">
        <f t="shared" si="48"/>
        <v xml:space="preserve"> Rick</v>
      </c>
    </row>
    <row r="1379" spans="1:5" ht="15.75" customHeight="1" x14ac:dyDescent="0.3">
      <c r="A1379" s="4" t="s">
        <v>2758</v>
      </c>
      <c r="B1379" s="4" t="s">
        <v>2759</v>
      </c>
      <c r="C1379" s="5" t="str">
        <f t="shared" si="46"/>
        <v xml:space="preserve"> Ms</v>
      </c>
      <c r="D1379" s="5" t="str">
        <f t="shared" si="49"/>
        <v>Reddy</v>
      </c>
      <c r="E1379" s="5" t="str">
        <f t="shared" si="48"/>
        <v>ren C</v>
      </c>
    </row>
    <row r="1380" spans="1:5" ht="15.75" customHeight="1" x14ac:dyDescent="0.3">
      <c r="A1380" s="4" t="s">
        <v>2760</v>
      </c>
      <c r="B1380" s="4" t="s">
        <v>2761</v>
      </c>
      <c r="C1380" s="5" t="str">
        <f t="shared" si="46"/>
        <v xml:space="preserve">r, </v>
      </c>
      <c r="D1380" s="5" t="str">
        <f t="shared" si="49"/>
        <v>Muell</v>
      </c>
      <c r="E1380" s="5" t="str">
        <f t="shared" si="48"/>
        <v>aniel</v>
      </c>
    </row>
    <row r="1381" spans="1:5" ht="15.75" customHeight="1" x14ac:dyDescent="0.3">
      <c r="A1381" s="4" t="s">
        <v>2762</v>
      </c>
      <c r="B1381" s="4" t="s">
        <v>2763</v>
      </c>
      <c r="C1381" s="5" t="str">
        <f t="shared" si="46"/>
        <v xml:space="preserve"> Mr</v>
      </c>
      <c r="D1381" s="5" t="str">
        <f t="shared" si="49"/>
        <v>Julia</v>
      </c>
      <c r="E1381" s="5" t="str">
        <f t="shared" si="48"/>
        <v>Jaime</v>
      </c>
    </row>
    <row r="1382" spans="1:5" ht="15.75" customHeight="1" x14ac:dyDescent="0.3">
      <c r="A1382" s="4" t="s">
        <v>2764</v>
      </c>
      <c r="B1382" s="4" t="s">
        <v>2765</v>
      </c>
      <c r="C1382" s="5" t="str">
        <f t="shared" si="46"/>
        <v xml:space="preserve"> Mr</v>
      </c>
      <c r="D1382" s="5" t="str">
        <f t="shared" si="49"/>
        <v>Uribe</v>
      </c>
      <c r="E1382" s="5" t="str">
        <f t="shared" si="48"/>
        <v>rik R</v>
      </c>
    </row>
    <row r="1383" spans="1:5" ht="15.75" customHeight="1" x14ac:dyDescent="0.3">
      <c r="A1383" s="4" t="s">
        <v>2766</v>
      </c>
      <c r="B1383" s="4" t="s">
        <v>2767</v>
      </c>
      <c r="C1383" s="5" t="str">
        <f t="shared" si="46"/>
        <v>Ms.</v>
      </c>
      <c r="D1383" s="5" t="str">
        <f t="shared" si="49"/>
        <v>Hand,</v>
      </c>
      <c r="E1383" s="5" t="str">
        <f t="shared" si="48"/>
        <v>Katie</v>
      </c>
    </row>
    <row r="1384" spans="1:5" ht="15.75" customHeight="1" x14ac:dyDescent="0.3">
      <c r="A1384" s="4" t="s">
        <v>2768</v>
      </c>
      <c r="B1384" s="4" t="s">
        <v>2769</v>
      </c>
      <c r="C1384" s="5" t="str">
        <f t="shared" si="46"/>
        <v>en,</v>
      </c>
      <c r="D1384" s="5" t="str">
        <f t="shared" si="49"/>
        <v>Peter</v>
      </c>
      <c r="E1384" s="5" t="str">
        <f t="shared" si="48"/>
        <v>mas A</v>
      </c>
    </row>
    <row r="1385" spans="1:5" ht="15.75" customHeight="1" x14ac:dyDescent="0.3">
      <c r="A1385" s="4" t="s">
        <v>2770</v>
      </c>
      <c r="B1385" s="4" t="s">
        <v>2771</v>
      </c>
      <c r="C1385" s="5" t="str">
        <f t="shared" si="46"/>
        <v>ion</v>
      </c>
      <c r="D1385" s="5" t="str">
        <f t="shared" si="49"/>
        <v>Mac-T</v>
      </c>
      <c r="E1385" s="5" t="str">
        <f t="shared" si="48"/>
        <v>-Marc</v>
      </c>
    </row>
    <row r="1386" spans="1:5" ht="15.75" customHeight="1" x14ac:dyDescent="0.3">
      <c r="A1386" s="4" t="s">
        <v>2772</v>
      </c>
      <c r="B1386" s="4" t="s">
        <v>2773</v>
      </c>
      <c r="C1386" s="5" t="str">
        <f t="shared" si="46"/>
        <v>, M</v>
      </c>
      <c r="D1386" s="5" t="str">
        <f t="shared" si="49"/>
        <v>Walke</v>
      </c>
      <c r="E1386" s="5" t="str">
        <f t="shared" si="48"/>
        <v>rry L</v>
      </c>
    </row>
    <row r="1387" spans="1:5" ht="15.75" customHeight="1" x14ac:dyDescent="0.3">
      <c r="A1387" s="4" t="s">
        <v>2774</v>
      </c>
      <c r="B1387" s="4" t="s">
        <v>2775</v>
      </c>
      <c r="C1387" s="5" t="str">
        <f t="shared" si="46"/>
        <v>, M</v>
      </c>
      <c r="D1387" s="5" t="str">
        <f t="shared" si="49"/>
        <v>Steid</v>
      </c>
      <c r="E1387" s="5" t="str">
        <f t="shared" si="48"/>
        <v>lrich</v>
      </c>
    </row>
    <row r="1388" spans="1:5" ht="15.75" customHeight="1" x14ac:dyDescent="0.3">
      <c r="A1388" s="4" t="s">
        <v>2776</v>
      </c>
      <c r="B1388" s="4" t="s">
        <v>2777</v>
      </c>
      <c r="C1388" s="5" t="str">
        <f t="shared" si="46"/>
        <v>Mr.</v>
      </c>
      <c r="D1388" s="5" t="str">
        <f t="shared" si="49"/>
        <v>Rose,</v>
      </c>
      <c r="E1388" s="5" t="str">
        <f t="shared" si="48"/>
        <v>tin P</v>
      </c>
    </row>
    <row r="1389" spans="1:5" ht="15.75" customHeight="1" x14ac:dyDescent="0.3">
      <c r="A1389" s="4" t="s">
        <v>2778</v>
      </c>
      <c r="B1389" s="4" t="s">
        <v>2779</v>
      </c>
      <c r="C1389" s="5" t="str">
        <f t="shared" si="46"/>
        <v>er,</v>
      </c>
      <c r="D1389" s="5" t="str">
        <f t="shared" si="49"/>
        <v>Alder</v>
      </c>
      <c r="E1389" s="5" t="str">
        <f t="shared" si="48"/>
        <v>ah E.</v>
      </c>
    </row>
    <row r="1390" spans="1:5" ht="15.75" customHeight="1" x14ac:dyDescent="0.3">
      <c r="A1390" s="4" t="s">
        <v>2780</v>
      </c>
      <c r="B1390" s="4" t="s">
        <v>2781</v>
      </c>
      <c r="C1390" s="5" t="str">
        <f t="shared" si="46"/>
        <v>, M</v>
      </c>
      <c r="D1390" s="5" t="str">
        <f t="shared" si="49"/>
        <v>Rylan</v>
      </c>
      <c r="E1390" s="5" t="str">
        <f t="shared" si="48"/>
        <v>David</v>
      </c>
    </row>
    <row r="1391" spans="1:5" ht="15.75" customHeight="1" x14ac:dyDescent="0.3">
      <c r="A1391" s="4" t="s">
        <v>2782</v>
      </c>
      <c r="B1391" s="4" t="s">
        <v>2783</v>
      </c>
      <c r="C1391" s="5" t="str">
        <f t="shared" si="46"/>
        <v>, M</v>
      </c>
      <c r="D1391" s="5" t="str">
        <f t="shared" si="49"/>
        <v>Bethe</v>
      </c>
      <c r="E1391" s="5" t="str">
        <f t="shared" si="48"/>
        <v xml:space="preserve">  Jim</v>
      </c>
    </row>
    <row r="1392" spans="1:5" ht="15.75" customHeight="1" x14ac:dyDescent="0.3">
      <c r="A1392" s="4" t="s">
        <v>2784</v>
      </c>
      <c r="B1392" s="4" t="s">
        <v>2785</v>
      </c>
      <c r="C1392" s="5" t="str">
        <f t="shared" si="46"/>
        <v xml:space="preserve"> Mr</v>
      </c>
      <c r="D1392" s="5" t="str">
        <f t="shared" si="49"/>
        <v>Kelly</v>
      </c>
      <c r="E1392" s="5" t="str">
        <f t="shared" si="48"/>
        <v>eph P</v>
      </c>
    </row>
    <row r="1393" spans="1:5" ht="15.75" customHeight="1" x14ac:dyDescent="0.3">
      <c r="A1393" s="4" t="s">
        <v>2786</v>
      </c>
      <c r="B1393" s="4" t="s">
        <v>2787</v>
      </c>
      <c r="C1393" s="5" t="str">
        <f t="shared" si="46"/>
        <v xml:space="preserve"> Mr</v>
      </c>
      <c r="D1393" s="5" t="str">
        <f t="shared" si="49"/>
        <v>Blois</v>
      </c>
      <c r="E1393" s="5" t="str">
        <f t="shared" si="48"/>
        <v>chael</v>
      </c>
    </row>
    <row r="1394" spans="1:5" ht="15.75" customHeight="1" x14ac:dyDescent="0.3">
      <c r="A1394" s="4" t="s">
        <v>2788</v>
      </c>
      <c r="B1394" s="4" t="s">
        <v>2789</v>
      </c>
      <c r="C1394" s="5" t="str">
        <f t="shared" si="46"/>
        <v>, M</v>
      </c>
      <c r="D1394" s="5" t="str">
        <f t="shared" si="49"/>
        <v>Dayto</v>
      </c>
      <c r="E1394" s="5" t="str">
        <f t="shared" si="48"/>
        <v>ina M</v>
      </c>
    </row>
    <row r="1395" spans="1:5" ht="15.75" customHeight="1" x14ac:dyDescent="0.3">
      <c r="A1395" s="4" t="s">
        <v>2790</v>
      </c>
      <c r="B1395" s="4" t="s">
        <v>2791</v>
      </c>
      <c r="C1395" s="5" t="str">
        <f t="shared" si="46"/>
        <v xml:space="preserve"> Ms</v>
      </c>
      <c r="D1395" s="5" t="str">
        <f t="shared" si="49"/>
        <v>Cloud</v>
      </c>
      <c r="E1395" s="5" t="str">
        <f t="shared" si="48"/>
        <v>el C.</v>
      </c>
    </row>
    <row r="1396" spans="1:5" ht="15.75" customHeight="1" x14ac:dyDescent="0.3">
      <c r="A1396" s="4" t="s">
        <v>2792</v>
      </c>
      <c r="B1396" s="4" t="s">
        <v>2793</v>
      </c>
      <c r="C1396" s="5" t="str">
        <f t="shared" si="46"/>
        <v>nay</v>
      </c>
      <c r="D1396" s="5" t="str">
        <f t="shared" si="49"/>
        <v>Betou</v>
      </c>
      <c r="E1396" s="5" t="str">
        <f t="shared" si="48"/>
        <v>Brian</v>
      </c>
    </row>
    <row r="1397" spans="1:5" ht="15.75" customHeight="1" x14ac:dyDescent="0.3">
      <c r="A1397" s="4" t="s">
        <v>2794</v>
      </c>
      <c r="B1397" s="4" t="s">
        <v>2795</v>
      </c>
      <c r="C1397" s="5" t="str">
        <f t="shared" si="46"/>
        <v>, M</v>
      </c>
      <c r="D1397" s="5" t="str">
        <f t="shared" si="49"/>
        <v>Templ</v>
      </c>
      <c r="E1397" s="5" t="str">
        <f t="shared" si="48"/>
        <v>Brian</v>
      </c>
    </row>
    <row r="1398" spans="1:5" ht="15.75" customHeight="1" x14ac:dyDescent="0.3">
      <c r="A1398" s="4" t="s">
        <v>2796</v>
      </c>
      <c r="B1398" s="4" t="s">
        <v>2797</v>
      </c>
      <c r="C1398" s="5" t="str">
        <f t="shared" si="46"/>
        <v>, M</v>
      </c>
      <c r="D1398" s="5" t="str">
        <f t="shared" si="49"/>
        <v>Rolli</v>
      </c>
      <c r="E1398" s="5" t="str">
        <f t="shared" si="48"/>
        <v>ica R</v>
      </c>
    </row>
    <row r="1399" spans="1:5" ht="15.75" customHeight="1" x14ac:dyDescent="0.3">
      <c r="A1399" s="4" t="s">
        <v>2798</v>
      </c>
      <c r="B1399" s="4" t="s">
        <v>2799</v>
      </c>
      <c r="C1399" s="5" t="str">
        <f t="shared" si="46"/>
        <v>, M</v>
      </c>
      <c r="D1399" s="5" t="str">
        <f t="shared" si="49"/>
        <v>Royba</v>
      </c>
      <c r="E1399" s="5" t="str">
        <f t="shared" si="48"/>
        <v>Robyn</v>
      </c>
    </row>
    <row r="1400" spans="1:5" ht="15.75" customHeight="1" x14ac:dyDescent="0.3">
      <c r="A1400" s="4" t="s">
        <v>2800</v>
      </c>
      <c r="B1400" s="4" t="s">
        <v>2801</v>
      </c>
      <c r="C1400" s="5" t="str">
        <f t="shared" si="46"/>
        <v xml:space="preserve">n, </v>
      </c>
      <c r="D1400" s="5" t="str">
        <f t="shared" si="49"/>
        <v>Turge</v>
      </c>
      <c r="E1400" s="5" t="str">
        <f t="shared" si="48"/>
        <v>shley</v>
      </c>
    </row>
    <row r="1401" spans="1:5" ht="15.75" customHeight="1" x14ac:dyDescent="0.3">
      <c r="A1401" s="4" t="s">
        <v>2802</v>
      </c>
      <c r="B1401" s="4" t="s">
        <v>2803</v>
      </c>
      <c r="C1401" s="5" t="str">
        <f t="shared" si="46"/>
        <v>nis</v>
      </c>
      <c r="D1401" s="5" t="str">
        <f t="shared" si="49"/>
        <v>Deing</v>
      </c>
      <c r="E1401" s="5" t="str">
        <f t="shared" si="48"/>
        <v xml:space="preserve"> Dana</v>
      </c>
    </row>
    <row r="1402" spans="1:5" ht="15.75" customHeight="1" x14ac:dyDescent="0.3">
      <c r="A1402" s="4" t="s">
        <v>2804</v>
      </c>
      <c r="B1402" s="4" t="s">
        <v>2805</v>
      </c>
      <c r="C1402" s="5" t="str">
        <f t="shared" si="46"/>
        <v xml:space="preserve"> Ms</v>
      </c>
      <c r="D1402" s="5" t="str">
        <f t="shared" si="49"/>
        <v>Hodge</v>
      </c>
      <c r="E1402" s="5" t="str">
        <f t="shared" si="48"/>
        <v>ca F.</v>
      </c>
    </row>
    <row r="1403" spans="1:5" ht="15.75" customHeight="1" x14ac:dyDescent="0.3">
      <c r="A1403" s="4" t="s">
        <v>2806</v>
      </c>
      <c r="B1403" s="4" t="s">
        <v>2807</v>
      </c>
      <c r="C1403" s="5" t="str">
        <f t="shared" si="46"/>
        <v xml:space="preserve"> Ms</v>
      </c>
      <c r="D1403" s="5" t="str">
        <f t="shared" si="49"/>
        <v>Gibbs</v>
      </c>
      <c r="E1403" s="5" t="str">
        <f t="shared" si="48"/>
        <v>ndsey</v>
      </c>
    </row>
    <row r="1404" spans="1:5" ht="15.75" customHeight="1" x14ac:dyDescent="0.3">
      <c r="A1404" s="4" t="s">
        <v>2808</v>
      </c>
      <c r="B1404" s="4" t="s">
        <v>2809</v>
      </c>
      <c r="C1404" s="5" t="str">
        <f t="shared" si="46"/>
        <v>Ms.</v>
      </c>
      <c r="D1404" s="5" t="str">
        <f t="shared" si="49"/>
        <v>Trom,</v>
      </c>
      <c r="E1404" s="5" t="str">
        <f t="shared" si="48"/>
        <v>lly A</v>
      </c>
    </row>
    <row r="1405" spans="1:5" ht="15.75" customHeight="1" x14ac:dyDescent="0.3">
      <c r="A1405" s="4" t="s">
        <v>2810</v>
      </c>
      <c r="B1405" s="4" t="s">
        <v>2811</v>
      </c>
      <c r="C1405" s="5" t="str">
        <f t="shared" si="46"/>
        <v xml:space="preserve"> Ms</v>
      </c>
      <c r="D1405" s="5" t="str">
        <f t="shared" si="49"/>
        <v>Sizer</v>
      </c>
      <c r="E1405" s="5" t="str">
        <f t="shared" si="48"/>
        <v>oke E</v>
      </c>
    </row>
    <row r="1406" spans="1:5" ht="15.75" customHeight="1" x14ac:dyDescent="0.3">
      <c r="A1406" s="4" t="s">
        <v>2812</v>
      </c>
      <c r="B1406" s="4" t="s">
        <v>2813</v>
      </c>
      <c r="C1406" s="5" t="str">
        <f t="shared" si="46"/>
        <v xml:space="preserve">n, </v>
      </c>
      <c r="D1406" s="5" t="str">
        <f t="shared" si="49"/>
        <v>Ellis</v>
      </c>
      <c r="E1406" s="5" t="str">
        <f t="shared" si="48"/>
        <v>yn E.</v>
      </c>
    </row>
    <row r="1407" spans="1:5" ht="15.75" customHeight="1" x14ac:dyDescent="0.3">
      <c r="A1407" s="4" t="s">
        <v>2814</v>
      </c>
      <c r="B1407" s="4" t="s">
        <v>2815</v>
      </c>
      <c r="C1407" s="5" t="str">
        <f t="shared" si="46"/>
        <v>ski</v>
      </c>
      <c r="D1407" s="5" t="str">
        <f t="shared" si="49"/>
        <v>Sulko</v>
      </c>
      <c r="E1407" s="5" t="str">
        <f t="shared" si="48"/>
        <v xml:space="preserve"> Adam</v>
      </c>
    </row>
    <row r="1408" spans="1:5" ht="15.75" customHeight="1" x14ac:dyDescent="0.3">
      <c r="A1408" s="4" t="s">
        <v>2816</v>
      </c>
      <c r="B1408" s="4" t="s">
        <v>2817</v>
      </c>
      <c r="C1408" s="5" t="str">
        <f t="shared" si="46"/>
        <v xml:space="preserve">o, </v>
      </c>
      <c r="D1408" s="5" t="str">
        <f t="shared" si="49"/>
        <v>Marin</v>
      </c>
      <c r="E1408" s="5" t="str">
        <f t="shared" si="48"/>
        <v xml:space="preserve"> Dana</v>
      </c>
    </row>
    <row r="1409" spans="1:5" ht="15.75" customHeight="1" x14ac:dyDescent="0.3">
      <c r="A1409" s="4" t="s">
        <v>2818</v>
      </c>
      <c r="B1409" s="4" t="s">
        <v>2819</v>
      </c>
      <c r="C1409" s="5" t="str">
        <f t="shared" si="46"/>
        <v>, M</v>
      </c>
      <c r="D1409" s="5" t="str">
        <f t="shared" si="49"/>
        <v>Latti</v>
      </c>
      <c r="E1409" s="5" t="str">
        <f t="shared" si="48"/>
        <v>ric W</v>
      </c>
    </row>
    <row r="1410" spans="1:5" ht="15.75" customHeight="1" x14ac:dyDescent="0.3">
      <c r="A1410" s="4" t="s">
        <v>2820</v>
      </c>
      <c r="B1410" s="4" t="s">
        <v>2821</v>
      </c>
      <c r="C1410" s="5" t="str">
        <f t="shared" si="46"/>
        <v>der</v>
      </c>
      <c r="D1410" s="5" t="str">
        <f t="shared" si="49"/>
        <v>Debla</v>
      </c>
      <c r="E1410" s="5" t="str">
        <f t="shared" ref="E1410:E1473" si="50">RIGHT(B1410,5)</f>
        <v>hew D</v>
      </c>
    </row>
    <row r="1411" spans="1:5" ht="15.75" customHeight="1" x14ac:dyDescent="0.3">
      <c r="A1411" s="4" t="s">
        <v>2822</v>
      </c>
      <c r="B1411" s="4" t="s">
        <v>2823</v>
      </c>
      <c r="C1411" s="5" t="str">
        <f t="shared" si="46"/>
        <v xml:space="preserve">l, </v>
      </c>
      <c r="D1411" s="5" t="str">
        <f t="shared" si="49"/>
        <v>O'Nei</v>
      </c>
      <c r="E1411" s="5" t="str">
        <f t="shared" si="50"/>
        <v>oghan</v>
      </c>
    </row>
    <row r="1412" spans="1:5" ht="15.75" customHeight="1" x14ac:dyDescent="0.3">
      <c r="A1412" s="4" t="s">
        <v>2824</v>
      </c>
      <c r="B1412" s="4" t="s">
        <v>2825</v>
      </c>
      <c r="C1412" s="5" t="str">
        <f t="shared" si="46"/>
        <v xml:space="preserve"> Ms</v>
      </c>
      <c r="D1412" s="5" t="str">
        <f t="shared" si="49"/>
        <v>Davis</v>
      </c>
      <c r="E1412" s="5" t="str">
        <f t="shared" si="50"/>
        <v>ela W</v>
      </c>
    </row>
    <row r="1413" spans="1:5" ht="15.75" customHeight="1" x14ac:dyDescent="0.3">
      <c r="A1413" s="4" t="s">
        <v>2826</v>
      </c>
      <c r="B1413" s="4" t="s">
        <v>2827</v>
      </c>
      <c r="C1413" s="5" t="str">
        <f t="shared" si="46"/>
        <v>, M</v>
      </c>
      <c r="D1413" s="5" t="str">
        <f t="shared" si="49"/>
        <v>Stane</v>
      </c>
      <c r="E1413" s="5" t="str">
        <f t="shared" si="50"/>
        <v>ey M.</v>
      </c>
    </row>
    <row r="1414" spans="1:5" ht="15.75" customHeight="1" x14ac:dyDescent="0.3">
      <c r="A1414" s="4" t="s">
        <v>2828</v>
      </c>
      <c r="B1414" s="4" t="s">
        <v>2829</v>
      </c>
      <c r="C1414" s="5" t="str">
        <f t="shared" si="46"/>
        <v>, M</v>
      </c>
      <c r="D1414" s="5" t="str">
        <f t="shared" si="49"/>
        <v>Harri</v>
      </c>
      <c r="E1414" s="5" t="str">
        <f t="shared" si="50"/>
        <v>assie</v>
      </c>
    </row>
    <row r="1415" spans="1:5" ht="15.75" customHeight="1" x14ac:dyDescent="0.3">
      <c r="A1415" s="4" t="s">
        <v>2830</v>
      </c>
      <c r="B1415" s="4" t="s">
        <v>2831</v>
      </c>
      <c r="C1415" s="5" t="str">
        <f t="shared" si="46"/>
        <v xml:space="preserve">g, </v>
      </c>
      <c r="D1415" s="5" t="str">
        <f t="shared" si="49"/>
        <v>Manni</v>
      </c>
      <c r="E1415" s="5" t="str">
        <f t="shared" si="50"/>
        <v>tthew</v>
      </c>
    </row>
    <row r="1416" spans="1:5" ht="15.75" customHeight="1" x14ac:dyDescent="0.3">
      <c r="A1416" s="4" t="s">
        <v>2832</v>
      </c>
      <c r="B1416" s="4" t="s">
        <v>2833</v>
      </c>
      <c r="C1416" s="5" t="str">
        <f t="shared" si="46"/>
        <v>a M</v>
      </c>
      <c r="D1416" s="5" t="str">
        <f t="shared" si="49"/>
        <v>Barre</v>
      </c>
      <c r="E1416" s="5" t="str">
        <f t="shared" si="50"/>
        <v>Dario</v>
      </c>
    </row>
    <row r="1417" spans="1:5" ht="15.75" customHeight="1" x14ac:dyDescent="0.3">
      <c r="A1417" s="4" t="s">
        <v>2834</v>
      </c>
      <c r="B1417" s="4" t="s">
        <v>2835</v>
      </c>
      <c r="C1417" s="5" t="str">
        <f t="shared" si="46"/>
        <v>aer</v>
      </c>
      <c r="D1417" s="5" t="str">
        <f t="shared" si="49"/>
        <v>Schau</v>
      </c>
      <c r="E1417" s="5" t="str">
        <f t="shared" si="50"/>
        <v>Kevin</v>
      </c>
    </row>
    <row r="1418" spans="1:5" ht="15.75" customHeight="1" x14ac:dyDescent="0.3">
      <c r="A1418" s="4" t="s">
        <v>2836</v>
      </c>
      <c r="B1418" s="4" t="s">
        <v>2837</v>
      </c>
      <c r="C1418" s="5" t="str">
        <f t="shared" si="46"/>
        <v xml:space="preserve">n, </v>
      </c>
      <c r="D1418" s="5" t="str">
        <f t="shared" si="49"/>
        <v>Hartm</v>
      </c>
      <c r="E1418" s="5" t="str">
        <f t="shared" si="50"/>
        <v>say M</v>
      </c>
    </row>
    <row r="1419" spans="1:5" ht="15.75" customHeight="1" x14ac:dyDescent="0.3">
      <c r="A1419" s="4" t="s">
        <v>2838</v>
      </c>
      <c r="B1419" s="4" t="s">
        <v>2839</v>
      </c>
      <c r="C1419" s="5" t="str">
        <f t="shared" si="46"/>
        <v>Mrs</v>
      </c>
      <c r="D1419" s="5" t="str">
        <f t="shared" si="49"/>
        <v>Fire,</v>
      </c>
      <c r="E1419" s="5" t="str">
        <f t="shared" si="50"/>
        <v>manda</v>
      </c>
    </row>
    <row r="1420" spans="1:5" ht="15.75" customHeight="1" x14ac:dyDescent="0.3">
      <c r="A1420" s="4" t="s">
        <v>2840</v>
      </c>
      <c r="B1420" s="4" t="s">
        <v>2841</v>
      </c>
      <c r="C1420" s="5" t="str">
        <f t="shared" si="46"/>
        <v>la,</v>
      </c>
      <c r="D1420" s="5" t="str">
        <f t="shared" si="49"/>
        <v>Walia</v>
      </c>
      <c r="E1420" s="5" t="str">
        <f t="shared" si="50"/>
        <v>James</v>
      </c>
    </row>
    <row r="1421" spans="1:5" ht="15.75" customHeight="1" x14ac:dyDescent="0.3">
      <c r="A1421" s="4" t="s">
        <v>2842</v>
      </c>
      <c r="B1421" s="4" t="s">
        <v>2843</v>
      </c>
      <c r="C1421" s="5" t="str">
        <f t="shared" si="46"/>
        <v>hea</v>
      </c>
      <c r="D1421" s="5" t="str">
        <f t="shared" si="49"/>
        <v>Black</v>
      </c>
      <c r="E1421" s="5" t="str">
        <f t="shared" si="50"/>
        <v>el H.</v>
      </c>
    </row>
    <row r="1422" spans="1:5" ht="15.75" customHeight="1" x14ac:dyDescent="0.3">
      <c r="A1422" s="4" t="s">
        <v>2844</v>
      </c>
      <c r="B1422" s="4" t="s">
        <v>2845</v>
      </c>
      <c r="C1422" s="5" t="str">
        <f t="shared" si="46"/>
        <v>, M</v>
      </c>
      <c r="D1422" s="5" t="str">
        <f t="shared" si="49"/>
        <v>Netti</v>
      </c>
      <c r="E1422" s="5" t="str">
        <f t="shared" si="50"/>
        <v>Jenni</v>
      </c>
    </row>
    <row r="1423" spans="1:5" ht="15.75" customHeight="1" x14ac:dyDescent="0.3">
      <c r="A1423" s="4" t="s">
        <v>2846</v>
      </c>
      <c r="B1423" s="4" t="s">
        <v>2847</v>
      </c>
      <c r="C1423" s="5" t="str">
        <f t="shared" si="46"/>
        <v xml:space="preserve">s, </v>
      </c>
      <c r="D1423" s="5" t="str">
        <f t="shared" si="49"/>
        <v>Noval</v>
      </c>
      <c r="E1423" s="5" t="str">
        <f t="shared" si="50"/>
        <v>rdo F</v>
      </c>
    </row>
    <row r="1424" spans="1:5" ht="15.75" customHeight="1" x14ac:dyDescent="0.3">
      <c r="A1424" s="4" t="s">
        <v>2848</v>
      </c>
      <c r="B1424" s="4" t="s">
        <v>2849</v>
      </c>
      <c r="C1424" s="5" t="str">
        <f t="shared" si="46"/>
        <v xml:space="preserve">r, </v>
      </c>
      <c r="D1424" s="5" t="str">
        <f t="shared" si="49"/>
        <v>Rosau</v>
      </c>
      <c r="E1424" s="5" t="str">
        <f t="shared" si="50"/>
        <v>Brett</v>
      </c>
    </row>
    <row r="1425" spans="1:5" ht="15.75" customHeight="1" x14ac:dyDescent="0.3">
      <c r="A1425" s="4" t="s">
        <v>2850</v>
      </c>
      <c r="B1425" s="4" t="s">
        <v>2851</v>
      </c>
      <c r="C1425" s="5" t="str">
        <f t="shared" si="46"/>
        <v xml:space="preserve"> Ms</v>
      </c>
      <c r="D1425" s="5" t="str">
        <f t="shared" ref="D1425:D1488" si="51">LEFT(B1425,5)</f>
        <v>Ryder</v>
      </c>
      <c r="E1425" s="5" t="str">
        <f t="shared" si="50"/>
        <v>on E.</v>
      </c>
    </row>
    <row r="1426" spans="1:5" ht="15.75" customHeight="1" x14ac:dyDescent="0.3">
      <c r="A1426" s="4" t="s">
        <v>2852</v>
      </c>
      <c r="B1426" s="4" t="s">
        <v>2853</v>
      </c>
      <c r="C1426" s="5" t="str">
        <f t="shared" si="46"/>
        <v>, M</v>
      </c>
      <c r="D1426" s="5" t="str">
        <f t="shared" si="51"/>
        <v>Larse</v>
      </c>
      <c r="E1426" s="5" t="str">
        <f t="shared" si="50"/>
        <v>√¶ver</v>
      </c>
    </row>
    <row r="1427" spans="1:5" ht="15.75" customHeight="1" x14ac:dyDescent="0.3">
      <c r="A1427" s="4" t="s">
        <v>2854</v>
      </c>
      <c r="B1427" s="4" t="s">
        <v>2855</v>
      </c>
      <c r="C1427" s="5" t="str">
        <f t="shared" si="46"/>
        <v xml:space="preserve"> Mr</v>
      </c>
      <c r="D1427" s="5" t="str">
        <f t="shared" si="51"/>
        <v>Keate</v>
      </c>
      <c r="E1427" s="5" t="str">
        <f t="shared" si="50"/>
        <v>Scott</v>
      </c>
    </row>
    <row r="1428" spans="1:5" ht="15.75" customHeight="1" x14ac:dyDescent="0.3">
      <c r="A1428" s="4" t="s">
        <v>2856</v>
      </c>
      <c r="B1428" s="4" t="s">
        <v>2857</v>
      </c>
      <c r="C1428" s="5" t="str">
        <f t="shared" si="46"/>
        <v>ms,</v>
      </c>
      <c r="D1428" s="5" t="str">
        <f t="shared" si="51"/>
        <v>Willi</v>
      </c>
      <c r="E1428" s="5" t="str">
        <f t="shared" si="50"/>
        <v>ke S.</v>
      </c>
    </row>
    <row r="1429" spans="1:5" ht="15.75" customHeight="1" x14ac:dyDescent="0.3">
      <c r="A1429" s="4" t="s">
        <v>2858</v>
      </c>
      <c r="B1429" s="4" t="s">
        <v>2859</v>
      </c>
      <c r="C1429" s="5" t="str">
        <f t="shared" si="46"/>
        <v>cia</v>
      </c>
      <c r="D1429" s="5" t="str">
        <f t="shared" si="51"/>
        <v>Staro</v>
      </c>
      <c r="E1429" s="5" t="str">
        <f t="shared" si="50"/>
        <v>ye A.</v>
      </c>
    </row>
    <row r="1430" spans="1:5" ht="15.75" customHeight="1" x14ac:dyDescent="0.3">
      <c r="A1430" s="4" t="s">
        <v>2860</v>
      </c>
      <c r="B1430" s="4" t="s">
        <v>2861</v>
      </c>
      <c r="C1430" s="5" t="str">
        <f t="shared" si="46"/>
        <v xml:space="preserve"> Ms</v>
      </c>
      <c r="D1430" s="5" t="str">
        <f t="shared" si="51"/>
        <v>Smith</v>
      </c>
      <c r="E1430" s="5" t="str">
        <f t="shared" si="50"/>
        <v>rolyn</v>
      </c>
    </row>
    <row r="1431" spans="1:5" ht="15.75" customHeight="1" x14ac:dyDescent="0.3">
      <c r="A1431" s="4" t="s">
        <v>2862</v>
      </c>
      <c r="B1431" s="4" t="s">
        <v>2863</v>
      </c>
      <c r="C1431" s="5" t="str">
        <f t="shared" si="46"/>
        <v>son</v>
      </c>
      <c r="D1431" s="5" t="str">
        <f t="shared" si="51"/>
        <v>Hende</v>
      </c>
      <c r="E1431" s="5" t="str">
        <f t="shared" si="50"/>
        <v>el C.</v>
      </c>
    </row>
    <row r="1432" spans="1:5" ht="15.75" customHeight="1" x14ac:dyDescent="0.3">
      <c r="A1432" s="4" t="s">
        <v>2864</v>
      </c>
      <c r="B1432" s="4" t="s">
        <v>2865</v>
      </c>
      <c r="C1432" s="5" t="str">
        <f t="shared" si="46"/>
        <v>man</v>
      </c>
      <c r="D1432" s="5" t="str">
        <f t="shared" si="51"/>
        <v>Winke</v>
      </c>
      <c r="E1432" s="5" t="str">
        <f t="shared" si="50"/>
        <v>rie A</v>
      </c>
    </row>
    <row r="1433" spans="1:5" ht="15.75" customHeight="1" x14ac:dyDescent="0.3">
      <c r="A1433" s="4" t="s">
        <v>2866</v>
      </c>
      <c r="B1433" s="4" t="s">
        <v>2867</v>
      </c>
      <c r="C1433" s="5" t="str">
        <f t="shared" si="46"/>
        <v xml:space="preserve">e, </v>
      </c>
      <c r="D1433" s="5" t="str">
        <f t="shared" si="51"/>
        <v>Monet</v>
      </c>
      <c r="E1433" s="5" t="str">
        <f t="shared" si="50"/>
        <v>icole</v>
      </c>
    </row>
    <row r="1434" spans="1:5" ht="15.75" customHeight="1" x14ac:dyDescent="0.3">
      <c r="A1434" s="4" t="s">
        <v>2868</v>
      </c>
      <c r="B1434" s="4" t="s">
        <v>2869</v>
      </c>
      <c r="C1434" s="5" t="str">
        <f t="shared" si="46"/>
        <v>, M</v>
      </c>
      <c r="D1434" s="5" t="str">
        <f t="shared" si="51"/>
        <v>Krame</v>
      </c>
      <c r="E1434" s="5" t="str">
        <f t="shared" si="50"/>
        <v>helby</v>
      </c>
    </row>
    <row r="1435" spans="1:5" ht="15.75" customHeight="1" x14ac:dyDescent="0.3">
      <c r="A1435" s="4" t="s">
        <v>2870</v>
      </c>
      <c r="B1435" s="4" t="s">
        <v>2871</v>
      </c>
      <c r="C1435" s="5" t="str">
        <f t="shared" si="46"/>
        <v>ein</v>
      </c>
      <c r="D1435" s="5" t="str">
        <f t="shared" si="51"/>
        <v>Golds</v>
      </c>
      <c r="E1435" s="5" t="str">
        <f t="shared" si="50"/>
        <v>lison</v>
      </c>
    </row>
    <row r="1436" spans="1:5" ht="15.75" customHeight="1" x14ac:dyDescent="0.3">
      <c r="A1436" s="4" t="s">
        <v>2872</v>
      </c>
      <c r="B1436" s="4" t="s">
        <v>2873</v>
      </c>
      <c r="C1436" s="5" t="str">
        <f t="shared" si="46"/>
        <v>ez,</v>
      </c>
      <c r="D1436" s="5" t="str">
        <f t="shared" si="51"/>
        <v>Gonza</v>
      </c>
      <c r="E1436" s="5" t="str">
        <f t="shared" si="50"/>
        <v>ticia</v>
      </c>
    </row>
    <row r="1437" spans="1:5" ht="15.75" customHeight="1" x14ac:dyDescent="0.3">
      <c r="A1437" s="4" t="s">
        <v>2874</v>
      </c>
      <c r="B1437" s="4" t="s">
        <v>2875</v>
      </c>
      <c r="C1437" s="5" t="str">
        <f t="shared" si="46"/>
        <v xml:space="preserve">t, </v>
      </c>
      <c r="D1437" s="5" t="str">
        <f t="shared" si="51"/>
        <v>Barre</v>
      </c>
      <c r="E1437" s="5" t="str">
        <f t="shared" si="50"/>
        <v>hn S.</v>
      </c>
    </row>
    <row r="1438" spans="1:5" ht="15.75" customHeight="1" x14ac:dyDescent="0.3">
      <c r="A1438" s="4" t="s">
        <v>2876</v>
      </c>
      <c r="B1438" s="4" t="s">
        <v>2877</v>
      </c>
      <c r="C1438" s="5" t="str">
        <f t="shared" si="46"/>
        <v xml:space="preserve"> Ms</v>
      </c>
      <c r="D1438" s="5" t="str">
        <f t="shared" si="51"/>
        <v>Irwin</v>
      </c>
      <c r="E1438" s="5" t="str">
        <f t="shared" si="50"/>
        <v>April</v>
      </c>
    </row>
    <row r="1439" spans="1:5" ht="15.75" customHeight="1" x14ac:dyDescent="0.3">
      <c r="A1439" s="4" t="s">
        <v>2878</v>
      </c>
      <c r="B1439" s="4" t="s">
        <v>2879</v>
      </c>
      <c r="C1439" s="5" t="str">
        <f t="shared" si="46"/>
        <v xml:space="preserve"> Ms</v>
      </c>
      <c r="D1439" s="5" t="str">
        <f t="shared" si="51"/>
        <v>Glenn</v>
      </c>
      <c r="E1439" s="5" t="str">
        <f t="shared" si="50"/>
        <v>ey N.</v>
      </c>
    </row>
    <row r="1440" spans="1:5" ht="15.75" customHeight="1" x14ac:dyDescent="0.3">
      <c r="A1440" s="4" t="s">
        <v>2880</v>
      </c>
      <c r="B1440" s="4" t="s">
        <v>2881</v>
      </c>
      <c r="C1440" s="5" t="str">
        <f t="shared" si="46"/>
        <v xml:space="preserve">a, </v>
      </c>
      <c r="D1440" s="5" t="str">
        <f t="shared" si="51"/>
        <v>O'Mea</v>
      </c>
      <c r="E1440" s="5" t="str">
        <f t="shared" si="50"/>
        <v>leine</v>
      </c>
    </row>
    <row r="1441" spans="1:5" ht="15.75" customHeight="1" x14ac:dyDescent="0.3">
      <c r="A1441" s="4" t="s">
        <v>2882</v>
      </c>
      <c r="B1441" s="4" t="s">
        <v>2883</v>
      </c>
      <c r="C1441" s="5" t="str">
        <f t="shared" si="46"/>
        <v>, M</v>
      </c>
      <c r="D1441" s="5" t="str">
        <f t="shared" si="51"/>
        <v>Budro</v>
      </c>
      <c r="E1441" s="5" t="str">
        <f t="shared" si="50"/>
        <v>lly S</v>
      </c>
    </row>
    <row r="1442" spans="1:5" ht="15.75" customHeight="1" x14ac:dyDescent="0.3">
      <c r="A1442" s="4" t="s">
        <v>2884</v>
      </c>
      <c r="B1442" s="4" t="s">
        <v>2885</v>
      </c>
      <c r="C1442" s="5" t="str">
        <f t="shared" si="46"/>
        <v>on,</v>
      </c>
      <c r="D1442" s="5" t="str">
        <f t="shared" si="51"/>
        <v>Ander</v>
      </c>
      <c r="E1442" s="5" t="str">
        <f t="shared" si="50"/>
        <v>ith S</v>
      </c>
    </row>
    <row r="1443" spans="1:5" ht="15.75" customHeight="1" x14ac:dyDescent="0.3">
      <c r="A1443" s="4" t="s">
        <v>2886</v>
      </c>
      <c r="B1443" s="4" t="s">
        <v>2887</v>
      </c>
      <c r="C1443" s="5" t="str">
        <f t="shared" si="46"/>
        <v xml:space="preserve">s, </v>
      </c>
      <c r="D1443" s="5" t="str">
        <f t="shared" si="51"/>
        <v>Dougl</v>
      </c>
      <c r="E1443" s="5" t="str">
        <f t="shared" si="50"/>
        <v>Kevin</v>
      </c>
    </row>
    <row r="1444" spans="1:5" ht="15.75" customHeight="1" x14ac:dyDescent="0.3">
      <c r="A1444" s="4" t="s">
        <v>2888</v>
      </c>
      <c r="B1444" s="4" t="s">
        <v>2889</v>
      </c>
      <c r="C1444" s="5" t="str">
        <f t="shared" si="46"/>
        <v>nbu</v>
      </c>
      <c r="D1444" s="5" t="str">
        <f t="shared" si="51"/>
        <v>Teckl</v>
      </c>
      <c r="E1444" s="5" t="str">
        <f t="shared" si="50"/>
        <v xml:space="preserve"> Lisa</v>
      </c>
    </row>
    <row r="1445" spans="1:5" ht="15.75" customHeight="1" x14ac:dyDescent="0.3">
      <c r="A1445" s="4" t="s">
        <v>2890</v>
      </c>
      <c r="B1445" s="4" t="s">
        <v>2891</v>
      </c>
      <c r="C1445" s="5" t="str">
        <f t="shared" si="46"/>
        <v xml:space="preserve"> Ms</v>
      </c>
      <c r="D1445" s="5" t="str">
        <f t="shared" si="51"/>
        <v>Baker</v>
      </c>
      <c r="E1445" s="5" t="str">
        <f t="shared" si="50"/>
        <v>ine A</v>
      </c>
    </row>
    <row r="1446" spans="1:5" ht="15.75" customHeight="1" x14ac:dyDescent="0.3">
      <c r="A1446" s="4" t="s">
        <v>2892</v>
      </c>
      <c r="B1446" s="4" t="s">
        <v>2893</v>
      </c>
      <c r="C1446" s="5" t="str">
        <f t="shared" si="46"/>
        <v xml:space="preserve">k, </v>
      </c>
      <c r="D1446" s="5" t="str">
        <f t="shared" si="51"/>
        <v>Schen</v>
      </c>
      <c r="E1446" s="5" t="str">
        <f t="shared" si="50"/>
        <v>Steve</v>
      </c>
    </row>
    <row r="1447" spans="1:5" ht="15.75" customHeight="1" x14ac:dyDescent="0.3">
      <c r="A1447" s="4" t="s">
        <v>2894</v>
      </c>
      <c r="B1447" s="4" t="s">
        <v>2895</v>
      </c>
      <c r="C1447" s="5" t="str">
        <f t="shared" si="46"/>
        <v xml:space="preserve">n, </v>
      </c>
      <c r="D1447" s="5" t="str">
        <f t="shared" si="51"/>
        <v>Johns</v>
      </c>
      <c r="E1447" s="5" t="str">
        <f t="shared" si="50"/>
        <v>te L.</v>
      </c>
    </row>
    <row r="1448" spans="1:5" ht="15.75" customHeight="1" x14ac:dyDescent="0.3">
      <c r="A1448" s="4" t="s">
        <v>2896</v>
      </c>
      <c r="B1448" s="4" t="s">
        <v>2897</v>
      </c>
      <c r="C1448" s="5" t="str">
        <f t="shared" si="46"/>
        <v>ll,</v>
      </c>
      <c r="D1448" s="5" t="str">
        <f t="shared" si="51"/>
        <v>Blend</v>
      </c>
      <c r="E1448" s="5" t="str">
        <f t="shared" si="50"/>
        <v xml:space="preserve"> Beth</v>
      </c>
    </row>
    <row r="1449" spans="1:5" ht="15.75" customHeight="1" x14ac:dyDescent="0.3">
      <c r="A1449" s="4" t="s">
        <v>2898</v>
      </c>
      <c r="B1449" s="4" t="s">
        <v>2899</v>
      </c>
      <c r="C1449" s="5" t="str">
        <f t="shared" si="46"/>
        <v>, M</v>
      </c>
      <c r="D1449" s="5" t="str">
        <f t="shared" si="51"/>
        <v>Parod</v>
      </c>
      <c r="E1449" s="5" t="str">
        <f t="shared" si="50"/>
        <v>arine</v>
      </c>
    </row>
    <row r="1450" spans="1:5" ht="15.75" customHeight="1" x14ac:dyDescent="0.3">
      <c r="A1450" s="4" t="s">
        <v>2900</v>
      </c>
      <c r="B1450" s="4" t="s">
        <v>2901</v>
      </c>
      <c r="C1450" s="5" t="str">
        <f t="shared" si="46"/>
        <v>, M</v>
      </c>
      <c r="D1450" s="5" t="str">
        <f t="shared" si="51"/>
        <v>Morga</v>
      </c>
      <c r="E1450" s="5" t="str">
        <f t="shared" si="50"/>
        <v>her L</v>
      </c>
    </row>
    <row r="1451" spans="1:5" ht="15.75" customHeight="1" x14ac:dyDescent="0.3">
      <c r="A1451" s="4" t="s">
        <v>2902</v>
      </c>
      <c r="B1451" s="4" t="s">
        <v>2903</v>
      </c>
      <c r="C1451" s="5" t="str">
        <f t="shared" si="46"/>
        <v>, M</v>
      </c>
      <c r="D1451" s="5" t="str">
        <f t="shared" si="51"/>
        <v>Linde</v>
      </c>
      <c r="E1451" s="5" t="str">
        <f t="shared" si="50"/>
        <v>siree</v>
      </c>
    </row>
    <row r="1452" spans="1:5" ht="15.75" customHeight="1" x14ac:dyDescent="0.3">
      <c r="A1452" s="4" t="s">
        <v>2904</v>
      </c>
      <c r="B1452" s="4" t="s">
        <v>2905</v>
      </c>
      <c r="C1452" s="5" t="str">
        <f t="shared" si="46"/>
        <v xml:space="preserve">g, </v>
      </c>
      <c r="D1452" s="5" t="str">
        <f t="shared" si="51"/>
        <v>Horni</v>
      </c>
      <c r="E1452" s="5" t="str">
        <f t="shared" si="50"/>
        <v>er B.</v>
      </c>
    </row>
    <row r="1453" spans="1:5" ht="15.75" customHeight="1" x14ac:dyDescent="0.3">
      <c r="A1453" s="4" t="s">
        <v>2906</v>
      </c>
      <c r="B1453" s="4" t="s">
        <v>2907</v>
      </c>
      <c r="C1453" s="5" t="str">
        <f t="shared" si="46"/>
        <v xml:space="preserve"> Mr</v>
      </c>
      <c r="D1453" s="5" t="str">
        <f t="shared" si="51"/>
        <v>Goode</v>
      </c>
      <c r="E1453" s="5" t="str">
        <f t="shared" si="50"/>
        <v xml:space="preserve"> Adam</v>
      </c>
    </row>
    <row r="1454" spans="1:5" ht="15.75" customHeight="1" x14ac:dyDescent="0.3">
      <c r="A1454" s="4" t="s">
        <v>2908</v>
      </c>
      <c r="B1454" s="4" t="s">
        <v>2909</v>
      </c>
      <c r="C1454" s="5" t="str">
        <f t="shared" si="46"/>
        <v xml:space="preserve"> Mr</v>
      </c>
      <c r="D1454" s="5" t="str">
        <f t="shared" si="51"/>
        <v>Doden</v>
      </c>
      <c r="E1454" s="5" t="str">
        <f t="shared" si="50"/>
        <v>emy J</v>
      </c>
    </row>
    <row r="1455" spans="1:5" ht="15.75" customHeight="1" x14ac:dyDescent="0.3">
      <c r="A1455" s="4" t="s">
        <v>2910</v>
      </c>
      <c r="B1455" s="4" t="s">
        <v>2911</v>
      </c>
      <c r="C1455" s="5" t="str">
        <f t="shared" si="46"/>
        <v xml:space="preserve"> Mr</v>
      </c>
      <c r="D1455" s="5" t="str">
        <f t="shared" si="51"/>
        <v>Groff</v>
      </c>
      <c r="E1455" s="5" t="str">
        <f t="shared" si="50"/>
        <v>dam C</v>
      </c>
    </row>
    <row r="1456" spans="1:5" ht="15.75" customHeight="1" x14ac:dyDescent="0.3">
      <c r="A1456" s="4" t="s">
        <v>2912</v>
      </c>
      <c r="B1456" s="4" t="s">
        <v>2913</v>
      </c>
      <c r="C1456" s="5" t="str">
        <f t="shared" si="46"/>
        <v xml:space="preserve">r, </v>
      </c>
      <c r="D1456" s="5" t="str">
        <f t="shared" si="51"/>
        <v>Kuehl</v>
      </c>
      <c r="E1456" s="5" t="str">
        <f t="shared" si="50"/>
        <v xml:space="preserve">  Jon</v>
      </c>
    </row>
    <row r="1457" spans="1:5" ht="15.75" customHeight="1" x14ac:dyDescent="0.3">
      <c r="A1457" s="4" t="s">
        <v>2914</v>
      </c>
      <c r="B1457" s="4" t="s">
        <v>2915</v>
      </c>
      <c r="C1457" s="5" t="str">
        <f t="shared" si="46"/>
        <v xml:space="preserve">s, </v>
      </c>
      <c r="D1457" s="5" t="str">
        <f t="shared" si="51"/>
        <v>Danie</v>
      </c>
      <c r="E1457" s="5" t="str">
        <f t="shared" si="50"/>
        <v>ven J</v>
      </c>
    </row>
    <row r="1458" spans="1:5" ht="15.75" customHeight="1" x14ac:dyDescent="0.3">
      <c r="A1458" s="4" t="s">
        <v>2916</v>
      </c>
      <c r="B1458" s="4" t="s">
        <v>2917</v>
      </c>
      <c r="C1458" s="5" t="str">
        <f t="shared" si="46"/>
        <v xml:space="preserve"> Ms</v>
      </c>
      <c r="D1458" s="5" t="str">
        <f t="shared" si="51"/>
        <v>Gibby</v>
      </c>
      <c r="E1458" s="5" t="str">
        <f t="shared" si="50"/>
        <v>ca P.</v>
      </c>
    </row>
    <row r="1459" spans="1:5" ht="15.75" customHeight="1" x14ac:dyDescent="0.3">
      <c r="A1459" s="4" t="s">
        <v>2918</v>
      </c>
      <c r="B1459" s="4" t="s">
        <v>2919</v>
      </c>
      <c r="C1459" s="5" t="str">
        <f t="shared" si="46"/>
        <v>Ms.</v>
      </c>
      <c r="D1459" s="5" t="str">
        <f t="shared" si="51"/>
        <v>Busa,</v>
      </c>
      <c r="E1459" s="5" t="str">
        <f t="shared" si="50"/>
        <v>shley</v>
      </c>
    </row>
    <row r="1460" spans="1:5" ht="15.75" customHeight="1" x14ac:dyDescent="0.3">
      <c r="A1460" s="4" t="s">
        <v>2920</v>
      </c>
      <c r="B1460" s="4" t="s">
        <v>2921</v>
      </c>
      <c r="C1460" s="5" t="str">
        <f t="shared" si="46"/>
        <v>Mr.</v>
      </c>
      <c r="D1460" s="5" t="str">
        <f t="shared" si="51"/>
        <v>Moyo,</v>
      </c>
      <c r="E1460" s="5" t="str">
        <f t="shared" si="50"/>
        <v>ro H.</v>
      </c>
    </row>
    <row r="1461" spans="1:5" ht="15.75" customHeight="1" x14ac:dyDescent="0.3">
      <c r="A1461" s="4" t="s">
        <v>2922</v>
      </c>
      <c r="B1461" s="4" t="s">
        <v>2923</v>
      </c>
      <c r="C1461" s="5" t="str">
        <f t="shared" si="46"/>
        <v>Mr.</v>
      </c>
      <c r="D1461" s="5" t="str">
        <f t="shared" si="51"/>
        <v>Horn,</v>
      </c>
      <c r="E1461" s="5" t="str">
        <f t="shared" si="50"/>
        <v>Ketil</v>
      </c>
    </row>
    <row r="1462" spans="1:5" ht="15.75" customHeight="1" x14ac:dyDescent="0.3">
      <c r="A1462" s="4" t="s">
        <v>2924</v>
      </c>
      <c r="B1462" s="4" t="s">
        <v>2925</v>
      </c>
      <c r="C1462" s="5" t="str">
        <f t="shared" si="46"/>
        <v>Ms.</v>
      </c>
      <c r="D1462" s="5" t="str">
        <f t="shared" si="51"/>
        <v>Bien,</v>
      </c>
      <c r="E1462" s="5" t="str">
        <f t="shared" si="50"/>
        <v>Katie</v>
      </c>
    </row>
    <row r="1463" spans="1:5" ht="15.75" customHeight="1" x14ac:dyDescent="0.3">
      <c r="A1463" s="4" t="s">
        <v>2926</v>
      </c>
      <c r="B1463" s="4" t="s">
        <v>2927</v>
      </c>
      <c r="C1463" s="5" t="str">
        <f t="shared" si="46"/>
        <v>or,</v>
      </c>
      <c r="D1463" s="5" t="str">
        <f t="shared" si="51"/>
        <v>O'Con</v>
      </c>
      <c r="E1463" s="5" t="str">
        <f t="shared" si="50"/>
        <v>risti</v>
      </c>
    </row>
    <row r="1464" spans="1:5" ht="15.75" customHeight="1" x14ac:dyDescent="0.3">
      <c r="A1464" s="4" t="s">
        <v>2928</v>
      </c>
      <c r="B1464" s="4" t="s">
        <v>2929</v>
      </c>
      <c r="C1464" s="5" t="str">
        <f t="shared" si="46"/>
        <v xml:space="preserve">r. </v>
      </c>
      <c r="D1464" s="5" t="str">
        <f t="shared" si="51"/>
        <v xml:space="preserve">Ash, </v>
      </c>
      <c r="E1464" s="5" t="str">
        <f t="shared" si="50"/>
        <v xml:space="preserve"> Alan</v>
      </c>
    </row>
    <row r="1465" spans="1:5" ht="15.75" customHeight="1" x14ac:dyDescent="0.3">
      <c r="A1465" s="4" t="s">
        <v>2930</v>
      </c>
      <c r="B1465" s="4" t="s">
        <v>2931</v>
      </c>
      <c r="C1465" s="5" t="str">
        <f t="shared" si="46"/>
        <v>do,</v>
      </c>
      <c r="D1465" s="5" t="str">
        <f t="shared" si="51"/>
        <v>Do Pr</v>
      </c>
      <c r="E1465" s="5" t="str">
        <f t="shared" si="50"/>
        <v>. Sr.</v>
      </c>
    </row>
    <row r="1466" spans="1:5" ht="15.75" customHeight="1" x14ac:dyDescent="0.3">
      <c r="A1466" s="4" t="s">
        <v>2932</v>
      </c>
      <c r="B1466" s="4" t="s">
        <v>2933</v>
      </c>
      <c r="C1466" s="5" t="str">
        <f t="shared" si="46"/>
        <v>ps,</v>
      </c>
      <c r="D1466" s="5" t="str">
        <f t="shared" si="51"/>
        <v>Phill</v>
      </c>
      <c r="E1466" s="5" t="str">
        <f t="shared" si="50"/>
        <v xml:space="preserve">  Eve</v>
      </c>
    </row>
    <row r="1467" spans="1:5" ht="15.75" customHeight="1" x14ac:dyDescent="0.3">
      <c r="A1467" s="4" t="s">
        <v>2934</v>
      </c>
      <c r="B1467" s="4" t="s">
        <v>2935</v>
      </c>
      <c r="C1467" s="5" t="str">
        <f t="shared" si="46"/>
        <v xml:space="preserve"> Mr</v>
      </c>
      <c r="D1467" s="5" t="str">
        <f t="shared" si="51"/>
        <v>Kelly</v>
      </c>
      <c r="E1467" s="5" t="str">
        <f t="shared" si="50"/>
        <v>Devin</v>
      </c>
    </row>
    <row r="1468" spans="1:5" ht="15.75" customHeight="1" x14ac:dyDescent="0.3">
      <c r="A1468" s="4" t="s">
        <v>2936</v>
      </c>
      <c r="B1468" s="4" t="s">
        <v>2937</v>
      </c>
      <c r="C1468" s="5" t="str">
        <f t="shared" si="46"/>
        <v xml:space="preserve"> Mr</v>
      </c>
      <c r="D1468" s="5" t="str">
        <f t="shared" si="51"/>
        <v>Dever</v>
      </c>
      <c r="E1468" s="5" t="str">
        <f t="shared" si="50"/>
        <v>aun R</v>
      </c>
    </row>
    <row r="1469" spans="1:5" ht="15.75" customHeight="1" x14ac:dyDescent="0.3">
      <c r="A1469" s="4" t="s">
        <v>2938</v>
      </c>
      <c r="B1469" s="4" t="s">
        <v>2939</v>
      </c>
      <c r="C1469" s="5" t="str">
        <f t="shared" si="46"/>
        <v xml:space="preserve">h, </v>
      </c>
      <c r="D1469" s="5" t="str">
        <f t="shared" si="51"/>
        <v>Horva</v>
      </c>
      <c r="E1469" s="5" t="str">
        <f t="shared" si="50"/>
        <v>drian</v>
      </c>
    </row>
    <row r="1470" spans="1:5" ht="15.75" customHeight="1" x14ac:dyDescent="0.3">
      <c r="A1470" s="4" t="s">
        <v>2940</v>
      </c>
      <c r="B1470" s="4" t="s">
        <v>2941</v>
      </c>
      <c r="C1470" s="5" t="str">
        <f t="shared" si="46"/>
        <v>, M</v>
      </c>
      <c r="D1470" s="5" t="str">
        <f t="shared" si="51"/>
        <v>Danne</v>
      </c>
      <c r="E1470" s="5" t="str">
        <f t="shared" si="50"/>
        <v>ndrew</v>
      </c>
    </row>
    <row r="1471" spans="1:5" ht="15.75" customHeight="1" x14ac:dyDescent="0.3">
      <c r="A1471" s="4" t="s">
        <v>2942</v>
      </c>
      <c r="B1471" s="4" t="s">
        <v>2943</v>
      </c>
      <c r="C1471" s="5" t="str">
        <f t="shared" si="46"/>
        <v xml:space="preserve"> Ms</v>
      </c>
      <c r="D1471" s="5" t="str">
        <f t="shared" si="51"/>
        <v>Weiss</v>
      </c>
      <c r="E1471" s="5" t="str">
        <f t="shared" si="50"/>
        <v>llory</v>
      </c>
    </row>
    <row r="1472" spans="1:5" ht="15.75" customHeight="1" x14ac:dyDescent="0.3">
      <c r="A1472" s="4" t="s">
        <v>2944</v>
      </c>
      <c r="B1472" s="4" t="s">
        <v>2945</v>
      </c>
      <c r="C1472" s="5" t="str">
        <f t="shared" si="46"/>
        <v>ea,</v>
      </c>
      <c r="D1472" s="5" t="str">
        <f t="shared" si="51"/>
        <v>D'And</v>
      </c>
      <c r="E1472" s="5" t="str">
        <f t="shared" si="50"/>
        <v>awn E</v>
      </c>
    </row>
    <row r="1473" spans="1:5" ht="15.75" customHeight="1" x14ac:dyDescent="0.3">
      <c r="A1473" s="4" t="s">
        <v>2946</v>
      </c>
      <c r="B1473" s="4" t="s">
        <v>2947</v>
      </c>
      <c r="C1473" s="5" t="str">
        <f t="shared" si="46"/>
        <v>, M</v>
      </c>
      <c r="D1473" s="5" t="str">
        <f t="shared" si="51"/>
        <v>Olesk</v>
      </c>
      <c r="E1473" s="5" t="str">
        <f t="shared" si="50"/>
        <v>rah E</v>
      </c>
    </row>
    <row r="1474" spans="1:5" ht="15.75" customHeight="1" x14ac:dyDescent="0.3">
      <c r="A1474" s="4" t="s">
        <v>2948</v>
      </c>
      <c r="B1474" s="4" t="s">
        <v>2949</v>
      </c>
      <c r="C1474" s="5" t="str">
        <f t="shared" si="46"/>
        <v>aft</v>
      </c>
      <c r="D1474" s="5" t="str">
        <f t="shared" si="51"/>
        <v>Whitc</v>
      </c>
      <c r="E1474" s="5" t="str">
        <f t="shared" ref="E1474:E1537" si="52">RIGHT(B1474,5)</f>
        <v xml:space="preserve"> Josh</v>
      </c>
    </row>
    <row r="1475" spans="1:5" ht="15.75" customHeight="1" x14ac:dyDescent="0.3">
      <c r="A1475" s="4" t="s">
        <v>2950</v>
      </c>
      <c r="B1475" s="4" t="s">
        <v>2951</v>
      </c>
      <c r="C1475" s="5" t="str">
        <f t="shared" si="46"/>
        <v xml:space="preserve">r, </v>
      </c>
      <c r="D1475" s="5" t="str">
        <f t="shared" si="51"/>
        <v>Salaz</v>
      </c>
      <c r="E1475" s="5" t="str">
        <f t="shared" si="52"/>
        <v>ann A</v>
      </c>
    </row>
    <row r="1476" spans="1:5" ht="15.75" customHeight="1" x14ac:dyDescent="0.3">
      <c r="A1476" s="4" t="s">
        <v>2952</v>
      </c>
      <c r="B1476" s="4" t="s">
        <v>2953</v>
      </c>
      <c r="C1476" s="5" t="str">
        <f t="shared" si="46"/>
        <v>Ms.</v>
      </c>
      <c r="D1476" s="5" t="str">
        <f t="shared" si="51"/>
        <v>Todd,</v>
      </c>
      <c r="E1476" s="5" t="str">
        <f t="shared" si="52"/>
        <v>in M.</v>
      </c>
    </row>
    <row r="1477" spans="1:5" ht="15.75" customHeight="1" x14ac:dyDescent="0.3">
      <c r="A1477" s="4" t="s">
        <v>2954</v>
      </c>
      <c r="B1477" s="4" t="s">
        <v>2955</v>
      </c>
      <c r="C1477" s="5" t="str">
        <f t="shared" si="46"/>
        <v>Mr.</v>
      </c>
      <c r="D1477" s="5" t="str">
        <f t="shared" si="51"/>
        <v>Pond,</v>
      </c>
      <c r="E1477" s="5" t="str">
        <f t="shared" si="52"/>
        <v>yle K</v>
      </c>
    </row>
    <row r="1478" spans="1:5" ht="15.75" customHeight="1" x14ac:dyDescent="0.3">
      <c r="A1478" s="4" t="s">
        <v>2956</v>
      </c>
      <c r="B1478" s="4" t="s">
        <v>2957</v>
      </c>
      <c r="C1478" s="5" t="str">
        <f t="shared" si="46"/>
        <v>Ms.</v>
      </c>
      <c r="D1478" s="5" t="str">
        <f t="shared" si="51"/>
        <v>Egan,</v>
      </c>
      <c r="E1478" s="5" t="str">
        <f t="shared" si="52"/>
        <v>lison</v>
      </c>
    </row>
    <row r="1479" spans="1:5" ht="15.75" customHeight="1" x14ac:dyDescent="0.3">
      <c r="A1479" s="4" t="s">
        <v>2958</v>
      </c>
      <c r="B1479" s="4" t="s">
        <v>2959</v>
      </c>
      <c r="C1479" s="5" t="str">
        <f t="shared" si="46"/>
        <v xml:space="preserve">i, </v>
      </c>
      <c r="D1479" s="5" t="str">
        <f t="shared" si="51"/>
        <v>Bersa</v>
      </c>
      <c r="E1479" s="5" t="str">
        <f t="shared" si="52"/>
        <v>el A.</v>
      </c>
    </row>
    <row r="1480" spans="1:5" ht="15.75" customHeight="1" x14ac:dyDescent="0.3">
      <c r="A1480" s="4" t="s">
        <v>2960</v>
      </c>
      <c r="B1480" s="4" t="s">
        <v>2961</v>
      </c>
      <c r="C1480" s="5" t="str">
        <f t="shared" si="46"/>
        <v>, M</v>
      </c>
      <c r="D1480" s="5" t="str">
        <f t="shared" si="51"/>
        <v>Creec</v>
      </c>
      <c r="E1480" s="5" t="str">
        <f t="shared" si="52"/>
        <v>ron A</v>
      </c>
    </row>
    <row r="1481" spans="1:5" ht="15.75" customHeight="1" x14ac:dyDescent="0.3">
      <c r="A1481" s="4" t="s">
        <v>2962</v>
      </c>
      <c r="B1481" s="4" t="s">
        <v>2963</v>
      </c>
      <c r="C1481" s="5" t="str">
        <f t="shared" si="46"/>
        <v>, M</v>
      </c>
      <c r="D1481" s="5" t="str">
        <f t="shared" si="51"/>
        <v>Sudre</v>
      </c>
      <c r="E1481" s="5" t="str">
        <f t="shared" si="52"/>
        <v>ine A</v>
      </c>
    </row>
    <row r="1482" spans="1:5" ht="15.75" customHeight="1" x14ac:dyDescent="0.3">
      <c r="A1482" s="4" t="s">
        <v>2964</v>
      </c>
      <c r="B1482" s="4" t="s">
        <v>2965</v>
      </c>
      <c r="C1482" s="5" t="str">
        <f t="shared" si="46"/>
        <v xml:space="preserve">e, </v>
      </c>
      <c r="D1482" s="5" t="str">
        <f t="shared" si="51"/>
        <v>Coutu</v>
      </c>
      <c r="E1482" s="5" t="str">
        <f t="shared" si="52"/>
        <v>aniel</v>
      </c>
    </row>
    <row r="1483" spans="1:5" ht="15.75" customHeight="1" x14ac:dyDescent="0.3">
      <c r="A1483" s="4" t="s">
        <v>2966</v>
      </c>
      <c r="B1483" s="4" t="s">
        <v>2967</v>
      </c>
      <c r="C1483" s="5" t="str">
        <f t="shared" si="46"/>
        <v xml:space="preserve">d, </v>
      </c>
      <c r="D1483" s="5" t="str">
        <f t="shared" si="51"/>
        <v>Willa</v>
      </c>
      <c r="E1483" s="5" t="str">
        <f t="shared" si="52"/>
        <v>ay A.</v>
      </c>
    </row>
    <row r="1484" spans="1:5" ht="15.75" customHeight="1" x14ac:dyDescent="0.3">
      <c r="A1484" s="4" t="s">
        <v>2968</v>
      </c>
      <c r="B1484" s="4" t="s">
        <v>2969</v>
      </c>
      <c r="C1484" s="5" t="str">
        <f t="shared" si="46"/>
        <v>ick</v>
      </c>
      <c r="D1484" s="5" t="str">
        <f t="shared" si="51"/>
        <v>Patro</v>
      </c>
      <c r="E1484" s="5" t="str">
        <f t="shared" si="52"/>
        <v>tin R</v>
      </c>
    </row>
    <row r="1485" spans="1:5" ht="15.75" customHeight="1" x14ac:dyDescent="0.3">
      <c r="A1485" s="4" t="s">
        <v>2970</v>
      </c>
      <c r="B1485" s="4" t="s">
        <v>2971</v>
      </c>
      <c r="C1485" s="5" t="str">
        <f t="shared" si="46"/>
        <v>ual</v>
      </c>
      <c r="D1485" s="5" t="str">
        <f t="shared" si="51"/>
        <v>Depas</v>
      </c>
      <c r="E1485" s="5" t="str">
        <f t="shared" si="52"/>
        <v>Casey</v>
      </c>
    </row>
    <row r="1486" spans="1:5" ht="15.75" customHeight="1" x14ac:dyDescent="0.3">
      <c r="A1486" s="4" t="s">
        <v>2972</v>
      </c>
      <c r="B1486" s="4" t="s">
        <v>2973</v>
      </c>
      <c r="C1486" s="5" t="str">
        <f t="shared" si="46"/>
        <v>ne,</v>
      </c>
      <c r="D1486" s="5" t="str">
        <f t="shared" si="51"/>
        <v>Laver</v>
      </c>
      <c r="E1486" s="5" t="str">
        <f t="shared" si="52"/>
        <v>nda L</v>
      </c>
    </row>
    <row r="1487" spans="1:5" ht="15.75" customHeight="1" x14ac:dyDescent="0.3">
      <c r="A1487" s="4" t="s">
        <v>2974</v>
      </c>
      <c r="B1487" s="4" t="s">
        <v>2975</v>
      </c>
      <c r="C1487" s="5" t="str">
        <f t="shared" si="46"/>
        <v>mi,</v>
      </c>
      <c r="D1487" s="5" t="str">
        <f t="shared" si="51"/>
        <v>Kawak</v>
      </c>
      <c r="E1487" s="5" t="str">
        <f t="shared" si="52"/>
        <v>ko N.</v>
      </c>
    </row>
    <row r="1488" spans="1:5" ht="15.75" customHeight="1" x14ac:dyDescent="0.3">
      <c r="A1488" s="4" t="s">
        <v>2976</v>
      </c>
      <c r="B1488" s="4" t="s">
        <v>2977</v>
      </c>
      <c r="C1488" s="5" t="str">
        <f t="shared" si="46"/>
        <v>ves</v>
      </c>
      <c r="D1488" s="5" t="str">
        <f t="shared" si="51"/>
        <v>Gonsa</v>
      </c>
      <c r="E1488" s="5" t="str">
        <f t="shared" si="52"/>
        <v>milee</v>
      </c>
    </row>
    <row r="1489" spans="1:5" ht="15.75" customHeight="1" x14ac:dyDescent="0.3">
      <c r="A1489" s="4" t="s">
        <v>2978</v>
      </c>
      <c r="B1489" s="4" t="s">
        <v>2979</v>
      </c>
      <c r="C1489" s="5" t="str">
        <f t="shared" si="46"/>
        <v>Mr.</v>
      </c>
      <c r="D1489" s="5" t="str">
        <f t="shared" ref="D1489:D1552" si="53">LEFT(B1489,5)</f>
        <v>Peck,</v>
      </c>
      <c r="E1489" s="5" t="str">
        <f t="shared" si="52"/>
        <v>hen M</v>
      </c>
    </row>
    <row r="1490" spans="1:5" ht="15.75" customHeight="1" x14ac:dyDescent="0.3">
      <c r="A1490" s="4" t="s">
        <v>2980</v>
      </c>
      <c r="B1490" s="4" t="s">
        <v>2981</v>
      </c>
      <c r="C1490" s="5" t="str">
        <f t="shared" si="46"/>
        <v>Ms.</v>
      </c>
      <c r="D1490" s="5" t="str">
        <f t="shared" si="53"/>
        <v>Aure,</v>
      </c>
      <c r="E1490" s="5" t="str">
        <f t="shared" si="52"/>
        <v>rie A</v>
      </c>
    </row>
    <row r="1491" spans="1:5" ht="15.75" customHeight="1" x14ac:dyDescent="0.3">
      <c r="A1491" s="4" t="s">
        <v>2982</v>
      </c>
      <c r="B1491" s="4" t="s">
        <v>2983</v>
      </c>
      <c r="C1491" s="5" t="str">
        <f t="shared" si="46"/>
        <v>gly</v>
      </c>
      <c r="D1491" s="5" t="str">
        <f t="shared" si="53"/>
        <v>Matti</v>
      </c>
      <c r="E1491" s="5" t="str">
        <f t="shared" si="52"/>
        <v>ley R</v>
      </c>
    </row>
    <row r="1492" spans="1:5" ht="15.75" customHeight="1" x14ac:dyDescent="0.3">
      <c r="A1492" s="4" t="s">
        <v>2984</v>
      </c>
      <c r="B1492" s="4" t="s">
        <v>2985</v>
      </c>
      <c r="C1492" s="5" t="str">
        <f t="shared" si="46"/>
        <v>lug</v>
      </c>
      <c r="D1492" s="5" t="str">
        <f t="shared" si="53"/>
        <v>Stelp</v>
      </c>
      <c r="E1492" s="5" t="str">
        <f t="shared" si="52"/>
        <v>lie A</v>
      </c>
    </row>
    <row r="1493" spans="1:5" ht="15.75" customHeight="1" x14ac:dyDescent="0.3">
      <c r="A1493" s="4" t="s">
        <v>2986</v>
      </c>
      <c r="B1493" s="4" t="s">
        <v>2987</v>
      </c>
      <c r="C1493" s="5" t="str">
        <f t="shared" si="46"/>
        <v>z A</v>
      </c>
      <c r="D1493" s="5" t="str">
        <f t="shared" si="53"/>
        <v>Sanch</v>
      </c>
      <c r="E1493" s="5" t="str">
        <f t="shared" si="52"/>
        <v>. Sr.</v>
      </c>
    </row>
    <row r="1494" spans="1:5" ht="15.75" customHeight="1" x14ac:dyDescent="0.3">
      <c r="A1494" s="4" t="s">
        <v>2988</v>
      </c>
      <c r="B1494" s="4" t="s">
        <v>2989</v>
      </c>
      <c r="C1494" s="5" t="str">
        <f t="shared" si="46"/>
        <v>, M</v>
      </c>
      <c r="D1494" s="5" t="str">
        <f t="shared" si="53"/>
        <v>Condo</v>
      </c>
      <c r="E1494" s="5" t="str">
        <f t="shared" si="52"/>
        <v>ieran</v>
      </c>
    </row>
    <row r="1495" spans="1:5" ht="15.75" customHeight="1" x14ac:dyDescent="0.3">
      <c r="A1495" s="4" t="s">
        <v>2990</v>
      </c>
      <c r="B1495" s="4" t="s">
        <v>2991</v>
      </c>
      <c r="C1495" s="5" t="str">
        <f t="shared" si="46"/>
        <v>, M</v>
      </c>
      <c r="D1495" s="5" t="str">
        <f t="shared" si="53"/>
        <v>Magat</v>
      </c>
      <c r="E1495" s="5" t="str">
        <f t="shared" si="52"/>
        <v>eth A</v>
      </c>
    </row>
    <row r="1496" spans="1:5" ht="15.75" customHeight="1" x14ac:dyDescent="0.3">
      <c r="A1496" s="4" t="s">
        <v>2992</v>
      </c>
      <c r="B1496" s="4" t="s">
        <v>2993</v>
      </c>
      <c r="C1496" s="5" t="str">
        <f t="shared" si="46"/>
        <v>wsk</v>
      </c>
      <c r="D1496" s="5" t="str">
        <f t="shared" si="53"/>
        <v>Dombr</v>
      </c>
      <c r="E1496" s="5" t="str">
        <f t="shared" si="52"/>
        <v>ke M.</v>
      </c>
    </row>
    <row r="1497" spans="1:5" ht="15.75" customHeight="1" x14ac:dyDescent="0.3">
      <c r="A1497" s="4" t="s">
        <v>2994</v>
      </c>
      <c r="B1497" s="4" t="s">
        <v>2995</v>
      </c>
      <c r="C1497" s="5" t="str">
        <f t="shared" si="46"/>
        <v xml:space="preserve"> Mr</v>
      </c>
      <c r="D1497" s="5" t="str">
        <f t="shared" si="53"/>
        <v>Ohara</v>
      </c>
      <c r="E1497" s="5" t="str">
        <f t="shared" si="52"/>
        <v xml:space="preserve"> Chip</v>
      </c>
    </row>
    <row r="1498" spans="1:5" ht="15.75" customHeight="1" x14ac:dyDescent="0.3">
      <c r="A1498" s="4" t="s">
        <v>2996</v>
      </c>
      <c r="B1498" s="4" t="s">
        <v>2997</v>
      </c>
      <c r="C1498" s="5" t="str">
        <f t="shared" si="46"/>
        <v>tes</v>
      </c>
      <c r="D1498" s="5" t="str">
        <f t="shared" si="53"/>
        <v>Cifue</v>
      </c>
      <c r="E1498" s="5" t="str">
        <f t="shared" si="52"/>
        <v>l Sr.</v>
      </c>
    </row>
    <row r="1499" spans="1:5" ht="15.75" customHeight="1" x14ac:dyDescent="0.3">
      <c r="A1499" s="4" t="s">
        <v>2998</v>
      </c>
      <c r="B1499" s="4" t="s">
        <v>2999</v>
      </c>
      <c r="C1499" s="5" t="str">
        <f t="shared" si="46"/>
        <v>Mr.</v>
      </c>
      <c r="D1499" s="5" t="str">
        <f t="shared" si="53"/>
        <v>Keno,</v>
      </c>
      <c r="E1499" s="5" t="str">
        <f t="shared" si="52"/>
        <v>Brian</v>
      </c>
    </row>
    <row r="1500" spans="1:5" ht="15.75" customHeight="1" x14ac:dyDescent="0.3">
      <c r="A1500" s="4" t="s">
        <v>3000</v>
      </c>
      <c r="B1500" s="4" t="s">
        <v>3001</v>
      </c>
      <c r="C1500" s="5" t="str">
        <f t="shared" si="46"/>
        <v xml:space="preserve"> Ms</v>
      </c>
      <c r="D1500" s="5" t="str">
        <f t="shared" si="53"/>
        <v>Bruce</v>
      </c>
      <c r="E1500" s="5" t="str">
        <f t="shared" si="52"/>
        <v>eghan</v>
      </c>
    </row>
    <row r="1501" spans="1:5" ht="15.75" customHeight="1" x14ac:dyDescent="0.3">
      <c r="A1501" s="4" t="s">
        <v>3002</v>
      </c>
      <c r="B1501" s="4" t="s">
        <v>3003</v>
      </c>
      <c r="C1501" s="5" t="str">
        <f t="shared" si="46"/>
        <v xml:space="preserve"> Ms</v>
      </c>
      <c r="D1501" s="5" t="str">
        <f t="shared" si="53"/>
        <v>Lorch</v>
      </c>
      <c r="E1501" s="5" t="str">
        <f t="shared" si="52"/>
        <v>th L.</v>
      </c>
    </row>
    <row r="1502" spans="1:5" ht="15.75" customHeight="1" x14ac:dyDescent="0.3">
      <c r="A1502" s="4" t="s">
        <v>3004</v>
      </c>
      <c r="B1502" s="4" t="s">
        <v>3005</v>
      </c>
      <c r="C1502" s="5" t="str">
        <f t="shared" si="46"/>
        <v>an,</v>
      </c>
      <c r="D1502" s="5" t="str">
        <f t="shared" si="53"/>
        <v>Sulli</v>
      </c>
      <c r="E1502" s="5" t="str">
        <f t="shared" si="52"/>
        <v>ent M</v>
      </c>
    </row>
    <row r="1503" spans="1:5" ht="15.75" customHeight="1" x14ac:dyDescent="0.3">
      <c r="A1503" s="4" t="s">
        <v>3006</v>
      </c>
      <c r="B1503" s="4" t="s">
        <v>3007</v>
      </c>
      <c r="C1503" s="5" t="str">
        <f t="shared" si="46"/>
        <v>Ms.</v>
      </c>
      <c r="D1503" s="5" t="str">
        <f t="shared" si="53"/>
        <v>Cave,</v>
      </c>
      <c r="E1503" s="5" t="str">
        <f t="shared" si="52"/>
        <v>hleen</v>
      </c>
    </row>
    <row r="1504" spans="1:5" ht="15.75" customHeight="1" x14ac:dyDescent="0.3">
      <c r="A1504" s="4" t="s">
        <v>3008</v>
      </c>
      <c r="B1504" s="4" t="s">
        <v>3009</v>
      </c>
      <c r="C1504" s="5" t="str">
        <f t="shared" si="46"/>
        <v>auf</v>
      </c>
      <c r="D1504" s="5" t="str">
        <f t="shared" si="53"/>
        <v>Guden</v>
      </c>
      <c r="E1504" s="5" t="str">
        <f t="shared" si="52"/>
        <v>rly K</v>
      </c>
    </row>
    <row r="1505" spans="1:5" ht="15.75" customHeight="1" x14ac:dyDescent="0.3">
      <c r="A1505" s="4" t="s">
        <v>3010</v>
      </c>
      <c r="B1505" s="4" t="s">
        <v>3011</v>
      </c>
      <c r="C1505" s="5" t="str">
        <f t="shared" si="46"/>
        <v>, M</v>
      </c>
      <c r="D1505" s="5" t="str">
        <f t="shared" si="53"/>
        <v>Thoma</v>
      </c>
      <c r="E1505" s="5" t="str">
        <f t="shared" si="52"/>
        <v>tin C</v>
      </c>
    </row>
    <row r="1506" spans="1:5" ht="15.75" customHeight="1" x14ac:dyDescent="0.3">
      <c r="A1506" s="4" t="s">
        <v>3012</v>
      </c>
      <c r="B1506" s="4" t="s">
        <v>3013</v>
      </c>
      <c r="C1506" s="5" t="str">
        <f t="shared" si="46"/>
        <v>, M</v>
      </c>
      <c r="D1506" s="5" t="str">
        <f t="shared" si="53"/>
        <v>Holle</v>
      </c>
      <c r="E1506" s="5" t="str">
        <f t="shared" si="52"/>
        <v>an P.</v>
      </c>
    </row>
    <row r="1507" spans="1:5" ht="15.75" customHeight="1" x14ac:dyDescent="0.3">
      <c r="A1507" s="4" t="s">
        <v>3014</v>
      </c>
      <c r="B1507" s="4" t="s">
        <v>3015</v>
      </c>
      <c r="C1507" s="5" t="str">
        <f t="shared" si="46"/>
        <v>, M</v>
      </c>
      <c r="D1507" s="5" t="str">
        <f t="shared" si="53"/>
        <v>Kembl</v>
      </c>
      <c r="E1507" s="5" t="str">
        <f t="shared" si="52"/>
        <v>aci A</v>
      </c>
    </row>
    <row r="1508" spans="1:5" ht="15.75" customHeight="1" x14ac:dyDescent="0.3">
      <c r="A1508" s="4" t="s">
        <v>3016</v>
      </c>
      <c r="B1508" s="4" t="s">
        <v>3017</v>
      </c>
      <c r="C1508" s="5" t="str">
        <f t="shared" si="46"/>
        <v xml:space="preserve">y, </v>
      </c>
      <c r="D1508" s="5" t="str">
        <f t="shared" si="53"/>
        <v>Bentl</v>
      </c>
      <c r="E1508" s="5" t="str">
        <f t="shared" si="52"/>
        <v>tin P</v>
      </c>
    </row>
    <row r="1509" spans="1:5" ht="15.75" customHeight="1" x14ac:dyDescent="0.3">
      <c r="A1509" s="4" t="s">
        <v>3018</v>
      </c>
      <c r="B1509" s="4" t="s">
        <v>3019</v>
      </c>
      <c r="C1509" s="5" t="str">
        <f t="shared" si="46"/>
        <v xml:space="preserve"> Mr</v>
      </c>
      <c r="D1509" s="5" t="str">
        <f t="shared" si="53"/>
        <v>Jones</v>
      </c>
      <c r="E1509" s="5" t="str">
        <f t="shared" si="52"/>
        <v>gan M</v>
      </c>
    </row>
    <row r="1510" spans="1:5" ht="15.75" customHeight="1" x14ac:dyDescent="0.3">
      <c r="A1510" s="4" t="s">
        <v>3020</v>
      </c>
      <c r="B1510" s="4" t="s">
        <v>3021</v>
      </c>
      <c r="C1510" s="5" t="str">
        <f t="shared" si="46"/>
        <v>ay,</v>
      </c>
      <c r="D1510" s="5" t="str">
        <f t="shared" si="53"/>
        <v>Tremb</v>
      </c>
      <c r="E1510" s="5" t="str">
        <f t="shared" si="52"/>
        <v>stien</v>
      </c>
    </row>
    <row r="1511" spans="1:5" ht="15.75" customHeight="1" x14ac:dyDescent="0.3">
      <c r="A1511" s="4" t="s">
        <v>3022</v>
      </c>
      <c r="B1511" s="4" t="s">
        <v>3023</v>
      </c>
      <c r="C1511" s="5" t="str">
        <f t="shared" si="46"/>
        <v>ci,</v>
      </c>
      <c r="D1511" s="5" t="str">
        <f t="shared" si="53"/>
        <v>Bellu</v>
      </c>
      <c r="E1511" s="5" t="str">
        <f t="shared" si="52"/>
        <v>any A</v>
      </c>
    </row>
    <row r="1512" spans="1:5" ht="15.75" customHeight="1" x14ac:dyDescent="0.3">
      <c r="A1512" s="4" t="s">
        <v>3024</v>
      </c>
      <c r="B1512" s="4" t="s">
        <v>3025</v>
      </c>
      <c r="C1512" s="5" t="str">
        <f t="shared" si="46"/>
        <v xml:space="preserve">s, </v>
      </c>
      <c r="D1512" s="5" t="str">
        <f t="shared" si="53"/>
        <v>Colli</v>
      </c>
      <c r="E1512" s="5" t="str">
        <f t="shared" si="52"/>
        <v>tthew</v>
      </c>
    </row>
    <row r="1513" spans="1:5" ht="15.75" customHeight="1" x14ac:dyDescent="0.3">
      <c r="A1513" s="4" t="s">
        <v>3026</v>
      </c>
      <c r="B1513" s="4" t="s">
        <v>3027</v>
      </c>
      <c r="C1513" s="5" t="str">
        <f t="shared" si="46"/>
        <v xml:space="preserve">n, </v>
      </c>
      <c r="D1513" s="5" t="str">
        <f t="shared" si="53"/>
        <v>Gillm</v>
      </c>
      <c r="E1513" s="5" t="str">
        <f t="shared" si="52"/>
        <v xml:space="preserve"> Luke</v>
      </c>
    </row>
    <row r="1514" spans="1:5" ht="15.75" customHeight="1" x14ac:dyDescent="0.3">
      <c r="A1514" s="4" t="s">
        <v>3028</v>
      </c>
      <c r="B1514" s="4" t="s">
        <v>3029</v>
      </c>
      <c r="C1514" s="5" t="str">
        <f t="shared" si="46"/>
        <v>Ms.</v>
      </c>
      <c r="D1514" s="5" t="str">
        <f t="shared" si="53"/>
        <v>West,</v>
      </c>
      <c r="E1514" s="5" t="str">
        <f t="shared" si="52"/>
        <v>Leigh</v>
      </c>
    </row>
    <row r="1515" spans="1:5" ht="15.75" customHeight="1" x14ac:dyDescent="0.3">
      <c r="A1515" s="4" t="s">
        <v>3030</v>
      </c>
      <c r="B1515" s="4" t="s">
        <v>3031</v>
      </c>
      <c r="C1515" s="5" t="str">
        <f t="shared" si="46"/>
        <v xml:space="preserve"> Mr</v>
      </c>
      <c r="D1515" s="5" t="str">
        <f t="shared" si="53"/>
        <v>Chida</v>
      </c>
      <c r="E1515" s="5" t="str">
        <f t="shared" si="52"/>
        <v>osuke</v>
      </c>
    </row>
    <row r="1516" spans="1:5" ht="15.75" customHeight="1" x14ac:dyDescent="0.3">
      <c r="A1516" s="4" t="s">
        <v>3032</v>
      </c>
      <c r="B1516" s="4" t="s">
        <v>3033</v>
      </c>
      <c r="C1516" s="5" t="str">
        <f t="shared" si="46"/>
        <v>aue</v>
      </c>
      <c r="D1516" s="5" t="str">
        <f t="shared" si="53"/>
        <v>Reise</v>
      </c>
      <c r="E1516" s="5" t="str">
        <f t="shared" si="52"/>
        <v>tthew</v>
      </c>
    </row>
    <row r="1517" spans="1:5" ht="15.75" customHeight="1" x14ac:dyDescent="0.3">
      <c r="A1517" s="4" t="s">
        <v>3034</v>
      </c>
      <c r="B1517" s="4" t="s">
        <v>3035</v>
      </c>
      <c r="C1517" s="5" t="str">
        <f t="shared" si="46"/>
        <v>erg</v>
      </c>
      <c r="D1517" s="5" t="str">
        <f t="shared" si="53"/>
        <v>Rosen</v>
      </c>
      <c r="E1517" s="5" t="str">
        <f t="shared" si="52"/>
        <v>Jacob</v>
      </c>
    </row>
    <row r="1518" spans="1:5" ht="15.75" customHeight="1" x14ac:dyDescent="0.3">
      <c r="A1518" s="4" t="s">
        <v>3036</v>
      </c>
      <c r="B1518" s="4" t="s">
        <v>3037</v>
      </c>
      <c r="C1518" s="5" t="str">
        <f t="shared" si="46"/>
        <v>ult</v>
      </c>
      <c r="D1518" s="5" t="str">
        <f t="shared" si="53"/>
        <v>Theri</v>
      </c>
      <c r="E1518" s="5" t="str">
        <f t="shared" si="52"/>
        <v xml:space="preserve"> Jodi</v>
      </c>
    </row>
    <row r="1519" spans="1:5" ht="15.75" customHeight="1" x14ac:dyDescent="0.3">
      <c r="A1519" s="4" t="s">
        <v>3038</v>
      </c>
      <c r="B1519" s="4" t="s">
        <v>3039</v>
      </c>
      <c r="C1519" s="5" t="str">
        <f t="shared" si="46"/>
        <v>, M</v>
      </c>
      <c r="D1519" s="5" t="str">
        <f t="shared" si="53"/>
        <v>Manue</v>
      </c>
      <c r="E1519" s="5" t="str">
        <f t="shared" si="52"/>
        <v>auren</v>
      </c>
    </row>
    <row r="1520" spans="1:5" ht="15.75" customHeight="1" x14ac:dyDescent="0.3">
      <c r="A1520" s="4" t="s">
        <v>3040</v>
      </c>
      <c r="B1520" s="4" t="s">
        <v>3041</v>
      </c>
      <c r="C1520" s="5" t="str">
        <f t="shared" si="46"/>
        <v xml:space="preserve"> Ms</v>
      </c>
      <c r="D1520" s="5" t="str">
        <f t="shared" si="53"/>
        <v>Demko</v>
      </c>
      <c r="E1520" s="5" t="str">
        <f t="shared" si="52"/>
        <v>sti C</v>
      </c>
    </row>
    <row r="1521" spans="1:5" ht="15.75" customHeight="1" x14ac:dyDescent="0.3">
      <c r="A1521" s="4" t="s">
        <v>3042</v>
      </c>
      <c r="B1521" s="4" t="s">
        <v>3043</v>
      </c>
      <c r="C1521" s="5" t="str">
        <f t="shared" si="46"/>
        <v>lia</v>
      </c>
      <c r="D1521" s="5" t="str">
        <f t="shared" si="53"/>
        <v>Batta</v>
      </c>
      <c r="E1521" s="5" t="str">
        <f t="shared" si="52"/>
        <v>ela J</v>
      </c>
    </row>
    <row r="1522" spans="1:5" ht="15.75" customHeight="1" x14ac:dyDescent="0.3">
      <c r="A1522" s="4" t="s">
        <v>3044</v>
      </c>
      <c r="B1522" s="4" t="s">
        <v>3045</v>
      </c>
      <c r="C1522" s="5" t="str">
        <f t="shared" si="46"/>
        <v xml:space="preserve"> Mr</v>
      </c>
      <c r="D1522" s="5" t="str">
        <f t="shared" si="53"/>
        <v>Follo</v>
      </c>
      <c r="E1522" s="5" t="str">
        <f t="shared" si="52"/>
        <v>an D.</v>
      </c>
    </row>
    <row r="1523" spans="1:5" ht="15.75" customHeight="1" x14ac:dyDescent="0.3">
      <c r="A1523" s="4" t="s">
        <v>3046</v>
      </c>
      <c r="B1523" s="4" t="s">
        <v>3047</v>
      </c>
      <c r="C1523" s="5" t="str">
        <f t="shared" si="46"/>
        <v>, M</v>
      </c>
      <c r="D1523" s="5" t="str">
        <f t="shared" si="53"/>
        <v>Baran</v>
      </c>
      <c r="E1523" s="5" t="str">
        <f t="shared" si="52"/>
        <v>toria</v>
      </c>
    </row>
    <row r="1524" spans="1:5" ht="15.75" customHeight="1" x14ac:dyDescent="0.3">
      <c r="A1524" s="4" t="s">
        <v>3048</v>
      </c>
      <c r="B1524" s="4" t="s">
        <v>3049</v>
      </c>
      <c r="C1524" s="5" t="str">
        <f t="shared" si="46"/>
        <v xml:space="preserve">t, </v>
      </c>
      <c r="D1524" s="5" t="str">
        <f t="shared" si="53"/>
        <v>Lysag</v>
      </c>
      <c r="E1524" s="5" t="str">
        <f t="shared" si="52"/>
        <v>an R.</v>
      </c>
    </row>
    <row r="1525" spans="1:5" ht="15.75" customHeight="1" x14ac:dyDescent="0.3">
      <c r="A1525" s="4" t="s">
        <v>3050</v>
      </c>
      <c r="B1525" s="4" t="s">
        <v>3051</v>
      </c>
      <c r="C1525" s="5" t="str">
        <f t="shared" si="46"/>
        <v>rs,</v>
      </c>
      <c r="D1525" s="5" t="str">
        <f t="shared" si="53"/>
        <v>Chalm</v>
      </c>
      <c r="E1525" s="5" t="str">
        <f t="shared" si="52"/>
        <v>ndrew</v>
      </c>
    </row>
    <row r="1526" spans="1:5" ht="15.75" customHeight="1" x14ac:dyDescent="0.3">
      <c r="A1526" s="4" t="s">
        <v>3052</v>
      </c>
      <c r="B1526" s="4" t="s">
        <v>3053</v>
      </c>
      <c r="C1526" s="5" t="str">
        <f t="shared" si="46"/>
        <v>ppi</v>
      </c>
      <c r="D1526" s="5" t="str">
        <f t="shared" si="53"/>
        <v>Phill</v>
      </c>
      <c r="E1526" s="5" t="str">
        <f t="shared" si="52"/>
        <v>on A.</v>
      </c>
    </row>
    <row r="1527" spans="1:5" ht="15.75" customHeight="1" x14ac:dyDescent="0.3">
      <c r="A1527" s="4" t="s">
        <v>3054</v>
      </c>
      <c r="B1527" s="4" t="s">
        <v>3055</v>
      </c>
      <c r="C1527" s="5" t="str">
        <f t="shared" si="46"/>
        <v>rso</v>
      </c>
      <c r="D1527" s="5" t="str">
        <f t="shared" si="53"/>
        <v>MacPh</v>
      </c>
      <c r="E1527" s="5" t="str">
        <f t="shared" si="52"/>
        <v>achel</v>
      </c>
    </row>
    <row r="1528" spans="1:5" ht="15.75" customHeight="1" x14ac:dyDescent="0.3">
      <c r="A1528" s="4" t="s">
        <v>3056</v>
      </c>
      <c r="B1528" s="4" t="s">
        <v>3057</v>
      </c>
      <c r="C1528" s="5" t="str">
        <f t="shared" si="46"/>
        <v>io,</v>
      </c>
      <c r="D1528" s="5" t="str">
        <f t="shared" si="53"/>
        <v>Delfi</v>
      </c>
      <c r="E1528" s="5" t="str">
        <f t="shared" si="52"/>
        <v>Susan</v>
      </c>
    </row>
    <row r="1529" spans="1:5" ht="15.75" customHeight="1" x14ac:dyDescent="0.3">
      <c r="A1529" s="4" t="s">
        <v>3058</v>
      </c>
      <c r="B1529" s="4" t="s">
        <v>3059</v>
      </c>
      <c r="C1529" s="5" t="str">
        <f t="shared" si="46"/>
        <v>gs,</v>
      </c>
      <c r="D1529" s="5" t="str">
        <f t="shared" si="53"/>
        <v>Cummi</v>
      </c>
      <c r="E1529" s="5" t="str">
        <f t="shared" si="52"/>
        <v>on M.</v>
      </c>
    </row>
    <row r="1530" spans="1:5" ht="15.75" customHeight="1" x14ac:dyDescent="0.3">
      <c r="A1530" s="4" t="s">
        <v>3060</v>
      </c>
      <c r="B1530" s="4" t="s">
        <v>3061</v>
      </c>
      <c r="C1530" s="5" t="str">
        <f t="shared" si="46"/>
        <v>gel</v>
      </c>
      <c r="D1530" s="5" t="str">
        <f t="shared" si="53"/>
        <v>Schro</v>
      </c>
      <c r="E1530" s="5" t="str">
        <f t="shared" si="52"/>
        <v>ia A.</v>
      </c>
    </row>
    <row r="1531" spans="1:5" ht="15.75" customHeight="1" x14ac:dyDescent="0.3">
      <c r="A1531" s="4" t="s">
        <v>3062</v>
      </c>
      <c r="B1531" s="4" t="s">
        <v>3063</v>
      </c>
      <c r="C1531" s="5" t="str">
        <f t="shared" si="46"/>
        <v>ms,</v>
      </c>
      <c r="D1531" s="5" t="str">
        <f t="shared" si="53"/>
        <v>Willi</v>
      </c>
      <c r="E1531" s="5" t="str">
        <f t="shared" si="52"/>
        <v xml:space="preserve"> Kate</v>
      </c>
    </row>
    <row r="1532" spans="1:5" ht="15.75" customHeight="1" x14ac:dyDescent="0.3">
      <c r="A1532" s="4" t="s">
        <v>3064</v>
      </c>
      <c r="B1532" s="4" t="s">
        <v>3065</v>
      </c>
      <c r="C1532" s="5" t="str">
        <f t="shared" si="46"/>
        <v xml:space="preserve"> Ms</v>
      </c>
      <c r="D1532" s="5" t="str">
        <f t="shared" si="53"/>
        <v>Casey</v>
      </c>
      <c r="E1532" s="5" t="str">
        <f t="shared" si="52"/>
        <v>le M.</v>
      </c>
    </row>
    <row r="1533" spans="1:5" ht="15.75" customHeight="1" x14ac:dyDescent="0.3">
      <c r="A1533" s="4" t="s">
        <v>3066</v>
      </c>
      <c r="B1533" s="4" t="s">
        <v>3067</v>
      </c>
      <c r="C1533" s="5" t="str">
        <f t="shared" si="46"/>
        <v xml:space="preserve">l, </v>
      </c>
      <c r="D1533" s="5" t="str">
        <f t="shared" si="53"/>
        <v>Randa</v>
      </c>
      <c r="E1533" s="5" t="str">
        <f t="shared" si="52"/>
        <v xml:space="preserve"> Jack</v>
      </c>
    </row>
    <row r="1534" spans="1:5" ht="15.75" customHeight="1" x14ac:dyDescent="0.3">
      <c r="A1534" s="4" t="s">
        <v>3068</v>
      </c>
      <c r="B1534" s="4" t="s">
        <v>3069</v>
      </c>
      <c r="C1534" s="5" t="str">
        <f t="shared" si="46"/>
        <v xml:space="preserve"> Mr</v>
      </c>
      <c r="D1534" s="5" t="str">
        <f t="shared" si="53"/>
        <v>Doyon</v>
      </c>
      <c r="E1534" s="5" t="str">
        <f t="shared" si="52"/>
        <v>egory</v>
      </c>
    </row>
    <row r="1535" spans="1:5" ht="15.75" customHeight="1" x14ac:dyDescent="0.3">
      <c r="A1535" s="4" t="s">
        <v>3070</v>
      </c>
      <c r="B1535" s="4" t="s">
        <v>3071</v>
      </c>
      <c r="C1535" s="5" t="str">
        <f t="shared" si="46"/>
        <v>, M</v>
      </c>
      <c r="D1535" s="5" t="str">
        <f t="shared" si="53"/>
        <v>Sanke</v>
      </c>
      <c r="E1535" s="5" t="str">
        <f t="shared" si="52"/>
        <v>becca</v>
      </c>
    </row>
    <row r="1536" spans="1:5" ht="15.75" customHeight="1" x14ac:dyDescent="0.3">
      <c r="A1536" s="4" t="s">
        <v>3072</v>
      </c>
      <c r="B1536" s="4" t="s">
        <v>3073</v>
      </c>
      <c r="C1536" s="5" t="str">
        <f t="shared" si="46"/>
        <v>nba</v>
      </c>
      <c r="D1536" s="5" t="str">
        <f t="shared" si="53"/>
        <v>Stilg</v>
      </c>
      <c r="E1536" s="5" t="str">
        <f t="shared" si="52"/>
        <v xml:space="preserve"> Adam</v>
      </c>
    </row>
    <row r="1537" spans="1:5" ht="15.75" customHeight="1" x14ac:dyDescent="0.3">
      <c r="A1537" s="4" t="s">
        <v>3074</v>
      </c>
      <c r="B1537" s="4" t="s">
        <v>3075</v>
      </c>
      <c r="C1537" s="5" t="str">
        <f t="shared" si="46"/>
        <v>wic</v>
      </c>
      <c r="D1537" s="5" t="str">
        <f t="shared" si="53"/>
        <v>Jaski</v>
      </c>
      <c r="E1537" s="5" t="str">
        <f t="shared" si="52"/>
        <v xml:space="preserve"> Ryan</v>
      </c>
    </row>
    <row r="1538" spans="1:5" ht="15.75" customHeight="1" x14ac:dyDescent="0.3">
      <c r="A1538" s="4" t="s">
        <v>3076</v>
      </c>
      <c r="B1538" s="4" t="s">
        <v>3077</v>
      </c>
      <c r="C1538" s="5" t="str">
        <f t="shared" si="46"/>
        <v>, M</v>
      </c>
      <c r="D1538" s="5" t="str">
        <f t="shared" si="53"/>
        <v>Deppe</v>
      </c>
      <c r="E1538" s="5" t="str">
        <f t="shared" ref="E1538:E1601" si="54">RIGHT(B1538,5)</f>
        <v>ie K.</v>
      </c>
    </row>
    <row r="1539" spans="1:5" ht="15.75" customHeight="1" x14ac:dyDescent="0.3">
      <c r="A1539" s="4" t="s">
        <v>3078</v>
      </c>
      <c r="B1539" s="4" t="s">
        <v>3079</v>
      </c>
      <c r="C1539" s="5" t="str">
        <f t="shared" si="46"/>
        <v>Mr.</v>
      </c>
      <c r="D1539" s="5" t="str">
        <f t="shared" si="53"/>
        <v>Hine,</v>
      </c>
      <c r="E1539" s="5" t="str">
        <f t="shared" si="54"/>
        <v>Chris</v>
      </c>
    </row>
    <row r="1540" spans="1:5" ht="15.75" customHeight="1" x14ac:dyDescent="0.3">
      <c r="A1540" s="4" t="s">
        <v>3080</v>
      </c>
      <c r="B1540" s="4" t="s">
        <v>3081</v>
      </c>
      <c r="C1540" s="5" t="str">
        <f t="shared" si="46"/>
        <v xml:space="preserve">s, </v>
      </c>
      <c r="D1540" s="5" t="str">
        <f t="shared" si="53"/>
        <v>Mathe</v>
      </c>
      <c r="E1540" s="5" t="str">
        <f t="shared" si="54"/>
        <v>ler C</v>
      </c>
    </row>
    <row r="1541" spans="1:5" ht="15.75" customHeight="1" x14ac:dyDescent="0.3">
      <c r="A1541" s="4" t="s">
        <v>3082</v>
      </c>
      <c r="B1541" s="4" t="s">
        <v>3083</v>
      </c>
      <c r="C1541" s="5" t="str">
        <f t="shared" si="46"/>
        <v>Ms.</v>
      </c>
      <c r="D1541" s="5" t="str">
        <f t="shared" si="53"/>
        <v>Yabu,</v>
      </c>
      <c r="E1541" s="5" t="str">
        <f t="shared" si="54"/>
        <v>oshie</v>
      </c>
    </row>
    <row r="1542" spans="1:5" ht="15.75" customHeight="1" x14ac:dyDescent="0.3">
      <c r="A1542" s="4" t="s">
        <v>3084</v>
      </c>
      <c r="B1542" s="4" t="s">
        <v>3085</v>
      </c>
      <c r="C1542" s="5" t="str">
        <f t="shared" si="46"/>
        <v>, M</v>
      </c>
      <c r="D1542" s="5" t="str">
        <f t="shared" si="53"/>
        <v>Stran</v>
      </c>
      <c r="E1542" s="5" t="str">
        <f t="shared" si="54"/>
        <v>ren A</v>
      </c>
    </row>
    <row r="1543" spans="1:5" ht="15.75" customHeight="1" x14ac:dyDescent="0.3">
      <c r="A1543" s="4" t="s">
        <v>3086</v>
      </c>
      <c r="B1543" s="4" t="s">
        <v>3087</v>
      </c>
      <c r="C1543" s="5" t="str">
        <f t="shared" si="46"/>
        <v xml:space="preserve"> Mr</v>
      </c>
      <c r="D1543" s="5" t="str">
        <f t="shared" si="53"/>
        <v>Frank</v>
      </c>
      <c r="E1543" s="5" t="str">
        <f t="shared" si="54"/>
        <v>on D.</v>
      </c>
    </row>
    <row r="1544" spans="1:5" ht="15.75" customHeight="1" x14ac:dyDescent="0.3">
      <c r="A1544" s="4" t="s">
        <v>3088</v>
      </c>
      <c r="B1544" s="4" t="s">
        <v>3089</v>
      </c>
      <c r="C1544" s="5" t="str">
        <f t="shared" si="46"/>
        <v xml:space="preserve">y, </v>
      </c>
      <c r="D1544" s="5" t="str">
        <f t="shared" si="53"/>
        <v>Shanl</v>
      </c>
      <c r="E1544" s="5" t="str">
        <f t="shared" si="54"/>
        <v xml:space="preserve"> Ryan</v>
      </c>
    </row>
    <row r="1545" spans="1:5" ht="15.75" customHeight="1" x14ac:dyDescent="0.3">
      <c r="A1545" s="4" t="s">
        <v>3090</v>
      </c>
      <c r="B1545" s="4" t="s">
        <v>3091</v>
      </c>
      <c r="C1545" s="5" t="str">
        <f t="shared" si="46"/>
        <v>o G</v>
      </c>
      <c r="D1545" s="5" t="str">
        <f t="shared" si="53"/>
        <v>Mance</v>
      </c>
      <c r="E1545" s="5" t="str">
        <f t="shared" si="54"/>
        <v>rturo</v>
      </c>
    </row>
    <row r="1546" spans="1:5" ht="15.75" customHeight="1" x14ac:dyDescent="0.3">
      <c r="A1546" s="4" t="s">
        <v>3092</v>
      </c>
      <c r="B1546" s="4" t="s">
        <v>3093</v>
      </c>
      <c r="C1546" s="5" t="str">
        <f t="shared" si="46"/>
        <v>, M</v>
      </c>
      <c r="D1546" s="5" t="str">
        <f t="shared" si="53"/>
        <v>Keeha</v>
      </c>
      <c r="E1546" s="5" t="str">
        <f t="shared" si="54"/>
        <v xml:space="preserve"> Jake</v>
      </c>
    </row>
    <row r="1547" spans="1:5" ht="15.75" customHeight="1" x14ac:dyDescent="0.3">
      <c r="A1547" s="4" t="s">
        <v>3094</v>
      </c>
      <c r="B1547" s="4" t="s">
        <v>3095</v>
      </c>
      <c r="C1547" s="5" t="str">
        <f t="shared" si="46"/>
        <v xml:space="preserve">y, </v>
      </c>
      <c r="D1547" s="5" t="str">
        <f t="shared" si="53"/>
        <v>Mahan</v>
      </c>
      <c r="E1547" s="5" t="str">
        <f t="shared" si="54"/>
        <v>rah E</v>
      </c>
    </row>
    <row r="1548" spans="1:5" ht="15.75" customHeight="1" x14ac:dyDescent="0.3">
      <c r="A1548" s="4" t="s">
        <v>3096</v>
      </c>
      <c r="B1548" s="4" t="s">
        <v>3097</v>
      </c>
      <c r="C1548" s="5" t="str">
        <f t="shared" ref="C1548:C1802" si="55">MID(B1548,7,3)</f>
        <v xml:space="preserve"> Ms</v>
      </c>
      <c r="D1548" s="5" t="str">
        <f t="shared" si="53"/>
        <v>Nolan</v>
      </c>
      <c r="E1548" s="5" t="str">
        <f t="shared" si="54"/>
        <v>on L.</v>
      </c>
    </row>
    <row r="1549" spans="1:5" ht="15.75" customHeight="1" x14ac:dyDescent="0.3">
      <c r="A1549" s="4" t="s">
        <v>3098</v>
      </c>
      <c r="B1549" s="4" t="s">
        <v>3099</v>
      </c>
      <c r="C1549" s="5" t="str">
        <f t="shared" si="55"/>
        <v xml:space="preserve">o, </v>
      </c>
      <c r="D1549" s="5" t="str">
        <f t="shared" si="53"/>
        <v>Sobri</v>
      </c>
      <c r="E1549" s="5" t="str">
        <f t="shared" si="54"/>
        <v>en A.</v>
      </c>
    </row>
    <row r="1550" spans="1:5" ht="15.75" customHeight="1" x14ac:dyDescent="0.3">
      <c r="A1550" s="4" t="s">
        <v>3100</v>
      </c>
      <c r="B1550" s="4" t="s">
        <v>3101</v>
      </c>
      <c r="C1550" s="5" t="str">
        <f t="shared" si="55"/>
        <v xml:space="preserve">o, </v>
      </c>
      <c r="D1550" s="5" t="str">
        <f t="shared" si="53"/>
        <v>Genna</v>
      </c>
      <c r="E1550" s="5" t="str">
        <f t="shared" si="54"/>
        <v>. Jr.</v>
      </c>
    </row>
    <row r="1551" spans="1:5" ht="15.75" customHeight="1" x14ac:dyDescent="0.3">
      <c r="A1551" s="4" t="s">
        <v>3102</v>
      </c>
      <c r="B1551" s="4" t="s">
        <v>3103</v>
      </c>
      <c r="C1551" s="5" t="str">
        <f t="shared" si="55"/>
        <v xml:space="preserve"> Ms</v>
      </c>
      <c r="D1551" s="5" t="str">
        <f t="shared" si="53"/>
        <v>Mayer</v>
      </c>
      <c r="E1551" s="5" t="str">
        <f t="shared" si="54"/>
        <v>ie W.</v>
      </c>
    </row>
    <row r="1552" spans="1:5" ht="15.75" customHeight="1" x14ac:dyDescent="0.3">
      <c r="A1552" s="4" t="s">
        <v>3104</v>
      </c>
      <c r="B1552" s="4" t="s">
        <v>3105</v>
      </c>
      <c r="C1552" s="5" t="str">
        <f t="shared" si="55"/>
        <v>, M</v>
      </c>
      <c r="D1552" s="5" t="str">
        <f t="shared" si="53"/>
        <v>Becke</v>
      </c>
      <c r="E1552" s="5" t="str">
        <f t="shared" si="54"/>
        <v xml:space="preserve"> Ezra</v>
      </c>
    </row>
    <row r="1553" spans="1:5" ht="15.75" customHeight="1" x14ac:dyDescent="0.3">
      <c r="A1553" s="4" t="s">
        <v>3106</v>
      </c>
      <c r="B1553" s="4" t="s">
        <v>3107</v>
      </c>
      <c r="C1553" s="5" t="str">
        <f t="shared" si="55"/>
        <v xml:space="preserve"> Mr</v>
      </c>
      <c r="D1553" s="5" t="str">
        <f t="shared" ref="D1553:D1616" si="56">LEFT(B1553,5)</f>
        <v>Moore</v>
      </c>
      <c r="E1553" s="5" t="str">
        <f t="shared" si="54"/>
        <v xml:space="preserve">  Jim</v>
      </c>
    </row>
    <row r="1554" spans="1:5" ht="15.75" customHeight="1" x14ac:dyDescent="0.3">
      <c r="A1554" s="4" t="s">
        <v>3108</v>
      </c>
      <c r="B1554" s="4" t="s">
        <v>3109</v>
      </c>
      <c r="C1554" s="5" t="str">
        <f t="shared" si="55"/>
        <v xml:space="preserve"> Mr</v>
      </c>
      <c r="D1554" s="5" t="str">
        <f t="shared" si="56"/>
        <v>Platt</v>
      </c>
      <c r="E1554" s="5" t="str">
        <f t="shared" si="54"/>
        <v>ri L.</v>
      </c>
    </row>
    <row r="1555" spans="1:5" ht="15.75" customHeight="1" x14ac:dyDescent="0.3">
      <c r="A1555" s="4" t="s">
        <v>3110</v>
      </c>
      <c r="B1555" s="4" t="s">
        <v>3111</v>
      </c>
      <c r="C1555" s="5" t="str">
        <f t="shared" si="55"/>
        <v xml:space="preserve">r, </v>
      </c>
      <c r="D1555" s="5" t="str">
        <f t="shared" si="56"/>
        <v>Brode</v>
      </c>
      <c r="E1555" s="5" t="str">
        <f t="shared" si="54"/>
        <v>Fanny</v>
      </c>
    </row>
    <row r="1556" spans="1:5" ht="15.75" customHeight="1" x14ac:dyDescent="0.3">
      <c r="A1556" s="4" t="s">
        <v>3112</v>
      </c>
      <c r="B1556" s="4" t="s">
        <v>3113</v>
      </c>
      <c r="C1556" s="5" t="str">
        <f t="shared" si="55"/>
        <v xml:space="preserve"> Pe</v>
      </c>
      <c r="D1556" s="5" t="str">
        <f t="shared" si="56"/>
        <v>Knigh</v>
      </c>
      <c r="E1556" s="5" t="str">
        <f t="shared" si="54"/>
        <v>ather</v>
      </c>
    </row>
    <row r="1557" spans="1:5" ht="15.75" customHeight="1" x14ac:dyDescent="0.3">
      <c r="A1557" s="4" t="s">
        <v>3114</v>
      </c>
      <c r="B1557" s="4" t="s">
        <v>3115</v>
      </c>
      <c r="C1557" s="5" t="str">
        <f t="shared" si="55"/>
        <v xml:space="preserve">r, </v>
      </c>
      <c r="D1557" s="5" t="str">
        <f t="shared" si="56"/>
        <v>Richt</v>
      </c>
      <c r="E1557" s="5" t="str">
        <f t="shared" si="54"/>
        <v>. Sr.</v>
      </c>
    </row>
    <row r="1558" spans="1:5" ht="15.75" customHeight="1" x14ac:dyDescent="0.3">
      <c r="A1558" s="4" t="s">
        <v>3116</v>
      </c>
      <c r="B1558" s="4" t="s">
        <v>3117</v>
      </c>
      <c r="C1558" s="5" t="str">
        <f t="shared" si="55"/>
        <v>ki,</v>
      </c>
      <c r="D1558" s="5" t="str">
        <f t="shared" si="56"/>
        <v>Jubin</v>
      </c>
      <c r="E1558" s="5" t="str">
        <f t="shared" si="54"/>
        <v>ine A</v>
      </c>
    </row>
    <row r="1559" spans="1:5" ht="15.75" customHeight="1" x14ac:dyDescent="0.3">
      <c r="A1559" s="4" t="s">
        <v>3118</v>
      </c>
      <c r="B1559" s="4" t="s">
        <v>3119</v>
      </c>
      <c r="C1559" s="5" t="str">
        <f t="shared" si="55"/>
        <v>Ms.</v>
      </c>
      <c r="D1559" s="5" t="str">
        <f t="shared" si="56"/>
        <v>Wall,</v>
      </c>
      <c r="E1559" s="5" t="str">
        <f t="shared" si="54"/>
        <v>lly A</v>
      </c>
    </row>
    <row r="1560" spans="1:5" ht="15.75" customHeight="1" x14ac:dyDescent="0.3">
      <c r="A1560" s="4" t="s">
        <v>3120</v>
      </c>
      <c r="B1560" s="4" t="s">
        <v>3121</v>
      </c>
      <c r="C1560" s="5" t="str">
        <f t="shared" si="55"/>
        <v xml:space="preserve"> Ms</v>
      </c>
      <c r="D1560" s="5" t="str">
        <f t="shared" si="56"/>
        <v>McKay</v>
      </c>
      <c r="E1560" s="5" t="str">
        <f t="shared" si="54"/>
        <v>el N.</v>
      </c>
    </row>
    <row r="1561" spans="1:5" ht="15.75" customHeight="1" x14ac:dyDescent="0.3">
      <c r="A1561" s="4" t="s">
        <v>3122</v>
      </c>
      <c r="B1561" s="4" t="s">
        <v>3123</v>
      </c>
      <c r="C1561" s="5" t="str">
        <f t="shared" si="55"/>
        <v xml:space="preserve">.  </v>
      </c>
      <c r="D1561" s="5" t="str">
        <f t="shared" si="56"/>
        <v>Oh, M</v>
      </c>
      <c r="E1561" s="5" t="str">
        <f t="shared" si="54"/>
        <v>n Kai</v>
      </c>
    </row>
    <row r="1562" spans="1:5" ht="15.75" customHeight="1" x14ac:dyDescent="0.3">
      <c r="A1562" s="4" t="s">
        <v>3124</v>
      </c>
      <c r="B1562" s="4" t="s">
        <v>3125</v>
      </c>
      <c r="C1562" s="5" t="str">
        <f t="shared" si="55"/>
        <v xml:space="preserve">l, </v>
      </c>
      <c r="D1562" s="5" t="str">
        <f t="shared" si="56"/>
        <v>Kesse</v>
      </c>
      <c r="E1562" s="5" t="str">
        <f t="shared" si="54"/>
        <v>ry R.</v>
      </c>
    </row>
    <row r="1563" spans="1:5" ht="15.75" customHeight="1" x14ac:dyDescent="0.3">
      <c r="A1563" s="4" t="s">
        <v>3126</v>
      </c>
      <c r="B1563" s="4" t="s">
        <v>3127</v>
      </c>
      <c r="C1563" s="5" t="str">
        <f t="shared" si="55"/>
        <v>o Z</v>
      </c>
      <c r="D1563" s="5" t="str">
        <f t="shared" si="56"/>
        <v>Hidal</v>
      </c>
      <c r="E1563" s="5" t="str">
        <f t="shared" si="54"/>
        <v>o Sr.</v>
      </c>
    </row>
    <row r="1564" spans="1:5" ht="15.75" customHeight="1" x14ac:dyDescent="0.3">
      <c r="A1564" s="4" t="s">
        <v>3128</v>
      </c>
      <c r="B1564" s="4" t="s">
        <v>3129</v>
      </c>
      <c r="C1564" s="5" t="str">
        <f t="shared" si="55"/>
        <v>io,</v>
      </c>
      <c r="D1564" s="5" t="str">
        <f t="shared" si="56"/>
        <v>Capra</v>
      </c>
      <c r="E1564" s="5" t="str">
        <f t="shared" si="54"/>
        <v>as R.</v>
      </c>
    </row>
    <row r="1565" spans="1:5" ht="15.75" customHeight="1" x14ac:dyDescent="0.3">
      <c r="A1565" s="4" t="s">
        <v>3130</v>
      </c>
      <c r="B1565" s="4" t="s">
        <v>3131</v>
      </c>
      <c r="C1565" s="5" t="str">
        <f t="shared" si="55"/>
        <v>Mr.</v>
      </c>
      <c r="D1565" s="5" t="str">
        <f t="shared" si="56"/>
        <v>Ryan,</v>
      </c>
      <c r="E1565" s="5" t="str">
        <f t="shared" si="54"/>
        <v xml:space="preserve"> Paul</v>
      </c>
    </row>
    <row r="1566" spans="1:5" ht="15.75" customHeight="1" x14ac:dyDescent="0.3">
      <c r="A1566" s="4" t="s">
        <v>3132</v>
      </c>
      <c r="B1566" s="4" t="s">
        <v>3133</v>
      </c>
      <c r="C1566" s="5" t="str">
        <f t="shared" si="55"/>
        <v xml:space="preserve">n, </v>
      </c>
      <c r="D1566" s="5" t="str">
        <f t="shared" si="56"/>
        <v>Hoffm</v>
      </c>
      <c r="E1566" s="5" t="str">
        <f t="shared" si="54"/>
        <v>ael D</v>
      </c>
    </row>
    <row r="1567" spans="1:5" ht="15.75" customHeight="1" x14ac:dyDescent="0.3">
      <c r="A1567" s="4" t="s">
        <v>3134</v>
      </c>
      <c r="B1567" s="4" t="s">
        <v>3135</v>
      </c>
      <c r="C1567" s="5" t="str">
        <f t="shared" si="55"/>
        <v>Ms.</v>
      </c>
      <c r="D1567" s="5" t="str">
        <f t="shared" si="56"/>
        <v>Wong,</v>
      </c>
      <c r="E1567" s="5" t="str">
        <f t="shared" si="54"/>
        <v>arina</v>
      </c>
    </row>
    <row r="1568" spans="1:5" ht="15.75" customHeight="1" x14ac:dyDescent="0.3">
      <c r="A1568" s="4" t="s">
        <v>3136</v>
      </c>
      <c r="B1568" s="4" t="s">
        <v>3137</v>
      </c>
      <c r="C1568" s="5" t="str">
        <f t="shared" si="55"/>
        <v xml:space="preserve">s. </v>
      </c>
      <c r="D1568" s="5" t="str">
        <f t="shared" si="56"/>
        <v xml:space="preserve">Lea, </v>
      </c>
      <c r="E1568" s="5" t="str">
        <f t="shared" si="54"/>
        <v>oline</v>
      </c>
    </row>
    <row r="1569" spans="1:5" ht="15.75" customHeight="1" x14ac:dyDescent="0.3">
      <c r="A1569" s="4" t="s">
        <v>3138</v>
      </c>
      <c r="B1569" s="4" t="s">
        <v>3139</v>
      </c>
      <c r="C1569" s="5" t="str">
        <f t="shared" si="55"/>
        <v>son</v>
      </c>
      <c r="D1569" s="5" t="str">
        <f t="shared" si="56"/>
        <v>Patte</v>
      </c>
      <c r="E1569" s="5" t="str">
        <f t="shared" si="54"/>
        <v>oss P</v>
      </c>
    </row>
    <row r="1570" spans="1:5" ht="15.75" customHeight="1" x14ac:dyDescent="0.3">
      <c r="A1570" s="4" t="s">
        <v>3140</v>
      </c>
      <c r="B1570" s="4" t="s">
        <v>3141</v>
      </c>
      <c r="C1570" s="5" t="str">
        <f t="shared" si="55"/>
        <v xml:space="preserve">y, </v>
      </c>
      <c r="D1570" s="5" t="str">
        <f t="shared" si="56"/>
        <v>Quigl</v>
      </c>
      <c r="E1570" s="5" t="str">
        <f t="shared" si="54"/>
        <v>Aoife</v>
      </c>
    </row>
    <row r="1571" spans="1:5" ht="15.75" customHeight="1" x14ac:dyDescent="0.3">
      <c r="A1571" s="4" t="s">
        <v>3142</v>
      </c>
      <c r="B1571" s="4" t="s">
        <v>3143</v>
      </c>
      <c r="C1571" s="5" t="str">
        <f t="shared" si="55"/>
        <v xml:space="preserve"> Mr</v>
      </c>
      <c r="D1571" s="5" t="str">
        <f t="shared" si="56"/>
        <v>Korir</v>
      </c>
      <c r="E1571" s="5" t="str">
        <f t="shared" si="54"/>
        <v>esley</v>
      </c>
    </row>
    <row r="1572" spans="1:5" ht="15.75" customHeight="1" x14ac:dyDescent="0.3">
      <c r="A1572" s="4" t="s">
        <v>3144</v>
      </c>
      <c r="B1572" s="4" t="s">
        <v>3145</v>
      </c>
      <c r="C1572" s="5" t="str">
        <f t="shared" si="55"/>
        <v xml:space="preserve"> Ms</v>
      </c>
      <c r="D1572" s="5" t="str">
        <f t="shared" si="56"/>
        <v>Downs</v>
      </c>
      <c r="E1572" s="5" t="str">
        <f t="shared" si="54"/>
        <v>cca J</v>
      </c>
    </row>
    <row r="1573" spans="1:5" ht="15.75" customHeight="1" x14ac:dyDescent="0.3">
      <c r="A1573" s="4" t="s">
        <v>3146</v>
      </c>
      <c r="B1573" s="4" t="s">
        <v>3147</v>
      </c>
      <c r="C1573" s="5" t="str">
        <f t="shared" si="55"/>
        <v xml:space="preserve"> Mr</v>
      </c>
      <c r="D1573" s="5" t="str">
        <f t="shared" si="56"/>
        <v>Young</v>
      </c>
      <c r="E1573" s="5" t="str">
        <f t="shared" si="54"/>
        <v>ry P.</v>
      </c>
    </row>
    <row r="1574" spans="1:5" ht="15.75" customHeight="1" x14ac:dyDescent="0.3">
      <c r="A1574" s="4" t="s">
        <v>3148</v>
      </c>
      <c r="B1574" s="4" t="s">
        <v>3149</v>
      </c>
      <c r="C1574" s="5" t="str">
        <f t="shared" si="55"/>
        <v xml:space="preserve"> Mr</v>
      </c>
      <c r="D1574" s="5" t="str">
        <f t="shared" si="56"/>
        <v>Zywek</v>
      </c>
      <c r="E1574" s="5" t="str">
        <f t="shared" si="54"/>
        <v>aciej</v>
      </c>
    </row>
    <row r="1575" spans="1:5" ht="15.75" customHeight="1" x14ac:dyDescent="0.3">
      <c r="A1575" s="4" t="s">
        <v>3150</v>
      </c>
      <c r="B1575" s="4" t="s">
        <v>3151</v>
      </c>
      <c r="C1575" s="5" t="str">
        <f t="shared" si="55"/>
        <v>er,</v>
      </c>
      <c r="D1575" s="5" t="str">
        <f t="shared" si="56"/>
        <v>Faulk</v>
      </c>
      <c r="E1575" s="5" t="str">
        <f t="shared" si="54"/>
        <v>ry D.</v>
      </c>
    </row>
    <row r="1576" spans="1:5" ht="15.75" customHeight="1" x14ac:dyDescent="0.3">
      <c r="A1576" s="4" t="s">
        <v>3152</v>
      </c>
      <c r="B1576" s="4" t="s">
        <v>3153</v>
      </c>
      <c r="C1576" s="5" t="str">
        <f t="shared" si="55"/>
        <v>er,</v>
      </c>
      <c r="D1576" s="5" t="str">
        <f t="shared" si="56"/>
        <v>Erspa</v>
      </c>
      <c r="E1576" s="5" t="str">
        <f t="shared" si="54"/>
        <v>ic A.</v>
      </c>
    </row>
    <row r="1577" spans="1:5" ht="15.75" customHeight="1" x14ac:dyDescent="0.3">
      <c r="A1577" s="4" t="s">
        <v>3154</v>
      </c>
      <c r="B1577" s="4" t="s">
        <v>3155</v>
      </c>
      <c r="C1577" s="5" t="str">
        <f t="shared" si="55"/>
        <v>ll,</v>
      </c>
      <c r="D1577" s="5" t="str">
        <f t="shared" si="56"/>
        <v>Campb</v>
      </c>
      <c r="E1577" s="5" t="str">
        <f t="shared" si="54"/>
        <v>Cathi</v>
      </c>
    </row>
    <row r="1578" spans="1:5" ht="15.75" customHeight="1" x14ac:dyDescent="0.3">
      <c r="A1578" s="4" t="s">
        <v>3156</v>
      </c>
      <c r="B1578" s="4" t="s">
        <v>3157</v>
      </c>
      <c r="C1578" s="5" t="str">
        <f t="shared" si="55"/>
        <v xml:space="preserve">n, </v>
      </c>
      <c r="D1578" s="5" t="str">
        <f t="shared" si="56"/>
        <v>Addis</v>
      </c>
      <c r="E1578" s="5" t="str">
        <f t="shared" si="54"/>
        <v>lex M</v>
      </c>
    </row>
    <row r="1579" spans="1:5" ht="15.75" customHeight="1" x14ac:dyDescent="0.3">
      <c r="A1579" s="4" t="s">
        <v>3158</v>
      </c>
      <c r="B1579" s="4" t="s">
        <v>3159</v>
      </c>
      <c r="C1579" s="5" t="str">
        <f t="shared" si="55"/>
        <v xml:space="preserve">.  </v>
      </c>
      <c r="D1579" s="5" t="str">
        <f t="shared" si="56"/>
        <v>Wu, M</v>
      </c>
      <c r="E1579" s="5" t="str">
        <f t="shared" si="54"/>
        <v>Liang</v>
      </c>
    </row>
    <row r="1580" spans="1:5" ht="15.75" customHeight="1" x14ac:dyDescent="0.3">
      <c r="A1580" s="4" t="s">
        <v>3160</v>
      </c>
      <c r="B1580" s="4" t="s">
        <v>3161</v>
      </c>
      <c r="C1580" s="5" t="str">
        <f t="shared" si="55"/>
        <v xml:space="preserve">t, </v>
      </c>
      <c r="D1580" s="5" t="str">
        <f t="shared" si="56"/>
        <v>Mille</v>
      </c>
      <c r="E1580" s="5" t="str">
        <f t="shared" si="54"/>
        <v xml:space="preserve"> Lexy</v>
      </c>
    </row>
    <row r="1581" spans="1:5" ht="15.75" customHeight="1" x14ac:dyDescent="0.3">
      <c r="A1581" s="4" t="s">
        <v>3162</v>
      </c>
      <c r="B1581" s="4" t="s">
        <v>3163</v>
      </c>
      <c r="C1581" s="5" t="str">
        <f t="shared" si="55"/>
        <v>Mr.</v>
      </c>
      <c r="D1581" s="5" t="str">
        <f t="shared" si="56"/>
        <v>Bosl,</v>
      </c>
      <c r="E1581" s="5" t="str">
        <f t="shared" si="54"/>
        <v>chael</v>
      </c>
    </row>
    <row r="1582" spans="1:5" ht="15.75" customHeight="1" x14ac:dyDescent="0.3">
      <c r="A1582" s="4" t="s">
        <v>3164</v>
      </c>
      <c r="B1582" s="4" t="s">
        <v>3165</v>
      </c>
      <c r="C1582" s="5" t="str">
        <f t="shared" si="55"/>
        <v>rg,</v>
      </c>
      <c r="D1582" s="5" t="str">
        <f t="shared" si="56"/>
        <v>Goldb</v>
      </c>
      <c r="E1582" s="5" t="str">
        <f t="shared" si="54"/>
        <v>uel L</v>
      </c>
    </row>
    <row r="1583" spans="1:5" ht="15.75" customHeight="1" x14ac:dyDescent="0.3">
      <c r="A1583" s="4" t="s">
        <v>3166</v>
      </c>
      <c r="B1583" s="4" t="s">
        <v>3167</v>
      </c>
      <c r="C1583" s="5" t="str">
        <f t="shared" si="55"/>
        <v>, M</v>
      </c>
      <c r="D1583" s="5" t="str">
        <f t="shared" si="56"/>
        <v>Kelle</v>
      </c>
      <c r="E1583" s="5" t="str">
        <f t="shared" si="54"/>
        <v>er A.</v>
      </c>
    </row>
    <row r="1584" spans="1:5" ht="15.75" customHeight="1" x14ac:dyDescent="0.3">
      <c r="A1584" s="4" t="s">
        <v>3168</v>
      </c>
      <c r="B1584" s="4" t="s">
        <v>3169</v>
      </c>
      <c r="C1584" s="5" t="str">
        <f t="shared" si="55"/>
        <v>on,</v>
      </c>
      <c r="D1584" s="5" t="str">
        <f t="shared" si="56"/>
        <v>Johns</v>
      </c>
      <c r="E1584" s="5" t="str">
        <f t="shared" si="54"/>
        <v>helle</v>
      </c>
    </row>
    <row r="1585" spans="1:5" ht="15.75" customHeight="1" x14ac:dyDescent="0.3">
      <c r="A1585" s="4" t="s">
        <v>3170</v>
      </c>
      <c r="B1585" s="4" t="s">
        <v>3171</v>
      </c>
      <c r="C1585" s="5" t="str">
        <f t="shared" si="55"/>
        <v xml:space="preserve">g, </v>
      </c>
      <c r="D1585" s="5" t="str">
        <f t="shared" si="56"/>
        <v>Keati</v>
      </c>
      <c r="E1585" s="5" t="str">
        <f t="shared" si="54"/>
        <v>Paula</v>
      </c>
    </row>
    <row r="1586" spans="1:5" ht="15.75" customHeight="1" x14ac:dyDescent="0.3">
      <c r="A1586" s="4" t="s">
        <v>3172</v>
      </c>
      <c r="B1586" s="4" t="s">
        <v>3173</v>
      </c>
      <c r="C1586" s="5" t="str">
        <f t="shared" si="55"/>
        <v xml:space="preserve"> Mr</v>
      </c>
      <c r="D1586" s="5" t="str">
        <f t="shared" si="56"/>
        <v>Duhon</v>
      </c>
      <c r="E1586" s="5" t="str">
        <f t="shared" si="54"/>
        <v>ne E.</v>
      </c>
    </row>
    <row r="1587" spans="1:5" ht="15.75" customHeight="1" x14ac:dyDescent="0.3">
      <c r="A1587" s="4" t="s">
        <v>3174</v>
      </c>
      <c r="B1587" s="4" t="s">
        <v>3175</v>
      </c>
      <c r="C1587" s="5" t="str">
        <f t="shared" si="55"/>
        <v xml:space="preserve">o, </v>
      </c>
      <c r="D1587" s="5" t="str">
        <f t="shared" si="56"/>
        <v>Brise</v>
      </c>
      <c r="E1587" s="5" t="str">
        <f t="shared" si="54"/>
        <v>sabel</v>
      </c>
    </row>
    <row r="1588" spans="1:5" ht="15.75" customHeight="1" x14ac:dyDescent="0.3">
      <c r="A1588" s="4" t="s">
        <v>3176</v>
      </c>
      <c r="B1588" s="4" t="s">
        <v>3177</v>
      </c>
      <c r="C1588" s="5" t="str">
        <f t="shared" si="55"/>
        <v xml:space="preserve"> Mr</v>
      </c>
      <c r="D1588" s="5" t="str">
        <f t="shared" si="56"/>
        <v>Besse</v>
      </c>
      <c r="E1588" s="5" t="str">
        <f t="shared" si="54"/>
        <v>ur M.</v>
      </c>
    </row>
    <row r="1589" spans="1:5" ht="15.75" customHeight="1" x14ac:dyDescent="0.3">
      <c r="A1589" s="4" t="s">
        <v>3178</v>
      </c>
      <c r="B1589" s="4" t="s">
        <v>3179</v>
      </c>
      <c r="C1589" s="5" t="str">
        <f t="shared" si="55"/>
        <v>ngs</v>
      </c>
      <c r="D1589" s="5" t="str">
        <f t="shared" si="56"/>
        <v>Shill</v>
      </c>
      <c r="E1589" s="5" t="str">
        <f t="shared" si="54"/>
        <v>ph R.</v>
      </c>
    </row>
    <row r="1590" spans="1:5" ht="15.75" customHeight="1" x14ac:dyDescent="0.3">
      <c r="A1590" s="4" t="s">
        <v>3180</v>
      </c>
      <c r="B1590" s="4" t="s">
        <v>3181</v>
      </c>
      <c r="C1590" s="5" t="str">
        <f t="shared" si="55"/>
        <v>Ms.</v>
      </c>
      <c r="D1590" s="5" t="str">
        <f t="shared" si="56"/>
        <v>Tate,</v>
      </c>
      <c r="E1590" s="5" t="str">
        <f t="shared" si="54"/>
        <v>chiko</v>
      </c>
    </row>
    <row r="1591" spans="1:5" ht="15.75" customHeight="1" x14ac:dyDescent="0.3">
      <c r="A1591" s="4" t="s">
        <v>3182</v>
      </c>
      <c r="B1591" s="4" t="s">
        <v>3183</v>
      </c>
      <c r="C1591" s="5" t="str">
        <f t="shared" si="55"/>
        <v>ult</v>
      </c>
      <c r="D1591" s="5" t="str">
        <f t="shared" si="56"/>
        <v>Arsen</v>
      </c>
      <c r="E1591" s="5" t="str">
        <f t="shared" si="54"/>
        <v>opher</v>
      </c>
    </row>
    <row r="1592" spans="1:5" ht="15.75" customHeight="1" x14ac:dyDescent="0.3">
      <c r="A1592" s="4" t="s">
        <v>3184</v>
      </c>
      <c r="B1592" s="4" t="s">
        <v>3185</v>
      </c>
      <c r="C1592" s="5" t="str">
        <f t="shared" si="55"/>
        <v xml:space="preserve">d, </v>
      </c>
      <c r="D1592" s="5" t="str">
        <f t="shared" si="56"/>
        <v>Hengo</v>
      </c>
      <c r="E1592" s="5" t="str">
        <f t="shared" si="54"/>
        <v>oseph</v>
      </c>
    </row>
    <row r="1593" spans="1:5" ht="15.75" customHeight="1" x14ac:dyDescent="0.3">
      <c r="A1593" s="4" t="s">
        <v>3186</v>
      </c>
      <c r="B1593" s="4" t="s">
        <v>3187</v>
      </c>
      <c r="C1593" s="5" t="str">
        <f t="shared" si="55"/>
        <v xml:space="preserve"> Mr</v>
      </c>
      <c r="D1593" s="5" t="str">
        <f t="shared" si="56"/>
        <v>Aller</v>
      </c>
      <c r="E1593" s="5" t="str">
        <f t="shared" si="54"/>
        <v>rence</v>
      </c>
    </row>
    <row r="1594" spans="1:5" ht="15.75" customHeight="1" x14ac:dyDescent="0.3">
      <c r="A1594" s="4" t="s">
        <v>3188</v>
      </c>
      <c r="B1594" s="4" t="s">
        <v>3189</v>
      </c>
      <c r="C1594" s="5" t="str">
        <f t="shared" si="55"/>
        <v>, M</v>
      </c>
      <c r="D1594" s="5" t="str">
        <f t="shared" si="56"/>
        <v>Pisan</v>
      </c>
      <c r="E1594" s="5" t="str">
        <f t="shared" si="54"/>
        <v>Katie</v>
      </c>
    </row>
    <row r="1595" spans="1:5" ht="15.75" customHeight="1" x14ac:dyDescent="0.3">
      <c r="A1595" s="4" t="s">
        <v>3190</v>
      </c>
      <c r="B1595" s="4" t="s">
        <v>3191</v>
      </c>
      <c r="C1595" s="5" t="str">
        <f t="shared" si="55"/>
        <v xml:space="preserve"> Mr</v>
      </c>
      <c r="D1595" s="5" t="str">
        <f t="shared" si="56"/>
        <v>Sanca</v>
      </c>
      <c r="E1595" s="5" t="str">
        <f t="shared" si="54"/>
        <v>Ruben</v>
      </c>
    </row>
    <row r="1596" spans="1:5" ht="15.75" customHeight="1" x14ac:dyDescent="0.3">
      <c r="A1596" s="4" t="s">
        <v>3192</v>
      </c>
      <c r="B1596" s="4" t="s">
        <v>3193</v>
      </c>
      <c r="C1596" s="5" t="str">
        <f t="shared" si="55"/>
        <v>Ms.</v>
      </c>
      <c r="D1596" s="5" t="str">
        <f t="shared" si="56"/>
        <v>Bond,</v>
      </c>
      <c r="E1596" s="5" t="str">
        <f t="shared" si="54"/>
        <v>Sarah</v>
      </c>
    </row>
    <row r="1597" spans="1:5" ht="15.75" customHeight="1" x14ac:dyDescent="0.3">
      <c r="A1597" s="4" t="s">
        <v>3194</v>
      </c>
      <c r="B1597" s="4" t="s">
        <v>3195</v>
      </c>
      <c r="C1597" s="5" t="str">
        <f t="shared" si="55"/>
        <v>, M</v>
      </c>
      <c r="D1597" s="5" t="str">
        <f t="shared" si="56"/>
        <v>Carro</v>
      </c>
      <c r="E1597" s="5" t="str">
        <f t="shared" si="54"/>
        <v>la R.</v>
      </c>
    </row>
    <row r="1598" spans="1:5" ht="15.75" customHeight="1" x14ac:dyDescent="0.3">
      <c r="A1598" s="4" t="s">
        <v>3196</v>
      </c>
      <c r="B1598" s="4" t="s">
        <v>3197</v>
      </c>
      <c r="C1598" s="5" t="str">
        <f t="shared" si="55"/>
        <v>ger</v>
      </c>
      <c r="D1598" s="5" t="str">
        <f t="shared" si="56"/>
        <v>Ellwa</v>
      </c>
      <c r="E1598" s="5" t="str">
        <f t="shared" si="54"/>
        <v>atham</v>
      </c>
    </row>
    <row r="1599" spans="1:5" ht="15.75" customHeight="1" x14ac:dyDescent="0.3">
      <c r="A1599" s="4" t="s">
        <v>3198</v>
      </c>
      <c r="B1599" s="4" t="s">
        <v>3199</v>
      </c>
      <c r="C1599" s="5" t="str">
        <f t="shared" si="55"/>
        <v>, M</v>
      </c>
      <c r="D1599" s="5" t="str">
        <f t="shared" si="56"/>
        <v>Hanso</v>
      </c>
      <c r="E1599" s="5" t="str">
        <f t="shared" si="54"/>
        <v>Derek</v>
      </c>
    </row>
    <row r="1600" spans="1:5" ht="15.75" customHeight="1" x14ac:dyDescent="0.3">
      <c r="A1600" s="4" t="s">
        <v>3200</v>
      </c>
      <c r="B1600" s="4" t="s">
        <v>3201</v>
      </c>
      <c r="C1600" s="5" t="str">
        <f t="shared" si="55"/>
        <v>, M</v>
      </c>
      <c r="D1600" s="5" t="str">
        <f t="shared" si="56"/>
        <v>Tucke</v>
      </c>
      <c r="E1600" s="5" t="str">
        <f t="shared" si="54"/>
        <v>in J.</v>
      </c>
    </row>
    <row r="1601" spans="1:5" ht="15.75" customHeight="1" x14ac:dyDescent="0.3">
      <c r="A1601" s="4" t="s">
        <v>3202</v>
      </c>
      <c r="B1601" s="4" t="s">
        <v>3203</v>
      </c>
      <c r="C1601" s="5" t="str">
        <f t="shared" si="55"/>
        <v>, M</v>
      </c>
      <c r="D1601" s="5" t="str">
        <f t="shared" si="56"/>
        <v>Count</v>
      </c>
      <c r="E1601" s="5" t="str">
        <f t="shared" si="54"/>
        <v xml:space="preserve"> Dave</v>
      </c>
    </row>
    <row r="1602" spans="1:5" ht="15.75" customHeight="1" x14ac:dyDescent="0.3">
      <c r="A1602" s="4" t="s">
        <v>3204</v>
      </c>
      <c r="B1602" s="4" t="s">
        <v>3205</v>
      </c>
      <c r="C1602" s="5" t="str">
        <f t="shared" si="55"/>
        <v>, M</v>
      </c>
      <c r="D1602" s="5" t="str">
        <f t="shared" si="56"/>
        <v>Carso</v>
      </c>
      <c r="E1602" s="5" t="str">
        <f t="shared" ref="E1602:E1665" si="57">RIGHT(B1602,5)</f>
        <v>ra G.</v>
      </c>
    </row>
    <row r="1603" spans="1:5" ht="15.75" customHeight="1" x14ac:dyDescent="0.3">
      <c r="A1603" s="4" t="s">
        <v>3206</v>
      </c>
      <c r="B1603" s="4" t="s">
        <v>3207</v>
      </c>
      <c r="C1603" s="5" t="str">
        <f t="shared" si="55"/>
        <v>, M</v>
      </c>
      <c r="D1603" s="5" t="str">
        <f t="shared" si="56"/>
        <v>Haine</v>
      </c>
      <c r="E1603" s="5" t="str">
        <f t="shared" si="57"/>
        <v>kylar</v>
      </c>
    </row>
    <row r="1604" spans="1:5" ht="15.75" customHeight="1" x14ac:dyDescent="0.3">
      <c r="A1604" s="4" t="s">
        <v>3208</v>
      </c>
      <c r="B1604" s="4" t="s">
        <v>3209</v>
      </c>
      <c r="C1604" s="5" t="str">
        <f t="shared" si="55"/>
        <v>el,</v>
      </c>
      <c r="D1604" s="5" t="str">
        <f t="shared" si="56"/>
        <v>Schna</v>
      </c>
      <c r="E1604" s="5" t="str">
        <f t="shared" si="57"/>
        <v xml:space="preserve"> Nick</v>
      </c>
    </row>
    <row r="1605" spans="1:5" ht="15.75" customHeight="1" x14ac:dyDescent="0.3">
      <c r="A1605" s="4" t="s">
        <v>3210</v>
      </c>
      <c r="B1605" s="4" t="s">
        <v>3211</v>
      </c>
      <c r="C1605" s="5" t="str">
        <f t="shared" si="55"/>
        <v xml:space="preserve"> Mr</v>
      </c>
      <c r="D1605" s="5" t="str">
        <f t="shared" si="56"/>
        <v>Thind</v>
      </c>
      <c r="E1605" s="5" t="str">
        <f t="shared" si="57"/>
        <v>nny S</v>
      </c>
    </row>
    <row r="1606" spans="1:5" ht="15.75" customHeight="1" x14ac:dyDescent="0.3">
      <c r="A1606" s="4" t="s">
        <v>3212</v>
      </c>
      <c r="B1606" s="4" t="s">
        <v>3213</v>
      </c>
      <c r="C1606" s="5" t="str">
        <f t="shared" si="55"/>
        <v xml:space="preserve"> Mr</v>
      </c>
      <c r="D1606" s="5" t="str">
        <f t="shared" si="56"/>
        <v>Simon</v>
      </c>
      <c r="E1606" s="5" t="str">
        <f t="shared" si="57"/>
        <v>Marie</v>
      </c>
    </row>
    <row r="1607" spans="1:5" ht="15.75" customHeight="1" x14ac:dyDescent="0.3">
      <c r="A1607" s="4" t="s">
        <v>3214</v>
      </c>
      <c r="B1607" s="4" t="s">
        <v>3215</v>
      </c>
      <c r="C1607" s="5" t="str">
        <f t="shared" si="55"/>
        <v>aga</v>
      </c>
      <c r="D1607" s="5" t="str">
        <f t="shared" si="56"/>
        <v>Arcin</v>
      </c>
      <c r="E1607" s="5" t="str">
        <f t="shared" si="57"/>
        <v>holas</v>
      </c>
    </row>
    <row r="1608" spans="1:5" ht="15.75" customHeight="1" x14ac:dyDescent="0.3">
      <c r="A1608" s="4" t="s">
        <v>3216</v>
      </c>
      <c r="B1608" s="4" t="s">
        <v>3217</v>
      </c>
      <c r="C1608" s="5" t="str">
        <f t="shared" si="55"/>
        <v>Mr.</v>
      </c>
      <c r="D1608" s="5" t="str">
        <f t="shared" si="56"/>
        <v>Ryan,</v>
      </c>
      <c r="E1608" s="5" t="str">
        <f t="shared" si="57"/>
        <v>tt M.</v>
      </c>
    </row>
    <row r="1609" spans="1:5" ht="15.75" customHeight="1" x14ac:dyDescent="0.3">
      <c r="A1609" s="4" t="s">
        <v>3218</v>
      </c>
      <c r="B1609" s="4" t="s">
        <v>3219</v>
      </c>
      <c r="C1609" s="5" t="str">
        <f t="shared" si="55"/>
        <v xml:space="preserve"> Ms</v>
      </c>
      <c r="D1609" s="5" t="str">
        <f t="shared" si="56"/>
        <v>Lizak</v>
      </c>
      <c r="E1609" s="5" t="str">
        <f t="shared" si="57"/>
        <v>isa A</v>
      </c>
    </row>
    <row r="1610" spans="1:5" ht="15.75" customHeight="1" x14ac:dyDescent="0.3">
      <c r="A1610" s="4" t="s">
        <v>3220</v>
      </c>
      <c r="B1610" s="4" t="s">
        <v>3221</v>
      </c>
      <c r="C1610" s="5" t="str">
        <f t="shared" si="55"/>
        <v>, M</v>
      </c>
      <c r="D1610" s="5" t="str">
        <f t="shared" si="56"/>
        <v>Hower</v>
      </c>
      <c r="E1610" s="5" t="str">
        <f t="shared" si="57"/>
        <v>Katie</v>
      </c>
    </row>
    <row r="1611" spans="1:5" ht="15.75" customHeight="1" x14ac:dyDescent="0.3">
      <c r="A1611" s="4" t="s">
        <v>3222</v>
      </c>
      <c r="B1611" s="4" t="s">
        <v>3223</v>
      </c>
      <c r="C1611" s="5" t="str">
        <f t="shared" si="55"/>
        <v xml:space="preserve"> Ms</v>
      </c>
      <c r="D1611" s="5" t="str">
        <f t="shared" si="56"/>
        <v>Crain</v>
      </c>
      <c r="E1611" s="5" t="str">
        <f t="shared" si="57"/>
        <v>Amy L</v>
      </c>
    </row>
    <row r="1612" spans="1:5" ht="15.75" customHeight="1" x14ac:dyDescent="0.3">
      <c r="A1612" s="4" t="s">
        <v>3224</v>
      </c>
      <c r="B1612" s="4" t="s">
        <v>3225</v>
      </c>
      <c r="C1612" s="5" t="str">
        <f t="shared" si="55"/>
        <v xml:space="preserve"> Ms</v>
      </c>
      <c r="D1612" s="5" t="str">
        <f t="shared" si="56"/>
        <v>Hotze</v>
      </c>
      <c r="E1612" s="5" t="str">
        <f t="shared" si="57"/>
        <v>nna M</v>
      </c>
    </row>
    <row r="1613" spans="1:5" ht="15.75" customHeight="1" x14ac:dyDescent="0.3">
      <c r="A1613" s="4" t="s">
        <v>3226</v>
      </c>
      <c r="B1613" s="4" t="s">
        <v>3227</v>
      </c>
      <c r="C1613" s="5" t="str">
        <f t="shared" si="55"/>
        <v xml:space="preserve">n, </v>
      </c>
      <c r="D1613" s="5" t="str">
        <f t="shared" si="56"/>
        <v>Chauh</v>
      </c>
      <c r="E1613" s="5" t="str">
        <f t="shared" si="57"/>
        <v>th M.</v>
      </c>
    </row>
    <row r="1614" spans="1:5" ht="15.75" customHeight="1" x14ac:dyDescent="0.3">
      <c r="A1614" s="4" t="s">
        <v>3228</v>
      </c>
      <c r="B1614" s="4" t="s">
        <v>3229</v>
      </c>
      <c r="C1614" s="5" t="str">
        <f t="shared" si="55"/>
        <v>Mr.</v>
      </c>
      <c r="D1614" s="5" t="str">
        <f t="shared" si="56"/>
        <v>Raab,</v>
      </c>
      <c r="E1614" s="5" t="str">
        <f t="shared" si="57"/>
        <v>yazid</v>
      </c>
    </row>
    <row r="1615" spans="1:5" ht="15.75" customHeight="1" x14ac:dyDescent="0.3">
      <c r="A1615" s="4" t="s">
        <v>3230</v>
      </c>
      <c r="B1615" s="4" t="s">
        <v>3231</v>
      </c>
      <c r="C1615" s="5" t="str">
        <f t="shared" si="55"/>
        <v>, M</v>
      </c>
      <c r="D1615" s="5" t="str">
        <f t="shared" si="56"/>
        <v>McKow</v>
      </c>
      <c r="E1615" s="5" t="str">
        <f t="shared" si="57"/>
        <v>ey A.</v>
      </c>
    </row>
    <row r="1616" spans="1:5" ht="15.75" customHeight="1" x14ac:dyDescent="0.3">
      <c r="A1616" s="4" t="s">
        <v>3232</v>
      </c>
      <c r="B1616" s="4" t="s">
        <v>3233</v>
      </c>
      <c r="C1616" s="5" t="str">
        <f t="shared" si="55"/>
        <v>ann</v>
      </c>
      <c r="D1616" s="5" t="str">
        <f t="shared" si="56"/>
        <v>Schie</v>
      </c>
      <c r="E1616" s="5" t="str">
        <f t="shared" si="57"/>
        <v>Chris</v>
      </c>
    </row>
    <row r="1617" spans="1:5" ht="15.75" customHeight="1" x14ac:dyDescent="0.3">
      <c r="A1617" s="4" t="s">
        <v>3234</v>
      </c>
      <c r="B1617" s="4" t="s">
        <v>3235</v>
      </c>
      <c r="C1617" s="5" t="str">
        <f t="shared" si="55"/>
        <v xml:space="preserve"> Ms</v>
      </c>
      <c r="D1617" s="5" t="str">
        <f t="shared" ref="D1617:D1680" si="58">LEFT(B1617,5)</f>
        <v>Cress</v>
      </c>
      <c r="E1617" s="5" t="str">
        <f t="shared" si="57"/>
        <v>fer A</v>
      </c>
    </row>
    <row r="1618" spans="1:5" ht="15.75" customHeight="1" x14ac:dyDescent="0.3">
      <c r="A1618" s="4" t="s">
        <v>3236</v>
      </c>
      <c r="B1618" s="4" t="s">
        <v>3237</v>
      </c>
      <c r="C1618" s="5" t="str">
        <f t="shared" si="55"/>
        <v>, M</v>
      </c>
      <c r="D1618" s="5" t="str">
        <f t="shared" si="58"/>
        <v>Mawso</v>
      </c>
      <c r="E1618" s="5" t="str">
        <f t="shared" si="57"/>
        <v>if S.</v>
      </c>
    </row>
    <row r="1619" spans="1:5" ht="15.75" customHeight="1" x14ac:dyDescent="0.3">
      <c r="A1619" s="4" t="s">
        <v>3238</v>
      </c>
      <c r="B1619" s="4" t="s">
        <v>3239</v>
      </c>
      <c r="C1619" s="5" t="str">
        <f t="shared" si="55"/>
        <v>ton</v>
      </c>
      <c r="D1619" s="5" t="str">
        <f t="shared" si="58"/>
        <v>Wiggi</v>
      </c>
      <c r="E1619" s="5" t="str">
        <f t="shared" si="57"/>
        <v>nie A</v>
      </c>
    </row>
    <row r="1620" spans="1:5" ht="15.75" customHeight="1" x14ac:dyDescent="0.3">
      <c r="A1620" s="4" t="s">
        <v>3240</v>
      </c>
      <c r="B1620" s="4" t="s">
        <v>3241</v>
      </c>
      <c r="C1620" s="5" t="str">
        <f t="shared" si="55"/>
        <v>Mr.</v>
      </c>
      <c r="D1620" s="5" t="str">
        <f t="shared" si="58"/>
        <v>Wang,</v>
      </c>
      <c r="E1620" s="5" t="str">
        <f t="shared" si="57"/>
        <v>.  Bo</v>
      </c>
    </row>
    <row r="1621" spans="1:5" ht="15.75" customHeight="1" x14ac:dyDescent="0.3">
      <c r="A1621" s="4" t="s">
        <v>3242</v>
      </c>
      <c r="B1621" s="4" t="s">
        <v>3243</v>
      </c>
      <c r="C1621" s="5" t="str">
        <f t="shared" si="55"/>
        <v>der</v>
      </c>
      <c r="D1621" s="5" t="str">
        <f t="shared" si="58"/>
        <v>Schro</v>
      </c>
      <c r="E1621" s="5" t="str">
        <f t="shared" si="57"/>
        <v xml:space="preserve"> Leah</v>
      </c>
    </row>
    <row r="1622" spans="1:5" ht="15.75" customHeight="1" x14ac:dyDescent="0.3">
      <c r="A1622" s="4" t="s">
        <v>3244</v>
      </c>
      <c r="B1622" s="4" t="s">
        <v>3245</v>
      </c>
      <c r="C1622" s="5" t="str">
        <f t="shared" si="55"/>
        <v xml:space="preserve">d, </v>
      </c>
      <c r="D1622" s="5" t="str">
        <f t="shared" si="58"/>
        <v>Leona</v>
      </c>
      <c r="E1622" s="5" t="str">
        <f t="shared" si="57"/>
        <v>Lynne</v>
      </c>
    </row>
    <row r="1623" spans="1:5" ht="15.75" customHeight="1" x14ac:dyDescent="0.3">
      <c r="A1623" s="4" t="s">
        <v>3246</v>
      </c>
      <c r="B1623" s="4" t="s">
        <v>3247</v>
      </c>
      <c r="C1623" s="5" t="str">
        <f t="shared" si="55"/>
        <v>, M</v>
      </c>
      <c r="D1623" s="5" t="str">
        <f t="shared" si="58"/>
        <v>Tissu</v>
      </c>
      <c r="E1623" s="5" t="str">
        <f t="shared" si="57"/>
        <v>ffrey</v>
      </c>
    </row>
    <row r="1624" spans="1:5" ht="15.75" customHeight="1" x14ac:dyDescent="0.3">
      <c r="A1624" s="4" t="s">
        <v>3248</v>
      </c>
      <c r="B1624" s="4" t="s">
        <v>3249</v>
      </c>
      <c r="C1624" s="5" t="str">
        <f t="shared" si="55"/>
        <v>Mr.</v>
      </c>
      <c r="D1624" s="5" t="str">
        <f t="shared" si="58"/>
        <v>Wood,</v>
      </c>
      <c r="E1624" s="5" t="str">
        <f t="shared" si="57"/>
        <v>ustin</v>
      </c>
    </row>
    <row r="1625" spans="1:5" ht="15.75" customHeight="1" x14ac:dyDescent="0.3">
      <c r="A1625" s="4" t="s">
        <v>3250</v>
      </c>
      <c r="B1625" s="4" t="s">
        <v>3251</v>
      </c>
      <c r="C1625" s="5" t="str">
        <f t="shared" si="55"/>
        <v xml:space="preserve"> Ms</v>
      </c>
      <c r="D1625" s="5" t="str">
        <f t="shared" si="58"/>
        <v>Denny</v>
      </c>
      <c r="E1625" s="5" t="str">
        <f t="shared" si="57"/>
        <v>Emily</v>
      </c>
    </row>
    <row r="1626" spans="1:5" ht="15.75" customHeight="1" x14ac:dyDescent="0.3">
      <c r="A1626" s="4" t="s">
        <v>3252</v>
      </c>
      <c r="B1626" s="4" t="s">
        <v>3253</v>
      </c>
      <c r="C1626" s="5" t="str">
        <f t="shared" si="55"/>
        <v xml:space="preserve"> Ms</v>
      </c>
      <c r="D1626" s="5" t="str">
        <f t="shared" si="58"/>
        <v>Testa</v>
      </c>
      <c r="E1626" s="5" t="str">
        <f t="shared" si="57"/>
        <v>becca</v>
      </c>
    </row>
    <row r="1627" spans="1:5" ht="15.75" customHeight="1" x14ac:dyDescent="0.3">
      <c r="A1627" s="4" t="s">
        <v>3254</v>
      </c>
      <c r="B1627" s="4" t="s">
        <v>3255</v>
      </c>
      <c r="C1627" s="5" t="str">
        <f t="shared" si="55"/>
        <v>, M</v>
      </c>
      <c r="D1627" s="5" t="str">
        <f t="shared" si="58"/>
        <v>Moone</v>
      </c>
      <c r="E1627" s="5" t="str">
        <f t="shared" si="57"/>
        <v>Allie</v>
      </c>
    </row>
    <row r="1628" spans="1:5" ht="15.75" customHeight="1" x14ac:dyDescent="0.3">
      <c r="A1628" s="4" t="s">
        <v>3256</v>
      </c>
      <c r="B1628" s="4" t="s">
        <v>3257</v>
      </c>
      <c r="C1628" s="5" t="str">
        <f t="shared" si="55"/>
        <v>ltz</v>
      </c>
      <c r="D1628" s="5" t="str">
        <f t="shared" si="58"/>
        <v>Buchh</v>
      </c>
      <c r="E1628" s="5" t="str">
        <f t="shared" si="57"/>
        <v>Trasi</v>
      </c>
    </row>
    <row r="1629" spans="1:5" ht="15.75" customHeight="1" x14ac:dyDescent="0.3">
      <c r="A1629" s="4" t="s">
        <v>3258</v>
      </c>
      <c r="B1629" s="4" t="s">
        <v>3259</v>
      </c>
      <c r="C1629" s="5" t="str">
        <f t="shared" si="55"/>
        <v>Mr.</v>
      </c>
      <c r="D1629" s="5" t="str">
        <f t="shared" si="58"/>
        <v>Hoyt,</v>
      </c>
      <c r="E1629" s="5" t="str">
        <f t="shared" si="57"/>
        <v>Kevin</v>
      </c>
    </row>
    <row r="1630" spans="1:5" ht="15.75" customHeight="1" x14ac:dyDescent="0.3">
      <c r="A1630" s="4" t="s">
        <v>3260</v>
      </c>
      <c r="B1630" s="4" t="s">
        <v>3261</v>
      </c>
      <c r="C1630" s="5" t="str">
        <f t="shared" si="55"/>
        <v>, M</v>
      </c>
      <c r="D1630" s="5" t="str">
        <f t="shared" si="58"/>
        <v>Cabad</v>
      </c>
      <c r="E1630" s="5" t="str">
        <f t="shared" si="57"/>
        <v>nando</v>
      </c>
    </row>
    <row r="1631" spans="1:5" ht="15.75" customHeight="1" x14ac:dyDescent="0.3">
      <c r="A1631" s="4" t="s">
        <v>3262</v>
      </c>
      <c r="B1631" s="4" t="s">
        <v>3263</v>
      </c>
      <c r="C1631" s="5" t="str">
        <f t="shared" si="55"/>
        <v>ute</v>
      </c>
      <c r="D1631" s="5" t="str">
        <f t="shared" si="58"/>
        <v>Lobac</v>
      </c>
      <c r="E1631" s="5" t="str">
        <f t="shared" si="57"/>
        <v xml:space="preserve"> Ieva</v>
      </c>
    </row>
    <row r="1632" spans="1:5" ht="15.75" customHeight="1" x14ac:dyDescent="0.3">
      <c r="A1632" s="4" t="s">
        <v>3264</v>
      </c>
      <c r="B1632" s="4" t="s">
        <v>3265</v>
      </c>
      <c r="C1632" s="5" t="str">
        <f t="shared" si="55"/>
        <v xml:space="preserve"> Mr</v>
      </c>
      <c r="D1632" s="5" t="str">
        <f t="shared" si="58"/>
        <v>Dawes</v>
      </c>
      <c r="E1632" s="5" t="str">
        <f t="shared" si="57"/>
        <v>Chris</v>
      </c>
    </row>
    <row r="1633" spans="1:5" ht="15.75" customHeight="1" x14ac:dyDescent="0.3">
      <c r="A1633" s="4" t="s">
        <v>3266</v>
      </c>
      <c r="B1633" s="4" t="s">
        <v>3267</v>
      </c>
      <c r="C1633" s="5" t="str">
        <f t="shared" si="55"/>
        <v>, M</v>
      </c>
      <c r="D1633" s="5" t="str">
        <f t="shared" si="58"/>
        <v>Deppe</v>
      </c>
      <c r="E1633" s="5" t="str">
        <f t="shared" si="57"/>
        <v>ew L.</v>
      </c>
    </row>
    <row r="1634" spans="1:5" ht="15.75" customHeight="1" x14ac:dyDescent="0.3">
      <c r="A1634" s="4" t="s">
        <v>3268</v>
      </c>
      <c r="B1634" s="4" t="s">
        <v>3269</v>
      </c>
      <c r="C1634" s="5" t="str">
        <f t="shared" si="55"/>
        <v>orf</v>
      </c>
      <c r="D1634" s="5" t="str">
        <f t="shared" si="58"/>
        <v>Obern</v>
      </c>
      <c r="E1634" s="5" t="str">
        <f t="shared" si="57"/>
        <v>stina</v>
      </c>
    </row>
    <row r="1635" spans="1:5" ht="15.75" customHeight="1" x14ac:dyDescent="0.3">
      <c r="A1635" s="4" t="s">
        <v>3270</v>
      </c>
      <c r="B1635" s="4" t="s">
        <v>3271</v>
      </c>
      <c r="C1635" s="5" t="str">
        <f t="shared" si="55"/>
        <v>ing</v>
      </c>
      <c r="D1635" s="5" t="str">
        <f t="shared" si="58"/>
        <v>Hethe</v>
      </c>
      <c r="E1635" s="5" t="str">
        <f t="shared" si="57"/>
        <v>der G</v>
      </c>
    </row>
    <row r="1636" spans="1:5" ht="15.75" customHeight="1" x14ac:dyDescent="0.3">
      <c r="A1636" s="4" t="s">
        <v>3272</v>
      </c>
      <c r="B1636" s="4" t="s">
        <v>3273</v>
      </c>
      <c r="C1636" s="5" t="str">
        <f t="shared" si="55"/>
        <v>, M</v>
      </c>
      <c r="D1636" s="5" t="str">
        <f t="shared" si="58"/>
        <v>Murra</v>
      </c>
      <c r="E1636" s="5" t="str">
        <f t="shared" si="57"/>
        <v>aghan</v>
      </c>
    </row>
    <row r="1637" spans="1:5" ht="15.75" customHeight="1" x14ac:dyDescent="0.3">
      <c r="A1637" s="4" t="s">
        <v>3274</v>
      </c>
      <c r="B1637" s="4" t="s">
        <v>3275</v>
      </c>
      <c r="C1637" s="5" t="str">
        <f t="shared" si="55"/>
        <v>, M</v>
      </c>
      <c r="D1637" s="5" t="str">
        <f t="shared" si="58"/>
        <v>Higde</v>
      </c>
      <c r="E1637" s="5" t="str">
        <f t="shared" si="57"/>
        <v>istin</v>
      </c>
    </row>
    <row r="1638" spans="1:5" ht="15.75" customHeight="1" x14ac:dyDescent="0.3">
      <c r="A1638" s="4" t="s">
        <v>3276</v>
      </c>
      <c r="B1638" s="4" t="s">
        <v>3277</v>
      </c>
      <c r="C1638" s="5" t="str">
        <f t="shared" si="55"/>
        <v xml:space="preserve">r, </v>
      </c>
      <c r="D1638" s="5" t="str">
        <f t="shared" si="58"/>
        <v>Redig</v>
      </c>
      <c r="E1638" s="5" t="str">
        <f t="shared" si="57"/>
        <v>ea K.</v>
      </c>
    </row>
    <row r="1639" spans="1:5" ht="15.75" customHeight="1" x14ac:dyDescent="0.3">
      <c r="A1639" s="4" t="s">
        <v>3278</v>
      </c>
      <c r="B1639" s="4" t="s">
        <v>3279</v>
      </c>
      <c r="C1639" s="5" t="str">
        <f t="shared" si="55"/>
        <v>Ms.</v>
      </c>
      <c r="D1639" s="5" t="str">
        <f t="shared" si="58"/>
        <v>Huff,</v>
      </c>
      <c r="E1639" s="5" t="str">
        <f t="shared" si="57"/>
        <v xml:space="preserve"> Kris</v>
      </c>
    </row>
    <row r="1640" spans="1:5" ht="15.75" customHeight="1" x14ac:dyDescent="0.3">
      <c r="A1640" s="4" t="s">
        <v>3280</v>
      </c>
      <c r="B1640" s="4" t="s">
        <v>3281</v>
      </c>
      <c r="C1640" s="5" t="str">
        <f t="shared" si="55"/>
        <v>Mr.</v>
      </c>
      <c r="D1640" s="5" t="str">
        <f t="shared" si="58"/>
        <v>Hall,</v>
      </c>
      <c r="E1640" s="5" t="str">
        <f t="shared" si="57"/>
        <v>den W</v>
      </c>
    </row>
    <row r="1641" spans="1:5" ht="15.75" customHeight="1" x14ac:dyDescent="0.3">
      <c r="A1641" s="4" t="s">
        <v>3282</v>
      </c>
      <c r="B1641" s="4" t="s">
        <v>3283</v>
      </c>
      <c r="C1641" s="5" t="str">
        <f t="shared" si="55"/>
        <v xml:space="preserve"> Ms</v>
      </c>
      <c r="D1641" s="5" t="str">
        <f t="shared" si="58"/>
        <v>Grise</v>
      </c>
      <c r="E1641" s="5" t="str">
        <f t="shared" si="57"/>
        <v>nne M</v>
      </c>
    </row>
    <row r="1642" spans="1:5" ht="15.75" customHeight="1" x14ac:dyDescent="0.3">
      <c r="A1642" s="4" t="s">
        <v>3284</v>
      </c>
      <c r="B1642" s="4" t="s">
        <v>3285</v>
      </c>
      <c r="C1642" s="5" t="str">
        <f t="shared" si="55"/>
        <v xml:space="preserve">m, </v>
      </c>
      <c r="D1642" s="5" t="str">
        <f t="shared" si="58"/>
        <v>Skild</v>
      </c>
      <c r="E1642" s="5" t="str">
        <f t="shared" si="57"/>
        <v>di Z.</v>
      </c>
    </row>
    <row r="1643" spans="1:5" ht="15.75" customHeight="1" x14ac:dyDescent="0.3">
      <c r="A1643" s="4" t="s">
        <v>3286</v>
      </c>
      <c r="B1643" s="4" t="s">
        <v>3287</v>
      </c>
      <c r="C1643" s="5" t="str">
        <f t="shared" si="55"/>
        <v>Ms.</v>
      </c>
      <c r="D1643" s="5" t="str">
        <f t="shared" si="58"/>
        <v>Yang,</v>
      </c>
      <c r="E1643" s="5" t="str">
        <f t="shared" si="57"/>
        <v>rolyn</v>
      </c>
    </row>
    <row r="1644" spans="1:5" ht="15.75" customHeight="1" x14ac:dyDescent="0.3">
      <c r="A1644" s="4" t="s">
        <v>3288</v>
      </c>
      <c r="B1644" s="4" t="s">
        <v>3289</v>
      </c>
      <c r="C1644" s="5" t="str">
        <f t="shared" si="55"/>
        <v>r-D</v>
      </c>
      <c r="D1644" s="5" t="str">
        <f t="shared" si="58"/>
        <v>Fisch</v>
      </c>
      <c r="E1644" s="5" t="str">
        <f t="shared" si="57"/>
        <v>abine</v>
      </c>
    </row>
    <row r="1645" spans="1:5" ht="15.75" customHeight="1" x14ac:dyDescent="0.3">
      <c r="A1645" s="4" t="s">
        <v>3290</v>
      </c>
      <c r="B1645" s="4" t="s">
        <v>3291</v>
      </c>
      <c r="C1645" s="5" t="str">
        <f t="shared" si="55"/>
        <v xml:space="preserve"> Mr</v>
      </c>
      <c r="D1645" s="5" t="str">
        <f t="shared" si="58"/>
        <v>Asher</v>
      </c>
      <c r="E1645" s="5" t="str">
        <f t="shared" si="57"/>
        <v>Bobby</v>
      </c>
    </row>
    <row r="1646" spans="1:5" ht="15.75" customHeight="1" x14ac:dyDescent="0.3">
      <c r="A1646" s="4" t="s">
        <v>3292</v>
      </c>
      <c r="B1646" s="4" t="s">
        <v>3293</v>
      </c>
      <c r="C1646" s="5" t="str">
        <f t="shared" si="55"/>
        <v>Mr.</v>
      </c>
      <c r="D1646" s="5" t="str">
        <f t="shared" si="58"/>
        <v>Zhou,</v>
      </c>
      <c r="E1646" s="5" t="str">
        <f t="shared" si="57"/>
        <v xml:space="preserve">  Fan</v>
      </c>
    </row>
    <row r="1647" spans="1:5" ht="15.75" customHeight="1" x14ac:dyDescent="0.3">
      <c r="A1647" s="4" t="s">
        <v>3294</v>
      </c>
      <c r="B1647" s="4" t="s">
        <v>3295</v>
      </c>
      <c r="C1647" s="5" t="str">
        <f t="shared" si="55"/>
        <v>, M</v>
      </c>
      <c r="D1647" s="5" t="str">
        <f t="shared" si="58"/>
        <v>Rudde</v>
      </c>
      <c r="E1647" s="5" t="str">
        <f t="shared" si="57"/>
        <v>hel M</v>
      </c>
    </row>
    <row r="1648" spans="1:5" ht="15.75" customHeight="1" x14ac:dyDescent="0.3">
      <c r="A1648" s="4" t="s">
        <v>3296</v>
      </c>
      <c r="B1648" s="4" t="s">
        <v>3297</v>
      </c>
      <c r="C1648" s="5" t="str">
        <f t="shared" si="55"/>
        <v>ll,</v>
      </c>
      <c r="D1648" s="5" t="str">
        <f t="shared" si="58"/>
        <v>Cartm</v>
      </c>
      <c r="E1648" s="5" t="str">
        <f t="shared" si="57"/>
        <v xml:space="preserve"> Greg</v>
      </c>
    </row>
    <row r="1649" spans="1:5" ht="15.75" customHeight="1" x14ac:dyDescent="0.3">
      <c r="A1649" s="4" t="s">
        <v>3298</v>
      </c>
      <c r="B1649" s="4" t="s">
        <v>3299</v>
      </c>
      <c r="C1649" s="5" t="str">
        <f t="shared" si="55"/>
        <v xml:space="preserve">d, </v>
      </c>
      <c r="D1649" s="5" t="str">
        <f t="shared" si="58"/>
        <v>Trola</v>
      </c>
      <c r="E1649" s="5" t="str">
        <f t="shared" si="57"/>
        <v xml:space="preserve">  Dan</v>
      </c>
    </row>
    <row r="1650" spans="1:5" ht="15.75" customHeight="1" x14ac:dyDescent="0.3">
      <c r="A1650" s="4" t="s">
        <v>3300</v>
      </c>
      <c r="B1650" s="4" t="s">
        <v>3301</v>
      </c>
      <c r="C1650" s="5" t="str">
        <f t="shared" si="55"/>
        <v>Ms.</v>
      </c>
      <c r="D1650" s="5" t="str">
        <f t="shared" si="58"/>
        <v>Hall,</v>
      </c>
      <c r="E1650" s="5" t="str">
        <f t="shared" si="57"/>
        <v>fer A</v>
      </c>
    </row>
    <row r="1651" spans="1:5" ht="15.75" customHeight="1" x14ac:dyDescent="0.3">
      <c r="A1651" s="4" t="s">
        <v>3302</v>
      </c>
      <c r="B1651" s="4" t="s">
        <v>3303</v>
      </c>
      <c r="C1651" s="5" t="str">
        <f t="shared" si="55"/>
        <v>Mrs</v>
      </c>
      <c r="D1651" s="5" t="str">
        <f t="shared" si="58"/>
        <v>Berg,</v>
      </c>
      <c r="E1651" s="5" t="str">
        <f t="shared" si="57"/>
        <v>ssica</v>
      </c>
    </row>
    <row r="1652" spans="1:5" ht="15.75" customHeight="1" x14ac:dyDescent="0.3">
      <c r="A1652" s="4" t="s">
        <v>3304</v>
      </c>
      <c r="B1652" s="4" t="s">
        <v>3305</v>
      </c>
      <c r="C1652" s="5" t="str">
        <f t="shared" si="55"/>
        <v>kul</v>
      </c>
      <c r="D1652" s="5" t="str">
        <f t="shared" si="58"/>
        <v>Engtr</v>
      </c>
      <c r="E1652" s="5" t="str">
        <f t="shared" si="57"/>
        <v>aiwat</v>
      </c>
    </row>
    <row r="1653" spans="1:5" ht="15.75" customHeight="1" x14ac:dyDescent="0.3">
      <c r="A1653" s="4" t="s">
        <v>3306</v>
      </c>
      <c r="B1653" s="4" t="s">
        <v>3307</v>
      </c>
      <c r="C1653" s="5" t="str">
        <f t="shared" si="55"/>
        <v>rdt</v>
      </c>
      <c r="D1653" s="5" t="str">
        <f t="shared" si="58"/>
        <v>Leonh</v>
      </c>
      <c r="E1653" s="5" t="str">
        <f t="shared" si="57"/>
        <v>Kerri</v>
      </c>
    </row>
    <row r="1654" spans="1:5" ht="15.75" customHeight="1" x14ac:dyDescent="0.3">
      <c r="A1654" s="4" t="s">
        <v>3308</v>
      </c>
      <c r="B1654" s="4" t="s">
        <v>3309</v>
      </c>
      <c r="C1654" s="5" t="str">
        <f t="shared" si="55"/>
        <v xml:space="preserve"> Ms</v>
      </c>
      <c r="D1654" s="5" t="str">
        <f t="shared" si="58"/>
        <v>Goetz</v>
      </c>
      <c r="E1654" s="5" t="str">
        <f t="shared" si="57"/>
        <v xml:space="preserve"> Lisa</v>
      </c>
    </row>
    <row r="1655" spans="1:5" ht="15.75" customHeight="1" x14ac:dyDescent="0.3">
      <c r="A1655" s="4" t="s">
        <v>3310</v>
      </c>
      <c r="B1655" s="4" t="s">
        <v>3311</v>
      </c>
      <c r="C1655" s="5" t="str">
        <f t="shared" si="55"/>
        <v>eli</v>
      </c>
      <c r="D1655" s="5" t="str">
        <f t="shared" si="58"/>
        <v>Cacha</v>
      </c>
      <c r="E1655" s="5" t="str">
        <f t="shared" si="57"/>
        <v>las G</v>
      </c>
    </row>
    <row r="1656" spans="1:5" ht="15.75" customHeight="1" x14ac:dyDescent="0.3">
      <c r="A1656" s="4" t="s">
        <v>3312</v>
      </c>
      <c r="B1656" s="4" t="s">
        <v>3313</v>
      </c>
      <c r="C1656" s="5" t="str">
        <f t="shared" si="55"/>
        <v>is,</v>
      </c>
      <c r="D1656" s="5" t="str">
        <f t="shared" si="58"/>
        <v>Kario</v>
      </c>
      <c r="E1656" s="5" t="str">
        <f t="shared" si="57"/>
        <v>lis S</v>
      </c>
    </row>
    <row r="1657" spans="1:5" ht="15.75" customHeight="1" x14ac:dyDescent="0.3">
      <c r="A1657" s="4" t="s">
        <v>3314</v>
      </c>
      <c r="B1657" s="4" t="s">
        <v>3315</v>
      </c>
      <c r="C1657" s="5" t="str">
        <f t="shared" si="55"/>
        <v>, M</v>
      </c>
      <c r="D1657" s="5" t="str">
        <f t="shared" si="58"/>
        <v>Zelwi</v>
      </c>
      <c r="E1657" s="5" t="str">
        <f t="shared" si="57"/>
        <v>ael P</v>
      </c>
    </row>
    <row r="1658" spans="1:5" ht="15.75" customHeight="1" x14ac:dyDescent="0.3">
      <c r="A1658" s="4" t="s">
        <v>3316</v>
      </c>
      <c r="B1658" s="4" t="s">
        <v>3317</v>
      </c>
      <c r="C1658" s="5" t="str">
        <f t="shared" si="55"/>
        <v xml:space="preserve"> Ms</v>
      </c>
      <c r="D1658" s="5" t="str">
        <f t="shared" si="58"/>
        <v>Barry</v>
      </c>
      <c r="E1658" s="5" t="str">
        <f t="shared" si="57"/>
        <v>en C.</v>
      </c>
    </row>
    <row r="1659" spans="1:5" ht="15.75" customHeight="1" x14ac:dyDescent="0.3">
      <c r="A1659" s="4" t="s">
        <v>3318</v>
      </c>
      <c r="B1659" s="4" t="s">
        <v>3319</v>
      </c>
      <c r="C1659" s="5" t="str">
        <f t="shared" si="55"/>
        <v>, M</v>
      </c>
      <c r="D1659" s="5" t="str">
        <f t="shared" si="58"/>
        <v>Banno</v>
      </c>
      <c r="E1659" s="5" t="str">
        <f t="shared" si="57"/>
        <v>nnika</v>
      </c>
    </row>
    <row r="1660" spans="1:5" ht="15.75" customHeight="1" x14ac:dyDescent="0.3">
      <c r="A1660" s="4" t="s">
        <v>3320</v>
      </c>
      <c r="B1660" s="4" t="s">
        <v>3321</v>
      </c>
      <c r="C1660" s="5" t="str">
        <f t="shared" si="55"/>
        <v xml:space="preserve"> Ms</v>
      </c>
      <c r="D1660" s="5" t="str">
        <f t="shared" si="58"/>
        <v>Chang</v>
      </c>
      <c r="E1660" s="5" t="str">
        <f t="shared" si="57"/>
        <v>Kelly</v>
      </c>
    </row>
    <row r="1661" spans="1:5" ht="15.75" customHeight="1" x14ac:dyDescent="0.3">
      <c r="A1661" s="4" t="s">
        <v>3322</v>
      </c>
      <c r="B1661" s="4" t="s">
        <v>3323</v>
      </c>
      <c r="C1661" s="5" t="str">
        <f t="shared" si="55"/>
        <v>, M</v>
      </c>
      <c r="D1661" s="5" t="str">
        <f t="shared" si="58"/>
        <v>Vette</v>
      </c>
      <c r="E1661" s="5" t="str">
        <f t="shared" si="57"/>
        <v>as C.</v>
      </c>
    </row>
    <row r="1662" spans="1:5" ht="15.75" customHeight="1" x14ac:dyDescent="0.3">
      <c r="A1662" s="4" t="s">
        <v>3324</v>
      </c>
      <c r="B1662" s="4" t="s">
        <v>3325</v>
      </c>
      <c r="C1662" s="5" t="str">
        <f t="shared" si="55"/>
        <v>ski</v>
      </c>
      <c r="D1662" s="5" t="str">
        <f t="shared" si="58"/>
        <v>Jablo</v>
      </c>
      <c r="E1662" s="5" t="str">
        <f t="shared" si="57"/>
        <v>lly K</v>
      </c>
    </row>
    <row r="1663" spans="1:5" ht="15.75" customHeight="1" x14ac:dyDescent="0.3">
      <c r="A1663" s="4" t="s">
        <v>3326</v>
      </c>
      <c r="B1663" s="4" t="s">
        <v>3327</v>
      </c>
      <c r="C1663" s="5" t="str">
        <f t="shared" si="55"/>
        <v>wit</v>
      </c>
      <c r="D1663" s="5" t="str">
        <f t="shared" si="58"/>
        <v>Jakub</v>
      </c>
      <c r="E1663" s="5" t="str">
        <f t="shared" si="57"/>
        <v>ndrew</v>
      </c>
    </row>
    <row r="1664" spans="1:5" ht="15.75" customHeight="1" x14ac:dyDescent="0.3">
      <c r="A1664" s="4" t="s">
        <v>3328</v>
      </c>
      <c r="B1664" s="4" t="s">
        <v>3329</v>
      </c>
      <c r="C1664" s="5" t="str">
        <f t="shared" si="55"/>
        <v>ler</v>
      </c>
      <c r="D1664" s="5" t="str">
        <f t="shared" si="58"/>
        <v>Altsh</v>
      </c>
      <c r="E1664" s="5" t="str">
        <f t="shared" si="57"/>
        <v>annah</v>
      </c>
    </row>
    <row r="1665" spans="1:5" ht="15.75" customHeight="1" x14ac:dyDescent="0.3">
      <c r="A1665" s="4" t="s">
        <v>3330</v>
      </c>
      <c r="B1665" s="4" t="s">
        <v>3331</v>
      </c>
      <c r="C1665" s="5" t="str">
        <f t="shared" si="55"/>
        <v>, M</v>
      </c>
      <c r="D1665" s="5" t="str">
        <f t="shared" si="58"/>
        <v>Ugart</v>
      </c>
      <c r="E1665" s="5" t="str">
        <f t="shared" si="57"/>
        <v>o Sr.</v>
      </c>
    </row>
    <row r="1666" spans="1:5" ht="15.75" customHeight="1" x14ac:dyDescent="0.3">
      <c r="A1666" s="4" t="s">
        <v>3332</v>
      </c>
      <c r="B1666" s="4" t="s">
        <v>3333</v>
      </c>
      <c r="C1666" s="5" t="str">
        <f t="shared" si="55"/>
        <v xml:space="preserve"> Mr</v>
      </c>
      <c r="D1666" s="5" t="str">
        <f t="shared" si="58"/>
        <v>Tusso</v>
      </c>
      <c r="E1666" s="5" t="str">
        <f t="shared" ref="E1666:E1729" si="59">RIGHT(B1666,5)</f>
        <v>ert B</v>
      </c>
    </row>
    <row r="1667" spans="1:5" ht="15.75" customHeight="1" x14ac:dyDescent="0.3">
      <c r="A1667" s="4" t="s">
        <v>3334</v>
      </c>
      <c r="B1667" s="4" t="s">
        <v>3335</v>
      </c>
      <c r="C1667" s="5" t="str">
        <f t="shared" si="55"/>
        <v xml:space="preserve">n, </v>
      </c>
      <c r="D1667" s="5" t="str">
        <f t="shared" si="58"/>
        <v>Johns</v>
      </c>
      <c r="E1667" s="5" t="str">
        <f t="shared" si="59"/>
        <v>min M</v>
      </c>
    </row>
    <row r="1668" spans="1:5" ht="15.75" customHeight="1" x14ac:dyDescent="0.3">
      <c r="A1668" s="4" t="s">
        <v>3336</v>
      </c>
      <c r="B1668" s="4" t="s">
        <v>3337</v>
      </c>
      <c r="C1668" s="5" t="str">
        <f t="shared" si="55"/>
        <v>, M</v>
      </c>
      <c r="D1668" s="5" t="str">
        <f t="shared" si="58"/>
        <v>Landr</v>
      </c>
      <c r="E1668" s="5" t="str">
        <f t="shared" si="59"/>
        <v>obert</v>
      </c>
    </row>
    <row r="1669" spans="1:5" ht="15.75" customHeight="1" x14ac:dyDescent="0.3">
      <c r="A1669" s="4" t="s">
        <v>3338</v>
      </c>
      <c r="B1669" s="4" t="s">
        <v>3339</v>
      </c>
      <c r="C1669" s="5" t="str">
        <f t="shared" si="55"/>
        <v>ld,</v>
      </c>
      <c r="D1669" s="5" t="str">
        <f t="shared" si="58"/>
        <v>McDon</v>
      </c>
      <c r="E1669" s="5" t="str">
        <f t="shared" si="59"/>
        <v>ic R.</v>
      </c>
    </row>
    <row r="1670" spans="1:5" ht="15.75" customHeight="1" x14ac:dyDescent="0.3">
      <c r="A1670" s="4" t="s">
        <v>3340</v>
      </c>
      <c r="B1670" s="4" t="s">
        <v>3341</v>
      </c>
      <c r="C1670" s="5" t="str">
        <f t="shared" si="55"/>
        <v>, M</v>
      </c>
      <c r="D1670" s="5" t="str">
        <f t="shared" si="58"/>
        <v>Dunla</v>
      </c>
      <c r="E1670" s="5" t="str">
        <f t="shared" si="59"/>
        <v>tthew</v>
      </c>
    </row>
    <row r="1671" spans="1:5" ht="15.75" customHeight="1" x14ac:dyDescent="0.3">
      <c r="A1671" s="4" t="s">
        <v>3342</v>
      </c>
      <c r="B1671" s="4" t="s">
        <v>3343</v>
      </c>
      <c r="C1671" s="5" t="str">
        <f t="shared" si="55"/>
        <v xml:space="preserve"> Mr</v>
      </c>
      <c r="D1671" s="5" t="str">
        <f t="shared" si="58"/>
        <v>Larue</v>
      </c>
      <c r="E1671" s="5" t="str">
        <f t="shared" si="59"/>
        <v>Bob R</v>
      </c>
    </row>
    <row r="1672" spans="1:5" ht="15.75" customHeight="1" x14ac:dyDescent="0.3">
      <c r="A1672" s="4" t="s">
        <v>3344</v>
      </c>
      <c r="B1672" s="4" t="s">
        <v>3345</v>
      </c>
      <c r="C1672" s="5" t="str">
        <f t="shared" si="55"/>
        <v xml:space="preserve"> Ms</v>
      </c>
      <c r="D1672" s="5" t="str">
        <f t="shared" si="58"/>
        <v>Hodge</v>
      </c>
      <c r="E1672" s="5" t="str">
        <f t="shared" si="59"/>
        <v>ie J.</v>
      </c>
    </row>
    <row r="1673" spans="1:5" ht="15.75" customHeight="1" x14ac:dyDescent="0.3">
      <c r="A1673" s="4" t="s">
        <v>3346</v>
      </c>
      <c r="B1673" s="4" t="s">
        <v>3347</v>
      </c>
      <c r="C1673" s="5" t="str">
        <f t="shared" si="55"/>
        <v>, M</v>
      </c>
      <c r="D1673" s="5" t="str">
        <f t="shared" si="58"/>
        <v>Marcu</v>
      </c>
      <c r="E1673" s="5" t="str">
        <f t="shared" si="59"/>
        <v xml:space="preserve"> Jake</v>
      </c>
    </row>
    <row r="1674" spans="1:5" ht="15.75" customHeight="1" x14ac:dyDescent="0.3">
      <c r="A1674" s="4" t="s">
        <v>3348</v>
      </c>
      <c r="B1674" s="4" t="s">
        <v>3349</v>
      </c>
      <c r="C1674" s="5" t="str">
        <f t="shared" si="55"/>
        <v xml:space="preserve">t, </v>
      </c>
      <c r="D1674" s="5" t="str">
        <f t="shared" si="58"/>
        <v>Daube</v>
      </c>
      <c r="E1674" s="5" t="str">
        <f t="shared" si="59"/>
        <v>on L.</v>
      </c>
    </row>
    <row r="1675" spans="1:5" ht="15.75" customHeight="1" x14ac:dyDescent="0.3">
      <c r="A1675" s="4" t="s">
        <v>3350</v>
      </c>
      <c r="B1675" s="4" t="s">
        <v>3351</v>
      </c>
      <c r="C1675" s="5" t="str">
        <f t="shared" si="55"/>
        <v xml:space="preserve"> Ms</v>
      </c>
      <c r="D1675" s="5" t="str">
        <f t="shared" si="58"/>
        <v>Close</v>
      </c>
      <c r="E1675" s="5" t="str">
        <f t="shared" si="59"/>
        <v>say M</v>
      </c>
    </row>
    <row r="1676" spans="1:5" ht="15.75" customHeight="1" x14ac:dyDescent="0.3">
      <c r="A1676" s="4" t="s">
        <v>3352</v>
      </c>
      <c r="B1676" s="4" t="s">
        <v>3353</v>
      </c>
      <c r="C1676" s="5" t="str">
        <f t="shared" si="55"/>
        <v xml:space="preserve"> Mr</v>
      </c>
      <c r="D1676" s="5" t="str">
        <f t="shared" si="58"/>
        <v>Roels</v>
      </c>
      <c r="E1676" s="5" t="str">
        <f t="shared" si="59"/>
        <v>laume</v>
      </c>
    </row>
    <row r="1677" spans="1:5" ht="15.75" customHeight="1" x14ac:dyDescent="0.3">
      <c r="A1677" s="4" t="s">
        <v>3354</v>
      </c>
      <c r="B1677" s="4" t="s">
        <v>3355</v>
      </c>
      <c r="C1677" s="5" t="str">
        <f t="shared" si="55"/>
        <v xml:space="preserve">y, </v>
      </c>
      <c r="D1677" s="5" t="str">
        <f t="shared" si="58"/>
        <v>Venos</v>
      </c>
      <c r="E1677" s="5" t="str">
        <f t="shared" si="59"/>
        <v>aylee</v>
      </c>
    </row>
    <row r="1678" spans="1:5" ht="15.75" customHeight="1" x14ac:dyDescent="0.3">
      <c r="A1678" s="4" t="s">
        <v>3356</v>
      </c>
      <c r="B1678" s="4" t="s">
        <v>3357</v>
      </c>
      <c r="C1678" s="5" t="str">
        <f t="shared" si="55"/>
        <v xml:space="preserve">l, </v>
      </c>
      <c r="D1678" s="5" t="str">
        <f t="shared" si="58"/>
        <v>Gosne</v>
      </c>
      <c r="E1678" s="5" t="str">
        <f t="shared" si="59"/>
        <v>eresa</v>
      </c>
    </row>
    <row r="1679" spans="1:5" ht="15.75" customHeight="1" x14ac:dyDescent="0.3">
      <c r="A1679" s="4" t="s">
        <v>3358</v>
      </c>
      <c r="B1679" s="4" t="s">
        <v>3359</v>
      </c>
      <c r="C1679" s="5" t="str">
        <f t="shared" si="55"/>
        <v>ng-</v>
      </c>
      <c r="D1679" s="5" t="str">
        <f t="shared" si="58"/>
        <v>Chewn</v>
      </c>
      <c r="E1679" s="5" t="str">
        <f t="shared" si="59"/>
        <v>is G.</v>
      </c>
    </row>
    <row r="1680" spans="1:5" ht="15.75" customHeight="1" x14ac:dyDescent="0.3">
      <c r="A1680" s="4" t="s">
        <v>3360</v>
      </c>
      <c r="B1680" s="4" t="s">
        <v>3361</v>
      </c>
      <c r="C1680" s="5" t="str">
        <f t="shared" si="55"/>
        <v>on,</v>
      </c>
      <c r="D1680" s="5" t="str">
        <f t="shared" si="58"/>
        <v>McCar</v>
      </c>
      <c r="E1680" s="5" t="str">
        <f t="shared" si="59"/>
        <v>ma L.</v>
      </c>
    </row>
    <row r="1681" spans="1:5" ht="15.75" customHeight="1" x14ac:dyDescent="0.3">
      <c r="A1681" s="4" t="s">
        <v>3362</v>
      </c>
      <c r="B1681" s="4" t="s">
        <v>3363</v>
      </c>
      <c r="C1681" s="5" t="str">
        <f t="shared" si="55"/>
        <v>, M</v>
      </c>
      <c r="D1681" s="5" t="str">
        <f t="shared" ref="D1681:D1744" si="60">LEFT(B1681,5)</f>
        <v>Manio</v>
      </c>
      <c r="E1681" s="5" t="str">
        <f t="shared" si="59"/>
        <v>Linda</v>
      </c>
    </row>
    <row r="1682" spans="1:5" ht="15.75" customHeight="1" x14ac:dyDescent="0.3">
      <c r="A1682" s="4" t="s">
        <v>3364</v>
      </c>
      <c r="B1682" s="4" t="s">
        <v>3365</v>
      </c>
      <c r="C1682" s="5" t="str">
        <f t="shared" si="55"/>
        <v>, M</v>
      </c>
      <c r="D1682" s="5" t="str">
        <f t="shared" si="60"/>
        <v>Stron</v>
      </c>
      <c r="E1682" s="5" t="str">
        <f t="shared" si="59"/>
        <v>wen R</v>
      </c>
    </row>
    <row r="1683" spans="1:5" ht="15.75" customHeight="1" x14ac:dyDescent="0.3">
      <c r="A1683" s="4" t="s">
        <v>3366</v>
      </c>
      <c r="B1683" s="4" t="s">
        <v>3367</v>
      </c>
      <c r="C1683" s="5" t="str">
        <f t="shared" si="55"/>
        <v xml:space="preserve">c, </v>
      </c>
      <c r="D1683" s="5" t="str">
        <f t="shared" si="60"/>
        <v>Lebla</v>
      </c>
      <c r="E1683" s="5" t="str">
        <f t="shared" si="59"/>
        <v>Jacob</v>
      </c>
    </row>
    <row r="1684" spans="1:5" ht="15.75" customHeight="1" x14ac:dyDescent="0.3">
      <c r="A1684" s="4" t="s">
        <v>3368</v>
      </c>
      <c r="B1684" s="4" t="s">
        <v>3369</v>
      </c>
      <c r="C1684" s="5" t="str">
        <f t="shared" si="55"/>
        <v>, M</v>
      </c>
      <c r="D1684" s="5" t="str">
        <f t="shared" si="60"/>
        <v>Palme</v>
      </c>
      <c r="E1684" s="5" t="str">
        <f t="shared" si="59"/>
        <v>eline</v>
      </c>
    </row>
    <row r="1685" spans="1:5" ht="15.75" customHeight="1" x14ac:dyDescent="0.3">
      <c r="A1685" s="4" t="s">
        <v>3370</v>
      </c>
      <c r="B1685" s="4" t="s">
        <v>3371</v>
      </c>
      <c r="C1685" s="5" t="str">
        <f t="shared" si="55"/>
        <v>Mr.</v>
      </c>
      <c r="D1685" s="5" t="str">
        <f t="shared" si="60"/>
        <v>Shen,</v>
      </c>
      <c r="E1685" s="5" t="str">
        <f t="shared" si="59"/>
        <v>efeng</v>
      </c>
    </row>
    <row r="1686" spans="1:5" ht="15.75" customHeight="1" x14ac:dyDescent="0.3">
      <c r="A1686" s="4" t="s">
        <v>3372</v>
      </c>
      <c r="B1686" s="4" t="s">
        <v>3373</v>
      </c>
      <c r="C1686" s="5" t="str">
        <f t="shared" si="55"/>
        <v xml:space="preserve">y, </v>
      </c>
      <c r="D1686" s="5" t="str">
        <f t="shared" si="60"/>
        <v>Golds</v>
      </c>
      <c r="E1686" s="5" t="str">
        <f t="shared" si="59"/>
        <v>mas J</v>
      </c>
    </row>
    <row r="1687" spans="1:5" ht="15.75" customHeight="1" x14ac:dyDescent="0.3">
      <c r="A1687" s="4" t="s">
        <v>3374</v>
      </c>
      <c r="B1687" s="4" t="s">
        <v>3375</v>
      </c>
      <c r="C1687" s="5" t="str">
        <f t="shared" si="55"/>
        <v xml:space="preserve">y, </v>
      </c>
      <c r="D1687" s="5" t="str">
        <f t="shared" si="60"/>
        <v>Whitn</v>
      </c>
      <c r="E1687" s="5" t="str">
        <f t="shared" si="59"/>
        <v xml:space="preserve">  Ken</v>
      </c>
    </row>
    <row r="1688" spans="1:5" ht="15.75" customHeight="1" x14ac:dyDescent="0.3">
      <c r="A1688" s="4" t="s">
        <v>3376</v>
      </c>
      <c r="B1688" s="4" t="s">
        <v>3377</v>
      </c>
      <c r="C1688" s="5" t="str">
        <f t="shared" si="55"/>
        <v xml:space="preserve">y, </v>
      </c>
      <c r="D1688" s="5" t="str">
        <f t="shared" si="60"/>
        <v>Mahon</v>
      </c>
      <c r="E1688" s="5" t="str">
        <f t="shared" si="59"/>
        <v>nie E</v>
      </c>
    </row>
    <row r="1689" spans="1:5" ht="15.75" customHeight="1" x14ac:dyDescent="0.3">
      <c r="A1689" s="4" t="s">
        <v>3378</v>
      </c>
      <c r="B1689" s="4" t="s">
        <v>3379</v>
      </c>
      <c r="C1689" s="5" t="str">
        <f t="shared" si="55"/>
        <v>ken</v>
      </c>
      <c r="D1689" s="5" t="str">
        <f t="shared" si="60"/>
        <v>McCra</v>
      </c>
      <c r="E1689" s="5" t="str">
        <f t="shared" si="59"/>
        <v>el K.</v>
      </c>
    </row>
    <row r="1690" spans="1:5" ht="15.75" customHeight="1" x14ac:dyDescent="0.3">
      <c r="A1690" s="4" t="s">
        <v>3380</v>
      </c>
      <c r="B1690" s="4" t="s">
        <v>3381</v>
      </c>
      <c r="C1690" s="5" t="str">
        <f t="shared" si="55"/>
        <v>, M</v>
      </c>
      <c r="D1690" s="5" t="str">
        <f t="shared" si="60"/>
        <v>Spewa</v>
      </c>
      <c r="E1690" s="5" t="str">
        <f t="shared" si="59"/>
        <v>ark S</v>
      </c>
    </row>
    <row r="1691" spans="1:5" ht="15.75" customHeight="1" x14ac:dyDescent="0.3">
      <c r="A1691" s="4" t="s">
        <v>3382</v>
      </c>
      <c r="B1691" s="4" t="s">
        <v>3383</v>
      </c>
      <c r="C1691" s="5" t="str">
        <f t="shared" si="55"/>
        <v xml:space="preserve">i, </v>
      </c>
      <c r="D1691" s="5" t="str">
        <f t="shared" si="60"/>
        <v>Cotti</v>
      </c>
      <c r="E1691" s="5" t="str">
        <f t="shared" si="59"/>
        <v>erica</v>
      </c>
    </row>
    <row r="1692" spans="1:5" ht="15.75" customHeight="1" x14ac:dyDescent="0.3">
      <c r="A1692" s="4" t="s">
        <v>3384</v>
      </c>
      <c r="B1692" s="4" t="s">
        <v>3385</v>
      </c>
      <c r="C1692" s="5" t="str">
        <f t="shared" si="55"/>
        <v xml:space="preserve">y, </v>
      </c>
      <c r="D1692" s="5" t="str">
        <f t="shared" si="60"/>
        <v>Findl</v>
      </c>
      <c r="E1692" s="5" t="str">
        <f t="shared" si="59"/>
        <v>ela L</v>
      </c>
    </row>
    <row r="1693" spans="1:5" ht="15.75" customHeight="1" x14ac:dyDescent="0.3">
      <c r="A1693" s="4" t="s">
        <v>3386</v>
      </c>
      <c r="B1693" s="4" t="s">
        <v>3387</v>
      </c>
      <c r="C1693" s="5" t="str">
        <f t="shared" si="55"/>
        <v>urg</v>
      </c>
      <c r="D1693" s="5" t="str">
        <f t="shared" si="60"/>
        <v>Stras</v>
      </c>
      <c r="E1693" s="5" t="str">
        <f t="shared" si="59"/>
        <v>ew W.</v>
      </c>
    </row>
    <row r="1694" spans="1:5" ht="15.75" customHeight="1" x14ac:dyDescent="0.3">
      <c r="A1694" s="4" t="s">
        <v>3388</v>
      </c>
      <c r="B1694" s="4" t="s">
        <v>3389</v>
      </c>
      <c r="C1694" s="5" t="str">
        <f t="shared" si="55"/>
        <v xml:space="preserve"> Mr</v>
      </c>
      <c r="D1694" s="5" t="str">
        <f t="shared" si="60"/>
        <v>Adams</v>
      </c>
      <c r="E1694" s="5" t="str">
        <f t="shared" si="59"/>
        <v>ndall</v>
      </c>
    </row>
    <row r="1695" spans="1:5" ht="15.75" customHeight="1" x14ac:dyDescent="0.3">
      <c r="A1695" s="4" t="s">
        <v>3390</v>
      </c>
      <c r="B1695" s="4" t="s">
        <v>3391</v>
      </c>
      <c r="C1695" s="5" t="str">
        <f t="shared" si="55"/>
        <v>, M</v>
      </c>
      <c r="D1695" s="5" t="str">
        <f t="shared" si="60"/>
        <v>Deete</v>
      </c>
      <c r="E1695" s="5" t="str">
        <f t="shared" si="59"/>
        <v>acy L</v>
      </c>
    </row>
    <row r="1696" spans="1:5" ht="15.75" customHeight="1" x14ac:dyDescent="0.3">
      <c r="A1696" s="4" t="s">
        <v>3392</v>
      </c>
      <c r="B1696" s="4" t="s">
        <v>3393</v>
      </c>
      <c r="C1696" s="5" t="str">
        <f t="shared" si="55"/>
        <v xml:space="preserve"> Ms</v>
      </c>
      <c r="D1696" s="5" t="str">
        <f t="shared" si="60"/>
        <v>Arpin</v>
      </c>
      <c r="E1696" s="5" t="str">
        <f t="shared" si="59"/>
        <v>zelie</v>
      </c>
    </row>
    <row r="1697" spans="1:5" ht="15.75" customHeight="1" x14ac:dyDescent="0.3">
      <c r="A1697" s="4" t="s">
        <v>3394</v>
      </c>
      <c r="B1697" s="4" t="s">
        <v>3395</v>
      </c>
      <c r="C1697" s="5" t="str">
        <f t="shared" si="55"/>
        <v>eck</v>
      </c>
      <c r="D1697" s="5" t="str">
        <f t="shared" si="60"/>
        <v>Schoe</v>
      </c>
      <c r="E1697" s="5" t="str">
        <f t="shared" si="59"/>
        <v>ca M.</v>
      </c>
    </row>
    <row r="1698" spans="1:5" ht="15.75" customHeight="1" x14ac:dyDescent="0.3">
      <c r="A1698" s="4" t="s">
        <v>3396</v>
      </c>
      <c r="B1698" s="4" t="s">
        <v>3397</v>
      </c>
      <c r="C1698" s="5" t="str">
        <f t="shared" si="55"/>
        <v xml:space="preserve">r, </v>
      </c>
      <c r="D1698" s="5" t="str">
        <f t="shared" si="60"/>
        <v>Muell</v>
      </c>
      <c r="E1698" s="5" t="str">
        <f t="shared" si="59"/>
        <v>na K.</v>
      </c>
    </row>
    <row r="1699" spans="1:5" ht="15.75" customHeight="1" x14ac:dyDescent="0.3">
      <c r="A1699" s="4" t="s">
        <v>3398</v>
      </c>
      <c r="B1699" s="4" t="s">
        <v>3399</v>
      </c>
      <c r="C1699" s="5" t="str">
        <f t="shared" si="55"/>
        <v xml:space="preserve">s, </v>
      </c>
      <c r="D1699" s="5" t="str">
        <f t="shared" si="60"/>
        <v>Willi</v>
      </c>
      <c r="E1699" s="5" t="str">
        <f t="shared" si="59"/>
        <v>ie L.</v>
      </c>
    </row>
    <row r="1700" spans="1:5" ht="15.75" customHeight="1" x14ac:dyDescent="0.3">
      <c r="A1700" s="4" t="s">
        <v>3400</v>
      </c>
      <c r="B1700" s="4" t="s">
        <v>3401</v>
      </c>
      <c r="C1700" s="5" t="str">
        <f t="shared" si="55"/>
        <v>, M</v>
      </c>
      <c r="D1700" s="5" t="str">
        <f t="shared" si="60"/>
        <v>Syrin</v>
      </c>
      <c r="E1700" s="5" t="str">
        <f t="shared" si="59"/>
        <v>Brian</v>
      </c>
    </row>
    <row r="1701" spans="1:5" ht="15.75" customHeight="1" x14ac:dyDescent="0.3">
      <c r="A1701" s="4" t="s">
        <v>3402</v>
      </c>
      <c r="B1701" s="4" t="s">
        <v>3403</v>
      </c>
      <c r="C1701" s="5" t="str">
        <f t="shared" si="55"/>
        <v>, M</v>
      </c>
      <c r="D1701" s="5" t="str">
        <f t="shared" si="60"/>
        <v>Strik</v>
      </c>
      <c r="E1701" s="5" t="str">
        <f t="shared" si="59"/>
        <v>ey L.</v>
      </c>
    </row>
    <row r="1702" spans="1:5" ht="15.75" customHeight="1" x14ac:dyDescent="0.3">
      <c r="A1702" s="4" t="s">
        <v>3404</v>
      </c>
      <c r="B1702" s="4" t="s">
        <v>3405</v>
      </c>
      <c r="C1702" s="5" t="str">
        <f t="shared" si="55"/>
        <v>ar,</v>
      </c>
      <c r="D1702" s="5" t="str">
        <f t="shared" si="60"/>
        <v>Henni</v>
      </c>
      <c r="E1702" s="5" t="str">
        <f t="shared" si="59"/>
        <v>ephen</v>
      </c>
    </row>
    <row r="1703" spans="1:5" ht="15.75" customHeight="1" x14ac:dyDescent="0.3">
      <c r="A1703" s="4" t="s">
        <v>3406</v>
      </c>
      <c r="B1703" s="4" t="s">
        <v>3407</v>
      </c>
      <c r="C1703" s="5" t="str">
        <f t="shared" si="55"/>
        <v xml:space="preserve">r. </v>
      </c>
      <c r="D1703" s="5" t="str">
        <f t="shared" si="60"/>
        <v xml:space="preserve">May, </v>
      </c>
      <c r="E1703" s="5" t="str">
        <f t="shared" si="59"/>
        <v>oshua</v>
      </c>
    </row>
    <row r="1704" spans="1:5" ht="15.75" customHeight="1" x14ac:dyDescent="0.3">
      <c r="A1704" s="4" t="s">
        <v>3408</v>
      </c>
      <c r="B1704" s="4" t="s">
        <v>3409</v>
      </c>
      <c r="C1704" s="5" t="str">
        <f t="shared" si="55"/>
        <v xml:space="preserve">f, </v>
      </c>
      <c r="D1704" s="5" t="str">
        <f t="shared" si="60"/>
        <v>Metca</v>
      </c>
      <c r="E1704" s="5" t="str">
        <f t="shared" si="59"/>
        <v xml:space="preserve"> Josh</v>
      </c>
    </row>
    <row r="1705" spans="1:5" ht="15.75" customHeight="1" x14ac:dyDescent="0.3">
      <c r="A1705" s="4" t="s">
        <v>3410</v>
      </c>
      <c r="B1705" s="4" t="s">
        <v>3411</v>
      </c>
      <c r="C1705" s="5" t="str">
        <f t="shared" si="55"/>
        <v xml:space="preserve"> Ms</v>
      </c>
      <c r="D1705" s="5" t="str">
        <f t="shared" si="60"/>
        <v>Tiska</v>
      </c>
      <c r="E1705" s="5" t="str">
        <f t="shared" si="59"/>
        <v>ather</v>
      </c>
    </row>
    <row r="1706" spans="1:5" ht="15.75" customHeight="1" x14ac:dyDescent="0.3">
      <c r="A1706" s="4" t="s">
        <v>3412</v>
      </c>
      <c r="B1706" s="4" t="s">
        <v>3413</v>
      </c>
      <c r="C1706" s="5" t="str">
        <f t="shared" si="55"/>
        <v>ugh</v>
      </c>
      <c r="D1706" s="5" t="str">
        <f t="shared" si="60"/>
        <v>McDon</v>
      </c>
      <c r="E1706" s="5" t="str">
        <f t="shared" si="59"/>
        <v>es C.</v>
      </c>
    </row>
    <row r="1707" spans="1:5" ht="15.75" customHeight="1" x14ac:dyDescent="0.3">
      <c r="A1707" s="4" t="s">
        <v>3414</v>
      </c>
      <c r="B1707" s="4" t="s">
        <v>3415</v>
      </c>
      <c r="C1707" s="5" t="str">
        <f t="shared" si="55"/>
        <v xml:space="preserve">y, </v>
      </c>
      <c r="D1707" s="5" t="str">
        <f t="shared" si="60"/>
        <v>Fairl</v>
      </c>
      <c r="E1707" s="5" t="str">
        <f t="shared" si="59"/>
        <v xml:space="preserve">  Kim</v>
      </c>
    </row>
    <row r="1708" spans="1:5" ht="15.75" customHeight="1" x14ac:dyDescent="0.3">
      <c r="A1708" s="4" t="s">
        <v>3416</v>
      </c>
      <c r="B1708" s="4" t="s">
        <v>3417</v>
      </c>
      <c r="C1708" s="5" t="str">
        <f t="shared" si="55"/>
        <v xml:space="preserve">t, </v>
      </c>
      <c r="D1708" s="5" t="str">
        <f t="shared" si="60"/>
        <v>Barne</v>
      </c>
      <c r="E1708" s="5" t="str">
        <f t="shared" si="59"/>
        <v>ie E.</v>
      </c>
    </row>
    <row r="1709" spans="1:5" ht="15.75" customHeight="1" x14ac:dyDescent="0.3">
      <c r="A1709" s="4" t="s">
        <v>3418</v>
      </c>
      <c r="B1709" s="4" t="s">
        <v>3419</v>
      </c>
      <c r="C1709" s="5" t="str">
        <f t="shared" si="55"/>
        <v>, M</v>
      </c>
      <c r="D1709" s="5" t="str">
        <f t="shared" si="60"/>
        <v>Piast</v>
      </c>
      <c r="E1709" s="5" t="str">
        <f t="shared" si="59"/>
        <v>riusz</v>
      </c>
    </row>
    <row r="1710" spans="1:5" ht="15.75" customHeight="1" x14ac:dyDescent="0.3">
      <c r="A1710" s="4" t="s">
        <v>3420</v>
      </c>
      <c r="B1710" s="4" t="s">
        <v>3421</v>
      </c>
      <c r="C1710" s="5" t="str">
        <f t="shared" si="55"/>
        <v xml:space="preserve">r, </v>
      </c>
      <c r="D1710" s="5" t="str">
        <f t="shared" si="60"/>
        <v>Muell</v>
      </c>
      <c r="E1710" s="5" t="str">
        <f t="shared" si="59"/>
        <v>ca E.</v>
      </c>
    </row>
    <row r="1711" spans="1:5" ht="15.75" customHeight="1" x14ac:dyDescent="0.3">
      <c r="A1711" s="4" t="s">
        <v>3422</v>
      </c>
      <c r="B1711" s="4" t="s">
        <v>3423</v>
      </c>
      <c r="C1711" s="5" t="str">
        <f t="shared" si="55"/>
        <v xml:space="preserve"> Ms</v>
      </c>
      <c r="D1711" s="5" t="str">
        <f t="shared" si="60"/>
        <v>Olsen</v>
      </c>
      <c r="E1711" s="5" t="str">
        <f t="shared" si="59"/>
        <v>isten</v>
      </c>
    </row>
    <row r="1712" spans="1:5" ht="15.75" customHeight="1" x14ac:dyDescent="0.3">
      <c r="A1712" s="4" t="s">
        <v>3424</v>
      </c>
      <c r="B1712" s="4" t="s">
        <v>3425</v>
      </c>
      <c r="C1712" s="5" t="str">
        <f t="shared" si="55"/>
        <v>us,</v>
      </c>
      <c r="D1712" s="5" t="str">
        <f t="shared" si="60"/>
        <v>De Je</v>
      </c>
      <c r="E1712" s="5" t="str">
        <f t="shared" si="59"/>
        <v>. Sr.</v>
      </c>
    </row>
    <row r="1713" spans="1:5" ht="15.75" customHeight="1" x14ac:dyDescent="0.3">
      <c r="A1713" s="4" t="s">
        <v>3426</v>
      </c>
      <c r="B1713" s="4" t="s">
        <v>3427</v>
      </c>
      <c r="C1713" s="5" t="str">
        <f t="shared" si="55"/>
        <v>, M</v>
      </c>
      <c r="D1713" s="5" t="str">
        <f t="shared" si="60"/>
        <v>Bartu</v>
      </c>
      <c r="E1713" s="5" t="str">
        <f t="shared" si="59"/>
        <v>nthia</v>
      </c>
    </row>
    <row r="1714" spans="1:5" ht="15.75" customHeight="1" x14ac:dyDescent="0.3">
      <c r="A1714" s="4" t="s">
        <v>3428</v>
      </c>
      <c r="B1714" s="4" t="s">
        <v>3429</v>
      </c>
      <c r="C1714" s="5" t="str">
        <f t="shared" si="55"/>
        <v xml:space="preserve">s, </v>
      </c>
      <c r="D1714" s="5" t="str">
        <f t="shared" si="60"/>
        <v>Steve</v>
      </c>
      <c r="E1714" s="5" t="str">
        <f t="shared" si="59"/>
        <v>Tyler</v>
      </c>
    </row>
    <row r="1715" spans="1:5" ht="15.75" customHeight="1" x14ac:dyDescent="0.3">
      <c r="A1715" s="4" t="s">
        <v>3430</v>
      </c>
      <c r="B1715" s="4" t="s">
        <v>3431</v>
      </c>
      <c r="C1715" s="5" t="str">
        <f t="shared" si="55"/>
        <v>Ms.</v>
      </c>
      <c r="D1715" s="5" t="str">
        <f t="shared" si="60"/>
        <v>Rich,</v>
      </c>
      <c r="E1715" s="5" t="str">
        <f t="shared" si="59"/>
        <v>lly J</v>
      </c>
    </row>
    <row r="1716" spans="1:5" ht="15.75" customHeight="1" x14ac:dyDescent="0.3">
      <c r="A1716" s="4" t="s">
        <v>3432</v>
      </c>
      <c r="B1716" s="4" t="s">
        <v>3433</v>
      </c>
      <c r="C1716" s="5" t="str">
        <f t="shared" si="55"/>
        <v>, M</v>
      </c>
      <c r="D1716" s="5" t="str">
        <f t="shared" si="60"/>
        <v>Fayte</v>
      </c>
      <c r="E1716" s="5" t="str">
        <f t="shared" si="59"/>
        <v>isten</v>
      </c>
    </row>
    <row r="1717" spans="1:5" ht="15.75" customHeight="1" x14ac:dyDescent="0.3">
      <c r="A1717" s="4" t="s">
        <v>3434</v>
      </c>
      <c r="B1717" s="4" t="s">
        <v>3435</v>
      </c>
      <c r="C1717" s="5" t="str">
        <f t="shared" si="55"/>
        <v>, M</v>
      </c>
      <c r="D1717" s="5" t="str">
        <f t="shared" si="60"/>
        <v>Paris</v>
      </c>
      <c r="E1717" s="5" t="str">
        <f t="shared" si="59"/>
        <v>homas</v>
      </c>
    </row>
    <row r="1718" spans="1:5" ht="15.75" customHeight="1" x14ac:dyDescent="0.3">
      <c r="A1718" s="4" t="s">
        <v>3436</v>
      </c>
      <c r="B1718" s="4" t="s">
        <v>3437</v>
      </c>
      <c r="C1718" s="5" t="str">
        <f t="shared" si="55"/>
        <v>, M</v>
      </c>
      <c r="D1718" s="5" t="str">
        <f t="shared" si="60"/>
        <v>Andre</v>
      </c>
      <c r="E1718" s="5" t="str">
        <f t="shared" si="59"/>
        <v>ity M</v>
      </c>
    </row>
    <row r="1719" spans="1:5" ht="15.75" customHeight="1" x14ac:dyDescent="0.3">
      <c r="A1719" s="4" t="s">
        <v>3438</v>
      </c>
      <c r="B1719" s="4" t="s">
        <v>3439</v>
      </c>
      <c r="C1719" s="5" t="str">
        <f t="shared" si="55"/>
        <v>wic</v>
      </c>
      <c r="D1719" s="5" t="str">
        <f t="shared" si="60"/>
        <v>Gryni</v>
      </c>
      <c r="E1719" s="5" t="str">
        <f t="shared" si="59"/>
        <v>rah A</v>
      </c>
    </row>
    <row r="1720" spans="1:5" ht="15.75" customHeight="1" x14ac:dyDescent="0.3">
      <c r="A1720" s="4" t="s">
        <v>3440</v>
      </c>
      <c r="B1720" s="4" t="s">
        <v>3441</v>
      </c>
      <c r="C1720" s="5" t="str">
        <f t="shared" si="55"/>
        <v>, M</v>
      </c>
      <c r="D1720" s="5" t="str">
        <f t="shared" si="60"/>
        <v>Panor</v>
      </c>
      <c r="E1720" s="5" t="str">
        <f t="shared" si="59"/>
        <v>sa M.</v>
      </c>
    </row>
    <row r="1721" spans="1:5" ht="15.75" customHeight="1" x14ac:dyDescent="0.3">
      <c r="A1721" s="4" t="s">
        <v>3442</v>
      </c>
      <c r="B1721" s="4" t="s">
        <v>3443</v>
      </c>
      <c r="C1721" s="5" t="str">
        <f t="shared" si="55"/>
        <v>rd,</v>
      </c>
      <c r="D1721" s="5" t="str">
        <f t="shared" si="60"/>
        <v>Woodw</v>
      </c>
      <c r="E1721" s="5" t="str">
        <f t="shared" si="59"/>
        <v>cy A.</v>
      </c>
    </row>
    <row r="1722" spans="1:5" ht="15.75" customHeight="1" x14ac:dyDescent="0.3">
      <c r="A1722" s="4" t="s">
        <v>3444</v>
      </c>
      <c r="B1722" s="4" t="s">
        <v>3445</v>
      </c>
      <c r="C1722" s="5" t="str">
        <f t="shared" si="55"/>
        <v xml:space="preserve"> Mr</v>
      </c>
      <c r="D1722" s="5" t="str">
        <f t="shared" si="60"/>
        <v>Lambe</v>
      </c>
      <c r="E1722" s="5" t="str">
        <f t="shared" si="59"/>
        <v>trick</v>
      </c>
    </row>
    <row r="1723" spans="1:5" ht="15.75" customHeight="1" x14ac:dyDescent="0.3">
      <c r="A1723" s="4" t="s">
        <v>3446</v>
      </c>
      <c r="B1723" s="4" t="s">
        <v>3447</v>
      </c>
      <c r="C1723" s="5" t="str">
        <f t="shared" si="55"/>
        <v xml:space="preserve"> Mr</v>
      </c>
      <c r="D1723" s="5" t="str">
        <f t="shared" si="60"/>
        <v>Casto</v>
      </c>
      <c r="E1723" s="5" t="str">
        <f t="shared" si="59"/>
        <v>Trent</v>
      </c>
    </row>
    <row r="1724" spans="1:5" ht="15.75" customHeight="1" x14ac:dyDescent="0.3">
      <c r="A1724" s="4" t="s">
        <v>3448</v>
      </c>
      <c r="B1724" s="4" t="s">
        <v>3449</v>
      </c>
      <c r="C1724" s="5" t="str">
        <f t="shared" si="55"/>
        <v>li,</v>
      </c>
      <c r="D1724" s="5" t="str">
        <f t="shared" si="60"/>
        <v>Marte</v>
      </c>
      <c r="E1724" s="5" t="str">
        <f t="shared" si="59"/>
        <v>Julie</v>
      </c>
    </row>
    <row r="1725" spans="1:5" ht="15.75" customHeight="1" x14ac:dyDescent="0.3">
      <c r="A1725" s="4" t="s">
        <v>3450</v>
      </c>
      <c r="B1725" s="4" t="s">
        <v>3451</v>
      </c>
      <c r="C1725" s="5" t="str">
        <f t="shared" si="55"/>
        <v xml:space="preserve">t, </v>
      </c>
      <c r="D1725" s="5" t="str">
        <f t="shared" si="60"/>
        <v>Naskr</v>
      </c>
      <c r="E1725" s="5" t="str">
        <f t="shared" si="59"/>
        <v>womir</v>
      </c>
    </row>
    <row r="1726" spans="1:5" ht="15.75" customHeight="1" x14ac:dyDescent="0.3">
      <c r="A1726" s="4" t="s">
        <v>3452</v>
      </c>
      <c r="B1726" s="4" t="s">
        <v>3453</v>
      </c>
      <c r="C1726" s="5" t="str">
        <f t="shared" si="55"/>
        <v>, M</v>
      </c>
      <c r="D1726" s="5" t="str">
        <f t="shared" si="60"/>
        <v>Morga</v>
      </c>
      <c r="E1726" s="5" t="str">
        <f t="shared" si="59"/>
        <v>Micah</v>
      </c>
    </row>
    <row r="1727" spans="1:5" ht="15.75" customHeight="1" x14ac:dyDescent="0.3">
      <c r="A1727" s="4" t="s">
        <v>3454</v>
      </c>
      <c r="B1727" s="4" t="s">
        <v>3455</v>
      </c>
      <c r="C1727" s="5" t="str">
        <f t="shared" si="55"/>
        <v xml:space="preserve">y, </v>
      </c>
      <c r="D1727" s="5" t="str">
        <f t="shared" si="60"/>
        <v>Malon</v>
      </c>
      <c r="E1727" s="5" t="str">
        <f t="shared" si="59"/>
        <v>ly H.</v>
      </c>
    </row>
    <row r="1728" spans="1:5" ht="15.75" customHeight="1" x14ac:dyDescent="0.3">
      <c r="A1728" s="4" t="s">
        <v>3456</v>
      </c>
      <c r="B1728" s="4" t="s">
        <v>3457</v>
      </c>
      <c r="C1728" s="5" t="str">
        <f t="shared" si="55"/>
        <v xml:space="preserve">t, </v>
      </c>
      <c r="D1728" s="5" t="str">
        <f t="shared" si="60"/>
        <v>Amher</v>
      </c>
      <c r="E1728" s="5" t="str">
        <f t="shared" si="59"/>
        <v>ay M.</v>
      </c>
    </row>
    <row r="1729" spans="1:5" ht="15.75" customHeight="1" x14ac:dyDescent="0.3">
      <c r="A1729" s="4" t="s">
        <v>3458</v>
      </c>
      <c r="B1729" s="4" t="s">
        <v>3459</v>
      </c>
      <c r="C1729" s="5" t="str">
        <f t="shared" si="55"/>
        <v>ort</v>
      </c>
      <c r="D1729" s="5" t="str">
        <f t="shared" si="60"/>
        <v>Daven</v>
      </c>
      <c r="E1729" s="5" t="str">
        <f t="shared" si="59"/>
        <v>ten G</v>
      </c>
    </row>
    <row r="1730" spans="1:5" ht="15.75" customHeight="1" x14ac:dyDescent="0.3">
      <c r="A1730" s="4" t="s">
        <v>3460</v>
      </c>
      <c r="B1730" s="4" t="s">
        <v>3461</v>
      </c>
      <c r="C1730" s="5" t="str">
        <f t="shared" si="55"/>
        <v>en,</v>
      </c>
      <c r="D1730" s="5" t="str">
        <f t="shared" si="60"/>
        <v>Johan</v>
      </c>
      <c r="E1730" s="5" t="str">
        <f t="shared" ref="E1730:E1793" si="61">RIGHT(B1730,5)</f>
        <v>ry J.</v>
      </c>
    </row>
    <row r="1731" spans="1:5" ht="15.75" customHeight="1" x14ac:dyDescent="0.3">
      <c r="A1731" s="4" t="s">
        <v>3462</v>
      </c>
      <c r="B1731" s="4" t="s">
        <v>3463</v>
      </c>
      <c r="C1731" s="5" t="str">
        <f t="shared" si="55"/>
        <v>Mr.</v>
      </c>
      <c r="D1731" s="5" t="str">
        <f t="shared" si="60"/>
        <v>Bond,</v>
      </c>
      <c r="E1731" s="5" t="str">
        <f t="shared" si="61"/>
        <v>rt J.</v>
      </c>
    </row>
    <row r="1732" spans="1:5" ht="15.75" customHeight="1" x14ac:dyDescent="0.3">
      <c r="A1732" s="4" t="s">
        <v>3464</v>
      </c>
      <c r="B1732" s="4" t="s">
        <v>3465</v>
      </c>
      <c r="C1732" s="5" t="str">
        <f t="shared" si="55"/>
        <v>, M</v>
      </c>
      <c r="D1732" s="5" t="str">
        <f t="shared" si="60"/>
        <v>Reill</v>
      </c>
      <c r="E1732" s="5" t="str">
        <f t="shared" si="61"/>
        <v>Steph</v>
      </c>
    </row>
    <row r="1733" spans="1:5" ht="15.75" customHeight="1" x14ac:dyDescent="0.3">
      <c r="A1733" s="4" t="s">
        <v>3466</v>
      </c>
      <c r="B1733" s="4" t="s">
        <v>3467</v>
      </c>
      <c r="C1733" s="5" t="str">
        <f t="shared" si="55"/>
        <v>er,</v>
      </c>
      <c r="D1733" s="5" t="str">
        <f t="shared" si="60"/>
        <v>Chand</v>
      </c>
      <c r="E1733" s="5" t="str">
        <f t="shared" si="61"/>
        <v xml:space="preserve"> Kate</v>
      </c>
    </row>
    <row r="1734" spans="1:5" ht="15.75" customHeight="1" x14ac:dyDescent="0.3">
      <c r="A1734" s="4" t="s">
        <v>3468</v>
      </c>
      <c r="B1734" s="4" t="s">
        <v>3469</v>
      </c>
      <c r="C1734" s="5" t="str">
        <f t="shared" si="55"/>
        <v>nn,</v>
      </c>
      <c r="D1734" s="5" t="str">
        <f t="shared" si="60"/>
        <v>Kaufm</v>
      </c>
      <c r="E1734" s="5" t="str">
        <f t="shared" si="61"/>
        <v>stina</v>
      </c>
    </row>
    <row r="1735" spans="1:5" ht="15.75" customHeight="1" x14ac:dyDescent="0.3">
      <c r="A1735" s="4" t="s">
        <v>3470</v>
      </c>
      <c r="B1735" s="4" t="s">
        <v>3471</v>
      </c>
      <c r="C1735" s="5" t="str">
        <f t="shared" si="55"/>
        <v>-Zu</v>
      </c>
      <c r="D1735" s="5" t="str">
        <f t="shared" si="60"/>
        <v>Barne</v>
      </c>
      <c r="E1735" s="5" t="str">
        <f t="shared" si="61"/>
        <v xml:space="preserve">  Flo</v>
      </c>
    </row>
    <row r="1736" spans="1:5" ht="15.75" customHeight="1" x14ac:dyDescent="0.3">
      <c r="A1736" s="4" t="s">
        <v>3472</v>
      </c>
      <c r="B1736" s="4" t="s">
        <v>3473</v>
      </c>
      <c r="C1736" s="5" t="str">
        <f t="shared" si="55"/>
        <v>, M</v>
      </c>
      <c r="D1736" s="5" t="str">
        <f t="shared" si="60"/>
        <v>Wolte</v>
      </c>
      <c r="E1736" s="5" t="str">
        <f t="shared" si="61"/>
        <v>ah P.</v>
      </c>
    </row>
    <row r="1737" spans="1:5" ht="15.75" customHeight="1" x14ac:dyDescent="0.3">
      <c r="A1737" s="4" t="s">
        <v>3474</v>
      </c>
      <c r="B1737" s="4" t="s">
        <v>3475</v>
      </c>
      <c r="C1737" s="5" t="str">
        <f t="shared" si="55"/>
        <v xml:space="preserve">n, </v>
      </c>
      <c r="D1737" s="5" t="str">
        <f t="shared" si="60"/>
        <v>Pears</v>
      </c>
      <c r="E1737" s="5" t="str">
        <f t="shared" si="61"/>
        <v>nabel</v>
      </c>
    </row>
    <row r="1738" spans="1:5" ht="15.75" customHeight="1" x14ac:dyDescent="0.3">
      <c r="A1738" s="4" t="s">
        <v>3476</v>
      </c>
      <c r="B1738" s="4" t="s">
        <v>3477</v>
      </c>
      <c r="C1738" s="5" t="str">
        <f t="shared" si="55"/>
        <v>, M</v>
      </c>
      <c r="D1738" s="5" t="str">
        <f t="shared" si="60"/>
        <v>Thoma</v>
      </c>
      <c r="E1738" s="5" t="str">
        <f t="shared" si="61"/>
        <v xml:space="preserve">  Ian</v>
      </c>
    </row>
    <row r="1739" spans="1:5" ht="15.75" customHeight="1" x14ac:dyDescent="0.3">
      <c r="A1739" s="4" t="s">
        <v>3478</v>
      </c>
      <c r="B1739" s="4" t="s">
        <v>3479</v>
      </c>
      <c r="C1739" s="5" t="str">
        <f t="shared" si="55"/>
        <v>Mr.</v>
      </c>
      <c r="D1739" s="5" t="str">
        <f t="shared" si="60"/>
        <v>Leon,</v>
      </c>
      <c r="E1739" s="5" t="str">
        <f t="shared" si="61"/>
        <v xml:space="preserve"> Alex</v>
      </c>
    </row>
    <row r="1740" spans="1:5" ht="15.75" customHeight="1" x14ac:dyDescent="0.3">
      <c r="A1740" s="4" t="s">
        <v>3480</v>
      </c>
      <c r="B1740" s="4" t="s">
        <v>3481</v>
      </c>
      <c r="C1740" s="5" t="str">
        <f t="shared" si="55"/>
        <v>tt,</v>
      </c>
      <c r="D1740" s="5" t="str">
        <f t="shared" si="60"/>
        <v>Marri</v>
      </c>
      <c r="E1740" s="5" t="str">
        <f t="shared" si="61"/>
        <v>ard J</v>
      </c>
    </row>
    <row r="1741" spans="1:5" ht="15.75" customHeight="1" x14ac:dyDescent="0.3">
      <c r="A1741" s="4" t="s">
        <v>3482</v>
      </c>
      <c r="B1741" s="4" t="s">
        <v>3483</v>
      </c>
      <c r="C1741" s="5" t="str">
        <f t="shared" si="55"/>
        <v xml:space="preserve">s, </v>
      </c>
      <c r="D1741" s="5" t="str">
        <f t="shared" si="60"/>
        <v>Wilki</v>
      </c>
      <c r="E1741" s="5" t="str">
        <f t="shared" si="61"/>
        <v>ne N.</v>
      </c>
    </row>
    <row r="1742" spans="1:5" ht="15.75" customHeight="1" x14ac:dyDescent="0.3">
      <c r="A1742" s="4" t="s">
        <v>3484</v>
      </c>
      <c r="B1742" s="4" t="s">
        <v>3485</v>
      </c>
      <c r="C1742" s="5" t="str">
        <f t="shared" si="55"/>
        <v>, M</v>
      </c>
      <c r="D1742" s="5" t="str">
        <f t="shared" si="60"/>
        <v>Saite</v>
      </c>
      <c r="E1742" s="5" t="str">
        <f t="shared" si="61"/>
        <v>Cindy</v>
      </c>
    </row>
    <row r="1743" spans="1:5" ht="15.75" customHeight="1" x14ac:dyDescent="0.3">
      <c r="A1743" s="4" t="s">
        <v>3486</v>
      </c>
      <c r="B1743" s="4" t="s">
        <v>3487</v>
      </c>
      <c r="C1743" s="5" t="str">
        <f t="shared" si="55"/>
        <v>, M</v>
      </c>
      <c r="D1743" s="5" t="str">
        <f t="shared" si="60"/>
        <v>Winro</v>
      </c>
      <c r="E1743" s="5" t="str">
        <f t="shared" si="61"/>
        <v>arcia</v>
      </c>
    </row>
    <row r="1744" spans="1:5" ht="15.75" customHeight="1" x14ac:dyDescent="0.3">
      <c r="A1744" s="4" t="s">
        <v>3488</v>
      </c>
      <c r="B1744" s="4" t="s">
        <v>3489</v>
      </c>
      <c r="C1744" s="5" t="str">
        <f t="shared" si="55"/>
        <v xml:space="preserve"> Ms</v>
      </c>
      <c r="D1744" s="5" t="str">
        <f t="shared" si="60"/>
        <v>Gries</v>
      </c>
      <c r="E1744" s="5" t="str">
        <f t="shared" si="61"/>
        <v>ha R.</v>
      </c>
    </row>
    <row r="1745" spans="1:5" ht="15.75" customHeight="1" x14ac:dyDescent="0.3">
      <c r="A1745" s="4" t="s">
        <v>3490</v>
      </c>
      <c r="B1745" s="4" t="s">
        <v>3491</v>
      </c>
      <c r="C1745" s="5" t="str">
        <f t="shared" si="55"/>
        <v>che</v>
      </c>
      <c r="D1745" s="5" t="str">
        <f t="shared" ref="D1745:D1808" si="62">LEFT(B1745,5)</f>
        <v>Stroh</v>
      </c>
      <c r="E1745" s="5" t="str">
        <f t="shared" si="61"/>
        <v>Katie</v>
      </c>
    </row>
    <row r="1746" spans="1:5" ht="15.75" customHeight="1" x14ac:dyDescent="0.3">
      <c r="A1746" s="4" t="s">
        <v>3492</v>
      </c>
      <c r="B1746" s="4" t="s">
        <v>3493</v>
      </c>
      <c r="C1746" s="5" t="str">
        <f t="shared" si="55"/>
        <v>, M</v>
      </c>
      <c r="D1746" s="5" t="str">
        <f t="shared" si="62"/>
        <v>Berge</v>
      </c>
      <c r="E1746" s="5" t="str">
        <f t="shared" si="61"/>
        <v>ohn P</v>
      </c>
    </row>
    <row r="1747" spans="1:5" ht="15.75" customHeight="1" x14ac:dyDescent="0.3">
      <c r="A1747" s="4" t="s">
        <v>3494</v>
      </c>
      <c r="B1747" s="4" t="s">
        <v>3495</v>
      </c>
      <c r="C1747" s="5" t="str">
        <f t="shared" si="55"/>
        <v>, M</v>
      </c>
      <c r="D1747" s="5" t="str">
        <f t="shared" si="62"/>
        <v>Cooga</v>
      </c>
      <c r="E1747" s="5" t="str">
        <f t="shared" si="61"/>
        <v>achel</v>
      </c>
    </row>
    <row r="1748" spans="1:5" ht="15.75" customHeight="1" x14ac:dyDescent="0.3">
      <c r="A1748" s="4" t="s">
        <v>3496</v>
      </c>
      <c r="B1748" s="4" t="s">
        <v>3497</v>
      </c>
      <c r="C1748" s="5" t="str">
        <f t="shared" si="55"/>
        <v>, M</v>
      </c>
      <c r="D1748" s="5" t="str">
        <f t="shared" si="62"/>
        <v>Gagno</v>
      </c>
      <c r="E1748" s="5" t="str">
        <f t="shared" si="61"/>
        <v>belle</v>
      </c>
    </row>
    <row r="1749" spans="1:5" ht="15.75" customHeight="1" x14ac:dyDescent="0.3">
      <c r="A1749" s="4" t="s">
        <v>3498</v>
      </c>
      <c r="B1749" s="4" t="s">
        <v>3499</v>
      </c>
      <c r="C1749" s="5" t="str">
        <f t="shared" si="55"/>
        <v xml:space="preserve">n, </v>
      </c>
      <c r="D1749" s="5" t="str">
        <f t="shared" si="62"/>
        <v>Pears</v>
      </c>
      <c r="E1749" s="5" t="str">
        <f t="shared" si="61"/>
        <v xml:space="preserve"> Neil</v>
      </c>
    </row>
    <row r="1750" spans="1:5" ht="15.75" customHeight="1" x14ac:dyDescent="0.3">
      <c r="A1750" s="4" t="s">
        <v>3500</v>
      </c>
      <c r="B1750" s="4" t="s">
        <v>3501</v>
      </c>
      <c r="C1750" s="5" t="str">
        <f t="shared" si="55"/>
        <v xml:space="preserve"> Mr</v>
      </c>
      <c r="D1750" s="5" t="str">
        <f t="shared" si="62"/>
        <v>Brian</v>
      </c>
      <c r="E1750" s="5" t="str">
        <f t="shared" si="61"/>
        <v xml:space="preserve">  Tom</v>
      </c>
    </row>
    <row r="1751" spans="1:5" ht="15.75" customHeight="1" x14ac:dyDescent="0.3">
      <c r="A1751" s="4" t="s">
        <v>3502</v>
      </c>
      <c r="B1751" s="4" t="s">
        <v>3503</v>
      </c>
      <c r="C1751" s="5" t="str">
        <f t="shared" si="55"/>
        <v xml:space="preserve"> Mr</v>
      </c>
      <c r="D1751" s="5" t="str">
        <f t="shared" si="62"/>
        <v>Brown</v>
      </c>
      <c r="E1751" s="5" t="str">
        <f t="shared" si="61"/>
        <v>athan</v>
      </c>
    </row>
    <row r="1752" spans="1:5" ht="15.75" customHeight="1" x14ac:dyDescent="0.3">
      <c r="A1752" s="4" t="s">
        <v>3504</v>
      </c>
      <c r="B1752" s="4" t="s">
        <v>3505</v>
      </c>
      <c r="C1752" s="5" t="str">
        <f t="shared" si="55"/>
        <v>rs.</v>
      </c>
      <c r="D1752" s="5" t="str">
        <f t="shared" si="62"/>
        <v xml:space="preserve">Fox, </v>
      </c>
      <c r="E1752" s="5" t="str">
        <f t="shared" si="61"/>
        <v>lli N</v>
      </c>
    </row>
    <row r="1753" spans="1:5" ht="15.75" customHeight="1" x14ac:dyDescent="0.3">
      <c r="A1753" s="4" t="s">
        <v>3506</v>
      </c>
      <c r="B1753" s="4" t="s">
        <v>3507</v>
      </c>
      <c r="C1753" s="5" t="str">
        <f t="shared" si="55"/>
        <v>, M</v>
      </c>
      <c r="D1753" s="5" t="str">
        <f t="shared" si="62"/>
        <v>Trave</v>
      </c>
      <c r="E1753" s="5" t="str">
        <f t="shared" si="61"/>
        <v>tt M.</v>
      </c>
    </row>
    <row r="1754" spans="1:5" ht="15.75" customHeight="1" x14ac:dyDescent="0.3">
      <c r="A1754" s="4" t="s">
        <v>3508</v>
      </c>
      <c r="B1754" s="4" t="s">
        <v>3509</v>
      </c>
      <c r="C1754" s="5" t="str">
        <f t="shared" si="55"/>
        <v xml:space="preserve"> Mr</v>
      </c>
      <c r="D1754" s="5" t="str">
        <f t="shared" si="62"/>
        <v>Quick</v>
      </c>
      <c r="E1754" s="5" t="str">
        <f t="shared" si="61"/>
        <v>ant A</v>
      </c>
    </row>
    <row r="1755" spans="1:5" ht="15.75" customHeight="1" x14ac:dyDescent="0.3">
      <c r="A1755" s="4" t="s">
        <v>3510</v>
      </c>
      <c r="B1755" s="4" t="s">
        <v>3511</v>
      </c>
      <c r="C1755" s="5" t="str">
        <f t="shared" si="55"/>
        <v xml:space="preserve"> Mr</v>
      </c>
      <c r="D1755" s="5" t="str">
        <f t="shared" si="62"/>
        <v>Scott</v>
      </c>
      <c r="E1755" s="5" t="str">
        <f t="shared" si="61"/>
        <v>han C</v>
      </c>
    </row>
    <row r="1756" spans="1:5" ht="15.75" customHeight="1" x14ac:dyDescent="0.3">
      <c r="A1756" s="4" t="s">
        <v>3512</v>
      </c>
      <c r="B1756" s="4" t="s">
        <v>3513</v>
      </c>
      <c r="C1756" s="5" t="str">
        <f t="shared" si="55"/>
        <v xml:space="preserve">t, </v>
      </c>
      <c r="D1756" s="5" t="str">
        <f t="shared" si="62"/>
        <v>Theri</v>
      </c>
      <c r="E1756" s="5" t="str">
        <f t="shared" si="61"/>
        <v>el M.</v>
      </c>
    </row>
    <row r="1757" spans="1:5" ht="15.75" customHeight="1" x14ac:dyDescent="0.3">
      <c r="A1757" s="4" t="s">
        <v>3514</v>
      </c>
      <c r="B1757" s="4" t="s">
        <v>3515</v>
      </c>
      <c r="C1757" s="5" t="str">
        <f t="shared" si="55"/>
        <v>is,</v>
      </c>
      <c r="D1757" s="5" t="str">
        <f t="shared" si="62"/>
        <v>Micha</v>
      </c>
      <c r="E1757" s="5" t="str">
        <f t="shared" si="61"/>
        <v>Pilar</v>
      </c>
    </row>
    <row r="1758" spans="1:5" ht="15.75" customHeight="1" x14ac:dyDescent="0.3">
      <c r="A1758" s="4" t="s">
        <v>3516</v>
      </c>
      <c r="B1758" s="4" t="s">
        <v>3517</v>
      </c>
      <c r="C1758" s="5" t="str">
        <f t="shared" si="55"/>
        <v>Mr.</v>
      </c>
      <c r="D1758" s="5" t="str">
        <f t="shared" si="62"/>
        <v>Hall,</v>
      </c>
      <c r="E1758" s="5" t="str">
        <f t="shared" si="61"/>
        <v>yle M</v>
      </c>
    </row>
    <row r="1759" spans="1:5" ht="15.75" customHeight="1" x14ac:dyDescent="0.3">
      <c r="A1759" s="4" t="s">
        <v>3518</v>
      </c>
      <c r="B1759" s="4" t="s">
        <v>3519</v>
      </c>
      <c r="C1759" s="5" t="str">
        <f t="shared" si="55"/>
        <v>Cle</v>
      </c>
      <c r="D1759" s="5" t="str">
        <f t="shared" si="62"/>
        <v>Tjong</v>
      </c>
      <c r="E1759" s="5" t="str">
        <f t="shared" si="61"/>
        <v>istie</v>
      </c>
    </row>
    <row r="1760" spans="1:5" ht="15.75" customHeight="1" x14ac:dyDescent="0.3">
      <c r="A1760" s="4" t="s">
        <v>3520</v>
      </c>
      <c r="B1760" s="4" t="s">
        <v>3521</v>
      </c>
      <c r="C1760" s="5" t="str">
        <f t="shared" si="55"/>
        <v xml:space="preserve"> Mr</v>
      </c>
      <c r="D1760" s="5" t="str">
        <f t="shared" si="62"/>
        <v>Palma</v>
      </c>
      <c r="E1760" s="5" t="str">
        <f t="shared" si="61"/>
        <v>id A.</v>
      </c>
    </row>
    <row r="1761" spans="1:5" ht="15.75" customHeight="1" x14ac:dyDescent="0.3">
      <c r="A1761" s="4" t="s">
        <v>3522</v>
      </c>
      <c r="B1761" s="4" t="s">
        <v>3523</v>
      </c>
      <c r="C1761" s="5" t="str">
        <f t="shared" si="55"/>
        <v xml:space="preserve">a, </v>
      </c>
      <c r="D1761" s="5" t="str">
        <f t="shared" si="62"/>
        <v>Takao</v>
      </c>
      <c r="E1761" s="5" t="str">
        <f t="shared" si="61"/>
        <v>ahiro</v>
      </c>
    </row>
    <row r="1762" spans="1:5" ht="15.75" customHeight="1" x14ac:dyDescent="0.3">
      <c r="A1762" s="4" t="s">
        <v>3524</v>
      </c>
      <c r="B1762" s="4" t="s">
        <v>3525</v>
      </c>
      <c r="C1762" s="5" t="str">
        <f t="shared" si="55"/>
        <v xml:space="preserve">n, </v>
      </c>
      <c r="D1762" s="5" t="str">
        <f t="shared" si="62"/>
        <v>Sherm</v>
      </c>
      <c r="E1762" s="5" t="str">
        <f t="shared" si="61"/>
        <v>an B.</v>
      </c>
    </row>
    <row r="1763" spans="1:5" ht="15.75" customHeight="1" x14ac:dyDescent="0.3">
      <c r="A1763" s="4" t="s">
        <v>3526</v>
      </c>
      <c r="B1763" s="4" t="s">
        <v>3527</v>
      </c>
      <c r="C1763" s="5" t="str">
        <f t="shared" si="55"/>
        <v xml:space="preserve"> Ms</v>
      </c>
      <c r="D1763" s="5" t="str">
        <f t="shared" si="62"/>
        <v>Andre</v>
      </c>
      <c r="E1763" s="5" t="str">
        <f t="shared" si="61"/>
        <v>ie L.</v>
      </c>
    </row>
    <row r="1764" spans="1:5" ht="15.75" customHeight="1" x14ac:dyDescent="0.3">
      <c r="A1764" s="4" t="s">
        <v>3528</v>
      </c>
      <c r="B1764" s="4" t="s">
        <v>3529</v>
      </c>
      <c r="C1764" s="5" t="str">
        <f t="shared" si="55"/>
        <v xml:space="preserve"> Ms</v>
      </c>
      <c r="D1764" s="5" t="str">
        <f t="shared" si="62"/>
        <v>Switt</v>
      </c>
      <c r="E1764" s="5" t="str">
        <f t="shared" si="61"/>
        <v>ela H</v>
      </c>
    </row>
    <row r="1765" spans="1:5" ht="15.75" customHeight="1" x14ac:dyDescent="0.3">
      <c r="A1765" s="4" t="s">
        <v>3530</v>
      </c>
      <c r="B1765" s="4" t="s">
        <v>3531</v>
      </c>
      <c r="C1765" s="5" t="str">
        <f t="shared" si="55"/>
        <v>on,</v>
      </c>
      <c r="D1765" s="5" t="str">
        <f t="shared" si="62"/>
        <v>Erick</v>
      </c>
      <c r="E1765" s="5" t="str">
        <f t="shared" si="61"/>
        <v>itt K</v>
      </c>
    </row>
    <row r="1766" spans="1:5" ht="15.75" customHeight="1" x14ac:dyDescent="0.3">
      <c r="A1766" s="4" t="s">
        <v>3532</v>
      </c>
      <c r="B1766" s="4" t="s">
        <v>3533</v>
      </c>
      <c r="C1766" s="5" t="str">
        <f t="shared" si="55"/>
        <v>, M</v>
      </c>
      <c r="D1766" s="5" t="str">
        <f t="shared" si="62"/>
        <v>Mille</v>
      </c>
      <c r="E1766" s="5" t="str">
        <f t="shared" si="61"/>
        <v>ce R.</v>
      </c>
    </row>
    <row r="1767" spans="1:5" ht="15.75" customHeight="1" x14ac:dyDescent="0.3">
      <c r="A1767" s="4" t="s">
        <v>3534</v>
      </c>
      <c r="B1767" s="4" t="s">
        <v>3535</v>
      </c>
      <c r="C1767" s="5" t="str">
        <f t="shared" si="55"/>
        <v>ck,</v>
      </c>
      <c r="D1767" s="5" t="str">
        <f t="shared" si="62"/>
        <v>Whitb</v>
      </c>
      <c r="E1767" s="5" t="str">
        <f t="shared" si="61"/>
        <v xml:space="preserve">  Ben</v>
      </c>
    </row>
    <row r="1768" spans="1:5" ht="15.75" customHeight="1" x14ac:dyDescent="0.3">
      <c r="A1768" s="4" t="s">
        <v>3536</v>
      </c>
      <c r="B1768" s="4" t="s">
        <v>3537</v>
      </c>
      <c r="C1768" s="5" t="str">
        <f t="shared" si="55"/>
        <v>Ms.</v>
      </c>
      <c r="D1768" s="5" t="str">
        <f t="shared" si="62"/>
        <v>Auer,</v>
      </c>
      <c r="E1768" s="5" t="str">
        <f t="shared" si="61"/>
        <v>ah M.</v>
      </c>
    </row>
    <row r="1769" spans="1:5" ht="15.75" customHeight="1" x14ac:dyDescent="0.3">
      <c r="A1769" s="4" t="s">
        <v>3538</v>
      </c>
      <c r="B1769" s="4" t="s">
        <v>3539</v>
      </c>
      <c r="C1769" s="5" t="str">
        <f t="shared" si="55"/>
        <v xml:space="preserve"> Ms</v>
      </c>
      <c r="D1769" s="5" t="str">
        <f t="shared" si="62"/>
        <v>Attar</v>
      </c>
      <c r="E1769" s="5" t="str">
        <f t="shared" si="61"/>
        <v>Sarah</v>
      </c>
    </row>
    <row r="1770" spans="1:5" ht="15.75" customHeight="1" x14ac:dyDescent="0.3">
      <c r="A1770" s="4" t="s">
        <v>3540</v>
      </c>
      <c r="B1770" s="4" t="s">
        <v>3541</v>
      </c>
      <c r="C1770" s="5" t="str">
        <f t="shared" si="55"/>
        <v>ca,</v>
      </c>
      <c r="D1770" s="5" t="str">
        <f t="shared" si="62"/>
        <v>Misur</v>
      </c>
      <c r="E1770" s="5" t="str">
        <f t="shared" si="61"/>
        <v>Katie</v>
      </c>
    </row>
    <row r="1771" spans="1:5" ht="15.75" customHeight="1" x14ac:dyDescent="0.3">
      <c r="A1771" s="4" t="s">
        <v>3542</v>
      </c>
      <c r="B1771" s="4" t="s">
        <v>3543</v>
      </c>
      <c r="C1771" s="5" t="str">
        <f t="shared" si="55"/>
        <v>us,</v>
      </c>
      <c r="D1771" s="5" t="str">
        <f t="shared" si="62"/>
        <v>Spann</v>
      </c>
      <c r="E1771" s="5" t="str">
        <f t="shared" si="61"/>
        <v>ela L</v>
      </c>
    </row>
    <row r="1772" spans="1:5" ht="15.75" customHeight="1" x14ac:dyDescent="0.3">
      <c r="A1772" s="4" t="s">
        <v>3544</v>
      </c>
      <c r="B1772" s="4" t="s">
        <v>3545</v>
      </c>
      <c r="C1772" s="5" t="str">
        <f t="shared" si="55"/>
        <v xml:space="preserve">t, </v>
      </c>
      <c r="D1772" s="5" t="str">
        <f t="shared" si="62"/>
        <v>Tarbi</v>
      </c>
      <c r="E1772" s="5" t="str">
        <f t="shared" si="61"/>
        <v>laleh</v>
      </c>
    </row>
    <row r="1773" spans="1:5" ht="15.75" customHeight="1" x14ac:dyDescent="0.3">
      <c r="A1773" s="4" t="s">
        <v>3546</v>
      </c>
      <c r="B1773" s="4" t="s">
        <v>3547</v>
      </c>
      <c r="C1773" s="5" t="str">
        <f t="shared" si="55"/>
        <v>nen</v>
      </c>
      <c r="D1773" s="5" t="str">
        <f t="shared" si="62"/>
        <v>Pulkk</v>
      </c>
      <c r="E1773" s="5" t="str">
        <f t="shared" si="61"/>
        <v>Karen</v>
      </c>
    </row>
    <row r="1774" spans="1:5" ht="15.75" customHeight="1" x14ac:dyDescent="0.3">
      <c r="A1774" s="4" t="s">
        <v>3548</v>
      </c>
      <c r="B1774" s="4" t="s">
        <v>3549</v>
      </c>
      <c r="C1774" s="5" t="str">
        <f t="shared" si="55"/>
        <v>ova</v>
      </c>
      <c r="D1774" s="5" t="str">
        <f t="shared" si="62"/>
        <v>Trnov</v>
      </c>
      <c r="E1774" s="5" t="str">
        <f t="shared" si="61"/>
        <v>uzana</v>
      </c>
    </row>
    <row r="1775" spans="1:5" ht="15.75" customHeight="1" x14ac:dyDescent="0.3">
      <c r="A1775" s="4" t="s">
        <v>3550</v>
      </c>
      <c r="B1775" s="4" t="s">
        <v>3551</v>
      </c>
      <c r="C1775" s="5" t="str">
        <f t="shared" si="55"/>
        <v xml:space="preserve">y, </v>
      </c>
      <c r="D1775" s="5" t="str">
        <f t="shared" si="62"/>
        <v>Antho</v>
      </c>
      <c r="E1775" s="5" t="str">
        <f t="shared" si="61"/>
        <v>el J.</v>
      </c>
    </row>
    <row r="1776" spans="1:5" ht="15.75" customHeight="1" x14ac:dyDescent="0.3">
      <c r="A1776" s="4" t="s">
        <v>3552</v>
      </c>
      <c r="B1776" s="4" t="s">
        <v>3553</v>
      </c>
      <c r="C1776" s="5" t="str">
        <f t="shared" si="55"/>
        <v xml:space="preserve">k, </v>
      </c>
      <c r="D1776" s="5" t="str">
        <f t="shared" si="62"/>
        <v>Hetri</v>
      </c>
      <c r="E1776" s="5" t="str">
        <f t="shared" si="61"/>
        <v>andra</v>
      </c>
    </row>
    <row r="1777" spans="1:5" ht="15.75" customHeight="1" x14ac:dyDescent="0.3">
      <c r="A1777" s="4" t="s">
        <v>3554</v>
      </c>
      <c r="B1777" s="4" t="s">
        <v>3555</v>
      </c>
      <c r="C1777" s="5" t="str">
        <f t="shared" si="55"/>
        <v xml:space="preserve"> Ms</v>
      </c>
      <c r="D1777" s="5" t="str">
        <f t="shared" si="62"/>
        <v>Stern</v>
      </c>
      <c r="E1777" s="5" t="str">
        <f t="shared" si="61"/>
        <v>ssica</v>
      </c>
    </row>
    <row r="1778" spans="1:5" ht="15.75" customHeight="1" x14ac:dyDescent="0.3">
      <c r="A1778" s="4" t="s">
        <v>3556</v>
      </c>
      <c r="B1778" s="4" t="s">
        <v>3557</v>
      </c>
      <c r="C1778" s="5" t="str">
        <f t="shared" si="55"/>
        <v>, M</v>
      </c>
      <c r="D1778" s="5" t="str">
        <f t="shared" si="62"/>
        <v>Newma</v>
      </c>
      <c r="E1778" s="5" t="str">
        <f t="shared" si="61"/>
        <v>hew M</v>
      </c>
    </row>
    <row r="1779" spans="1:5" ht="15.75" customHeight="1" x14ac:dyDescent="0.3">
      <c r="A1779" s="4" t="s">
        <v>3558</v>
      </c>
      <c r="B1779" s="4" t="s">
        <v>3559</v>
      </c>
      <c r="C1779" s="5" t="str">
        <f t="shared" si="55"/>
        <v>er,</v>
      </c>
      <c r="D1779" s="5" t="str">
        <f t="shared" si="62"/>
        <v>Reaso</v>
      </c>
      <c r="E1779" s="5" t="str">
        <f t="shared" si="61"/>
        <v>ne A.</v>
      </c>
    </row>
    <row r="1780" spans="1:5" ht="15.75" customHeight="1" x14ac:dyDescent="0.3">
      <c r="A1780" s="4" t="s">
        <v>3560</v>
      </c>
      <c r="B1780" s="4" t="s">
        <v>3561</v>
      </c>
      <c r="C1780" s="5" t="str">
        <f t="shared" si="55"/>
        <v>Mr.</v>
      </c>
      <c r="D1780" s="5" t="str">
        <f t="shared" si="62"/>
        <v>Mone,</v>
      </c>
      <c r="E1780" s="5" t="str">
        <f t="shared" si="61"/>
        <v>. Jr.</v>
      </c>
    </row>
    <row r="1781" spans="1:5" ht="15.75" customHeight="1" x14ac:dyDescent="0.3">
      <c r="A1781" s="4" t="s">
        <v>3562</v>
      </c>
      <c r="B1781" s="4" t="s">
        <v>3563</v>
      </c>
      <c r="C1781" s="5" t="str">
        <f t="shared" si="55"/>
        <v>, M</v>
      </c>
      <c r="D1781" s="5" t="str">
        <f t="shared" si="62"/>
        <v>Power</v>
      </c>
      <c r="E1781" s="5" t="str">
        <f t="shared" si="61"/>
        <v>een M</v>
      </c>
    </row>
    <row r="1782" spans="1:5" ht="15.75" customHeight="1" x14ac:dyDescent="0.3">
      <c r="A1782" s="4" t="s">
        <v>3564</v>
      </c>
      <c r="B1782" s="4" t="s">
        <v>3565</v>
      </c>
      <c r="C1782" s="5" t="str">
        <f t="shared" si="55"/>
        <v xml:space="preserve"> Ms</v>
      </c>
      <c r="D1782" s="5" t="str">
        <f t="shared" si="62"/>
        <v>Ulery</v>
      </c>
      <c r="E1782" s="5" t="str">
        <f t="shared" si="61"/>
        <v>ie A.</v>
      </c>
    </row>
    <row r="1783" spans="1:5" ht="15.75" customHeight="1" x14ac:dyDescent="0.3">
      <c r="A1783" s="4" t="s">
        <v>3566</v>
      </c>
      <c r="B1783" s="4" t="s">
        <v>3567</v>
      </c>
      <c r="C1783" s="5" t="str">
        <f t="shared" si="55"/>
        <v>, M</v>
      </c>
      <c r="D1783" s="5" t="str">
        <f t="shared" si="62"/>
        <v>Haine</v>
      </c>
      <c r="E1783" s="5" t="str">
        <f t="shared" si="61"/>
        <v>las W</v>
      </c>
    </row>
    <row r="1784" spans="1:5" ht="15.75" customHeight="1" x14ac:dyDescent="0.3">
      <c r="A1784" s="4" t="s">
        <v>3568</v>
      </c>
      <c r="B1784" s="4" t="s">
        <v>3569</v>
      </c>
      <c r="C1784" s="5" t="str">
        <f t="shared" si="55"/>
        <v xml:space="preserve">i, </v>
      </c>
      <c r="D1784" s="5" t="str">
        <f t="shared" si="62"/>
        <v>Airol</v>
      </c>
      <c r="E1784" s="5" t="str">
        <f t="shared" si="61"/>
        <v>erine</v>
      </c>
    </row>
    <row r="1785" spans="1:5" ht="15.75" customHeight="1" x14ac:dyDescent="0.3">
      <c r="A1785" s="4" t="s">
        <v>3570</v>
      </c>
      <c r="B1785" s="4" t="s">
        <v>3571</v>
      </c>
      <c r="C1785" s="5" t="str">
        <f t="shared" si="55"/>
        <v>, M</v>
      </c>
      <c r="D1785" s="5" t="str">
        <f t="shared" si="62"/>
        <v>Matti</v>
      </c>
      <c r="E1785" s="5" t="str">
        <f t="shared" si="61"/>
        <v>mes A</v>
      </c>
    </row>
    <row r="1786" spans="1:5" ht="15.75" customHeight="1" x14ac:dyDescent="0.3">
      <c r="A1786" s="4" t="s">
        <v>3572</v>
      </c>
      <c r="B1786" s="4" t="s">
        <v>3573</v>
      </c>
      <c r="C1786" s="5" t="str">
        <f t="shared" si="55"/>
        <v xml:space="preserve">r. </v>
      </c>
      <c r="D1786" s="5" t="str">
        <f t="shared" si="62"/>
        <v xml:space="preserve">Cho, </v>
      </c>
      <c r="E1786" s="5" t="str">
        <f t="shared" si="61"/>
        <v>seong</v>
      </c>
    </row>
    <row r="1787" spans="1:5" ht="15.75" customHeight="1" x14ac:dyDescent="0.3">
      <c r="A1787" s="4" t="s">
        <v>3574</v>
      </c>
      <c r="B1787" s="4" t="s">
        <v>3575</v>
      </c>
      <c r="C1787" s="5" t="str">
        <f t="shared" si="55"/>
        <v xml:space="preserve">n, </v>
      </c>
      <c r="D1787" s="5" t="str">
        <f t="shared" si="62"/>
        <v>Reuma</v>
      </c>
      <c r="E1787" s="5" t="str">
        <f t="shared" si="61"/>
        <v xml:space="preserve"> John</v>
      </c>
    </row>
    <row r="1788" spans="1:5" ht="15.75" customHeight="1" x14ac:dyDescent="0.3">
      <c r="A1788" s="4" t="s">
        <v>3576</v>
      </c>
      <c r="B1788" s="4" t="s">
        <v>3577</v>
      </c>
      <c r="C1788" s="5" t="str">
        <f t="shared" si="55"/>
        <v>, M</v>
      </c>
      <c r="D1788" s="5" t="str">
        <f t="shared" si="62"/>
        <v>Coope</v>
      </c>
      <c r="E1788" s="5" t="str">
        <f t="shared" si="61"/>
        <v>on S.</v>
      </c>
    </row>
    <row r="1789" spans="1:5" ht="15.75" customHeight="1" x14ac:dyDescent="0.3">
      <c r="A1789" s="4" t="s">
        <v>3578</v>
      </c>
      <c r="B1789" s="4" t="s">
        <v>3579</v>
      </c>
      <c r="C1789" s="5" t="str">
        <f t="shared" si="55"/>
        <v xml:space="preserve">y, </v>
      </c>
      <c r="D1789" s="5" t="str">
        <f t="shared" si="62"/>
        <v>Kenne</v>
      </c>
      <c r="E1789" s="5" t="str">
        <f t="shared" si="61"/>
        <v>ean P</v>
      </c>
    </row>
    <row r="1790" spans="1:5" ht="15.75" customHeight="1" x14ac:dyDescent="0.3">
      <c r="A1790" s="4" t="s">
        <v>3580</v>
      </c>
      <c r="B1790" s="4" t="s">
        <v>3581</v>
      </c>
      <c r="C1790" s="5" t="str">
        <f t="shared" si="55"/>
        <v>, M</v>
      </c>
      <c r="D1790" s="5" t="str">
        <f t="shared" si="62"/>
        <v>Cicho</v>
      </c>
      <c r="E1790" s="5" t="str">
        <f t="shared" si="61"/>
        <v>Scott</v>
      </c>
    </row>
    <row r="1791" spans="1:5" ht="15.75" customHeight="1" x14ac:dyDescent="0.3">
      <c r="A1791" s="4" t="s">
        <v>3582</v>
      </c>
      <c r="B1791" s="4" t="s">
        <v>3583</v>
      </c>
      <c r="C1791" s="5" t="str">
        <f t="shared" si="55"/>
        <v>ic,</v>
      </c>
      <c r="D1791" s="5" t="str">
        <f t="shared" si="62"/>
        <v>Maroe</v>
      </c>
      <c r="E1791" s="5" t="str">
        <f t="shared" si="61"/>
        <v>Janez</v>
      </c>
    </row>
    <row r="1792" spans="1:5" ht="15.75" customHeight="1" x14ac:dyDescent="0.3">
      <c r="A1792" s="4" t="s">
        <v>3584</v>
      </c>
      <c r="B1792" s="4" t="s">
        <v>3585</v>
      </c>
      <c r="C1792" s="5" t="str">
        <f t="shared" si="55"/>
        <v>, M</v>
      </c>
      <c r="D1792" s="5" t="str">
        <f t="shared" si="62"/>
        <v>Marti</v>
      </c>
      <c r="E1792" s="5" t="str">
        <f t="shared" si="61"/>
        <v>. Jr.</v>
      </c>
    </row>
    <row r="1793" spans="1:5" ht="15.75" customHeight="1" x14ac:dyDescent="0.3">
      <c r="A1793" s="4" t="s">
        <v>3586</v>
      </c>
      <c r="B1793" s="4" t="s">
        <v>3587</v>
      </c>
      <c r="C1793" s="5" t="str">
        <f t="shared" si="55"/>
        <v>, M</v>
      </c>
      <c r="D1793" s="5" t="str">
        <f t="shared" si="62"/>
        <v>Schul</v>
      </c>
      <c r="E1793" s="5" t="str">
        <f t="shared" si="61"/>
        <v>ather</v>
      </c>
    </row>
    <row r="1794" spans="1:5" ht="15.75" customHeight="1" x14ac:dyDescent="0.3">
      <c r="A1794" s="4" t="s">
        <v>3588</v>
      </c>
      <c r="B1794" s="4" t="s">
        <v>3589</v>
      </c>
      <c r="C1794" s="5" t="str">
        <f t="shared" si="55"/>
        <v>lo,</v>
      </c>
      <c r="D1794" s="5" t="str">
        <f t="shared" si="62"/>
        <v>Capri</v>
      </c>
      <c r="E1794" s="5" t="str">
        <f t="shared" ref="E1794:E1857" si="63">RIGHT(B1794,5)</f>
        <v>chael</v>
      </c>
    </row>
    <row r="1795" spans="1:5" ht="15.75" customHeight="1" x14ac:dyDescent="0.3">
      <c r="A1795" s="4" t="s">
        <v>3590</v>
      </c>
      <c r="B1795" s="4" t="s">
        <v>3591</v>
      </c>
      <c r="C1795" s="5" t="str">
        <f t="shared" si="55"/>
        <v xml:space="preserve">s, </v>
      </c>
      <c r="D1795" s="5" t="str">
        <f t="shared" si="62"/>
        <v>Borle</v>
      </c>
      <c r="E1795" s="5" t="str">
        <f t="shared" si="63"/>
        <v>hleen</v>
      </c>
    </row>
    <row r="1796" spans="1:5" ht="15.75" customHeight="1" x14ac:dyDescent="0.3">
      <c r="A1796" s="4" t="s">
        <v>3592</v>
      </c>
      <c r="B1796" s="4" t="s">
        <v>3593</v>
      </c>
      <c r="C1796" s="5" t="str">
        <f t="shared" si="55"/>
        <v>, M</v>
      </c>
      <c r="D1796" s="5" t="str">
        <f t="shared" si="62"/>
        <v>Krame</v>
      </c>
      <c r="E1796" s="5" t="str">
        <f t="shared" si="63"/>
        <v>yan M</v>
      </c>
    </row>
    <row r="1797" spans="1:5" ht="15.75" customHeight="1" x14ac:dyDescent="0.3">
      <c r="A1797" s="4" t="s">
        <v>3594</v>
      </c>
      <c r="B1797" s="4" t="s">
        <v>3595</v>
      </c>
      <c r="C1797" s="5" t="str">
        <f t="shared" si="55"/>
        <v>, M</v>
      </c>
      <c r="D1797" s="5" t="str">
        <f t="shared" si="62"/>
        <v>Conra</v>
      </c>
      <c r="E1797" s="5" t="str">
        <f t="shared" si="63"/>
        <v xml:space="preserve"> Sara</v>
      </c>
    </row>
    <row r="1798" spans="1:5" ht="15.75" customHeight="1" x14ac:dyDescent="0.3">
      <c r="A1798" s="4" t="s">
        <v>3596</v>
      </c>
      <c r="B1798" s="4" t="s">
        <v>3597</v>
      </c>
      <c r="C1798" s="5" t="str">
        <f t="shared" si="55"/>
        <v>yun</v>
      </c>
      <c r="D1798" s="5" t="str">
        <f t="shared" si="62"/>
        <v>Karak</v>
      </c>
      <c r="E1798" s="5" t="str">
        <f t="shared" si="63"/>
        <v>Deniz</v>
      </c>
    </row>
    <row r="1799" spans="1:5" ht="15.75" customHeight="1" x14ac:dyDescent="0.3">
      <c r="A1799" s="4" t="s">
        <v>3598</v>
      </c>
      <c r="B1799" s="4" t="s">
        <v>3599</v>
      </c>
      <c r="C1799" s="5" t="str">
        <f t="shared" si="55"/>
        <v>ier</v>
      </c>
      <c r="D1799" s="5" t="str">
        <f t="shared" si="62"/>
        <v>Desro</v>
      </c>
      <c r="E1799" s="5" t="str">
        <f t="shared" si="63"/>
        <v>on L.</v>
      </c>
    </row>
    <row r="1800" spans="1:5" ht="15.75" customHeight="1" x14ac:dyDescent="0.3">
      <c r="A1800" s="4" t="s">
        <v>3600</v>
      </c>
      <c r="B1800" s="4" t="s">
        <v>3601</v>
      </c>
      <c r="C1800" s="5" t="str">
        <f t="shared" si="55"/>
        <v>, M</v>
      </c>
      <c r="D1800" s="5" t="str">
        <f t="shared" si="62"/>
        <v>O'Mar</v>
      </c>
      <c r="E1800" s="5" t="str">
        <f t="shared" si="63"/>
        <v>in M.</v>
      </c>
    </row>
    <row r="1801" spans="1:5" ht="15.75" customHeight="1" x14ac:dyDescent="0.3">
      <c r="A1801" s="4" t="s">
        <v>3602</v>
      </c>
      <c r="B1801" s="4" t="s">
        <v>3603</v>
      </c>
      <c r="C1801" s="5" t="str">
        <f t="shared" si="55"/>
        <v xml:space="preserve"> Ma</v>
      </c>
      <c r="D1801" s="5" t="str">
        <f t="shared" si="62"/>
        <v>Shabo</v>
      </c>
      <c r="E1801" s="5" t="str">
        <f t="shared" si="63"/>
        <v>fredo</v>
      </c>
    </row>
    <row r="1802" spans="1:5" ht="15.75" customHeight="1" x14ac:dyDescent="0.3">
      <c r="A1802" s="4" t="s">
        <v>3604</v>
      </c>
      <c r="B1802" s="4" t="s">
        <v>3605</v>
      </c>
      <c r="C1802" s="5" t="str">
        <f t="shared" si="55"/>
        <v xml:space="preserve">t, </v>
      </c>
      <c r="D1802" s="5" t="str">
        <f t="shared" si="62"/>
        <v>Comme</v>
      </c>
      <c r="E1802" s="5" t="str">
        <f t="shared" si="63"/>
        <v>isten</v>
      </c>
    </row>
    <row r="1803" spans="1:5" ht="15.75" customHeight="1" x14ac:dyDescent="0.3">
      <c r="A1803" s="4" t="s">
        <v>3606</v>
      </c>
      <c r="B1803" s="4" t="s">
        <v>3607</v>
      </c>
      <c r="C1803" s="5" t="str">
        <f t="shared" ref="C1803:C2057" si="64">MID(B1803,7,3)</f>
        <v>Mr.</v>
      </c>
      <c r="D1803" s="5" t="str">
        <f t="shared" si="62"/>
        <v>Moss,</v>
      </c>
      <c r="E1803" s="5" t="str">
        <f t="shared" si="63"/>
        <v>aniel</v>
      </c>
    </row>
    <row r="1804" spans="1:5" ht="15.75" customHeight="1" x14ac:dyDescent="0.3">
      <c r="A1804" s="4" t="s">
        <v>3608</v>
      </c>
      <c r="B1804" s="4" t="s">
        <v>3609</v>
      </c>
      <c r="C1804" s="5" t="str">
        <f t="shared" si="64"/>
        <v>, M</v>
      </c>
      <c r="D1804" s="5" t="str">
        <f t="shared" si="62"/>
        <v>Guzma</v>
      </c>
      <c r="E1804" s="5" t="str">
        <f t="shared" si="63"/>
        <v>athan</v>
      </c>
    </row>
    <row r="1805" spans="1:5" ht="15.75" customHeight="1" x14ac:dyDescent="0.3">
      <c r="A1805" s="4" t="s">
        <v>3610</v>
      </c>
      <c r="B1805" s="4" t="s">
        <v>3611</v>
      </c>
      <c r="C1805" s="5" t="str">
        <f t="shared" si="64"/>
        <v xml:space="preserve">r. </v>
      </c>
      <c r="D1805" s="5" t="str">
        <f t="shared" si="62"/>
        <v xml:space="preserve">Cox, </v>
      </c>
      <c r="E1805" s="5" t="str">
        <f t="shared" si="63"/>
        <v xml:space="preserve"> Troy</v>
      </c>
    </row>
    <row r="1806" spans="1:5" ht="15.75" customHeight="1" x14ac:dyDescent="0.3">
      <c r="A1806" s="4" t="s">
        <v>3612</v>
      </c>
      <c r="B1806" s="4" t="s">
        <v>3613</v>
      </c>
      <c r="C1806" s="5" t="str">
        <f t="shared" si="64"/>
        <v xml:space="preserve"> Mr</v>
      </c>
      <c r="D1806" s="5" t="str">
        <f t="shared" si="62"/>
        <v>Clash</v>
      </c>
      <c r="E1806" s="5" t="str">
        <f t="shared" si="63"/>
        <v>iel C</v>
      </c>
    </row>
    <row r="1807" spans="1:5" ht="15.75" customHeight="1" x14ac:dyDescent="0.3">
      <c r="A1807" s="4" t="s">
        <v>3614</v>
      </c>
      <c r="B1807" s="4" t="s">
        <v>3615</v>
      </c>
      <c r="C1807" s="5" t="str">
        <f t="shared" si="64"/>
        <v>nsh</v>
      </c>
      <c r="D1807" s="5" t="str">
        <f t="shared" si="62"/>
        <v>Blank</v>
      </c>
      <c r="E1807" s="5" t="str">
        <f t="shared" si="63"/>
        <v>auren</v>
      </c>
    </row>
    <row r="1808" spans="1:5" ht="15.75" customHeight="1" x14ac:dyDescent="0.3">
      <c r="A1808" s="4" t="s">
        <v>3616</v>
      </c>
      <c r="B1808" s="4" t="s">
        <v>3617</v>
      </c>
      <c r="C1808" s="5" t="str">
        <f t="shared" si="64"/>
        <v xml:space="preserve"> Ms</v>
      </c>
      <c r="D1808" s="5" t="str">
        <f t="shared" si="62"/>
        <v>Lloyd</v>
      </c>
      <c r="E1808" s="5" t="str">
        <f t="shared" si="63"/>
        <v>nefer</v>
      </c>
    </row>
    <row r="1809" spans="1:5" ht="15.75" customHeight="1" x14ac:dyDescent="0.3">
      <c r="A1809" s="4" t="s">
        <v>3618</v>
      </c>
      <c r="B1809" s="4" t="s">
        <v>3619</v>
      </c>
      <c r="C1809" s="5" t="str">
        <f t="shared" si="64"/>
        <v>Ms.</v>
      </c>
      <c r="D1809" s="5" t="str">
        <f t="shared" ref="D1809:D1872" si="65">LEFT(B1809,5)</f>
        <v>Kong,</v>
      </c>
      <c r="E1809" s="5" t="str">
        <f t="shared" si="63"/>
        <v>ey L.</v>
      </c>
    </row>
    <row r="1810" spans="1:5" ht="15.75" customHeight="1" x14ac:dyDescent="0.3">
      <c r="A1810" s="4" t="s">
        <v>3620</v>
      </c>
      <c r="B1810" s="4" t="s">
        <v>3621</v>
      </c>
      <c r="C1810" s="5" t="str">
        <f t="shared" si="64"/>
        <v>, M</v>
      </c>
      <c r="D1810" s="5" t="str">
        <f t="shared" si="65"/>
        <v>Benso</v>
      </c>
      <c r="E1810" s="5" t="str">
        <f t="shared" si="63"/>
        <v>shley</v>
      </c>
    </row>
    <row r="1811" spans="1:5" ht="15.75" customHeight="1" x14ac:dyDescent="0.3">
      <c r="A1811" s="4" t="s">
        <v>3622</v>
      </c>
      <c r="B1811" s="4" t="s">
        <v>3623</v>
      </c>
      <c r="C1811" s="5" t="str">
        <f t="shared" si="64"/>
        <v>gto</v>
      </c>
      <c r="D1811" s="5" t="str">
        <f t="shared" si="65"/>
        <v>Hunti</v>
      </c>
      <c r="E1811" s="5" t="str">
        <f t="shared" si="63"/>
        <v>Cindy</v>
      </c>
    </row>
    <row r="1812" spans="1:5" ht="15.75" customHeight="1" x14ac:dyDescent="0.3">
      <c r="A1812" s="4" t="s">
        <v>3624</v>
      </c>
      <c r="B1812" s="4" t="s">
        <v>3625</v>
      </c>
      <c r="C1812" s="5" t="str">
        <f t="shared" si="64"/>
        <v xml:space="preserve">l, </v>
      </c>
      <c r="D1812" s="5" t="str">
        <f t="shared" si="65"/>
        <v>Kenda</v>
      </c>
      <c r="E1812" s="5" t="str">
        <f t="shared" si="63"/>
        <v>sther</v>
      </c>
    </row>
    <row r="1813" spans="1:5" ht="15.75" customHeight="1" x14ac:dyDescent="0.3">
      <c r="A1813" s="4" t="s">
        <v>3626</v>
      </c>
      <c r="B1813" s="4" t="s">
        <v>3627</v>
      </c>
      <c r="C1813" s="5" t="str">
        <f t="shared" si="64"/>
        <v>Ms.</v>
      </c>
      <c r="D1813" s="5" t="str">
        <f t="shared" si="65"/>
        <v>Gast,</v>
      </c>
      <c r="E1813" s="5" t="str">
        <f t="shared" si="63"/>
        <v>ackie</v>
      </c>
    </row>
    <row r="1814" spans="1:5" ht="15.75" customHeight="1" x14ac:dyDescent="0.3">
      <c r="A1814" s="4" t="s">
        <v>3628</v>
      </c>
      <c r="B1814" s="4" t="s">
        <v>3629</v>
      </c>
      <c r="C1814" s="5" t="str">
        <f t="shared" si="64"/>
        <v xml:space="preserve">n, </v>
      </c>
      <c r="D1814" s="5" t="str">
        <f t="shared" si="65"/>
        <v>Scanl</v>
      </c>
      <c r="E1814" s="5" t="str">
        <f t="shared" si="63"/>
        <v>hy P.</v>
      </c>
    </row>
    <row r="1815" spans="1:5" ht="15.75" customHeight="1" x14ac:dyDescent="0.3">
      <c r="A1815" s="4" t="s">
        <v>3630</v>
      </c>
      <c r="B1815" s="4" t="s">
        <v>3631</v>
      </c>
      <c r="C1815" s="5" t="str">
        <f t="shared" si="64"/>
        <v>ook</v>
      </c>
      <c r="D1815" s="5" t="str">
        <f t="shared" si="65"/>
        <v>Philb</v>
      </c>
      <c r="E1815" s="5" t="str">
        <f t="shared" si="63"/>
        <v>auren</v>
      </c>
    </row>
    <row r="1816" spans="1:5" ht="15.75" customHeight="1" x14ac:dyDescent="0.3">
      <c r="A1816" s="4" t="s">
        <v>3632</v>
      </c>
      <c r="B1816" s="4" t="s">
        <v>3633</v>
      </c>
      <c r="C1816" s="5" t="str">
        <f t="shared" si="64"/>
        <v xml:space="preserve"> Mr</v>
      </c>
      <c r="D1816" s="5" t="str">
        <f t="shared" si="65"/>
        <v>Cowan</v>
      </c>
      <c r="E1816" s="5" t="str">
        <f t="shared" si="63"/>
        <v>jamin</v>
      </c>
    </row>
    <row r="1817" spans="1:5" ht="15.75" customHeight="1" x14ac:dyDescent="0.3">
      <c r="A1817" s="4" t="s">
        <v>3634</v>
      </c>
      <c r="B1817" s="4" t="s">
        <v>3635</v>
      </c>
      <c r="C1817" s="5" t="str">
        <f t="shared" si="64"/>
        <v xml:space="preserve"> Mr</v>
      </c>
      <c r="D1817" s="5" t="str">
        <f t="shared" si="65"/>
        <v>Sousa</v>
      </c>
      <c r="E1817" s="5" t="str">
        <f t="shared" si="63"/>
        <v>ugo M</v>
      </c>
    </row>
    <row r="1818" spans="1:5" ht="15.75" customHeight="1" x14ac:dyDescent="0.3">
      <c r="A1818" s="4" t="s">
        <v>3636</v>
      </c>
      <c r="B1818" s="4" t="s">
        <v>3637</v>
      </c>
      <c r="C1818" s="5" t="str">
        <f t="shared" si="64"/>
        <v xml:space="preserve">n, </v>
      </c>
      <c r="D1818" s="5" t="str">
        <f t="shared" si="65"/>
        <v>Stant</v>
      </c>
      <c r="E1818" s="5" t="str">
        <f t="shared" si="63"/>
        <v>. Jr.</v>
      </c>
    </row>
    <row r="1819" spans="1:5" ht="15.75" customHeight="1" x14ac:dyDescent="0.3">
      <c r="A1819" s="4" t="s">
        <v>3638</v>
      </c>
      <c r="B1819" s="4" t="s">
        <v>3639</v>
      </c>
      <c r="C1819" s="5" t="str">
        <f t="shared" si="64"/>
        <v>, M</v>
      </c>
      <c r="D1819" s="5" t="str">
        <f t="shared" si="65"/>
        <v>Molla</v>
      </c>
      <c r="E1819" s="5" t="str">
        <f t="shared" si="63"/>
        <v>tin R</v>
      </c>
    </row>
    <row r="1820" spans="1:5" ht="15.75" customHeight="1" x14ac:dyDescent="0.3">
      <c r="A1820" s="4" t="s">
        <v>3640</v>
      </c>
      <c r="B1820" s="4" t="s">
        <v>3641</v>
      </c>
      <c r="C1820" s="5" t="str">
        <f t="shared" si="64"/>
        <v>Mr.</v>
      </c>
      <c r="D1820" s="5" t="str">
        <f t="shared" si="65"/>
        <v>Bell,</v>
      </c>
      <c r="E1820" s="5" t="str">
        <f t="shared" si="63"/>
        <v>Colin</v>
      </c>
    </row>
    <row r="1821" spans="1:5" ht="15.75" customHeight="1" x14ac:dyDescent="0.3">
      <c r="A1821" s="4" t="s">
        <v>3642</v>
      </c>
      <c r="B1821" s="4" t="s">
        <v>3643</v>
      </c>
      <c r="C1821" s="5" t="str">
        <f t="shared" si="64"/>
        <v>, M</v>
      </c>
      <c r="D1821" s="5" t="str">
        <f t="shared" si="65"/>
        <v>Westo</v>
      </c>
      <c r="E1821" s="5" t="str">
        <f t="shared" si="63"/>
        <v xml:space="preserve">  Rob</v>
      </c>
    </row>
    <row r="1822" spans="1:5" ht="15.75" customHeight="1" x14ac:dyDescent="0.3">
      <c r="A1822" s="4" t="s">
        <v>3644</v>
      </c>
      <c r="B1822" s="4" t="s">
        <v>3645</v>
      </c>
      <c r="C1822" s="5" t="str">
        <f t="shared" si="64"/>
        <v xml:space="preserve">i, </v>
      </c>
      <c r="D1822" s="5" t="str">
        <f t="shared" si="65"/>
        <v>Rabuz</v>
      </c>
      <c r="E1822" s="5" t="str">
        <f t="shared" si="63"/>
        <v>trick</v>
      </c>
    </row>
    <row r="1823" spans="1:5" ht="15.75" customHeight="1" x14ac:dyDescent="0.3">
      <c r="A1823" s="4" t="s">
        <v>3646</v>
      </c>
      <c r="B1823" s="4" t="s">
        <v>3647</v>
      </c>
      <c r="C1823" s="5" t="str">
        <f t="shared" si="64"/>
        <v xml:space="preserve">x, </v>
      </c>
      <c r="D1823" s="5" t="str">
        <f t="shared" si="65"/>
        <v>Hendr</v>
      </c>
      <c r="E1823" s="5" t="str">
        <f t="shared" si="63"/>
        <v>tin D</v>
      </c>
    </row>
    <row r="1824" spans="1:5" ht="15.75" customHeight="1" x14ac:dyDescent="0.3">
      <c r="A1824" s="4" t="s">
        <v>3648</v>
      </c>
      <c r="B1824" s="4" t="s">
        <v>3649</v>
      </c>
      <c r="C1824" s="5" t="str">
        <f t="shared" si="64"/>
        <v>ele</v>
      </c>
      <c r="D1824" s="5" t="str">
        <f t="shared" si="65"/>
        <v>Van N</v>
      </c>
      <c r="E1824" s="5" t="str">
        <f t="shared" si="63"/>
        <v>ttany</v>
      </c>
    </row>
    <row r="1825" spans="1:5" ht="15.75" customHeight="1" x14ac:dyDescent="0.3">
      <c r="A1825" s="4" t="s">
        <v>3650</v>
      </c>
      <c r="B1825" s="4" t="s">
        <v>3651</v>
      </c>
      <c r="C1825" s="5" t="str">
        <f t="shared" si="64"/>
        <v xml:space="preserve">n, </v>
      </c>
      <c r="D1825" s="5" t="str">
        <f t="shared" si="65"/>
        <v>Blant</v>
      </c>
      <c r="E1825" s="5" t="str">
        <f t="shared" si="63"/>
        <v>hew T</v>
      </c>
    </row>
    <row r="1826" spans="1:5" ht="15.75" customHeight="1" x14ac:dyDescent="0.3">
      <c r="A1826" s="4" t="s">
        <v>3652</v>
      </c>
      <c r="B1826" s="4" t="s">
        <v>3653</v>
      </c>
      <c r="C1826" s="5" t="str">
        <f t="shared" si="64"/>
        <v>, M</v>
      </c>
      <c r="D1826" s="5" t="str">
        <f t="shared" si="65"/>
        <v>Schou</v>
      </c>
      <c r="E1826" s="5" t="str">
        <f t="shared" si="63"/>
        <v>ky G.</v>
      </c>
    </row>
    <row r="1827" spans="1:5" ht="15.75" customHeight="1" x14ac:dyDescent="0.3">
      <c r="A1827" s="4" t="s">
        <v>3654</v>
      </c>
      <c r="B1827" s="4" t="s">
        <v>3655</v>
      </c>
      <c r="C1827" s="5" t="str">
        <f t="shared" si="64"/>
        <v>tz,</v>
      </c>
      <c r="D1827" s="5" t="str">
        <f t="shared" si="65"/>
        <v>Schma</v>
      </c>
      <c r="E1827" s="5" t="str">
        <f t="shared" si="63"/>
        <v>ginie</v>
      </c>
    </row>
    <row r="1828" spans="1:5" ht="15.75" customHeight="1" x14ac:dyDescent="0.3">
      <c r="A1828" s="4" t="s">
        <v>3656</v>
      </c>
      <c r="B1828" s="4" t="s">
        <v>3657</v>
      </c>
      <c r="C1828" s="5" t="str">
        <f t="shared" si="64"/>
        <v xml:space="preserve"> Ms</v>
      </c>
      <c r="D1828" s="5" t="str">
        <f t="shared" si="65"/>
        <v>Eagen</v>
      </c>
      <c r="E1828" s="5" t="str">
        <f t="shared" si="63"/>
        <v>son A</v>
      </c>
    </row>
    <row r="1829" spans="1:5" ht="15.75" customHeight="1" x14ac:dyDescent="0.3">
      <c r="A1829" s="4" t="s">
        <v>3658</v>
      </c>
      <c r="B1829" s="4" t="s">
        <v>3659</v>
      </c>
      <c r="C1829" s="5" t="str">
        <f t="shared" si="64"/>
        <v>el,</v>
      </c>
      <c r="D1829" s="5" t="str">
        <f t="shared" si="65"/>
        <v>Rotra</v>
      </c>
      <c r="E1829" s="5" t="str">
        <f t="shared" si="63"/>
        <v>Julie</v>
      </c>
    </row>
    <row r="1830" spans="1:5" ht="15.75" customHeight="1" x14ac:dyDescent="0.3">
      <c r="A1830" s="4" t="s">
        <v>3660</v>
      </c>
      <c r="B1830" s="4" t="s">
        <v>3661</v>
      </c>
      <c r="C1830" s="5" t="str">
        <f t="shared" si="64"/>
        <v xml:space="preserve">t, </v>
      </c>
      <c r="D1830" s="5" t="str">
        <f t="shared" si="65"/>
        <v>Prevo</v>
      </c>
      <c r="E1830" s="5" t="str">
        <f t="shared" si="63"/>
        <v>erine</v>
      </c>
    </row>
    <row r="1831" spans="1:5" ht="15.75" customHeight="1" x14ac:dyDescent="0.3">
      <c r="A1831" s="4" t="s">
        <v>3662</v>
      </c>
      <c r="B1831" s="4" t="s">
        <v>3663</v>
      </c>
      <c r="C1831" s="5" t="str">
        <f t="shared" si="64"/>
        <v>Mr.</v>
      </c>
      <c r="D1831" s="5" t="str">
        <f t="shared" si="65"/>
        <v>Boyd,</v>
      </c>
      <c r="E1831" s="5" t="str">
        <f t="shared" si="63"/>
        <v>Caleb</v>
      </c>
    </row>
    <row r="1832" spans="1:5" ht="15.75" customHeight="1" x14ac:dyDescent="0.3">
      <c r="A1832" s="4" t="s">
        <v>3664</v>
      </c>
      <c r="B1832" s="4" t="s">
        <v>3665</v>
      </c>
      <c r="C1832" s="5" t="str">
        <f t="shared" si="64"/>
        <v xml:space="preserve"> Ms</v>
      </c>
      <c r="D1832" s="5" t="str">
        <f t="shared" si="65"/>
        <v>Dawes</v>
      </c>
      <c r="E1832" s="5" t="str">
        <f t="shared" si="63"/>
        <v>Jaime</v>
      </c>
    </row>
    <row r="1833" spans="1:5" ht="15.75" customHeight="1" x14ac:dyDescent="0.3">
      <c r="A1833" s="4" t="s">
        <v>3666</v>
      </c>
      <c r="B1833" s="4" t="s">
        <v>3667</v>
      </c>
      <c r="C1833" s="5" t="str">
        <f t="shared" si="64"/>
        <v>gs,</v>
      </c>
      <c r="D1833" s="5" t="str">
        <f t="shared" si="65"/>
        <v>Jenni</v>
      </c>
      <c r="E1833" s="5" t="str">
        <f t="shared" si="63"/>
        <v>annah</v>
      </c>
    </row>
    <row r="1834" spans="1:5" ht="15.75" customHeight="1" x14ac:dyDescent="0.3">
      <c r="A1834" s="4" t="s">
        <v>3668</v>
      </c>
      <c r="B1834" s="4" t="s">
        <v>3669</v>
      </c>
      <c r="C1834" s="5" t="str">
        <f t="shared" si="64"/>
        <v>so,</v>
      </c>
      <c r="D1834" s="5" t="str">
        <f t="shared" si="65"/>
        <v>Nyamb</v>
      </c>
      <c r="E1834" s="5" t="str">
        <f t="shared" si="63"/>
        <v>ariah</v>
      </c>
    </row>
    <row r="1835" spans="1:5" ht="15.75" customHeight="1" x14ac:dyDescent="0.3">
      <c r="A1835" s="4" t="s">
        <v>3670</v>
      </c>
      <c r="B1835" s="4" t="s">
        <v>3671</v>
      </c>
      <c r="C1835" s="5" t="str">
        <f t="shared" si="64"/>
        <v xml:space="preserve">r, </v>
      </c>
      <c r="D1835" s="5" t="str">
        <f t="shared" si="65"/>
        <v>Shaff</v>
      </c>
      <c r="E1835" s="5" t="str">
        <f t="shared" si="63"/>
        <v>cia A</v>
      </c>
    </row>
    <row r="1836" spans="1:5" ht="15.75" customHeight="1" x14ac:dyDescent="0.3">
      <c r="A1836" s="4" t="s">
        <v>3672</v>
      </c>
      <c r="B1836" s="4" t="s">
        <v>3673</v>
      </c>
      <c r="C1836" s="5" t="str">
        <f t="shared" si="64"/>
        <v>, M</v>
      </c>
      <c r="D1836" s="5" t="str">
        <f t="shared" si="65"/>
        <v>Corku</v>
      </c>
      <c r="E1836" s="5" t="str">
        <f t="shared" si="63"/>
        <v>th A.</v>
      </c>
    </row>
    <row r="1837" spans="1:5" ht="15.75" customHeight="1" x14ac:dyDescent="0.3">
      <c r="A1837" s="4" t="s">
        <v>3674</v>
      </c>
      <c r="B1837" s="4" t="s">
        <v>3675</v>
      </c>
      <c r="C1837" s="5" t="str">
        <f t="shared" si="64"/>
        <v>en,</v>
      </c>
      <c r="D1837" s="5" t="str">
        <f t="shared" si="65"/>
        <v>Peder</v>
      </c>
      <c r="E1837" s="5" t="str">
        <f t="shared" si="63"/>
        <v>jamin</v>
      </c>
    </row>
    <row r="1838" spans="1:5" ht="15.75" customHeight="1" x14ac:dyDescent="0.3">
      <c r="A1838" s="4" t="s">
        <v>3676</v>
      </c>
      <c r="B1838" s="4" t="s">
        <v>3677</v>
      </c>
      <c r="C1838" s="5" t="str">
        <f t="shared" si="64"/>
        <v>Mr.</v>
      </c>
      <c r="D1838" s="5" t="str">
        <f t="shared" si="65"/>
        <v>Melo,</v>
      </c>
      <c r="E1838" s="5" t="str">
        <f t="shared" si="63"/>
        <v>Breno</v>
      </c>
    </row>
    <row r="1839" spans="1:5" ht="15.75" customHeight="1" x14ac:dyDescent="0.3">
      <c r="A1839" s="4" t="s">
        <v>3678</v>
      </c>
      <c r="B1839" s="4" t="s">
        <v>3679</v>
      </c>
      <c r="C1839" s="5" t="str">
        <f t="shared" si="64"/>
        <v>to,</v>
      </c>
      <c r="D1839" s="5" t="str">
        <f t="shared" si="65"/>
        <v>Sakam</v>
      </c>
      <c r="E1839" s="5" t="str">
        <f t="shared" si="63"/>
        <v>akaya</v>
      </c>
    </row>
    <row r="1840" spans="1:5" ht="15.75" customHeight="1" x14ac:dyDescent="0.3">
      <c r="A1840" s="4" t="s">
        <v>3680</v>
      </c>
      <c r="B1840" s="4" t="s">
        <v>3681</v>
      </c>
      <c r="C1840" s="5" t="str">
        <f t="shared" si="64"/>
        <v xml:space="preserve">n, </v>
      </c>
      <c r="D1840" s="5" t="str">
        <f t="shared" si="65"/>
        <v>McMah</v>
      </c>
      <c r="E1840" s="5" t="str">
        <f t="shared" si="63"/>
        <v>as IV</v>
      </c>
    </row>
    <row r="1841" spans="1:5" ht="15.75" customHeight="1" x14ac:dyDescent="0.3">
      <c r="A1841" s="4" t="s">
        <v>3682</v>
      </c>
      <c r="B1841" s="4" t="s">
        <v>3683</v>
      </c>
      <c r="C1841" s="5" t="str">
        <f t="shared" si="64"/>
        <v>, M</v>
      </c>
      <c r="D1841" s="5" t="str">
        <f t="shared" si="65"/>
        <v>Harri</v>
      </c>
      <c r="E1841" s="5" t="str">
        <f t="shared" si="63"/>
        <v>ley E</v>
      </c>
    </row>
    <row r="1842" spans="1:5" ht="15.75" customHeight="1" x14ac:dyDescent="0.3">
      <c r="A1842" s="4" t="s">
        <v>3684</v>
      </c>
      <c r="B1842" s="4" t="s">
        <v>3685</v>
      </c>
      <c r="C1842" s="5" t="str">
        <f t="shared" si="64"/>
        <v>do,</v>
      </c>
      <c r="D1842" s="5" t="str">
        <f t="shared" si="65"/>
        <v>Lomba</v>
      </c>
      <c r="E1842" s="5" t="str">
        <f t="shared" si="63"/>
        <v>Megan</v>
      </c>
    </row>
    <row r="1843" spans="1:5" ht="15.75" customHeight="1" x14ac:dyDescent="0.3">
      <c r="A1843" s="4" t="s">
        <v>3686</v>
      </c>
      <c r="B1843" s="4" t="s">
        <v>3687</v>
      </c>
      <c r="C1843" s="5" t="str">
        <f t="shared" si="64"/>
        <v>Ms.</v>
      </c>
      <c r="D1843" s="5" t="str">
        <f t="shared" si="65"/>
        <v>Bode,</v>
      </c>
      <c r="E1843" s="5" t="str">
        <f t="shared" si="63"/>
        <v>uby J</v>
      </c>
    </row>
    <row r="1844" spans="1:5" ht="15.75" customHeight="1" x14ac:dyDescent="0.3">
      <c r="A1844" s="4" t="s">
        <v>3688</v>
      </c>
      <c r="B1844" s="4" t="s">
        <v>3689</v>
      </c>
      <c r="C1844" s="5" t="str">
        <f t="shared" si="64"/>
        <v xml:space="preserve">n, </v>
      </c>
      <c r="D1844" s="5" t="str">
        <f t="shared" si="65"/>
        <v>Johns</v>
      </c>
      <c r="E1844" s="5" t="str">
        <f t="shared" si="63"/>
        <v xml:space="preserve"> Bart</v>
      </c>
    </row>
    <row r="1845" spans="1:5" ht="15.75" customHeight="1" x14ac:dyDescent="0.3">
      <c r="A1845" s="4" t="s">
        <v>3690</v>
      </c>
      <c r="B1845" s="4" t="s">
        <v>3691</v>
      </c>
      <c r="C1845" s="5" t="str">
        <f t="shared" si="64"/>
        <v>ss,</v>
      </c>
      <c r="D1845" s="5" t="str">
        <f t="shared" si="65"/>
        <v>Norcr</v>
      </c>
      <c r="E1845" s="5" t="str">
        <f t="shared" si="63"/>
        <v>rt A.</v>
      </c>
    </row>
    <row r="1846" spans="1:5" ht="15.75" customHeight="1" x14ac:dyDescent="0.3">
      <c r="A1846" s="4" t="s">
        <v>3692</v>
      </c>
      <c r="B1846" s="4" t="s">
        <v>3693</v>
      </c>
      <c r="C1846" s="5" t="str">
        <f t="shared" si="64"/>
        <v>, M</v>
      </c>
      <c r="D1846" s="5" t="str">
        <f t="shared" si="65"/>
        <v>Lazru</v>
      </c>
      <c r="E1846" s="5" t="str">
        <f t="shared" si="63"/>
        <v xml:space="preserve"> Adam</v>
      </c>
    </row>
    <row r="1847" spans="1:5" ht="15.75" customHeight="1" x14ac:dyDescent="0.3">
      <c r="A1847" s="4" t="s">
        <v>3694</v>
      </c>
      <c r="B1847" s="4" t="s">
        <v>3695</v>
      </c>
      <c r="C1847" s="5" t="str">
        <f t="shared" si="64"/>
        <v>, M</v>
      </c>
      <c r="D1847" s="5" t="str">
        <f t="shared" si="65"/>
        <v>Tsega</v>
      </c>
      <c r="E1847" s="5" t="str">
        <f t="shared" si="63"/>
        <v>dhane</v>
      </c>
    </row>
    <row r="1848" spans="1:5" ht="15.75" customHeight="1" x14ac:dyDescent="0.3">
      <c r="A1848" s="4" t="s">
        <v>3696</v>
      </c>
      <c r="B1848" s="4" t="s">
        <v>3697</v>
      </c>
      <c r="C1848" s="5" t="str">
        <f t="shared" si="64"/>
        <v>der</v>
      </c>
      <c r="D1848" s="5" t="str">
        <f t="shared" si="65"/>
        <v>Schne</v>
      </c>
      <c r="E1848" s="5" t="str">
        <f t="shared" si="63"/>
        <v>se A.</v>
      </c>
    </row>
    <row r="1849" spans="1:5" ht="15.75" customHeight="1" x14ac:dyDescent="0.3">
      <c r="A1849" s="4" t="s">
        <v>3698</v>
      </c>
      <c r="B1849" s="4" t="s">
        <v>3699</v>
      </c>
      <c r="C1849" s="5" t="str">
        <f t="shared" si="64"/>
        <v>, M</v>
      </c>
      <c r="D1849" s="5" t="str">
        <f t="shared" si="65"/>
        <v>Loret</v>
      </c>
      <c r="E1849" s="5" t="str">
        <f t="shared" si="63"/>
        <v xml:space="preserve"> Bird</v>
      </c>
    </row>
    <row r="1850" spans="1:5" ht="15.75" customHeight="1" x14ac:dyDescent="0.3">
      <c r="A1850" s="4" t="s">
        <v>3700</v>
      </c>
      <c r="B1850" s="4" t="s">
        <v>3701</v>
      </c>
      <c r="C1850" s="5" t="str">
        <f t="shared" si="64"/>
        <v>an,</v>
      </c>
      <c r="D1850" s="5" t="str">
        <f t="shared" si="65"/>
        <v>Calla</v>
      </c>
      <c r="E1850" s="5" t="str">
        <f t="shared" si="63"/>
        <v>ck M.</v>
      </c>
    </row>
    <row r="1851" spans="1:5" ht="15.75" customHeight="1" x14ac:dyDescent="0.3">
      <c r="A1851" s="4" t="s">
        <v>3702</v>
      </c>
      <c r="B1851" s="4" t="s">
        <v>3703</v>
      </c>
      <c r="C1851" s="5" t="str">
        <f t="shared" si="64"/>
        <v xml:space="preserve"> Mr</v>
      </c>
      <c r="D1851" s="5" t="str">
        <f t="shared" si="65"/>
        <v>Timko</v>
      </c>
      <c r="E1851" s="5" t="str">
        <f t="shared" si="63"/>
        <v xml:space="preserve"> Kyle</v>
      </c>
    </row>
    <row r="1852" spans="1:5" ht="15.75" customHeight="1" x14ac:dyDescent="0.3">
      <c r="A1852" s="4" t="s">
        <v>3704</v>
      </c>
      <c r="B1852" s="4" t="s">
        <v>3705</v>
      </c>
      <c r="C1852" s="5" t="str">
        <f t="shared" si="64"/>
        <v>, M</v>
      </c>
      <c r="D1852" s="5" t="str">
        <f t="shared" si="65"/>
        <v>Achat</v>
      </c>
      <c r="E1852" s="5" t="str">
        <f t="shared" si="63"/>
        <v xml:space="preserve"> Ryan</v>
      </c>
    </row>
    <row r="1853" spans="1:5" ht="15.75" customHeight="1" x14ac:dyDescent="0.3">
      <c r="A1853" s="4" t="s">
        <v>3706</v>
      </c>
      <c r="B1853" s="4" t="s">
        <v>3707</v>
      </c>
      <c r="C1853" s="5" t="str">
        <f t="shared" si="64"/>
        <v xml:space="preserve">z, </v>
      </c>
      <c r="D1853" s="5" t="str">
        <f t="shared" si="65"/>
        <v>Horwi</v>
      </c>
      <c r="E1853" s="5" t="str">
        <f t="shared" si="63"/>
        <v xml:space="preserve"> Yuri</v>
      </c>
    </row>
    <row r="1854" spans="1:5" ht="15.75" customHeight="1" x14ac:dyDescent="0.3">
      <c r="A1854" s="4" t="s">
        <v>3708</v>
      </c>
      <c r="B1854" s="4" t="s">
        <v>3709</v>
      </c>
      <c r="C1854" s="5" t="str">
        <f t="shared" si="64"/>
        <v xml:space="preserve">n, </v>
      </c>
      <c r="D1854" s="5" t="str">
        <f t="shared" si="65"/>
        <v>Gordy</v>
      </c>
      <c r="E1854" s="5" t="str">
        <f t="shared" si="63"/>
        <v xml:space="preserve"> Ryan</v>
      </c>
    </row>
    <row r="1855" spans="1:5" ht="15.75" customHeight="1" x14ac:dyDescent="0.3">
      <c r="A1855" s="4" t="s">
        <v>3710</v>
      </c>
      <c r="B1855" s="4" t="s">
        <v>3711</v>
      </c>
      <c r="C1855" s="5" t="str">
        <f t="shared" si="64"/>
        <v>ing</v>
      </c>
      <c r="D1855" s="5" t="str">
        <f t="shared" si="65"/>
        <v>Hethe</v>
      </c>
      <c r="E1855" s="5" t="str">
        <f t="shared" si="63"/>
        <v>ebbie</v>
      </c>
    </row>
    <row r="1856" spans="1:5" ht="15.75" customHeight="1" x14ac:dyDescent="0.3">
      <c r="A1856" s="4" t="s">
        <v>3712</v>
      </c>
      <c r="B1856" s="4" t="s">
        <v>3713</v>
      </c>
      <c r="C1856" s="5" t="str">
        <f t="shared" si="64"/>
        <v>on,</v>
      </c>
      <c r="D1856" s="5" t="str">
        <f t="shared" si="65"/>
        <v>Thomp</v>
      </c>
      <c r="E1856" s="5" t="str">
        <f t="shared" si="63"/>
        <v>ark D</v>
      </c>
    </row>
    <row r="1857" spans="1:5" ht="15.75" customHeight="1" x14ac:dyDescent="0.3">
      <c r="A1857" s="4" t="s">
        <v>3714</v>
      </c>
      <c r="B1857" s="4" t="s">
        <v>3715</v>
      </c>
      <c r="C1857" s="5" t="str">
        <f t="shared" si="64"/>
        <v>, M</v>
      </c>
      <c r="D1857" s="5" t="str">
        <f t="shared" si="65"/>
        <v>Batto</v>
      </c>
      <c r="E1857" s="5" t="str">
        <f t="shared" si="63"/>
        <v>opher</v>
      </c>
    </row>
    <row r="1858" spans="1:5" ht="15.75" customHeight="1" x14ac:dyDescent="0.3">
      <c r="A1858" s="4" t="s">
        <v>3716</v>
      </c>
      <c r="B1858" s="4" t="s">
        <v>3717</v>
      </c>
      <c r="C1858" s="5" t="str">
        <f t="shared" si="64"/>
        <v>, M</v>
      </c>
      <c r="D1858" s="5" t="str">
        <f t="shared" si="65"/>
        <v>Barke</v>
      </c>
      <c r="E1858" s="5" t="str">
        <f t="shared" ref="E1858:E1921" si="66">RIGHT(B1858,5)</f>
        <v>ell L</v>
      </c>
    </row>
    <row r="1859" spans="1:5" ht="15.75" customHeight="1" x14ac:dyDescent="0.3">
      <c r="A1859" s="4" t="s">
        <v>3718</v>
      </c>
      <c r="B1859" s="4" t="s">
        <v>3719</v>
      </c>
      <c r="C1859" s="5" t="str">
        <f t="shared" si="64"/>
        <v>leh</v>
      </c>
      <c r="D1859" s="5" t="str">
        <f t="shared" si="65"/>
        <v>Saarn</v>
      </c>
      <c r="E1859" s="5" t="str">
        <f t="shared" si="66"/>
        <v>Janne</v>
      </c>
    </row>
    <row r="1860" spans="1:5" ht="15.75" customHeight="1" x14ac:dyDescent="0.3">
      <c r="A1860" s="4" t="s">
        <v>3720</v>
      </c>
      <c r="B1860" s="4" t="s">
        <v>3721</v>
      </c>
      <c r="C1860" s="5" t="str">
        <f t="shared" si="64"/>
        <v>, M</v>
      </c>
      <c r="D1860" s="5" t="str">
        <f t="shared" si="65"/>
        <v>Morto</v>
      </c>
      <c r="E1860" s="5" t="str">
        <f t="shared" si="66"/>
        <v>rtina</v>
      </c>
    </row>
    <row r="1861" spans="1:5" ht="15.75" customHeight="1" x14ac:dyDescent="0.3">
      <c r="A1861" s="4" t="s">
        <v>3722</v>
      </c>
      <c r="B1861" s="4" t="s">
        <v>3723</v>
      </c>
      <c r="C1861" s="5" t="str">
        <f t="shared" si="64"/>
        <v>, M</v>
      </c>
      <c r="D1861" s="5" t="str">
        <f t="shared" si="65"/>
        <v>Thoma</v>
      </c>
      <c r="E1861" s="5" t="str">
        <f t="shared" si="66"/>
        <v>eth L</v>
      </c>
    </row>
    <row r="1862" spans="1:5" ht="15.75" customHeight="1" x14ac:dyDescent="0.3">
      <c r="A1862" s="4" t="s">
        <v>3724</v>
      </c>
      <c r="B1862" s="4" t="s">
        <v>3725</v>
      </c>
      <c r="C1862" s="5" t="str">
        <f t="shared" si="64"/>
        <v xml:space="preserve">n, </v>
      </c>
      <c r="D1862" s="5" t="str">
        <f t="shared" si="65"/>
        <v>Hillm</v>
      </c>
      <c r="E1862" s="5" t="str">
        <f t="shared" si="66"/>
        <v>ie C.</v>
      </c>
    </row>
    <row r="1863" spans="1:5" ht="15.75" customHeight="1" x14ac:dyDescent="0.3">
      <c r="A1863" s="4" t="s">
        <v>3726</v>
      </c>
      <c r="B1863" s="4" t="s">
        <v>3727</v>
      </c>
      <c r="C1863" s="5" t="str">
        <f t="shared" si="64"/>
        <v xml:space="preserve">s, </v>
      </c>
      <c r="D1863" s="5" t="str">
        <f t="shared" si="65"/>
        <v>Edwar</v>
      </c>
      <c r="E1863" s="5" t="str">
        <f t="shared" si="66"/>
        <v>Katie</v>
      </c>
    </row>
    <row r="1864" spans="1:5" ht="15.75" customHeight="1" x14ac:dyDescent="0.3">
      <c r="A1864" s="4" t="s">
        <v>3728</v>
      </c>
      <c r="B1864" s="4" t="s">
        <v>3729</v>
      </c>
      <c r="C1864" s="5" t="str">
        <f t="shared" si="64"/>
        <v>, M</v>
      </c>
      <c r="D1864" s="5" t="str">
        <f t="shared" si="65"/>
        <v>Barte</v>
      </c>
      <c r="E1864" s="5" t="str">
        <f t="shared" si="66"/>
        <v>allie</v>
      </c>
    </row>
    <row r="1865" spans="1:5" ht="15.75" customHeight="1" x14ac:dyDescent="0.3">
      <c r="A1865" s="4" t="s">
        <v>3730</v>
      </c>
      <c r="B1865" s="4" t="s">
        <v>3731</v>
      </c>
      <c r="C1865" s="5" t="str">
        <f t="shared" si="64"/>
        <v>ina</v>
      </c>
      <c r="D1865" s="5" t="str">
        <f t="shared" si="65"/>
        <v>Potek</v>
      </c>
      <c r="E1865" s="5" t="str">
        <f t="shared" si="66"/>
        <v xml:space="preserve"> Inna</v>
      </c>
    </row>
    <row r="1866" spans="1:5" ht="15.75" customHeight="1" x14ac:dyDescent="0.3">
      <c r="A1866" s="4" t="s">
        <v>3732</v>
      </c>
      <c r="B1866" s="4" t="s">
        <v>3733</v>
      </c>
      <c r="C1866" s="5" t="str">
        <f t="shared" si="64"/>
        <v xml:space="preserve"> Ms</v>
      </c>
      <c r="D1866" s="5" t="str">
        <f t="shared" si="65"/>
        <v>Kelly</v>
      </c>
      <c r="E1866" s="5" t="str">
        <f t="shared" si="66"/>
        <v>ry K.</v>
      </c>
    </row>
    <row r="1867" spans="1:5" ht="15.75" customHeight="1" x14ac:dyDescent="0.3">
      <c r="A1867" s="4" t="s">
        <v>3734</v>
      </c>
      <c r="B1867" s="4" t="s">
        <v>3735</v>
      </c>
      <c r="C1867" s="5" t="str">
        <f t="shared" si="64"/>
        <v>Mr.</v>
      </c>
      <c r="D1867" s="5" t="str">
        <f t="shared" si="65"/>
        <v>Lapp,</v>
      </c>
      <c r="E1867" s="5" t="str">
        <f t="shared" si="66"/>
        <v>el M.</v>
      </c>
    </row>
    <row r="1868" spans="1:5" ht="15.75" customHeight="1" x14ac:dyDescent="0.3">
      <c r="A1868" s="4" t="s">
        <v>3736</v>
      </c>
      <c r="B1868" s="4" t="s">
        <v>3737</v>
      </c>
      <c r="C1868" s="5" t="str">
        <f t="shared" si="64"/>
        <v xml:space="preserve"> Ms</v>
      </c>
      <c r="D1868" s="5" t="str">
        <f t="shared" si="65"/>
        <v>Burke</v>
      </c>
      <c r="E1868" s="5" t="str">
        <f t="shared" si="66"/>
        <v>berly</v>
      </c>
    </row>
    <row r="1869" spans="1:5" ht="15.75" customHeight="1" x14ac:dyDescent="0.3">
      <c r="A1869" s="4" t="s">
        <v>3738</v>
      </c>
      <c r="B1869" s="4" t="s">
        <v>3739</v>
      </c>
      <c r="C1869" s="5" t="str">
        <f t="shared" si="64"/>
        <v xml:space="preserve"> Mr</v>
      </c>
      <c r="D1869" s="5" t="str">
        <f t="shared" si="65"/>
        <v>Barry</v>
      </c>
      <c r="E1869" s="5" t="str">
        <f t="shared" si="66"/>
        <v>om J.</v>
      </c>
    </row>
    <row r="1870" spans="1:5" ht="15.75" customHeight="1" x14ac:dyDescent="0.3">
      <c r="A1870" s="4" t="s">
        <v>3740</v>
      </c>
      <c r="B1870" s="4" t="s">
        <v>3741</v>
      </c>
      <c r="C1870" s="5" t="str">
        <f t="shared" si="64"/>
        <v>ick</v>
      </c>
      <c r="D1870" s="5" t="str">
        <f t="shared" si="65"/>
        <v>McCor</v>
      </c>
      <c r="E1870" s="5" t="str">
        <f t="shared" si="66"/>
        <v>chary</v>
      </c>
    </row>
    <row r="1871" spans="1:5" ht="15.75" customHeight="1" x14ac:dyDescent="0.3">
      <c r="A1871" s="4" t="s">
        <v>3742</v>
      </c>
      <c r="B1871" s="4" t="s">
        <v>3743</v>
      </c>
      <c r="C1871" s="5" t="str">
        <f t="shared" si="64"/>
        <v xml:space="preserve">y, </v>
      </c>
      <c r="D1871" s="5" t="str">
        <f t="shared" si="65"/>
        <v>McElr</v>
      </c>
      <c r="E1871" s="5" t="str">
        <f t="shared" si="66"/>
        <v xml:space="preserve"> Dane</v>
      </c>
    </row>
    <row r="1872" spans="1:5" ht="15.75" customHeight="1" x14ac:dyDescent="0.3">
      <c r="A1872" s="4" t="s">
        <v>3744</v>
      </c>
      <c r="B1872" s="4" t="s">
        <v>3745</v>
      </c>
      <c r="C1872" s="5" t="str">
        <f t="shared" si="64"/>
        <v>, M</v>
      </c>
      <c r="D1872" s="5" t="str">
        <f t="shared" si="65"/>
        <v>Coffe</v>
      </c>
      <c r="E1872" s="5" t="str">
        <f t="shared" si="66"/>
        <v>gie J</v>
      </c>
    </row>
    <row r="1873" spans="1:5" ht="15.75" customHeight="1" x14ac:dyDescent="0.3">
      <c r="A1873" s="4" t="s">
        <v>3746</v>
      </c>
      <c r="B1873" s="4" t="s">
        <v>3747</v>
      </c>
      <c r="C1873" s="5" t="str">
        <f t="shared" si="64"/>
        <v xml:space="preserve"> Mr</v>
      </c>
      <c r="D1873" s="5" t="str">
        <f t="shared" ref="D1873:D1936" si="67">LEFT(B1873,5)</f>
        <v>Estes</v>
      </c>
      <c r="E1873" s="5" t="str">
        <f t="shared" si="66"/>
        <v>iah H</v>
      </c>
    </row>
    <row r="1874" spans="1:5" ht="15.75" customHeight="1" x14ac:dyDescent="0.3">
      <c r="A1874" s="4" t="s">
        <v>3748</v>
      </c>
      <c r="B1874" s="4" t="s">
        <v>3749</v>
      </c>
      <c r="C1874" s="5" t="str">
        <f t="shared" si="64"/>
        <v xml:space="preserve"> Mr</v>
      </c>
      <c r="D1874" s="5" t="str">
        <f t="shared" si="67"/>
        <v>Miles</v>
      </c>
      <c r="E1874" s="5" t="str">
        <f t="shared" si="66"/>
        <v>ey J.</v>
      </c>
    </row>
    <row r="1875" spans="1:5" ht="15.75" customHeight="1" x14ac:dyDescent="0.3">
      <c r="A1875" s="4" t="s">
        <v>3750</v>
      </c>
      <c r="B1875" s="4" t="s">
        <v>3751</v>
      </c>
      <c r="C1875" s="5" t="str">
        <f t="shared" si="64"/>
        <v>, M</v>
      </c>
      <c r="D1875" s="5" t="str">
        <f t="shared" si="67"/>
        <v>Zamor</v>
      </c>
      <c r="E1875" s="5" t="str">
        <f t="shared" si="66"/>
        <v>er J.</v>
      </c>
    </row>
    <row r="1876" spans="1:5" ht="15.75" customHeight="1" x14ac:dyDescent="0.3">
      <c r="A1876" s="4" t="s">
        <v>3752</v>
      </c>
      <c r="B1876" s="4" t="s">
        <v>3753</v>
      </c>
      <c r="C1876" s="5" t="str">
        <f t="shared" si="64"/>
        <v xml:space="preserve">y, </v>
      </c>
      <c r="D1876" s="5" t="str">
        <f t="shared" si="67"/>
        <v>Donag</v>
      </c>
      <c r="E1876" s="5" t="str">
        <f t="shared" si="66"/>
        <v>Roger</v>
      </c>
    </row>
    <row r="1877" spans="1:5" ht="15.75" customHeight="1" x14ac:dyDescent="0.3">
      <c r="A1877" s="4" t="s">
        <v>3754</v>
      </c>
      <c r="B1877" s="4" t="s">
        <v>3755</v>
      </c>
      <c r="C1877" s="5" t="str">
        <f t="shared" si="64"/>
        <v xml:space="preserve">y, </v>
      </c>
      <c r="D1877" s="5" t="str">
        <f t="shared" si="67"/>
        <v>Kenne</v>
      </c>
      <c r="E1877" s="5" t="str">
        <f t="shared" si="66"/>
        <v>amela</v>
      </c>
    </row>
    <row r="1878" spans="1:5" ht="15.75" customHeight="1" x14ac:dyDescent="0.3">
      <c r="A1878" s="4" t="s">
        <v>3756</v>
      </c>
      <c r="B1878" s="4" t="s">
        <v>3757</v>
      </c>
      <c r="C1878" s="5" t="str">
        <f t="shared" si="64"/>
        <v xml:space="preserve">i, </v>
      </c>
      <c r="D1878" s="5" t="str">
        <f t="shared" si="67"/>
        <v>Fiori</v>
      </c>
      <c r="E1878" s="5" t="str">
        <f t="shared" si="66"/>
        <v>on M.</v>
      </c>
    </row>
    <row r="1879" spans="1:5" ht="15.75" customHeight="1" x14ac:dyDescent="0.3">
      <c r="A1879" s="4" t="s">
        <v>3758</v>
      </c>
      <c r="B1879" s="4" t="s">
        <v>3759</v>
      </c>
      <c r="C1879" s="5" t="str">
        <f t="shared" si="64"/>
        <v>der</v>
      </c>
      <c r="D1879" s="5" t="str">
        <f t="shared" si="67"/>
        <v>Alexa</v>
      </c>
      <c r="E1879" s="5" t="str">
        <f t="shared" si="66"/>
        <v>ne H.</v>
      </c>
    </row>
    <row r="1880" spans="1:5" ht="15.75" customHeight="1" x14ac:dyDescent="0.3">
      <c r="A1880" s="4" t="s">
        <v>3760</v>
      </c>
      <c r="B1880" s="4" t="s">
        <v>3761</v>
      </c>
      <c r="C1880" s="5" t="str">
        <f t="shared" si="64"/>
        <v xml:space="preserve">s, </v>
      </c>
      <c r="D1880" s="5" t="str">
        <f t="shared" si="67"/>
        <v>Watki</v>
      </c>
      <c r="E1880" s="5" t="str">
        <f t="shared" si="66"/>
        <v>Robin</v>
      </c>
    </row>
    <row r="1881" spans="1:5" ht="15.75" customHeight="1" x14ac:dyDescent="0.3">
      <c r="A1881" s="4" t="s">
        <v>3762</v>
      </c>
      <c r="B1881" s="4" t="s">
        <v>3763</v>
      </c>
      <c r="C1881" s="5" t="str">
        <f t="shared" si="64"/>
        <v>, M</v>
      </c>
      <c r="D1881" s="5" t="str">
        <f t="shared" si="67"/>
        <v>Casse</v>
      </c>
      <c r="E1881" s="5" t="str">
        <f t="shared" si="66"/>
        <v>Terri</v>
      </c>
    </row>
    <row r="1882" spans="1:5" ht="15.75" customHeight="1" x14ac:dyDescent="0.3">
      <c r="A1882" s="4" t="s">
        <v>3764</v>
      </c>
      <c r="B1882" s="4" t="s">
        <v>3765</v>
      </c>
      <c r="C1882" s="5" t="str">
        <f t="shared" si="64"/>
        <v>on,</v>
      </c>
      <c r="D1882" s="5" t="str">
        <f t="shared" si="67"/>
        <v>Fergu</v>
      </c>
      <c r="E1882" s="5" t="str">
        <f t="shared" si="66"/>
        <v>Eddie</v>
      </c>
    </row>
    <row r="1883" spans="1:5" ht="15.75" customHeight="1" x14ac:dyDescent="0.3">
      <c r="A1883" s="4" t="s">
        <v>3766</v>
      </c>
      <c r="B1883" s="4" t="s">
        <v>3767</v>
      </c>
      <c r="C1883" s="5" t="str">
        <f t="shared" si="64"/>
        <v>iva</v>
      </c>
      <c r="D1883" s="5" t="str">
        <f t="shared" si="67"/>
        <v>O'Sul</v>
      </c>
      <c r="E1883" s="5" t="str">
        <f t="shared" si="66"/>
        <v>amela</v>
      </c>
    </row>
    <row r="1884" spans="1:5" ht="15.75" customHeight="1" x14ac:dyDescent="0.3">
      <c r="A1884" s="4" t="s">
        <v>3768</v>
      </c>
      <c r="B1884" s="4" t="s">
        <v>3769</v>
      </c>
      <c r="C1884" s="5" t="str">
        <f t="shared" si="64"/>
        <v>rui</v>
      </c>
      <c r="D1884" s="5" t="str">
        <f t="shared" si="67"/>
        <v>Chepk</v>
      </c>
      <c r="E1884" s="5" t="str">
        <f t="shared" si="66"/>
        <v>Joyce</v>
      </c>
    </row>
    <row r="1885" spans="1:5" ht="15.75" customHeight="1" x14ac:dyDescent="0.3">
      <c r="A1885" s="4" t="s">
        <v>3770</v>
      </c>
      <c r="B1885" s="4" t="s">
        <v>3771</v>
      </c>
      <c r="C1885" s="5" t="str">
        <f t="shared" si="64"/>
        <v>, M</v>
      </c>
      <c r="D1885" s="5" t="str">
        <f t="shared" si="67"/>
        <v>Gurne</v>
      </c>
      <c r="E1885" s="5" t="str">
        <f t="shared" si="66"/>
        <v>on W.</v>
      </c>
    </row>
    <row r="1886" spans="1:5" ht="15.75" customHeight="1" x14ac:dyDescent="0.3">
      <c r="A1886" s="4" t="s">
        <v>3772</v>
      </c>
      <c r="B1886" s="4" t="s">
        <v>3773</v>
      </c>
      <c r="C1886" s="5" t="str">
        <f t="shared" si="64"/>
        <v xml:space="preserve">s, </v>
      </c>
      <c r="D1886" s="5" t="str">
        <f t="shared" si="67"/>
        <v>Franc</v>
      </c>
      <c r="E1886" s="5" t="str">
        <f t="shared" si="66"/>
        <v>ara C</v>
      </c>
    </row>
    <row r="1887" spans="1:5" ht="15.75" customHeight="1" x14ac:dyDescent="0.3">
      <c r="A1887" s="4" t="s">
        <v>3774</v>
      </c>
      <c r="B1887" s="4" t="s">
        <v>3775</v>
      </c>
      <c r="C1887" s="5" t="str">
        <f t="shared" si="64"/>
        <v xml:space="preserve"> Ms</v>
      </c>
      <c r="D1887" s="5" t="str">
        <f t="shared" si="67"/>
        <v>Gruca</v>
      </c>
      <c r="E1887" s="5" t="str">
        <f t="shared" si="66"/>
        <v>orota</v>
      </c>
    </row>
    <row r="1888" spans="1:5" ht="15.75" customHeight="1" x14ac:dyDescent="0.3">
      <c r="A1888" s="4" t="s">
        <v>3776</v>
      </c>
      <c r="B1888" s="4" t="s">
        <v>3777</v>
      </c>
      <c r="C1888" s="5" t="str">
        <f t="shared" si="64"/>
        <v>Alv</v>
      </c>
      <c r="D1888" s="5" t="str">
        <f t="shared" si="67"/>
        <v>Rojas</v>
      </c>
      <c r="E1888" s="5" t="str">
        <f t="shared" si="66"/>
        <v>o Sr.</v>
      </c>
    </row>
    <row r="1889" spans="1:5" ht="15.75" customHeight="1" x14ac:dyDescent="0.3">
      <c r="A1889" s="4" t="s">
        <v>3778</v>
      </c>
      <c r="B1889" s="4" t="s">
        <v>3779</v>
      </c>
      <c r="C1889" s="5" t="str">
        <f t="shared" si="64"/>
        <v>, M</v>
      </c>
      <c r="D1889" s="5" t="str">
        <f t="shared" si="67"/>
        <v>Dento</v>
      </c>
      <c r="E1889" s="5" t="str">
        <f t="shared" si="66"/>
        <v>Peter</v>
      </c>
    </row>
    <row r="1890" spans="1:5" ht="15.75" customHeight="1" x14ac:dyDescent="0.3">
      <c r="A1890" s="4" t="s">
        <v>3780</v>
      </c>
      <c r="B1890" s="4" t="s">
        <v>3781</v>
      </c>
      <c r="C1890" s="5" t="str">
        <f t="shared" si="64"/>
        <v xml:space="preserve"> Mr</v>
      </c>
      <c r="D1890" s="5" t="str">
        <f t="shared" si="67"/>
        <v>Mason</v>
      </c>
      <c r="E1890" s="5" t="str">
        <f t="shared" si="66"/>
        <v>ryant</v>
      </c>
    </row>
    <row r="1891" spans="1:5" ht="15.75" customHeight="1" x14ac:dyDescent="0.3">
      <c r="A1891" s="4" t="s">
        <v>3782</v>
      </c>
      <c r="B1891" s="4" t="s">
        <v>3783</v>
      </c>
      <c r="C1891" s="5" t="str">
        <f t="shared" si="64"/>
        <v xml:space="preserve"> Ms</v>
      </c>
      <c r="D1891" s="5" t="str">
        <f t="shared" si="67"/>
        <v>Trout</v>
      </c>
      <c r="E1891" s="5" t="str">
        <f t="shared" si="66"/>
        <v>stina</v>
      </c>
    </row>
    <row r="1892" spans="1:5" ht="15.75" customHeight="1" x14ac:dyDescent="0.3">
      <c r="A1892" s="4" t="s">
        <v>3784</v>
      </c>
      <c r="B1892" s="4" t="s">
        <v>3785</v>
      </c>
      <c r="C1892" s="5" t="str">
        <f t="shared" si="64"/>
        <v xml:space="preserve">t, </v>
      </c>
      <c r="D1892" s="5" t="str">
        <f t="shared" si="67"/>
        <v>Gilbe</v>
      </c>
      <c r="E1892" s="5" t="str">
        <f t="shared" si="66"/>
        <v xml:space="preserve"> John</v>
      </c>
    </row>
    <row r="1893" spans="1:5" ht="15.75" customHeight="1" x14ac:dyDescent="0.3">
      <c r="A1893" s="4" t="s">
        <v>3786</v>
      </c>
      <c r="B1893" s="4" t="s">
        <v>3787</v>
      </c>
      <c r="C1893" s="5" t="str">
        <f t="shared" si="64"/>
        <v xml:space="preserve"> Mr</v>
      </c>
      <c r="D1893" s="5" t="str">
        <f t="shared" si="67"/>
        <v>Chong</v>
      </c>
      <c r="E1893" s="5" t="str">
        <f t="shared" si="66"/>
        <v>uardo</v>
      </c>
    </row>
    <row r="1894" spans="1:5" ht="15.75" customHeight="1" x14ac:dyDescent="0.3">
      <c r="A1894" s="4" t="s">
        <v>3788</v>
      </c>
      <c r="B1894" s="4" t="s">
        <v>3789</v>
      </c>
      <c r="C1894" s="5" t="str">
        <f t="shared" si="64"/>
        <v xml:space="preserve"> Ms</v>
      </c>
      <c r="D1894" s="5" t="str">
        <f t="shared" si="67"/>
        <v>Henry</v>
      </c>
      <c r="E1894" s="5" t="str">
        <f t="shared" si="66"/>
        <v>ra M.</v>
      </c>
    </row>
    <row r="1895" spans="1:5" ht="15.75" customHeight="1" x14ac:dyDescent="0.3">
      <c r="A1895" s="4" t="s">
        <v>3790</v>
      </c>
      <c r="B1895" s="4" t="s">
        <v>3791</v>
      </c>
      <c r="C1895" s="5" t="str">
        <f t="shared" si="64"/>
        <v>man</v>
      </c>
      <c r="D1895" s="5" t="str">
        <f t="shared" si="67"/>
        <v>Brenn</v>
      </c>
      <c r="E1895" s="5" t="str">
        <f t="shared" si="66"/>
        <v>arlie</v>
      </c>
    </row>
    <row r="1896" spans="1:5" ht="15.75" customHeight="1" x14ac:dyDescent="0.3">
      <c r="A1896" s="4" t="s">
        <v>3792</v>
      </c>
      <c r="B1896" s="4" t="s">
        <v>3793</v>
      </c>
      <c r="C1896" s="5" t="str">
        <f t="shared" si="64"/>
        <v>Ms.</v>
      </c>
      <c r="D1896" s="5" t="str">
        <f t="shared" si="67"/>
        <v>Kemp,</v>
      </c>
      <c r="E1896" s="5" t="str">
        <f t="shared" si="66"/>
        <v>sa D.</v>
      </c>
    </row>
    <row r="1897" spans="1:5" ht="15.75" customHeight="1" x14ac:dyDescent="0.3">
      <c r="A1897" s="4" t="s">
        <v>3794</v>
      </c>
      <c r="B1897" s="4" t="s">
        <v>3795</v>
      </c>
      <c r="C1897" s="5" t="str">
        <f t="shared" si="64"/>
        <v>, M</v>
      </c>
      <c r="D1897" s="5" t="str">
        <f t="shared" si="67"/>
        <v>Wilso</v>
      </c>
      <c r="E1897" s="5" t="str">
        <f t="shared" si="66"/>
        <v>. Jr.</v>
      </c>
    </row>
    <row r="1898" spans="1:5" ht="15.75" customHeight="1" x14ac:dyDescent="0.3">
      <c r="A1898" s="4" t="s">
        <v>3796</v>
      </c>
      <c r="B1898" s="4" t="s">
        <v>3797</v>
      </c>
      <c r="C1898" s="5" t="str">
        <f t="shared" si="64"/>
        <v>rd,</v>
      </c>
      <c r="D1898" s="5" t="str">
        <f t="shared" si="67"/>
        <v>Hilly</v>
      </c>
      <c r="E1898" s="5" t="str">
        <f t="shared" si="66"/>
        <v>tthew</v>
      </c>
    </row>
    <row r="1899" spans="1:5" ht="15.75" customHeight="1" x14ac:dyDescent="0.3">
      <c r="A1899" s="4" t="s">
        <v>3798</v>
      </c>
      <c r="B1899" s="4" t="s">
        <v>3799</v>
      </c>
      <c r="C1899" s="5" t="str">
        <f t="shared" si="64"/>
        <v>, M</v>
      </c>
      <c r="D1899" s="5" t="str">
        <f t="shared" si="67"/>
        <v>Turne</v>
      </c>
      <c r="E1899" s="5" t="str">
        <f t="shared" si="66"/>
        <v>ey C.</v>
      </c>
    </row>
    <row r="1900" spans="1:5" ht="15.75" customHeight="1" x14ac:dyDescent="0.3">
      <c r="A1900" s="4" t="s">
        <v>3800</v>
      </c>
      <c r="B1900" s="4" t="s">
        <v>3801</v>
      </c>
      <c r="C1900" s="5" t="str">
        <f t="shared" si="64"/>
        <v>ad,</v>
      </c>
      <c r="D1900" s="5" t="str">
        <f t="shared" si="67"/>
        <v>Benes</v>
      </c>
      <c r="E1900" s="5" t="str">
        <f t="shared" si="66"/>
        <v>opher</v>
      </c>
    </row>
    <row r="1901" spans="1:5" ht="15.75" customHeight="1" x14ac:dyDescent="0.3">
      <c r="A1901" s="4" t="s">
        <v>3802</v>
      </c>
      <c r="B1901" s="4" t="s">
        <v>3803</v>
      </c>
      <c r="C1901" s="5" t="str">
        <f t="shared" si="64"/>
        <v>es,</v>
      </c>
      <c r="D1901" s="5" t="str">
        <f t="shared" si="67"/>
        <v>Gonza</v>
      </c>
      <c r="E1901" s="5" t="str">
        <f t="shared" si="66"/>
        <v>ssica</v>
      </c>
    </row>
    <row r="1902" spans="1:5" ht="15.75" customHeight="1" x14ac:dyDescent="0.3">
      <c r="A1902" s="4" t="s">
        <v>3804</v>
      </c>
      <c r="B1902" s="4" t="s">
        <v>3805</v>
      </c>
      <c r="C1902" s="5" t="str">
        <f t="shared" si="64"/>
        <v>, M</v>
      </c>
      <c r="D1902" s="5" t="str">
        <f t="shared" si="67"/>
        <v>Newma</v>
      </c>
      <c r="E1902" s="5" t="str">
        <f t="shared" si="66"/>
        <v>istin</v>
      </c>
    </row>
    <row r="1903" spans="1:5" ht="15.75" customHeight="1" x14ac:dyDescent="0.3">
      <c r="A1903" s="4" t="s">
        <v>3806</v>
      </c>
      <c r="B1903" s="4" t="s">
        <v>3807</v>
      </c>
      <c r="C1903" s="5" t="str">
        <f t="shared" si="64"/>
        <v xml:space="preserve"> Ms</v>
      </c>
      <c r="D1903" s="5" t="str">
        <f t="shared" si="67"/>
        <v>Sayre</v>
      </c>
      <c r="E1903" s="5" t="str">
        <f t="shared" si="66"/>
        <v xml:space="preserve"> Sara</v>
      </c>
    </row>
    <row r="1904" spans="1:5" ht="15.75" customHeight="1" x14ac:dyDescent="0.3">
      <c r="A1904" s="4" t="s">
        <v>3808</v>
      </c>
      <c r="B1904" s="4" t="s">
        <v>3809</v>
      </c>
      <c r="C1904" s="5" t="str">
        <f t="shared" si="64"/>
        <v xml:space="preserve"> Ms</v>
      </c>
      <c r="D1904" s="5" t="str">
        <f t="shared" si="67"/>
        <v>Panke</v>
      </c>
      <c r="E1904" s="5" t="str">
        <f t="shared" si="66"/>
        <v>abeth</v>
      </c>
    </row>
    <row r="1905" spans="1:5" ht="15.75" customHeight="1" x14ac:dyDescent="0.3">
      <c r="A1905" s="4" t="s">
        <v>3810</v>
      </c>
      <c r="B1905" s="4" t="s">
        <v>3811</v>
      </c>
      <c r="C1905" s="5" t="str">
        <f t="shared" si="64"/>
        <v xml:space="preserve">n, </v>
      </c>
      <c r="D1905" s="5" t="str">
        <f t="shared" si="67"/>
        <v>Brenn</v>
      </c>
      <c r="E1905" s="5" t="str">
        <f t="shared" si="66"/>
        <v>et P.</v>
      </c>
    </row>
    <row r="1906" spans="1:5" ht="15.75" customHeight="1" x14ac:dyDescent="0.3">
      <c r="A1906" s="4" t="s">
        <v>3812</v>
      </c>
      <c r="B1906" s="4" t="s">
        <v>3813</v>
      </c>
      <c r="C1906" s="5" t="str">
        <f t="shared" si="64"/>
        <v xml:space="preserve">s. </v>
      </c>
      <c r="D1906" s="5" t="str">
        <f t="shared" si="67"/>
        <v xml:space="preserve">Ngo, </v>
      </c>
      <c r="E1906" s="5" t="str">
        <f t="shared" si="66"/>
        <v>any K</v>
      </c>
    </row>
    <row r="1907" spans="1:5" ht="15.75" customHeight="1" x14ac:dyDescent="0.3">
      <c r="A1907" s="4" t="s">
        <v>3814</v>
      </c>
      <c r="B1907" s="4" t="s">
        <v>3815</v>
      </c>
      <c r="C1907" s="5" t="str">
        <f t="shared" si="64"/>
        <v xml:space="preserve">n, </v>
      </c>
      <c r="D1907" s="5" t="str">
        <f t="shared" si="67"/>
        <v>Guerd</v>
      </c>
      <c r="E1907" s="5" t="str">
        <f t="shared" si="66"/>
        <v>id M.</v>
      </c>
    </row>
    <row r="1908" spans="1:5" ht="15.75" customHeight="1" x14ac:dyDescent="0.3">
      <c r="A1908" s="4" t="s">
        <v>3816</v>
      </c>
      <c r="B1908" s="4" t="s">
        <v>3817</v>
      </c>
      <c r="C1908" s="5" t="str">
        <f t="shared" si="64"/>
        <v>Ms.</v>
      </c>
      <c r="D1908" s="5" t="str">
        <f t="shared" si="67"/>
        <v>Shaw,</v>
      </c>
      <c r="E1908" s="5" t="str">
        <f t="shared" si="66"/>
        <v>ine E</v>
      </c>
    </row>
    <row r="1909" spans="1:5" ht="15.75" customHeight="1" x14ac:dyDescent="0.3">
      <c r="A1909" s="4" t="s">
        <v>3818</v>
      </c>
      <c r="B1909" s="4" t="s">
        <v>3819</v>
      </c>
      <c r="C1909" s="5" t="str">
        <f t="shared" si="64"/>
        <v>Hon</v>
      </c>
      <c r="D1909" s="5" t="str">
        <f t="shared" si="67"/>
        <v>Mills</v>
      </c>
      <c r="E1909" s="5" t="str">
        <f t="shared" si="66"/>
        <v>Donna</v>
      </c>
    </row>
    <row r="1910" spans="1:5" ht="15.75" customHeight="1" x14ac:dyDescent="0.3">
      <c r="A1910" s="4" t="s">
        <v>3820</v>
      </c>
      <c r="B1910" s="4" t="s">
        <v>3821</v>
      </c>
      <c r="C1910" s="5" t="str">
        <f t="shared" si="64"/>
        <v xml:space="preserve">d, </v>
      </c>
      <c r="D1910" s="5" t="str">
        <f t="shared" si="67"/>
        <v>Farva</v>
      </c>
      <c r="E1910" s="5" t="str">
        <f t="shared" si="66"/>
        <v xml:space="preserve">  Rod</v>
      </c>
    </row>
    <row r="1911" spans="1:5" ht="15.75" customHeight="1" x14ac:dyDescent="0.3">
      <c r="A1911" s="4" t="s">
        <v>3822</v>
      </c>
      <c r="B1911" s="4" t="s">
        <v>3823</v>
      </c>
      <c r="C1911" s="5" t="str">
        <f t="shared" si="64"/>
        <v xml:space="preserve"> Mr</v>
      </c>
      <c r="D1911" s="5" t="str">
        <f t="shared" si="67"/>
        <v>Kelly</v>
      </c>
      <c r="E1911" s="5" t="str">
        <f t="shared" si="66"/>
        <v xml:space="preserve">  Joe</v>
      </c>
    </row>
    <row r="1912" spans="1:5" ht="15.75" customHeight="1" x14ac:dyDescent="0.3">
      <c r="A1912" s="4" t="s">
        <v>3824</v>
      </c>
      <c r="B1912" s="4" t="s">
        <v>3825</v>
      </c>
      <c r="C1912" s="5" t="str">
        <f t="shared" si="64"/>
        <v xml:space="preserve">r, </v>
      </c>
      <c r="D1912" s="5" t="str">
        <f t="shared" si="67"/>
        <v>Skinn</v>
      </c>
      <c r="E1912" s="5" t="str">
        <f t="shared" si="66"/>
        <v>leigh</v>
      </c>
    </row>
    <row r="1913" spans="1:5" ht="15.75" customHeight="1" x14ac:dyDescent="0.3">
      <c r="A1913" s="4" t="s">
        <v>3826</v>
      </c>
      <c r="B1913" s="4" t="s">
        <v>3827</v>
      </c>
      <c r="C1913" s="5" t="str">
        <f t="shared" si="64"/>
        <v>, M</v>
      </c>
      <c r="D1913" s="5" t="str">
        <f t="shared" si="67"/>
        <v>Murph</v>
      </c>
      <c r="E1913" s="5" t="str">
        <f t="shared" si="66"/>
        <v>an A.</v>
      </c>
    </row>
    <row r="1914" spans="1:5" ht="15.75" customHeight="1" x14ac:dyDescent="0.3">
      <c r="A1914" s="4" t="s">
        <v>3828</v>
      </c>
      <c r="B1914" s="4" t="s">
        <v>3829</v>
      </c>
      <c r="C1914" s="5" t="str">
        <f t="shared" si="64"/>
        <v>Mr.</v>
      </c>
      <c r="D1914" s="5" t="str">
        <f t="shared" si="67"/>
        <v>Shue,</v>
      </c>
      <c r="E1914" s="5" t="str">
        <f t="shared" si="66"/>
        <v>Billy</v>
      </c>
    </row>
    <row r="1915" spans="1:5" ht="15.75" customHeight="1" x14ac:dyDescent="0.3">
      <c r="A1915" s="4" t="s">
        <v>3830</v>
      </c>
      <c r="B1915" s="4" t="s">
        <v>3831</v>
      </c>
      <c r="C1915" s="5" t="str">
        <f t="shared" si="64"/>
        <v>, M</v>
      </c>
      <c r="D1915" s="5" t="str">
        <f t="shared" si="67"/>
        <v>Reill</v>
      </c>
      <c r="E1915" s="5" t="str">
        <f t="shared" si="66"/>
        <v>ul M.</v>
      </c>
    </row>
    <row r="1916" spans="1:5" ht="15.75" customHeight="1" x14ac:dyDescent="0.3">
      <c r="A1916" s="4" t="s">
        <v>3832</v>
      </c>
      <c r="B1916" s="4" t="s">
        <v>3833</v>
      </c>
      <c r="C1916" s="5" t="str">
        <f t="shared" si="64"/>
        <v xml:space="preserve"> Ms</v>
      </c>
      <c r="D1916" s="5" t="str">
        <f t="shared" si="67"/>
        <v>Blinn</v>
      </c>
      <c r="E1916" s="5" t="str">
        <f t="shared" si="66"/>
        <v>da M.</v>
      </c>
    </row>
    <row r="1917" spans="1:5" ht="15.75" customHeight="1" x14ac:dyDescent="0.3">
      <c r="A1917" s="4" t="s">
        <v>3834</v>
      </c>
      <c r="B1917" s="4" t="s">
        <v>3835</v>
      </c>
      <c r="C1917" s="5" t="str">
        <f t="shared" si="64"/>
        <v>Mr.</v>
      </c>
      <c r="D1917" s="5" t="str">
        <f t="shared" si="67"/>
        <v>Duyn,</v>
      </c>
      <c r="E1917" s="5" t="str">
        <f t="shared" si="66"/>
        <v>eff H</v>
      </c>
    </row>
    <row r="1918" spans="1:5" ht="15.75" customHeight="1" x14ac:dyDescent="0.3">
      <c r="A1918" s="4" t="s">
        <v>3836</v>
      </c>
      <c r="B1918" s="4" t="s">
        <v>3837</v>
      </c>
      <c r="C1918" s="5" t="str">
        <f t="shared" si="64"/>
        <v xml:space="preserve">n, </v>
      </c>
      <c r="D1918" s="5" t="str">
        <f t="shared" si="67"/>
        <v>Wardi</v>
      </c>
      <c r="E1918" s="5" t="str">
        <f t="shared" si="66"/>
        <v>chael</v>
      </c>
    </row>
    <row r="1919" spans="1:5" ht="15.75" customHeight="1" x14ac:dyDescent="0.3">
      <c r="A1919" s="4" t="s">
        <v>3838</v>
      </c>
      <c r="B1919" s="4" t="s">
        <v>3839</v>
      </c>
      <c r="C1919" s="5" t="str">
        <f t="shared" si="64"/>
        <v>ck,</v>
      </c>
      <c r="D1919" s="5" t="str">
        <f t="shared" si="67"/>
        <v>Heuni</v>
      </c>
      <c r="E1919" s="5" t="str">
        <f t="shared" si="66"/>
        <v xml:space="preserve">  Jan</v>
      </c>
    </row>
    <row r="1920" spans="1:5" ht="15.75" customHeight="1" x14ac:dyDescent="0.3">
      <c r="A1920" s="4" t="s">
        <v>3840</v>
      </c>
      <c r="B1920" s="4" t="s">
        <v>3841</v>
      </c>
      <c r="C1920" s="5" t="str">
        <f t="shared" si="64"/>
        <v xml:space="preserve">o, </v>
      </c>
      <c r="D1920" s="5" t="str">
        <f t="shared" si="67"/>
        <v>Kipye</v>
      </c>
      <c r="E1920" s="5" t="str">
        <f t="shared" si="66"/>
        <v>rnard</v>
      </c>
    </row>
    <row r="1921" spans="1:5" ht="15.75" customHeight="1" x14ac:dyDescent="0.3">
      <c r="A1921" s="4" t="s">
        <v>3842</v>
      </c>
      <c r="B1921" s="4" t="s">
        <v>3843</v>
      </c>
      <c r="C1921" s="5" t="str">
        <f t="shared" si="64"/>
        <v xml:space="preserve"> Mr</v>
      </c>
      <c r="D1921" s="5" t="str">
        <f t="shared" si="67"/>
        <v>Kuehl</v>
      </c>
      <c r="E1921" s="5" t="str">
        <f t="shared" si="66"/>
        <v>Craig</v>
      </c>
    </row>
    <row r="1922" spans="1:5" ht="15.75" customHeight="1" x14ac:dyDescent="0.3">
      <c r="A1922" s="4" t="s">
        <v>3844</v>
      </c>
      <c r="B1922" s="4" t="s">
        <v>3845</v>
      </c>
      <c r="C1922" s="5" t="str">
        <f t="shared" si="64"/>
        <v>lde</v>
      </c>
      <c r="D1922" s="5" t="str">
        <f t="shared" si="67"/>
        <v>Burkh</v>
      </c>
      <c r="E1922" s="5" t="str">
        <f t="shared" ref="E1922:E1985" si="68">RIGHT(B1922,5)</f>
        <v xml:space="preserve"> Bryn</v>
      </c>
    </row>
    <row r="1923" spans="1:5" ht="15.75" customHeight="1" x14ac:dyDescent="0.3">
      <c r="A1923" s="4" t="s">
        <v>3846</v>
      </c>
      <c r="B1923" s="4" t="s">
        <v>3847</v>
      </c>
      <c r="C1923" s="5" t="str">
        <f t="shared" si="64"/>
        <v>nik</v>
      </c>
      <c r="D1923" s="5" t="str">
        <f t="shared" si="67"/>
        <v>Stado</v>
      </c>
      <c r="E1923" s="5" t="str">
        <f t="shared" si="68"/>
        <v>chael</v>
      </c>
    </row>
    <row r="1924" spans="1:5" ht="15.75" customHeight="1" x14ac:dyDescent="0.3">
      <c r="A1924" s="4" t="s">
        <v>3848</v>
      </c>
      <c r="B1924" s="4" t="s">
        <v>3849</v>
      </c>
      <c r="C1924" s="5" t="str">
        <f t="shared" si="64"/>
        <v xml:space="preserve">s, </v>
      </c>
      <c r="D1924" s="5" t="str">
        <f t="shared" si="67"/>
        <v>Shiel</v>
      </c>
      <c r="E1924" s="5" t="str">
        <f t="shared" si="68"/>
        <v>jamin</v>
      </c>
    </row>
    <row r="1925" spans="1:5" ht="15.75" customHeight="1" x14ac:dyDescent="0.3">
      <c r="A1925" s="4" t="s">
        <v>3850</v>
      </c>
      <c r="B1925" s="4" t="s">
        <v>3851</v>
      </c>
      <c r="C1925" s="5" t="str">
        <f t="shared" si="64"/>
        <v>is,</v>
      </c>
      <c r="D1925" s="5" t="str">
        <f t="shared" si="67"/>
        <v>Margo</v>
      </c>
      <c r="E1925" s="5" t="str">
        <f t="shared" si="68"/>
        <v xml:space="preserve">  Jay</v>
      </c>
    </row>
    <row r="1926" spans="1:5" ht="15.75" customHeight="1" x14ac:dyDescent="0.3">
      <c r="A1926" s="4" t="s">
        <v>3852</v>
      </c>
      <c r="B1926" s="4" t="s">
        <v>3853</v>
      </c>
      <c r="C1926" s="5" t="str">
        <f t="shared" si="64"/>
        <v>eck</v>
      </c>
      <c r="D1926" s="5" t="str">
        <f t="shared" si="67"/>
        <v>Uffen</v>
      </c>
      <c r="E1926" s="5" t="str">
        <f t="shared" si="68"/>
        <v>lliam</v>
      </c>
    </row>
    <row r="1927" spans="1:5" ht="15.75" customHeight="1" x14ac:dyDescent="0.3">
      <c r="A1927" s="4" t="s">
        <v>3854</v>
      </c>
      <c r="B1927" s="4" t="s">
        <v>3855</v>
      </c>
      <c r="C1927" s="5" t="str">
        <f t="shared" si="64"/>
        <v xml:space="preserve"> Ms</v>
      </c>
      <c r="D1927" s="5" t="str">
        <f t="shared" si="67"/>
        <v>Brake</v>
      </c>
      <c r="E1927" s="5" t="str">
        <f t="shared" si="68"/>
        <v>elley</v>
      </c>
    </row>
    <row r="1928" spans="1:5" ht="15.75" customHeight="1" x14ac:dyDescent="0.3">
      <c r="A1928" s="4" t="s">
        <v>3856</v>
      </c>
      <c r="B1928" s="4" t="s">
        <v>3857</v>
      </c>
      <c r="C1928" s="5" t="str">
        <f t="shared" si="64"/>
        <v>ova</v>
      </c>
      <c r="D1928" s="5" t="str">
        <f t="shared" si="67"/>
        <v>Stepa</v>
      </c>
      <c r="E1928" s="5" t="str">
        <f t="shared" si="68"/>
        <v>erina</v>
      </c>
    </row>
    <row r="1929" spans="1:5" ht="15.75" customHeight="1" x14ac:dyDescent="0.3">
      <c r="A1929" s="4" t="s">
        <v>3858</v>
      </c>
      <c r="B1929" s="4" t="s">
        <v>3859</v>
      </c>
      <c r="C1929" s="5" t="str">
        <f t="shared" si="64"/>
        <v xml:space="preserve"> Mr</v>
      </c>
      <c r="D1929" s="5" t="str">
        <f t="shared" si="67"/>
        <v>Verdi</v>
      </c>
      <c r="E1929" s="5" t="str">
        <f t="shared" si="68"/>
        <v>aniel</v>
      </c>
    </row>
    <row r="1930" spans="1:5" ht="15.75" customHeight="1" x14ac:dyDescent="0.3">
      <c r="A1930" s="4" t="s">
        <v>3860</v>
      </c>
      <c r="B1930" s="4" t="s">
        <v>3861</v>
      </c>
      <c r="C1930" s="5" t="str">
        <f t="shared" si="64"/>
        <v>, M</v>
      </c>
      <c r="D1930" s="5" t="str">
        <f t="shared" si="67"/>
        <v>McLea</v>
      </c>
      <c r="E1930" s="5" t="str">
        <f t="shared" si="68"/>
        <v>uline</v>
      </c>
    </row>
    <row r="1931" spans="1:5" ht="15.75" customHeight="1" x14ac:dyDescent="0.3">
      <c r="A1931" s="4" t="s">
        <v>3862</v>
      </c>
      <c r="B1931" s="4" t="s">
        <v>3863</v>
      </c>
      <c r="C1931" s="5" t="str">
        <f t="shared" si="64"/>
        <v>Ms.</v>
      </c>
      <c r="D1931" s="5" t="str">
        <f t="shared" si="67"/>
        <v>Ryan,</v>
      </c>
      <c r="E1931" s="5" t="str">
        <f t="shared" si="68"/>
        <v>lleen</v>
      </c>
    </row>
    <row r="1932" spans="1:5" ht="15.75" customHeight="1" x14ac:dyDescent="0.3">
      <c r="A1932" s="4" t="s">
        <v>3864</v>
      </c>
      <c r="B1932" s="4" t="s">
        <v>3865</v>
      </c>
      <c r="C1932" s="5" t="str">
        <f t="shared" si="64"/>
        <v>son</v>
      </c>
      <c r="D1932" s="5" t="str">
        <f t="shared" si="67"/>
        <v>Micke</v>
      </c>
      <c r="E1932" s="5" t="str">
        <f t="shared" si="68"/>
        <v>eah K</v>
      </c>
    </row>
    <row r="1933" spans="1:5" ht="15.75" customHeight="1" x14ac:dyDescent="0.3">
      <c r="A1933" s="4" t="s">
        <v>3866</v>
      </c>
      <c r="B1933" s="4" t="s">
        <v>3867</v>
      </c>
      <c r="C1933" s="5" t="str">
        <f t="shared" si="64"/>
        <v>, M</v>
      </c>
      <c r="D1933" s="5" t="str">
        <f t="shared" si="67"/>
        <v>Dibab</v>
      </c>
      <c r="E1933" s="5" t="str">
        <f t="shared" si="68"/>
        <v xml:space="preserve"> Mare</v>
      </c>
    </row>
    <row r="1934" spans="1:5" ht="15.75" customHeight="1" x14ac:dyDescent="0.3">
      <c r="A1934" s="4" t="s">
        <v>3868</v>
      </c>
      <c r="B1934" s="4" t="s">
        <v>3869</v>
      </c>
      <c r="C1934" s="5" t="str">
        <f t="shared" si="64"/>
        <v>ng,</v>
      </c>
      <c r="D1934" s="5" t="str">
        <f t="shared" si="67"/>
        <v>Shill</v>
      </c>
      <c r="E1934" s="5" t="str">
        <f t="shared" si="68"/>
        <v>Kevin</v>
      </c>
    </row>
    <row r="1935" spans="1:5" ht="15.75" customHeight="1" x14ac:dyDescent="0.3">
      <c r="A1935" s="4" t="s">
        <v>3870</v>
      </c>
      <c r="B1935" s="4" t="s">
        <v>3871</v>
      </c>
      <c r="C1935" s="5" t="str">
        <f t="shared" si="64"/>
        <v>, M</v>
      </c>
      <c r="D1935" s="5" t="str">
        <f t="shared" si="67"/>
        <v>Basha</v>
      </c>
      <c r="E1935" s="5" t="str">
        <f t="shared" si="68"/>
        <v>ssica</v>
      </c>
    </row>
    <row r="1936" spans="1:5" ht="15.75" customHeight="1" x14ac:dyDescent="0.3">
      <c r="A1936" s="4" t="s">
        <v>3872</v>
      </c>
      <c r="B1936" s="4" t="s">
        <v>3873</v>
      </c>
      <c r="C1936" s="5" t="str">
        <f t="shared" si="64"/>
        <v xml:space="preserve"> Ms</v>
      </c>
      <c r="D1936" s="5" t="str">
        <f t="shared" si="67"/>
        <v>Jacob</v>
      </c>
      <c r="E1936" s="5" t="str">
        <f t="shared" si="68"/>
        <v>nda R</v>
      </c>
    </row>
    <row r="1937" spans="1:5" ht="15.75" customHeight="1" x14ac:dyDescent="0.3">
      <c r="A1937" s="4" t="s">
        <v>3874</v>
      </c>
      <c r="B1937" s="4" t="s">
        <v>3875</v>
      </c>
      <c r="C1937" s="5" t="str">
        <f t="shared" si="64"/>
        <v>heo</v>
      </c>
      <c r="D1937" s="5" t="str">
        <f t="shared" ref="D1937:D2000" si="69">LEFT(B1937,5)</f>
        <v>McCut</v>
      </c>
      <c r="E1937" s="5" t="str">
        <f t="shared" si="68"/>
        <v>ay W.</v>
      </c>
    </row>
    <row r="1938" spans="1:5" ht="15.75" customHeight="1" x14ac:dyDescent="0.3">
      <c r="A1938" s="4" t="s">
        <v>3876</v>
      </c>
      <c r="B1938" s="4" t="s">
        <v>3877</v>
      </c>
      <c r="C1938" s="5" t="str">
        <f t="shared" si="64"/>
        <v>, M</v>
      </c>
      <c r="D1938" s="5" t="str">
        <f t="shared" si="69"/>
        <v>Conno</v>
      </c>
      <c r="E1938" s="5" t="str">
        <f t="shared" si="68"/>
        <v>an P.</v>
      </c>
    </row>
    <row r="1939" spans="1:5" ht="15.75" customHeight="1" x14ac:dyDescent="0.3">
      <c r="A1939" s="4" t="s">
        <v>3878</v>
      </c>
      <c r="B1939" s="4" t="s">
        <v>3879</v>
      </c>
      <c r="C1939" s="5" t="str">
        <f t="shared" si="64"/>
        <v xml:space="preserve">r. </v>
      </c>
      <c r="D1939" s="5" t="str">
        <f t="shared" si="69"/>
        <v xml:space="preserve">May, </v>
      </c>
      <c r="E1939" s="5" t="str">
        <f t="shared" si="68"/>
        <v>David</v>
      </c>
    </row>
    <row r="1940" spans="1:5" ht="15.75" customHeight="1" x14ac:dyDescent="0.3">
      <c r="A1940" s="4" t="s">
        <v>3880</v>
      </c>
      <c r="B1940" s="4" t="s">
        <v>3881</v>
      </c>
      <c r="C1940" s="5" t="str">
        <f t="shared" si="64"/>
        <v>gan</v>
      </c>
      <c r="D1940" s="5" t="str">
        <f t="shared" si="69"/>
        <v>Geogh</v>
      </c>
      <c r="E1940" s="5" t="str">
        <f t="shared" si="68"/>
        <v xml:space="preserve"> Seth</v>
      </c>
    </row>
    <row r="1941" spans="1:5" ht="15.75" customHeight="1" x14ac:dyDescent="0.3">
      <c r="A1941" s="4" t="s">
        <v>3882</v>
      </c>
      <c r="B1941" s="4" t="s">
        <v>3883</v>
      </c>
      <c r="C1941" s="5" t="str">
        <f t="shared" si="64"/>
        <v>, M</v>
      </c>
      <c r="D1941" s="5" t="str">
        <f t="shared" si="69"/>
        <v>McGin</v>
      </c>
      <c r="E1941" s="5" t="str">
        <f t="shared" si="68"/>
        <v>el P.</v>
      </c>
    </row>
    <row r="1942" spans="1:5" ht="15.75" customHeight="1" x14ac:dyDescent="0.3">
      <c r="A1942" s="4" t="s">
        <v>3884</v>
      </c>
      <c r="B1942" s="4" t="s">
        <v>3885</v>
      </c>
      <c r="C1942" s="5" t="str">
        <f t="shared" si="64"/>
        <v xml:space="preserve"> Mr</v>
      </c>
      <c r="D1942" s="5" t="str">
        <f t="shared" si="69"/>
        <v>Jones</v>
      </c>
      <c r="E1942" s="5" t="str">
        <f t="shared" si="68"/>
        <v>ell M</v>
      </c>
    </row>
    <row r="1943" spans="1:5" ht="15.75" customHeight="1" x14ac:dyDescent="0.3">
      <c r="A1943" s="4" t="s">
        <v>3886</v>
      </c>
      <c r="B1943" s="4" t="s">
        <v>3887</v>
      </c>
      <c r="C1943" s="5" t="str">
        <f t="shared" si="64"/>
        <v>ros</v>
      </c>
      <c r="D1943" s="5" t="str">
        <f t="shared" si="69"/>
        <v>Quint</v>
      </c>
      <c r="E1943" s="5" t="str">
        <f t="shared" si="68"/>
        <v>artin</v>
      </c>
    </row>
    <row r="1944" spans="1:5" ht="15.75" customHeight="1" x14ac:dyDescent="0.3">
      <c r="A1944" s="4" t="s">
        <v>3888</v>
      </c>
      <c r="B1944" s="4" t="s">
        <v>3889</v>
      </c>
      <c r="C1944" s="5" t="str">
        <f t="shared" si="64"/>
        <v xml:space="preserve">r, </v>
      </c>
      <c r="D1944" s="5" t="str">
        <f t="shared" si="69"/>
        <v>Loens</v>
      </c>
      <c r="E1944" s="5" t="str">
        <f t="shared" si="68"/>
        <v>chael</v>
      </c>
    </row>
    <row r="1945" spans="1:5" ht="15.75" customHeight="1" x14ac:dyDescent="0.3">
      <c r="A1945" s="4" t="s">
        <v>3890</v>
      </c>
      <c r="B1945" s="4" t="s">
        <v>3891</v>
      </c>
      <c r="C1945" s="5" t="str">
        <f t="shared" si="64"/>
        <v>, M</v>
      </c>
      <c r="D1945" s="5" t="str">
        <f t="shared" si="69"/>
        <v>Aitke</v>
      </c>
      <c r="E1945" s="5" t="str">
        <f t="shared" si="68"/>
        <v>Miles</v>
      </c>
    </row>
    <row r="1946" spans="1:5" ht="15.75" customHeight="1" x14ac:dyDescent="0.3">
      <c r="A1946" s="4" t="s">
        <v>3892</v>
      </c>
      <c r="B1946" s="4" t="s">
        <v>3893</v>
      </c>
      <c r="C1946" s="5" t="str">
        <f t="shared" si="64"/>
        <v>, M</v>
      </c>
      <c r="D1946" s="5" t="str">
        <f t="shared" si="69"/>
        <v>Furre</v>
      </c>
      <c r="E1946" s="5" t="str">
        <f t="shared" si="68"/>
        <v>manda</v>
      </c>
    </row>
    <row r="1947" spans="1:5" ht="15.75" customHeight="1" x14ac:dyDescent="0.3">
      <c r="A1947" s="4" t="s">
        <v>3894</v>
      </c>
      <c r="B1947" s="4" t="s">
        <v>3895</v>
      </c>
      <c r="C1947" s="5" t="str">
        <f t="shared" si="64"/>
        <v>, M</v>
      </c>
      <c r="D1947" s="5" t="str">
        <f t="shared" si="69"/>
        <v>Konig</v>
      </c>
      <c r="E1947" s="5" t="str">
        <f t="shared" si="68"/>
        <v>Roger</v>
      </c>
    </row>
    <row r="1948" spans="1:5" ht="15.75" customHeight="1" x14ac:dyDescent="0.3">
      <c r="A1948" s="4" t="s">
        <v>3896</v>
      </c>
      <c r="B1948" s="4" t="s">
        <v>3897</v>
      </c>
      <c r="C1948" s="5" t="str">
        <f t="shared" si="64"/>
        <v xml:space="preserve">l, </v>
      </c>
      <c r="D1948" s="5" t="str">
        <f t="shared" si="69"/>
        <v>Tesda</v>
      </c>
      <c r="E1948" s="5" t="str">
        <f t="shared" si="68"/>
        <v>ock J</v>
      </c>
    </row>
    <row r="1949" spans="1:5" ht="15.75" customHeight="1" x14ac:dyDescent="0.3">
      <c r="A1949" s="4" t="s">
        <v>3898</v>
      </c>
      <c r="B1949" s="4" t="s">
        <v>3899</v>
      </c>
      <c r="C1949" s="5" t="str">
        <f t="shared" si="64"/>
        <v xml:space="preserve"> Mr</v>
      </c>
      <c r="D1949" s="5" t="str">
        <f t="shared" si="69"/>
        <v>Engel</v>
      </c>
      <c r="E1949" s="5" t="str">
        <f t="shared" si="68"/>
        <v>en F.</v>
      </c>
    </row>
    <row r="1950" spans="1:5" ht="15.75" customHeight="1" x14ac:dyDescent="0.3">
      <c r="A1950" s="4" t="s">
        <v>3900</v>
      </c>
      <c r="B1950" s="4" t="s">
        <v>3901</v>
      </c>
      <c r="C1950" s="5" t="str">
        <f t="shared" si="64"/>
        <v>Ms.</v>
      </c>
      <c r="D1950" s="5" t="str">
        <f t="shared" si="69"/>
        <v>Kuck,</v>
      </c>
      <c r="E1950" s="5" t="str">
        <f t="shared" si="68"/>
        <v>Missy</v>
      </c>
    </row>
    <row r="1951" spans="1:5" ht="15.75" customHeight="1" x14ac:dyDescent="0.3">
      <c r="A1951" s="4" t="s">
        <v>3902</v>
      </c>
      <c r="B1951" s="4" t="s">
        <v>3903</v>
      </c>
      <c r="C1951" s="5" t="str">
        <f t="shared" si="64"/>
        <v>, M</v>
      </c>
      <c r="D1951" s="5" t="str">
        <f t="shared" si="69"/>
        <v>Dillo</v>
      </c>
      <c r="E1951" s="5" t="str">
        <f t="shared" si="68"/>
        <v>lliam</v>
      </c>
    </row>
    <row r="1952" spans="1:5" ht="15.75" customHeight="1" x14ac:dyDescent="0.3">
      <c r="A1952" s="4" t="s">
        <v>3904</v>
      </c>
      <c r="B1952" s="4" t="s">
        <v>3905</v>
      </c>
      <c r="C1952" s="5" t="str">
        <f t="shared" si="64"/>
        <v>el,</v>
      </c>
      <c r="D1952" s="5" t="str">
        <f t="shared" si="69"/>
        <v>Neusc</v>
      </c>
      <c r="E1952" s="5" t="str">
        <f t="shared" si="68"/>
        <v>ren M</v>
      </c>
    </row>
    <row r="1953" spans="1:5" ht="15.75" customHeight="1" x14ac:dyDescent="0.3">
      <c r="A1953" s="4" t="s">
        <v>3906</v>
      </c>
      <c r="B1953" s="4" t="s">
        <v>3907</v>
      </c>
      <c r="C1953" s="5" t="str">
        <f t="shared" si="64"/>
        <v>s R</v>
      </c>
      <c r="D1953" s="5" t="str">
        <f t="shared" si="69"/>
        <v>Rosal</v>
      </c>
      <c r="E1953" s="5" t="str">
        <f t="shared" si="68"/>
        <v>lo U.</v>
      </c>
    </row>
    <row r="1954" spans="1:5" ht="15.75" customHeight="1" x14ac:dyDescent="0.3">
      <c r="A1954" s="4" t="s">
        <v>3908</v>
      </c>
      <c r="B1954" s="4" t="s">
        <v>3909</v>
      </c>
      <c r="C1954" s="5" t="str">
        <f t="shared" si="64"/>
        <v xml:space="preserve">z, </v>
      </c>
      <c r="D1954" s="5" t="str">
        <f t="shared" si="69"/>
        <v>Marqu</v>
      </c>
      <c r="E1954" s="5" t="str">
        <f t="shared" si="68"/>
        <v>lfons</v>
      </c>
    </row>
    <row r="1955" spans="1:5" ht="15.75" customHeight="1" x14ac:dyDescent="0.3">
      <c r="A1955" s="4" t="s">
        <v>3910</v>
      </c>
      <c r="B1955" s="4" t="s">
        <v>3911</v>
      </c>
      <c r="C1955" s="5" t="str">
        <f t="shared" si="64"/>
        <v xml:space="preserve"> Ms</v>
      </c>
      <c r="D1955" s="5" t="str">
        <f t="shared" si="69"/>
        <v>Green</v>
      </c>
      <c r="E1955" s="5" t="str">
        <f t="shared" si="68"/>
        <v>Amber</v>
      </c>
    </row>
    <row r="1956" spans="1:5" ht="15.75" customHeight="1" x14ac:dyDescent="0.3">
      <c r="A1956" s="4" t="s">
        <v>3912</v>
      </c>
      <c r="B1956" s="4" t="s">
        <v>3913</v>
      </c>
      <c r="C1956" s="5" t="str">
        <f t="shared" si="64"/>
        <v xml:space="preserve">l, </v>
      </c>
      <c r="D1956" s="5" t="str">
        <f t="shared" si="69"/>
        <v>Schub</v>
      </c>
      <c r="E1956" s="5" t="str">
        <f t="shared" si="68"/>
        <v>ah C.</v>
      </c>
    </row>
    <row r="1957" spans="1:5" ht="15.75" customHeight="1" x14ac:dyDescent="0.3">
      <c r="A1957" s="4" t="s">
        <v>3914</v>
      </c>
      <c r="B1957" s="4" t="s">
        <v>3915</v>
      </c>
      <c r="C1957" s="5" t="str">
        <f t="shared" si="64"/>
        <v xml:space="preserve">z, </v>
      </c>
      <c r="D1957" s="5" t="str">
        <f t="shared" si="69"/>
        <v>Jimen</v>
      </c>
      <c r="E1957" s="5" t="str">
        <f t="shared" si="68"/>
        <v>Lilia</v>
      </c>
    </row>
    <row r="1958" spans="1:5" ht="15.75" customHeight="1" x14ac:dyDescent="0.3">
      <c r="A1958" s="4" t="s">
        <v>3916</v>
      </c>
      <c r="B1958" s="4" t="s">
        <v>3917</v>
      </c>
      <c r="C1958" s="5" t="str">
        <f t="shared" si="64"/>
        <v>Sch</v>
      </c>
      <c r="D1958" s="5" t="str">
        <f t="shared" si="69"/>
        <v>Zimny</v>
      </c>
      <c r="E1958" s="5" t="str">
        <f t="shared" si="68"/>
        <v>Danny</v>
      </c>
    </row>
    <row r="1959" spans="1:5" ht="15.75" customHeight="1" x14ac:dyDescent="0.3">
      <c r="A1959" s="4" t="s">
        <v>3918</v>
      </c>
      <c r="B1959" s="4" t="s">
        <v>3919</v>
      </c>
      <c r="C1959" s="5" t="str">
        <f t="shared" si="64"/>
        <v>Ms.</v>
      </c>
      <c r="D1959" s="5" t="str">
        <f t="shared" si="69"/>
        <v>Hill,</v>
      </c>
      <c r="E1959" s="5" t="str">
        <f t="shared" si="68"/>
        <v>auren</v>
      </c>
    </row>
    <row r="1960" spans="1:5" ht="15.75" customHeight="1" x14ac:dyDescent="0.3">
      <c r="A1960" s="4" t="s">
        <v>3920</v>
      </c>
      <c r="B1960" s="4" t="s">
        <v>3921</v>
      </c>
      <c r="C1960" s="5" t="str">
        <f t="shared" si="64"/>
        <v xml:space="preserve">t, </v>
      </c>
      <c r="D1960" s="5" t="str">
        <f t="shared" si="69"/>
        <v>Broha</v>
      </c>
      <c r="E1960" s="5" t="str">
        <f t="shared" si="68"/>
        <v>rtney</v>
      </c>
    </row>
    <row r="1961" spans="1:5" ht="15.75" customHeight="1" x14ac:dyDescent="0.3">
      <c r="A1961" s="4" t="s">
        <v>3922</v>
      </c>
      <c r="B1961" s="4" t="s">
        <v>3923</v>
      </c>
      <c r="C1961" s="5" t="str">
        <f t="shared" si="64"/>
        <v>Ms.</v>
      </c>
      <c r="D1961" s="5" t="str">
        <f t="shared" si="69"/>
        <v>Ryan,</v>
      </c>
      <c r="E1961" s="5" t="str">
        <f t="shared" si="68"/>
        <v>abeth</v>
      </c>
    </row>
    <row r="1962" spans="1:5" ht="15.75" customHeight="1" x14ac:dyDescent="0.3">
      <c r="A1962" s="4" t="s">
        <v>3924</v>
      </c>
      <c r="B1962" s="4" t="s">
        <v>3925</v>
      </c>
      <c r="C1962" s="5" t="str">
        <f t="shared" si="64"/>
        <v xml:space="preserve">s. </v>
      </c>
      <c r="D1962" s="5" t="str">
        <f t="shared" si="69"/>
        <v xml:space="preserve">Oka, </v>
      </c>
      <c r="E1962" s="5" t="str">
        <f t="shared" si="68"/>
        <v>atomi</v>
      </c>
    </row>
    <row r="1963" spans="1:5" ht="15.75" customHeight="1" x14ac:dyDescent="0.3">
      <c r="A1963" s="4" t="s">
        <v>3926</v>
      </c>
      <c r="B1963" s="4" t="s">
        <v>3927</v>
      </c>
      <c r="C1963" s="5" t="str">
        <f t="shared" si="64"/>
        <v>, M</v>
      </c>
      <c r="D1963" s="5" t="str">
        <f t="shared" si="69"/>
        <v>Newma</v>
      </c>
      <c r="E1963" s="5" t="str">
        <f t="shared" si="68"/>
        <v>hew D</v>
      </c>
    </row>
    <row r="1964" spans="1:5" ht="15.75" customHeight="1" x14ac:dyDescent="0.3">
      <c r="A1964" s="4" t="s">
        <v>3928</v>
      </c>
      <c r="B1964" s="4" t="s">
        <v>3929</v>
      </c>
      <c r="C1964" s="5" t="str">
        <f t="shared" si="64"/>
        <v xml:space="preserve">r, </v>
      </c>
      <c r="D1964" s="5" t="str">
        <f t="shared" si="69"/>
        <v>Metzg</v>
      </c>
      <c r="E1964" s="5" t="str">
        <f t="shared" si="68"/>
        <v xml:space="preserve"> T II</v>
      </c>
    </row>
    <row r="1965" spans="1:5" ht="15.75" customHeight="1" x14ac:dyDescent="0.3">
      <c r="A1965" s="4" t="s">
        <v>3930</v>
      </c>
      <c r="B1965" s="4" t="s">
        <v>3931</v>
      </c>
      <c r="C1965" s="5" t="str">
        <f t="shared" si="64"/>
        <v>ez,</v>
      </c>
      <c r="D1965" s="5" t="str">
        <f t="shared" si="69"/>
        <v>Gonza</v>
      </c>
      <c r="E1965" s="5" t="str">
        <f t="shared" si="68"/>
        <v>anuel</v>
      </c>
    </row>
    <row r="1966" spans="1:5" ht="15.75" customHeight="1" x14ac:dyDescent="0.3">
      <c r="A1966" s="4" t="s">
        <v>3932</v>
      </c>
      <c r="B1966" s="4" t="s">
        <v>3933</v>
      </c>
      <c r="C1966" s="5" t="str">
        <f t="shared" si="64"/>
        <v>, M</v>
      </c>
      <c r="D1966" s="5" t="str">
        <f t="shared" si="69"/>
        <v>Vaugh</v>
      </c>
      <c r="E1966" s="5" t="str">
        <f t="shared" si="68"/>
        <v>ey P.</v>
      </c>
    </row>
    <row r="1967" spans="1:5" ht="15.75" customHeight="1" x14ac:dyDescent="0.3">
      <c r="A1967" s="4" t="s">
        <v>3934</v>
      </c>
      <c r="B1967" s="4" t="s">
        <v>3935</v>
      </c>
      <c r="C1967" s="5" t="str">
        <f t="shared" si="64"/>
        <v>rd,</v>
      </c>
      <c r="D1967" s="5" t="str">
        <f t="shared" si="69"/>
        <v>Cliff</v>
      </c>
      <c r="E1967" s="5" t="str">
        <f t="shared" si="68"/>
        <v>as G.</v>
      </c>
    </row>
    <row r="1968" spans="1:5" ht="15.75" customHeight="1" x14ac:dyDescent="0.3">
      <c r="A1968" s="4" t="s">
        <v>3936</v>
      </c>
      <c r="B1968" s="4" t="s">
        <v>3937</v>
      </c>
      <c r="C1968" s="5" t="str">
        <f t="shared" si="64"/>
        <v xml:space="preserve"> Mr</v>
      </c>
      <c r="D1968" s="5" t="str">
        <f t="shared" si="69"/>
        <v>Petty</v>
      </c>
      <c r="E1968" s="5" t="str">
        <f t="shared" si="68"/>
        <v>yle S</v>
      </c>
    </row>
    <row r="1969" spans="1:5" ht="15.75" customHeight="1" x14ac:dyDescent="0.3">
      <c r="A1969" s="4" t="s">
        <v>3938</v>
      </c>
      <c r="B1969" s="4" t="s">
        <v>3939</v>
      </c>
      <c r="C1969" s="5" t="str">
        <f t="shared" si="64"/>
        <v xml:space="preserve">d, </v>
      </c>
      <c r="D1969" s="5" t="str">
        <f t="shared" si="69"/>
        <v>Sanfo</v>
      </c>
      <c r="E1969" s="5" t="str">
        <f t="shared" si="68"/>
        <v>er J.</v>
      </c>
    </row>
    <row r="1970" spans="1:5" ht="15.75" customHeight="1" x14ac:dyDescent="0.3">
      <c r="A1970" s="4" t="s">
        <v>3940</v>
      </c>
      <c r="B1970" s="4" t="s">
        <v>3941</v>
      </c>
      <c r="C1970" s="5" t="str">
        <f t="shared" si="64"/>
        <v xml:space="preserve">e, </v>
      </c>
      <c r="D1970" s="5" t="str">
        <f t="shared" si="69"/>
        <v>Sprag</v>
      </c>
      <c r="E1970" s="5" t="str">
        <f t="shared" si="68"/>
        <v>tin L</v>
      </c>
    </row>
    <row r="1971" spans="1:5" ht="15.75" customHeight="1" x14ac:dyDescent="0.3">
      <c r="A1971" s="4" t="s">
        <v>3942</v>
      </c>
      <c r="B1971" s="4" t="s">
        <v>3943</v>
      </c>
      <c r="C1971" s="5" t="str">
        <f t="shared" si="64"/>
        <v>on,</v>
      </c>
      <c r="D1971" s="5" t="str">
        <f t="shared" si="69"/>
        <v>Lasse</v>
      </c>
      <c r="E1971" s="5" t="str">
        <f t="shared" si="68"/>
        <v>Chloe</v>
      </c>
    </row>
    <row r="1972" spans="1:5" ht="15.75" customHeight="1" x14ac:dyDescent="0.3">
      <c r="A1972" s="4" t="s">
        <v>3944</v>
      </c>
      <c r="B1972" s="4" t="s">
        <v>3945</v>
      </c>
      <c r="C1972" s="5" t="str">
        <f t="shared" si="64"/>
        <v xml:space="preserve">g, </v>
      </c>
      <c r="D1972" s="5" t="str">
        <f t="shared" si="69"/>
        <v>Busho</v>
      </c>
      <c r="E1972" s="5" t="str">
        <f t="shared" si="68"/>
        <v>ltlin</v>
      </c>
    </row>
    <row r="1973" spans="1:5" ht="15.75" customHeight="1" x14ac:dyDescent="0.3">
      <c r="A1973" s="4" t="s">
        <v>3946</v>
      </c>
      <c r="B1973" s="4" t="s">
        <v>3947</v>
      </c>
      <c r="C1973" s="5" t="str">
        <f t="shared" si="64"/>
        <v>on,</v>
      </c>
      <c r="D1973" s="5" t="str">
        <f t="shared" si="69"/>
        <v>Denni</v>
      </c>
      <c r="E1973" s="5" t="str">
        <f t="shared" si="68"/>
        <v>oshua</v>
      </c>
    </row>
    <row r="1974" spans="1:5" ht="15.75" customHeight="1" x14ac:dyDescent="0.3">
      <c r="A1974" s="4" t="s">
        <v>3948</v>
      </c>
      <c r="B1974" s="4" t="s">
        <v>3949</v>
      </c>
      <c r="C1974" s="5" t="str">
        <f t="shared" si="64"/>
        <v>Mr.</v>
      </c>
      <c r="D1974" s="5" t="str">
        <f t="shared" si="69"/>
        <v>Lira,</v>
      </c>
      <c r="E1974" s="5" t="str">
        <f t="shared" si="68"/>
        <v xml:space="preserve"> Chuy</v>
      </c>
    </row>
    <row r="1975" spans="1:5" ht="15.75" customHeight="1" x14ac:dyDescent="0.3">
      <c r="A1975" s="4" t="s">
        <v>3950</v>
      </c>
      <c r="B1975" s="4" t="s">
        <v>3951</v>
      </c>
      <c r="C1975" s="5" t="str">
        <f t="shared" si="64"/>
        <v>an,</v>
      </c>
      <c r="D1975" s="5" t="str">
        <f t="shared" si="69"/>
        <v>Nahig</v>
      </c>
      <c r="E1975" s="5" t="str">
        <f t="shared" si="68"/>
        <v>rie B</v>
      </c>
    </row>
    <row r="1976" spans="1:5" ht="15.75" customHeight="1" x14ac:dyDescent="0.3">
      <c r="A1976" s="4" t="s">
        <v>3952</v>
      </c>
      <c r="B1976" s="4" t="s">
        <v>3953</v>
      </c>
      <c r="C1976" s="5" t="str">
        <f t="shared" si="64"/>
        <v xml:space="preserve">t, </v>
      </c>
      <c r="D1976" s="5" t="str">
        <f t="shared" si="69"/>
        <v>Cacke</v>
      </c>
      <c r="E1976" s="5" t="str">
        <f t="shared" si="68"/>
        <v>el B.</v>
      </c>
    </row>
    <row r="1977" spans="1:5" ht="15.75" customHeight="1" x14ac:dyDescent="0.3">
      <c r="A1977" s="4" t="s">
        <v>3954</v>
      </c>
      <c r="B1977" s="4" t="s">
        <v>3955</v>
      </c>
      <c r="C1977" s="5" t="str">
        <f t="shared" si="64"/>
        <v>-Ga</v>
      </c>
      <c r="D1977" s="5" t="str">
        <f t="shared" si="69"/>
        <v>Hunte</v>
      </c>
      <c r="E1977" s="5" t="str">
        <f t="shared" si="68"/>
        <v xml:space="preserve"> Liza</v>
      </c>
    </row>
    <row r="1978" spans="1:5" ht="15.75" customHeight="1" x14ac:dyDescent="0.3">
      <c r="A1978" s="4" t="s">
        <v>3956</v>
      </c>
      <c r="B1978" s="4" t="s">
        <v>3957</v>
      </c>
      <c r="C1978" s="5" t="str">
        <f t="shared" si="64"/>
        <v xml:space="preserve">t, </v>
      </c>
      <c r="D1978" s="5" t="str">
        <f t="shared" si="69"/>
        <v>Pierr</v>
      </c>
      <c r="E1978" s="5" t="str">
        <f t="shared" si="68"/>
        <v>ndsey</v>
      </c>
    </row>
    <row r="1979" spans="1:5" ht="15.75" customHeight="1" x14ac:dyDescent="0.3">
      <c r="A1979" s="4" t="s">
        <v>3958</v>
      </c>
      <c r="B1979" s="4" t="s">
        <v>3959</v>
      </c>
      <c r="C1979" s="5" t="str">
        <f t="shared" si="64"/>
        <v xml:space="preserve"> Ms</v>
      </c>
      <c r="D1979" s="5" t="str">
        <f t="shared" si="69"/>
        <v>White</v>
      </c>
      <c r="E1979" s="5" t="str">
        <f t="shared" si="68"/>
        <v>ay E.</v>
      </c>
    </row>
    <row r="1980" spans="1:5" ht="15.75" customHeight="1" x14ac:dyDescent="0.3">
      <c r="A1980" s="4" t="s">
        <v>3960</v>
      </c>
      <c r="B1980" s="4" t="s">
        <v>3961</v>
      </c>
      <c r="C1980" s="5" t="str">
        <f t="shared" si="64"/>
        <v>, M</v>
      </c>
      <c r="D1980" s="5" t="str">
        <f t="shared" si="69"/>
        <v>O'Nei</v>
      </c>
      <c r="E1980" s="5" t="str">
        <f t="shared" si="68"/>
        <v>en M.</v>
      </c>
    </row>
    <row r="1981" spans="1:5" ht="15.75" customHeight="1" x14ac:dyDescent="0.3">
      <c r="A1981" s="4" t="s">
        <v>3962</v>
      </c>
      <c r="B1981" s="4" t="s">
        <v>3963</v>
      </c>
      <c r="C1981" s="5" t="str">
        <f t="shared" si="64"/>
        <v xml:space="preserve"> Ms</v>
      </c>
      <c r="D1981" s="5" t="str">
        <f t="shared" si="69"/>
        <v>Leitz</v>
      </c>
      <c r="E1981" s="5" t="str">
        <f t="shared" si="68"/>
        <v xml:space="preserve">  Aya</v>
      </c>
    </row>
    <row r="1982" spans="1:5" ht="15.75" customHeight="1" x14ac:dyDescent="0.3">
      <c r="A1982" s="4" t="s">
        <v>3964</v>
      </c>
      <c r="B1982" s="4" t="s">
        <v>3965</v>
      </c>
      <c r="C1982" s="5" t="str">
        <f t="shared" si="64"/>
        <v>, M</v>
      </c>
      <c r="D1982" s="5" t="str">
        <f t="shared" si="69"/>
        <v>Durfe</v>
      </c>
      <c r="E1982" s="5" t="str">
        <f t="shared" si="68"/>
        <v>lyn R</v>
      </c>
    </row>
    <row r="1983" spans="1:5" ht="15.75" customHeight="1" x14ac:dyDescent="0.3">
      <c r="A1983" s="4" t="s">
        <v>3966</v>
      </c>
      <c r="B1983" s="4" t="s">
        <v>3967</v>
      </c>
      <c r="C1983" s="5" t="str">
        <f t="shared" si="64"/>
        <v xml:space="preserve">e, </v>
      </c>
      <c r="D1983" s="5" t="str">
        <f t="shared" si="69"/>
        <v>Maylo</v>
      </c>
      <c r="E1983" s="5" t="str">
        <f t="shared" si="68"/>
        <v>thany</v>
      </c>
    </row>
    <row r="1984" spans="1:5" ht="15.75" customHeight="1" x14ac:dyDescent="0.3">
      <c r="A1984" s="4" t="s">
        <v>3968</v>
      </c>
      <c r="B1984" s="4" t="s">
        <v>3969</v>
      </c>
      <c r="C1984" s="5" t="str">
        <f t="shared" si="64"/>
        <v xml:space="preserve">d, </v>
      </c>
      <c r="D1984" s="5" t="str">
        <f t="shared" si="69"/>
        <v>Reila</v>
      </c>
      <c r="E1984" s="5" t="str">
        <f t="shared" si="68"/>
        <v>lly A</v>
      </c>
    </row>
    <row r="1985" spans="1:5" ht="15.75" customHeight="1" x14ac:dyDescent="0.3">
      <c r="A1985" s="4" t="s">
        <v>3970</v>
      </c>
      <c r="B1985" s="4" t="s">
        <v>3971</v>
      </c>
      <c r="C1985" s="5" t="str">
        <f t="shared" si="64"/>
        <v xml:space="preserve">.  </v>
      </c>
      <c r="D1985" s="5" t="str">
        <f t="shared" si="69"/>
        <v>Hu, M</v>
      </c>
      <c r="E1985" s="5" t="str">
        <f t="shared" si="68"/>
        <v xml:space="preserve"> Ping</v>
      </c>
    </row>
    <row r="1986" spans="1:5" ht="15.75" customHeight="1" x14ac:dyDescent="0.3">
      <c r="A1986" s="4" t="s">
        <v>3972</v>
      </c>
      <c r="B1986" s="4" t="s">
        <v>3973</v>
      </c>
      <c r="C1986" s="5" t="str">
        <f t="shared" si="64"/>
        <v>, M</v>
      </c>
      <c r="D1986" s="5" t="str">
        <f t="shared" si="69"/>
        <v>Lesse</v>
      </c>
      <c r="E1986" s="5" t="str">
        <f t="shared" ref="E1986:E2049" si="70">RIGHT(B1986,5)</f>
        <v xml:space="preserve">  Tim</v>
      </c>
    </row>
    <row r="1987" spans="1:5" ht="15.75" customHeight="1" x14ac:dyDescent="0.3">
      <c r="A1987" s="4" t="s">
        <v>3974</v>
      </c>
      <c r="B1987" s="4" t="s">
        <v>3975</v>
      </c>
      <c r="C1987" s="5" t="str">
        <f t="shared" si="64"/>
        <v>nce</v>
      </c>
      <c r="D1987" s="5" t="str">
        <f t="shared" si="69"/>
        <v>Colav</v>
      </c>
      <c r="E1987" s="5" t="str">
        <f t="shared" si="70"/>
        <v xml:space="preserve"> John</v>
      </c>
    </row>
    <row r="1988" spans="1:5" ht="15.75" customHeight="1" x14ac:dyDescent="0.3">
      <c r="A1988" s="4" t="s">
        <v>3976</v>
      </c>
      <c r="B1988" s="4" t="s">
        <v>3977</v>
      </c>
      <c r="C1988" s="5" t="str">
        <f t="shared" si="64"/>
        <v>-Ka</v>
      </c>
      <c r="D1988" s="5" t="str">
        <f t="shared" si="69"/>
        <v>Mende</v>
      </c>
      <c r="E1988" s="5" t="str">
        <f t="shared" si="70"/>
        <v>nthia</v>
      </c>
    </row>
    <row r="1989" spans="1:5" ht="15.75" customHeight="1" x14ac:dyDescent="0.3">
      <c r="A1989" s="4" t="s">
        <v>3978</v>
      </c>
      <c r="B1989" s="4" t="s">
        <v>3979</v>
      </c>
      <c r="C1989" s="5" t="str">
        <f t="shared" si="64"/>
        <v>er,</v>
      </c>
      <c r="D1989" s="5" t="str">
        <f t="shared" si="69"/>
        <v>Sauln</v>
      </c>
      <c r="E1989" s="5" t="str">
        <f t="shared" si="70"/>
        <v>mmett</v>
      </c>
    </row>
    <row r="1990" spans="1:5" ht="15.75" customHeight="1" x14ac:dyDescent="0.3">
      <c r="A1990" s="4" t="s">
        <v>3980</v>
      </c>
      <c r="B1990" s="4" t="s">
        <v>3981</v>
      </c>
      <c r="C1990" s="5" t="str">
        <f t="shared" si="64"/>
        <v>ove</v>
      </c>
      <c r="D1990" s="5" t="str">
        <f t="shared" si="69"/>
        <v>Schoo</v>
      </c>
      <c r="E1990" s="5" t="str">
        <f t="shared" si="70"/>
        <v xml:space="preserve"> Kate</v>
      </c>
    </row>
    <row r="1991" spans="1:5" ht="15.75" customHeight="1" x14ac:dyDescent="0.3">
      <c r="A1991" s="4" t="s">
        <v>3982</v>
      </c>
      <c r="B1991" s="4" t="s">
        <v>3983</v>
      </c>
      <c r="C1991" s="5" t="str">
        <f t="shared" si="64"/>
        <v>Mr.</v>
      </c>
      <c r="D1991" s="5" t="str">
        <f t="shared" si="69"/>
        <v>Hass,</v>
      </c>
      <c r="E1991" s="5" t="str">
        <f t="shared" si="70"/>
        <v>er L.</v>
      </c>
    </row>
    <row r="1992" spans="1:5" ht="15.75" customHeight="1" x14ac:dyDescent="0.3">
      <c r="A1992" s="4" t="s">
        <v>3984</v>
      </c>
      <c r="B1992" s="4" t="s">
        <v>3985</v>
      </c>
      <c r="C1992" s="5" t="str">
        <f t="shared" si="64"/>
        <v xml:space="preserve">e, </v>
      </c>
      <c r="D1992" s="5" t="str">
        <f t="shared" si="69"/>
        <v>Cadot</v>
      </c>
      <c r="E1992" s="5" t="str">
        <f t="shared" si="70"/>
        <v>er P.</v>
      </c>
    </row>
    <row r="1993" spans="1:5" ht="15.75" customHeight="1" x14ac:dyDescent="0.3">
      <c r="A1993" s="4" t="s">
        <v>3986</v>
      </c>
      <c r="B1993" s="4" t="s">
        <v>3987</v>
      </c>
      <c r="C1993" s="5" t="str">
        <f t="shared" si="64"/>
        <v>pag</v>
      </c>
      <c r="D1993" s="5" t="str">
        <f t="shared" si="69"/>
        <v>Cacci</v>
      </c>
      <c r="E1993" s="5" t="str">
        <f t="shared" si="70"/>
        <v>her W</v>
      </c>
    </row>
    <row r="1994" spans="1:5" ht="15.75" customHeight="1" x14ac:dyDescent="0.3">
      <c r="A1994" s="4" t="s">
        <v>3988</v>
      </c>
      <c r="B1994" s="4" t="s">
        <v>3989</v>
      </c>
      <c r="C1994" s="5" t="str">
        <f t="shared" si="64"/>
        <v>er,</v>
      </c>
      <c r="D1994" s="5" t="str">
        <f t="shared" si="69"/>
        <v>Minin</v>
      </c>
      <c r="E1994" s="5" t="str">
        <f t="shared" si="70"/>
        <v>an H.</v>
      </c>
    </row>
    <row r="1995" spans="1:5" ht="15.75" customHeight="1" x14ac:dyDescent="0.3">
      <c r="A1995" s="4" t="s">
        <v>3990</v>
      </c>
      <c r="B1995" s="4" t="s">
        <v>3991</v>
      </c>
      <c r="C1995" s="5" t="str">
        <f t="shared" si="64"/>
        <v>Ms.</v>
      </c>
      <c r="D1995" s="5" t="str">
        <f t="shared" si="69"/>
        <v>Mayo,</v>
      </c>
      <c r="E1995" s="5" t="str">
        <f t="shared" si="70"/>
        <v>Susan</v>
      </c>
    </row>
    <row r="1996" spans="1:5" ht="15.75" customHeight="1" x14ac:dyDescent="0.3">
      <c r="A1996" s="4" t="s">
        <v>3992</v>
      </c>
      <c r="B1996" s="4" t="s">
        <v>3993</v>
      </c>
      <c r="C1996" s="5" t="str">
        <f t="shared" si="64"/>
        <v xml:space="preserve"> Ms</v>
      </c>
      <c r="D1996" s="5" t="str">
        <f t="shared" si="69"/>
        <v>Zicko</v>
      </c>
      <c r="E1996" s="5" t="str">
        <f t="shared" si="70"/>
        <v>ana K</v>
      </c>
    </row>
    <row r="1997" spans="1:5" ht="15.75" customHeight="1" x14ac:dyDescent="0.3">
      <c r="A1997" s="4" t="s">
        <v>3994</v>
      </c>
      <c r="B1997" s="4" t="s">
        <v>3995</v>
      </c>
      <c r="C1997" s="5" t="str">
        <f t="shared" si="64"/>
        <v>, M</v>
      </c>
      <c r="D1997" s="5" t="str">
        <f t="shared" si="69"/>
        <v>Graha</v>
      </c>
      <c r="E1997" s="5" t="str">
        <f t="shared" si="70"/>
        <v>rissy</v>
      </c>
    </row>
    <row r="1998" spans="1:5" ht="15.75" customHeight="1" x14ac:dyDescent="0.3">
      <c r="A1998" s="4" t="s">
        <v>3996</v>
      </c>
      <c r="B1998" s="4" t="s">
        <v>3997</v>
      </c>
      <c r="C1998" s="5" t="str">
        <f t="shared" si="64"/>
        <v>, M</v>
      </c>
      <c r="D1998" s="5" t="str">
        <f t="shared" si="69"/>
        <v>Bolan</v>
      </c>
      <c r="E1998" s="5" t="str">
        <f t="shared" si="70"/>
        <v>arrie</v>
      </c>
    </row>
    <row r="1999" spans="1:5" ht="15.75" customHeight="1" x14ac:dyDescent="0.3">
      <c r="A1999" s="4" t="s">
        <v>3998</v>
      </c>
      <c r="B1999" s="4" t="s">
        <v>3999</v>
      </c>
      <c r="C1999" s="5" t="str">
        <f t="shared" si="64"/>
        <v>Ms.</v>
      </c>
      <c r="D1999" s="5" t="str">
        <f t="shared" si="69"/>
        <v>Cupp,</v>
      </c>
      <c r="E1999" s="5" t="str">
        <f t="shared" si="70"/>
        <v>Halle</v>
      </c>
    </row>
    <row r="2000" spans="1:5" ht="15.75" customHeight="1" x14ac:dyDescent="0.3">
      <c r="A2000" s="4" t="s">
        <v>4000</v>
      </c>
      <c r="B2000" s="4" t="s">
        <v>4001</v>
      </c>
      <c r="C2000" s="5" t="str">
        <f t="shared" si="64"/>
        <v>Ms.</v>
      </c>
      <c r="D2000" s="5" t="str">
        <f t="shared" si="69"/>
        <v>Shaw,</v>
      </c>
      <c r="E2000" s="5" t="str">
        <f t="shared" si="70"/>
        <v>rolyn</v>
      </c>
    </row>
    <row r="2001" spans="1:5" ht="15.75" customHeight="1" x14ac:dyDescent="0.3">
      <c r="A2001" s="4" t="s">
        <v>4002</v>
      </c>
      <c r="B2001" s="4" t="s">
        <v>4003</v>
      </c>
      <c r="C2001" s="5" t="str">
        <f t="shared" si="64"/>
        <v xml:space="preserve">n, </v>
      </c>
      <c r="D2001" s="5" t="str">
        <f t="shared" ref="D2001:D2064" si="71">LEFT(B2001,5)</f>
        <v>Klass</v>
      </c>
      <c r="E2001" s="5" t="str">
        <f t="shared" si="70"/>
        <v>ra D.</v>
      </c>
    </row>
    <row r="2002" spans="1:5" ht="15.75" customHeight="1" x14ac:dyDescent="0.3">
      <c r="A2002" s="4" t="s">
        <v>4004</v>
      </c>
      <c r="B2002" s="4" t="s">
        <v>4005</v>
      </c>
      <c r="C2002" s="5" t="str">
        <f t="shared" si="64"/>
        <v xml:space="preserve"> Mr</v>
      </c>
      <c r="D2002" s="5" t="str">
        <f t="shared" si="71"/>
        <v>Musal</v>
      </c>
      <c r="E2002" s="5" t="str">
        <f t="shared" si="70"/>
        <v>sim M</v>
      </c>
    </row>
    <row r="2003" spans="1:5" ht="15.75" customHeight="1" x14ac:dyDescent="0.3">
      <c r="A2003" s="4" t="s">
        <v>4006</v>
      </c>
      <c r="B2003" s="4" t="s">
        <v>4007</v>
      </c>
      <c r="C2003" s="5" t="str">
        <f t="shared" si="64"/>
        <v>ma,</v>
      </c>
      <c r="D2003" s="5" t="str">
        <f t="shared" si="71"/>
        <v>Kitay</v>
      </c>
      <c r="E2003" s="5" t="str">
        <f t="shared" si="70"/>
        <v xml:space="preserve"> Dina</v>
      </c>
    </row>
    <row r="2004" spans="1:5" ht="15.75" customHeight="1" x14ac:dyDescent="0.3">
      <c r="A2004" s="4" t="s">
        <v>4008</v>
      </c>
      <c r="B2004" s="4" t="s">
        <v>4009</v>
      </c>
      <c r="C2004" s="5" t="str">
        <f t="shared" si="64"/>
        <v>, M</v>
      </c>
      <c r="D2004" s="5" t="str">
        <f t="shared" si="71"/>
        <v>Altma</v>
      </c>
      <c r="E2004" s="5" t="str">
        <f t="shared" si="70"/>
        <v xml:space="preserve"> Lisa</v>
      </c>
    </row>
    <row r="2005" spans="1:5" ht="15.75" customHeight="1" x14ac:dyDescent="0.3">
      <c r="A2005" s="4" t="s">
        <v>4010</v>
      </c>
      <c r="B2005" s="4" t="s">
        <v>4011</v>
      </c>
      <c r="C2005" s="5" t="str">
        <f t="shared" si="64"/>
        <v xml:space="preserve">o, </v>
      </c>
      <c r="D2005" s="5" t="str">
        <f t="shared" si="71"/>
        <v>Demch</v>
      </c>
      <c r="E2005" s="5" t="str">
        <f t="shared" si="70"/>
        <v>itrin</v>
      </c>
    </row>
    <row r="2006" spans="1:5" ht="15.75" customHeight="1" x14ac:dyDescent="0.3">
      <c r="A2006" s="4" t="s">
        <v>4012</v>
      </c>
      <c r="B2006" s="4" t="s">
        <v>4013</v>
      </c>
      <c r="C2006" s="5" t="str">
        <f t="shared" si="64"/>
        <v>Ms.</v>
      </c>
      <c r="D2006" s="5" t="str">
        <f t="shared" si="71"/>
        <v>Wild,</v>
      </c>
      <c r="E2006" s="5" t="str">
        <f t="shared" si="70"/>
        <v>ana S</v>
      </c>
    </row>
    <row r="2007" spans="1:5" ht="15.75" customHeight="1" x14ac:dyDescent="0.3">
      <c r="A2007" s="4" t="s">
        <v>4014</v>
      </c>
      <c r="B2007" s="4" t="s">
        <v>4015</v>
      </c>
      <c r="C2007" s="5" t="str">
        <f t="shared" si="64"/>
        <v xml:space="preserve"> Ms</v>
      </c>
      <c r="D2007" s="5" t="str">
        <f t="shared" si="71"/>
        <v>Betts</v>
      </c>
      <c r="E2007" s="5" t="str">
        <f t="shared" si="70"/>
        <v>Megan</v>
      </c>
    </row>
    <row r="2008" spans="1:5" ht="15.75" customHeight="1" x14ac:dyDescent="0.3">
      <c r="A2008" s="4" t="s">
        <v>4016</v>
      </c>
      <c r="B2008" s="4" t="s">
        <v>4017</v>
      </c>
      <c r="C2008" s="5" t="str">
        <f t="shared" si="64"/>
        <v>, M</v>
      </c>
      <c r="D2008" s="5" t="str">
        <f t="shared" si="71"/>
        <v>Marti</v>
      </c>
      <c r="E2008" s="5" t="str">
        <f t="shared" si="70"/>
        <v>ten M</v>
      </c>
    </row>
    <row r="2009" spans="1:5" ht="15.75" customHeight="1" x14ac:dyDescent="0.3">
      <c r="A2009" s="4" t="s">
        <v>4018</v>
      </c>
      <c r="B2009" s="4" t="s">
        <v>4019</v>
      </c>
      <c r="C2009" s="5" t="str">
        <f t="shared" si="64"/>
        <v>ent</v>
      </c>
      <c r="D2009" s="5" t="str">
        <f t="shared" si="71"/>
        <v>Vande</v>
      </c>
      <c r="E2009" s="5" t="str">
        <f t="shared" si="70"/>
        <v xml:space="preserve"> Alix</v>
      </c>
    </row>
    <row r="2010" spans="1:5" ht="15.75" customHeight="1" x14ac:dyDescent="0.3">
      <c r="A2010" s="4" t="s">
        <v>4020</v>
      </c>
      <c r="B2010" s="4" t="s">
        <v>4021</v>
      </c>
      <c r="C2010" s="5" t="str">
        <f t="shared" si="64"/>
        <v>, M</v>
      </c>
      <c r="D2010" s="5" t="str">
        <f t="shared" si="71"/>
        <v>Hiran</v>
      </c>
      <c r="E2010" s="5" t="str">
        <f t="shared" si="70"/>
        <v>ushin</v>
      </c>
    </row>
    <row r="2011" spans="1:5" ht="15.75" customHeight="1" x14ac:dyDescent="0.3">
      <c r="A2011" s="4" t="s">
        <v>4022</v>
      </c>
      <c r="B2011" s="4" t="s">
        <v>4023</v>
      </c>
      <c r="C2011" s="5" t="str">
        <f t="shared" si="64"/>
        <v>Mr.</v>
      </c>
      <c r="D2011" s="5" t="str">
        <f t="shared" si="71"/>
        <v>Davi,</v>
      </c>
      <c r="E2011" s="5" t="str">
        <f t="shared" si="70"/>
        <v>ael J</v>
      </c>
    </row>
    <row r="2012" spans="1:5" ht="15.75" customHeight="1" x14ac:dyDescent="0.3">
      <c r="A2012" s="4" t="s">
        <v>4024</v>
      </c>
      <c r="B2012" s="4" t="s">
        <v>4025</v>
      </c>
      <c r="C2012" s="5" t="str">
        <f t="shared" si="64"/>
        <v xml:space="preserve"> Mr</v>
      </c>
      <c r="D2012" s="5" t="str">
        <f t="shared" si="71"/>
        <v>Sloan</v>
      </c>
      <c r="E2012" s="5" t="str">
        <f t="shared" si="70"/>
        <v>adley</v>
      </c>
    </row>
    <row r="2013" spans="1:5" ht="15.75" customHeight="1" x14ac:dyDescent="0.3">
      <c r="A2013" s="4" t="s">
        <v>4026</v>
      </c>
      <c r="B2013" s="4" t="s">
        <v>4027</v>
      </c>
      <c r="C2013" s="5" t="str">
        <f t="shared" si="64"/>
        <v>, M</v>
      </c>
      <c r="D2013" s="5" t="str">
        <f t="shared" si="71"/>
        <v>Homic</v>
      </c>
      <c r="E2013" s="5" t="str">
        <f t="shared" si="70"/>
        <v xml:space="preserve"> Matt</v>
      </c>
    </row>
    <row r="2014" spans="1:5" ht="15.75" customHeight="1" x14ac:dyDescent="0.3">
      <c r="A2014" s="4" t="s">
        <v>4028</v>
      </c>
      <c r="B2014" s="4" t="s">
        <v>4029</v>
      </c>
      <c r="C2014" s="5" t="str">
        <f t="shared" si="64"/>
        <v>Ms.</v>
      </c>
      <c r="D2014" s="5" t="str">
        <f t="shared" si="71"/>
        <v>Bell,</v>
      </c>
      <c r="E2014" s="5" t="str">
        <f t="shared" si="70"/>
        <v>da C.</v>
      </c>
    </row>
    <row r="2015" spans="1:5" ht="15.75" customHeight="1" x14ac:dyDescent="0.3">
      <c r="A2015" s="4" t="s">
        <v>4030</v>
      </c>
      <c r="B2015" s="4" t="s">
        <v>4031</v>
      </c>
      <c r="C2015" s="5" t="str">
        <f t="shared" si="64"/>
        <v>ans</v>
      </c>
      <c r="D2015" s="5" t="str">
        <f t="shared" si="71"/>
        <v>Krist</v>
      </c>
      <c r="E2015" s="5" t="str">
        <f t="shared" si="70"/>
        <v>Valur</v>
      </c>
    </row>
    <row r="2016" spans="1:5" ht="15.75" customHeight="1" x14ac:dyDescent="0.3">
      <c r="A2016" s="4" t="s">
        <v>4032</v>
      </c>
      <c r="B2016" s="4" t="s">
        <v>4033</v>
      </c>
      <c r="C2016" s="5" t="str">
        <f t="shared" si="64"/>
        <v>, M</v>
      </c>
      <c r="D2016" s="5" t="str">
        <f t="shared" si="71"/>
        <v>Pitma</v>
      </c>
      <c r="E2016" s="5" t="str">
        <f t="shared" si="70"/>
        <v>ica J</v>
      </c>
    </row>
    <row r="2017" spans="1:5" ht="15.75" customHeight="1" x14ac:dyDescent="0.3">
      <c r="A2017" s="4" t="s">
        <v>4034</v>
      </c>
      <c r="B2017" s="4" t="s">
        <v>4035</v>
      </c>
      <c r="C2017" s="5" t="str">
        <f t="shared" si="64"/>
        <v>, M</v>
      </c>
      <c r="D2017" s="5" t="str">
        <f t="shared" si="71"/>
        <v>Curle</v>
      </c>
      <c r="E2017" s="5" t="str">
        <f t="shared" si="70"/>
        <v>en F.</v>
      </c>
    </row>
    <row r="2018" spans="1:5" ht="15.75" customHeight="1" x14ac:dyDescent="0.3">
      <c r="A2018" s="4" t="s">
        <v>4036</v>
      </c>
      <c r="B2018" s="4" t="s">
        <v>4037</v>
      </c>
      <c r="C2018" s="5" t="str">
        <f t="shared" si="64"/>
        <v>, M</v>
      </c>
      <c r="D2018" s="5" t="str">
        <f t="shared" si="71"/>
        <v>Zimme</v>
      </c>
      <c r="E2018" s="5" t="str">
        <f t="shared" si="70"/>
        <v>Lissa</v>
      </c>
    </row>
    <row r="2019" spans="1:5" ht="15.75" customHeight="1" x14ac:dyDescent="0.3">
      <c r="A2019" s="4" t="s">
        <v>4038</v>
      </c>
      <c r="B2019" s="4" t="s">
        <v>4039</v>
      </c>
      <c r="C2019" s="5" t="str">
        <f t="shared" si="64"/>
        <v xml:space="preserve">i, </v>
      </c>
      <c r="D2019" s="5" t="str">
        <f t="shared" si="71"/>
        <v>Grans</v>
      </c>
      <c r="E2019" s="5" t="str">
        <f t="shared" si="70"/>
        <v>Megan</v>
      </c>
    </row>
    <row r="2020" spans="1:5" ht="15.75" customHeight="1" x14ac:dyDescent="0.3">
      <c r="A2020" s="4" t="s">
        <v>4040</v>
      </c>
      <c r="B2020" s="4" t="s">
        <v>4041</v>
      </c>
      <c r="C2020" s="5" t="str">
        <f t="shared" si="64"/>
        <v>Ms.</v>
      </c>
      <c r="D2020" s="5" t="str">
        <f t="shared" si="71"/>
        <v>Dunn,</v>
      </c>
      <c r="E2020" s="5" t="str">
        <f t="shared" si="70"/>
        <v>lyson</v>
      </c>
    </row>
    <row r="2021" spans="1:5" ht="15.75" customHeight="1" x14ac:dyDescent="0.3">
      <c r="A2021" s="4" t="s">
        <v>4042</v>
      </c>
      <c r="B2021" s="4" t="s">
        <v>4043</v>
      </c>
      <c r="C2021" s="5" t="str">
        <f t="shared" si="64"/>
        <v>, M</v>
      </c>
      <c r="D2021" s="5" t="str">
        <f t="shared" si="71"/>
        <v>Regin</v>
      </c>
      <c r="E2021" s="5" t="str">
        <f t="shared" si="70"/>
        <v>nce B</v>
      </c>
    </row>
    <row r="2022" spans="1:5" ht="15.75" customHeight="1" x14ac:dyDescent="0.3">
      <c r="A2022" s="4" t="s">
        <v>4044</v>
      </c>
      <c r="B2022" s="4" t="s">
        <v>4045</v>
      </c>
      <c r="C2022" s="5" t="str">
        <f t="shared" si="64"/>
        <v>or,</v>
      </c>
      <c r="D2022" s="5" t="str">
        <f t="shared" si="71"/>
        <v>O'Con</v>
      </c>
      <c r="E2022" s="5" t="str">
        <f t="shared" si="70"/>
        <v>ean P</v>
      </c>
    </row>
    <row r="2023" spans="1:5" ht="15.75" customHeight="1" x14ac:dyDescent="0.3">
      <c r="A2023" s="4" t="s">
        <v>4046</v>
      </c>
      <c r="B2023" s="4" t="s">
        <v>4047</v>
      </c>
      <c r="C2023" s="5" t="str">
        <f t="shared" si="64"/>
        <v>Ms.</v>
      </c>
      <c r="D2023" s="5" t="str">
        <f t="shared" si="71"/>
        <v>Howe,</v>
      </c>
      <c r="E2023" s="5" t="str">
        <f t="shared" si="70"/>
        <v>erese</v>
      </c>
    </row>
    <row r="2024" spans="1:5" ht="15.75" customHeight="1" x14ac:dyDescent="0.3">
      <c r="A2024" s="4" t="s">
        <v>4048</v>
      </c>
      <c r="B2024" s="4" t="s">
        <v>4049</v>
      </c>
      <c r="C2024" s="5" t="str">
        <f t="shared" si="64"/>
        <v xml:space="preserve">r, </v>
      </c>
      <c r="D2024" s="5" t="str">
        <f t="shared" si="71"/>
        <v>Atwat</v>
      </c>
      <c r="E2024" s="5" t="str">
        <f t="shared" si="70"/>
        <v xml:space="preserve"> Beau</v>
      </c>
    </row>
    <row r="2025" spans="1:5" ht="15.75" customHeight="1" x14ac:dyDescent="0.3">
      <c r="A2025" s="4" t="s">
        <v>4050</v>
      </c>
      <c r="B2025" s="4" t="s">
        <v>4051</v>
      </c>
      <c r="C2025" s="5" t="str">
        <f t="shared" si="64"/>
        <v>us,</v>
      </c>
      <c r="D2025" s="5" t="str">
        <f t="shared" si="71"/>
        <v>Gurga</v>
      </c>
      <c r="E2025" s="5" t="str">
        <f t="shared" si="70"/>
        <v>sey M</v>
      </c>
    </row>
    <row r="2026" spans="1:5" ht="15.75" customHeight="1" x14ac:dyDescent="0.3">
      <c r="A2026" s="4" t="s">
        <v>4052</v>
      </c>
      <c r="B2026" s="4" t="s">
        <v>4053</v>
      </c>
      <c r="C2026" s="5" t="str">
        <f t="shared" si="64"/>
        <v>, M</v>
      </c>
      <c r="D2026" s="5" t="str">
        <f t="shared" si="71"/>
        <v>Holde</v>
      </c>
      <c r="E2026" s="5" t="str">
        <f t="shared" si="70"/>
        <v>tchen</v>
      </c>
    </row>
    <row r="2027" spans="1:5" ht="15.75" customHeight="1" x14ac:dyDescent="0.3">
      <c r="A2027" s="4" t="s">
        <v>4054</v>
      </c>
      <c r="B2027" s="4" t="s">
        <v>4055</v>
      </c>
      <c r="C2027" s="5" t="str">
        <f t="shared" si="64"/>
        <v>, M</v>
      </c>
      <c r="D2027" s="5" t="str">
        <f t="shared" si="71"/>
        <v>Parto</v>
      </c>
      <c r="E2027" s="5" t="str">
        <f t="shared" si="70"/>
        <v>as E.</v>
      </c>
    </row>
    <row r="2028" spans="1:5" ht="15.75" customHeight="1" x14ac:dyDescent="0.3">
      <c r="A2028" s="4" t="s">
        <v>4056</v>
      </c>
      <c r="B2028" s="4" t="s">
        <v>4057</v>
      </c>
      <c r="C2028" s="5" t="str">
        <f t="shared" si="64"/>
        <v xml:space="preserve"> Ms</v>
      </c>
      <c r="D2028" s="5" t="str">
        <f t="shared" si="71"/>
        <v>Downs</v>
      </c>
      <c r="E2028" s="5" t="str">
        <f t="shared" si="70"/>
        <v>borah</v>
      </c>
    </row>
    <row r="2029" spans="1:5" ht="15.75" customHeight="1" x14ac:dyDescent="0.3">
      <c r="A2029" s="4" t="s">
        <v>4058</v>
      </c>
      <c r="B2029" s="4" t="s">
        <v>4059</v>
      </c>
      <c r="C2029" s="5" t="str">
        <f t="shared" si="64"/>
        <v>Mr.</v>
      </c>
      <c r="D2029" s="5" t="str">
        <f t="shared" si="71"/>
        <v>Dent,</v>
      </c>
      <c r="E2029" s="5" t="str">
        <f t="shared" si="70"/>
        <v>. Jr.</v>
      </c>
    </row>
    <row r="2030" spans="1:5" ht="15.75" customHeight="1" x14ac:dyDescent="0.3">
      <c r="A2030" s="4" t="s">
        <v>4060</v>
      </c>
      <c r="B2030" s="4" t="s">
        <v>4061</v>
      </c>
      <c r="C2030" s="5" t="str">
        <f t="shared" si="64"/>
        <v xml:space="preserve"> Mr</v>
      </c>
      <c r="D2030" s="5" t="str">
        <f t="shared" si="71"/>
        <v>Ranti</v>
      </c>
      <c r="E2030" s="5" t="str">
        <f t="shared" si="70"/>
        <v>aniel</v>
      </c>
    </row>
    <row r="2031" spans="1:5" ht="15.75" customHeight="1" x14ac:dyDescent="0.3">
      <c r="A2031" s="4" t="s">
        <v>4062</v>
      </c>
      <c r="B2031" s="4" t="s">
        <v>4063</v>
      </c>
      <c r="C2031" s="5" t="str">
        <f t="shared" si="64"/>
        <v xml:space="preserve"> Ms</v>
      </c>
      <c r="D2031" s="5" t="str">
        <f t="shared" si="71"/>
        <v>Ishaq</v>
      </c>
      <c r="E2031" s="5" t="str">
        <f t="shared" si="70"/>
        <v>Amany</v>
      </c>
    </row>
    <row r="2032" spans="1:5" ht="15.75" customHeight="1" x14ac:dyDescent="0.3">
      <c r="A2032" s="4" t="s">
        <v>4064</v>
      </c>
      <c r="B2032" s="4" t="s">
        <v>4065</v>
      </c>
      <c r="C2032" s="5" t="str">
        <f t="shared" si="64"/>
        <v xml:space="preserve"> Ms</v>
      </c>
      <c r="D2032" s="5" t="str">
        <f t="shared" si="71"/>
        <v>Wiles</v>
      </c>
      <c r="E2032" s="5" t="str">
        <f t="shared" si="70"/>
        <v>pling</v>
      </c>
    </row>
    <row r="2033" spans="1:5" ht="15.75" customHeight="1" x14ac:dyDescent="0.3">
      <c r="A2033" s="4" t="s">
        <v>4066</v>
      </c>
      <c r="B2033" s="4" t="s">
        <v>4067</v>
      </c>
      <c r="C2033" s="5" t="str">
        <f t="shared" si="64"/>
        <v xml:space="preserve">s, </v>
      </c>
      <c r="D2033" s="5" t="str">
        <f t="shared" si="71"/>
        <v>Rober</v>
      </c>
      <c r="E2033" s="5" t="str">
        <f t="shared" si="70"/>
        <v>uncan</v>
      </c>
    </row>
    <row r="2034" spans="1:5" ht="15.75" customHeight="1" x14ac:dyDescent="0.3">
      <c r="A2034" s="4" t="s">
        <v>4068</v>
      </c>
      <c r="B2034" s="4" t="s">
        <v>4069</v>
      </c>
      <c r="C2034" s="5" t="str">
        <f t="shared" si="64"/>
        <v>ni,</v>
      </c>
      <c r="D2034" s="5" t="str">
        <f t="shared" si="71"/>
        <v>Seraf</v>
      </c>
      <c r="E2034" s="5" t="str">
        <f t="shared" si="70"/>
        <v>is C.</v>
      </c>
    </row>
    <row r="2035" spans="1:5" ht="15.75" customHeight="1" x14ac:dyDescent="0.3">
      <c r="A2035" s="4" t="s">
        <v>4070</v>
      </c>
      <c r="B2035" s="4" t="s">
        <v>4071</v>
      </c>
      <c r="C2035" s="5" t="str">
        <f t="shared" si="64"/>
        <v>, M</v>
      </c>
      <c r="D2035" s="5" t="str">
        <f t="shared" si="71"/>
        <v>Butto</v>
      </c>
      <c r="E2035" s="5" t="str">
        <f t="shared" si="70"/>
        <v>iel J</v>
      </c>
    </row>
    <row r="2036" spans="1:5" ht="15.75" customHeight="1" x14ac:dyDescent="0.3">
      <c r="A2036" s="4" t="s">
        <v>4072</v>
      </c>
      <c r="B2036" s="4" t="s">
        <v>4073</v>
      </c>
      <c r="C2036" s="5" t="str">
        <f t="shared" si="64"/>
        <v>Ms.</v>
      </c>
      <c r="D2036" s="5" t="str">
        <f t="shared" si="71"/>
        <v>Gaal,</v>
      </c>
      <c r="E2036" s="5" t="str">
        <f t="shared" si="70"/>
        <v>ko M.</v>
      </c>
    </row>
    <row r="2037" spans="1:5" ht="15.75" customHeight="1" x14ac:dyDescent="0.3">
      <c r="A2037" s="4" t="s">
        <v>4074</v>
      </c>
      <c r="B2037" s="4" t="s">
        <v>4075</v>
      </c>
      <c r="C2037" s="5" t="str">
        <f t="shared" si="64"/>
        <v>, M</v>
      </c>
      <c r="D2037" s="5" t="str">
        <f t="shared" si="71"/>
        <v>Lipta</v>
      </c>
      <c r="E2037" s="5" t="str">
        <f t="shared" si="70"/>
        <v>da E.</v>
      </c>
    </row>
    <row r="2038" spans="1:5" ht="15.75" customHeight="1" x14ac:dyDescent="0.3">
      <c r="A2038" s="4" t="s">
        <v>4076</v>
      </c>
      <c r="B2038" s="4" t="s">
        <v>4077</v>
      </c>
      <c r="C2038" s="5" t="str">
        <f t="shared" si="64"/>
        <v>, M</v>
      </c>
      <c r="D2038" s="5" t="str">
        <f t="shared" si="71"/>
        <v>Kella</v>
      </c>
      <c r="E2038" s="5" t="str">
        <f t="shared" si="70"/>
        <v>ley M</v>
      </c>
    </row>
    <row r="2039" spans="1:5" ht="15.75" customHeight="1" x14ac:dyDescent="0.3">
      <c r="A2039" s="4" t="s">
        <v>4078</v>
      </c>
      <c r="B2039" s="4" t="s">
        <v>4079</v>
      </c>
      <c r="C2039" s="5" t="str">
        <f t="shared" si="64"/>
        <v>, M</v>
      </c>
      <c r="D2039" s="5" t="str">
        <f t="shared" si="71"/>
        <v>Gordo</v>
      </c>
      <c r="E2039" s="5" t="str">
        <f t="shared" si="70"/>
        <v>hanie</v>
      </c>
    </row>
    <row r="2040" spans="1:5" ht="15.75" customHeight="1" x14ac:dyDescent="0.3">
      <c r="A2040" s="4" t="s">
        <v>4080</v>
      </c>
      <c r="B2040" s="4" t="s">
        <v>4081</v>
      </c>
      <c r="C2040" s="5" t="str">
        <f t="shared" si="64"/>
        <v>, M</v>
      </c>
      <c r="D2040" s="5" t="str">
        <f t="shared" si="71"/>
        <v>Hylan</v>
      </c>
      <c r="E2040" s="5" t="str">
        <f t="shared" si="70"/>
        <v>an P.</v>
      </c>
    </row>
    <row r="2041" spans="1:5" ht="15.75" customHeight="1" x14ac:dyDescent="0.3">
      <c r="A2041" s="4" t="s">
        <v>4082</v>
      </c>
      <c r="B2041" s="4" t="s">
        <v>4083</v>
      </c>
      <c r="C2041" s="5" t="str">
        <f t="shared" si="64"/>
        <v xml:space="preserve">r, </v>
      </c>
      <c r="D2041" s="5" t="str">
        <f t="shared" si="71"/>
        <v>Wagon</v>
      </c>
      <c r="E2041" s="5" t="str">
        <f t="shared" si="70"/>
        <v>ily G</v>
      </c>
    </row>
    <row r="2042" spans="1:5" ht="15.75" customHeight="1" x14ac:dyDescent="0.3">
      <c r="A2042" s="4" t="s">
        <v>4084</v>
      </c>
      <c r="B2042" s="4" t="s">
        <v>4085</v>
      </c>
      <c r="C2042" s="5" t="str">
        <f t="shared" si="64"/>
        <v>, M</v>
      </c>
      <c r="D2042" s="5" t="str">
        <f t="shared" si="71"/>
        <v>Thoma</v>
      </c>
      <c r="E2042" s="5" t="str">
        <f t="shared" si="70"/>
        <v>lcolm</v>
      </c>
    </row>
    <row r="2043" spans="1:5" ht="15.75" customHeight="1" x14ac:dyDescent="0.3">
      <c r="A2043" s="4" t="s">
        <v>4086</v>
      </c>
      <c r="B2043" s="4" t="s">
        <v>4087</v>
      </c>
      <c r="C2043" s="5" t="str">
        <f t="shared" si="64"/>
        <v xml:space="preserve"> Mr</v>
      </c>
      <c r="D2043" s="5" t="str">
        <f t="shared" si="71"/>
        <v>Goffi</v>
      </c>
      <c r="E2043" s="5" t="str">
        <f t="shared" si="70"/>
        <v>anilo</v>
      </c>
    </row>
    <row r="2044" spans="1:5" ht="15.75" customHeight="1" x14ac:dyDescent="0.3">
      <c r="A2044" s="4" t="s">
        <v>4088</v>
      </c>
      <c r="B2044" s="4" t="s">
        <v>4089</v>
      </c>
      <c r="C2044" s="5" t="str">
        <f t="shared" si="64"/>
        <v>ara</v>
      </c>
      <c r="D2044" s="5" t="str">
        <f t="shared" si="71"/>
        <v>Salov</v>
      </c>
      <c r="E2044" s="5" t="str">
        <f t="shared" si="70"/>
        <v>Mikko</v>
      </c>
    </row>
    <row r="2045" spans="1:5" ht="15.75" customHeight="1" x14ac:dyDescent="0.3">
      <c r="A2045" s="4" t="s">
        <v>4090</v>
      </c>
      <c r="B2045" s="4" t="s">
        <v>4091</v>
      </c>
      <c r="C2045" s="5" t="str">
        <f t="shared" si="64"/>
        <v>Ms.</v>
      </c>
      <c r="D2045" s="5" t="str">
        <f t="shared" si="71"/>
        <v>Reid,</v>
      </c>
      <c r="E2045" s="5" t="str">
        <f t="shared" si="70"/>
        <v>la C.</v>
      </c>
    </row>
    <row r="2046" spans="1:5" ht="15.75" customHeight="1" x14ac:dyDescent="0.3">
      <c r="A2046" s="4" t="s">
        <v>4092</v>
      </c>
      <c r="B2046" s="4" t="s">
        <v>4093</v>
      </c>
      <c r="C2046" s="5" t="str">
        <f t="shared" si="64"/>
        <v xml:space="preserve"> Ms</v>
      </c>
      <c r="D2046" s="5" t="str">
        <f t="shared" si="71"/>
        <v>Allan</v>
      </c>
      <c r="E2046" s="5" t="str">
        <f t="shared" si="70"/>
        <v>en N.</v>
      </c>
    </row>
    <row r="2047" spans="1:5" ht="15.75" customHeight="1" x14ac:dyDescent="0.3">
      <c r="A2047" s="4" t="s">
        <v>4094</v>
      </c>
      <c r="B2047" s="4" t="s">
        <v>4095</v>
      </c>
      <c r="C2047" s="5" t="str">
        <f t="shared" si="64"/>
        <v>hli</v>
      </c>
      <c r="D2047" s="5" t="str">
        <f t="shared" si="71"/>
        <v>McLau</v>
      </c>
      <c r="E2047" s="5" t="str">
        <f t="shared" si="70"/>
        <v>risty</v>
      </c>
    </row>
    <row r="2048" spans="1:5" ht="15.75" customHeight="1" x14ac:dyDescent="0.3">
      <c r="A2048" s="4" t="s">
        <v>4096</v>
      </c>
      <c r="B2048" s="4" t="s">
        <v>4097</v>
      </c>
      <c r="C2048" s="5" t="str">
        <f t="shared" si="64"/>
        <v xml:space="preserve">s. </v>
      </c>
      <c r="D2048" s="5" t="str">
        <f t="shared" si="71"/>
        <v xml:space="preserve">Lee, </v>
      </c>
      <c r="E2048" s="5" t="str">
        <f t="shared" si="70"/>
        <v>nifer</v>
      </c>
    </row>
    <row r="2049" spans="1:5" ht="15.75" customHeight="1" x14ac:dyDescent="0.3">
      <c r="A2049" s="4" t="s">
        <v>4098</v>
      </c>
      <c r="B2049" s="4" t="s">
        <v>4099</v>
      </c>
      <c r="C2049" s="5" t="str">
        <f t="shared" si="64"/>
        <v>Ms.</v>
      </c>
      <c r="D2049" s="5" t="str">
        <f t="shared" si="71"/>
        <v>Tang,</v>
      </c>
      <c r="E2049" s="5" t="str">
        <f t="shared" si="70"/>
        <v>gjing</v>
      </c>
    </row>
    <row r="2050" spans="1:5" ht="15.75" customHeight="1" x14ac:dyDescent="0.3">
      <c r="A2050" s="4" t="s">
        <v>4100</v>
      </c>
      <c r="B2050" s="4" t="s">
        <v>4101</v>
      </c>
      <c r="C2050" s="5" t="str">
        <f t="shared" si="64"/>
        <v xml:space="preserve">y, </v>
      </c>
      <c r="D2050" s="5" t="str">
        <f t="shared" si="71"/>
        <v>Kenne</v>
      </c>
      <c r="E2050" s="5" t="str">
        <f t="shared" ref="E2050:E2113" si="72">RIGHT(B2050,5)</f>
        <v>organ</v>
      </c>
    </row>
    <row r="2051" spans="1:5" ht="15.75" customHeight="1" x14ac:dyDescent="0.3">
      <c r="A2051" s="4" t="s">
        <v>4102</v>
      </c>
      <c r="B2051" s="4" t="s">
        <v>4103</v>
      </c>
      <c r="C2051" s="5" t="str">
        <f t="shared" si="64"/>
        <v>, M</v>
      </c>
      <c r="D2051" s="5" t="str">
        <f t="shared" si="71"/>
        <v>Condo</v>
      </c>
      <c r="E2051" s="5" t="str">
        <f t="shared" si="72"/>
        <v>ck J.</v>
      </c>
    </row>
    <row r="2052" spans="1:5" ht="15.75" customHeight="1" x14ac:dyDescent="0.3">
      <c r="A2052" s="4" t="s">
        <v>4104</v>
      </c>
      <c r="B2052" s="4" t="s">
        <v>4105</v>
      </c>
      <c r="C2052" s="5" t="str">
        <f t="shared" si="64"/>
        <v>ony</v>
      </c>
      <c r="D2052" s="5" t="str">
        <f t="shared" si="71"/>
        <v>Chepk</v>
      </c>
      <c r="E2052" s="5" t="str">
        <f t="shared" si="72"/>
        <v>kline</v>
      </c>
    </row>
    <row r="2053" spans="1:5" ht="15.75" customHeight="1" x14ac:dyDescent="0.3">
      <c r="A2053" s="4" t="s">
        <v>4106</v>
      </c>
      <c r="B2053" s="4" t="s">
        <v>4107</v>
      </c>
      <c r="C2053" s="5" t="str">
        <f t="shared" si="64"/>
        <v>uez</v>
      </c>
      <c r="D2053" s="5" t="str">
        <f t="shared" si="71"/>
        <v>Rodri</v>
      </c>
      <c r="E2053" s="5" t="str">
        <f t="shared" si="72"/>
        <v>ra T.</v>
      </c>
    </row>
    <row r="2054" spans="1:5" ht="15.75" customHeight="1" x14ac:dyDescent="0.3">
      <c r="A2054" s="4" t="s">
        <v>4108</v>
      </c>
      <c r="B2054" s="4" t="s">
        <v>4109</v>
      </c>
      <c r="C2054" s="5" t="str">
        <f t="shared" si="64"/>
        <v>rcz</v>
      </c>
      <c r="D2054" s="5" t="str">
        <f t="shared" si="71"/>
        <v>Szynk</v>
      </c>
      <c r="E2054" s="5" t="str">
        <f t="shared" si="72"/>
        <v>talia</v>
      </c>
    </row>
    <row r="2055" spans="1:5" ht="15.75" customHeight="1" x14ac:dyDescent="0.3">
      <c r="A2055" s="4" t="s">
        <v>4110</v>
      </c>
      <c r="B2055" s="4" t="s">
        <v>4111</v>
      </c>
      <c r="C2055" s="5" t="str">
        <f t="shared" si="64"/>
        <v xml:space="preserve"> Ms</v>
      </c>
      <c r="D2055" s="5" t="str">
        <f t="shared" si="71"/>
        <v>Brill</v>
      </c>
      <c r="E2055" s="5" t="str">
        <f t="shared" si="72"/>
        <v>er L.</v>
      </c>
    </row>
    <row r="2056" spans="1:5" ht="15.75" customHeight="1" x14ac:dyDescent="0.3">
      <c r="A2056" s="4" t="s">
        <v>4112</v>
      </c>
      <c r="B2056" s="4" t="s">
        <v>4113</v>
      </c>
      <c r="C2056" s="5" t="str">
        <f t="shared" si="64"/>
        <v xml:space="preserve"> Ms</v>
      </c>
      <c r="D2056" s="5" t="str">
        <f t="shared" si="71"/>
        <v>Adams</v>
      </c>
      <c r="E2056" s="5" t="str">
        <f t="shared" si="72"/>
        <v>rooke</v>
      </c>
    </row>
    <row r="2057" spans="1:5" ht="15.75" customHeight="1" x14ac:dyDescent="0.3">
      <c r="A2057" s="4" t="s">
        <v>4114</v>
      </c>
      <c r="B2057" s="4" t="s">
        <v>4115</v>
      </c>
      <c r="C2057" s="5" t="str">
        <f t="shared" si="64"/>
        <v>Mr.</v>
      </c>
      <c r="D2057" s="5" t="str">
        <f t="shared" si="71"/>
        <v>Nunn,</v>
      </c>
      <c r="E2057" s="5" t="str">
        <f t="shared" si="72"/>
        <v>emy M</v>
      </c>
    </row>
    <row r="2058" spans="1:5" ht="15.75" customHeight="1" x14ac:dyDescent="0.3">
      <c r="A2058" s="4" t="s">
        <v>4116</v>
      </c>
      <c r="B2058" s="4" t="s">
        <v>4117</v>
      </c>
      <c r="C2058" s="5" t="str">
        <f t="shared" ref="C2058:C2312" si="73">MID(B2058,7,3)</f>
        <v xml:space="preserve"> Ms</v>
      </c>
      <c r="D2058" s="5" t="str">
        <f t="shared" si="71"/>
        <v>Blair</v>
      </c>
      <c r="E2058" s="5" t="str">
        <f t="shared" si="72"/>
        <v>an L.</v>
      </c>
    </row>
    <row r="2059" spans="1:5" ht="15.75" customHeight="1" x14ac:dyDescent="0.3">
      <c r="A2059" s="4" t="s">
        <v>4118</v>
      </c>
      <c r="B2059" s="4" t="s">
        <v>4119</v>
      </c>
      <c r="C2059" s="5" t="str">
        <f t="shared" si="73"/>
        <v xml:space="preserve">y, </v>
      </c>
      <c r="D2059" s="5" t="str">
        <f t="shared" si="71"/>
        <v>Shark</v>
      </c>
      <c r="E2059" s="5" t="str">
        <f t="shared" si="72"/>
        <v>Bryan</v>
      </c>
    </row>
    <row r="2060" spans="1:5" ht="15.75" customHeight="1" x14ac:dyDescent="0.3">
      <c r="A2060" s="4" t="s">
        <v>4120</v>
      </c>
      <c r="B2060" s="4" t="s">
        <v>4121</v>
      </c>
      <c r="C2060" s="5" t="str">
        <f t="shared" si="73"/>
        <v xml:space="preserve">d, </v>
      </c>
      <c r="D2060" s="5" t="str">
        <f t="shared" si="71"/>
        <v>Scala</v>
      </c>
      <c r="E2060" s="5" t="str">
        <f t="shared" si="72"/>
        <v>Marny</v>
      </c>
    </row>
    <row r="2061" spans="1:5" ht="15.75" customHeight="1" x14ac:dyDescent="0.3">
      <c r="A2061" s="4" t="s">
        <v>4122</v>
      </c>
      <c r="B2061" s="4" t="s">
        <v>4123</v>
      </c>
      <c r="C2061" s="5" t="str">
        <f t="shared" si="73"/>
        <v>, M</v>
      </c>
      <c r="D2061" s="5" t="str">
        <f t="shared" si="71"/>
        <v>Burge</v>
      </c>
      <c r="E2061" s="5" t="str">
        <f t="shared" si="72"/>
        <v xml:space="preserve"> Marc</v>
      </c>
    </row>
    <row r="2062" spans="1:5" ht="15.75" customHeight="1" x14ac:dyDescent="0.3">
      <c r="A2062" s="4" t="s">
        <v>4124</v>
      </c>
      <c r="B2062" s="4" t="s">
        <v>4125</v>
      </c>
      <c r="C2062" s="5" t="str">
        <f t="shared" si="73"/>
        <v xml:space="preserve">h, </v>
      </c>
      <c r="D2062" s="5" t="str">
        <f t="shared" si="71"/>
        <v>Engli</v>
      </c>
      <c r="E2062" s="5" t="str">
        <f t="shared" si="72"/>
        <v>min L</v>
      </c>
    </row>
    <row r="2063" spans="1:5" ht="15.75" customHeight="1" x14ac:dyDescent="0.3">
      <c r="A2063" s="4" t="s">
        <v>4126</v>
      </c>
      <c r="B2063" s="4" t="s">
        <v>4127</v>
      </c>
      <c r="C2063" s="5" t="str">
        <f t="shared" si="73"/>
        <v xml:space="preserve">n, </v>
      </c>
      <c r="D2063" s="5" t="str">
        <f t="shared" si="71"/>
        <v>Hampt</v>
      </c>
      <c r="E2063" s="5" t="str">
        <f t="shared" si="72"/>
        <v>Rob G</v>
      </c>
    </row>
    <row r="2064" spans="1:5" ht="15.75" customHeight="1" x14ac:dyDescent="0.3">
      <c r="A2064" s="4" t="s">
        <v>4128</v>
      </c>
      <c r="B2064" s="4" t="s">
        <v>4129</v>
      </c>
      <c r="C2064" s="5" t="str">
        <f t="shared" si="73"/>
        <v xml:space="preserve"> Ms</v>
      </c>
      <c r="D2064" s="5" t="str">
        <f t="shared" si="71"/>
        <v>Flynn</v>
      </c>
      <c r="E2064" s="5" t="str">
        <f t="shared" si="72"/>
        <v>nie A</v>
      </c>
    </row>
    <row r="2065" spans="1:5" ht="15.75" customHeight="1" x14ac:dyDescent="0.3">
      <c r="A2065" s="4" t="s">
        <v>4130</v>
      </c>
      <c r="B2065" s="4" t="s">
        <v>4131</v>
      </c>
      <c r="C2065" s="5" t="str">
        <f t="shared" si="73"/>
        <v xml:space="preserve"> Ms</v>
      </c>
      <c r="D2065" s="5" t="str">
        <f t="shared" ref="D2065:D2128" si="74">LEFT(B2065,5)</f>
        <v>Knast</v>
      </c>
      <c r="E2065" s="5" t="str">
        <f t="shared" si="72"/>
        <v>hanie</v>
      </c>
    </row>
    <row r="2066" spans="1:5" ht="15.75" customHeight="1" x14ac:dyDescent="0.3">
      <c r="A2066" s="4" t="s">
        <v>4132</v>
      </c>
      <c r="B2066" s="4" t="s">
        <v>4133</v>
      </c>
      <c r="C2066" s="5" t="str">
        <f t="shared" si="73"/>
        <v xml:space="preserve"> Ms</v>
      </c>
      <c r="D2066" s="5" t="str">
        <f t="shared" si="74"/>
        <v>Lucas</v>
      </c>
      <c r="E2066" s="5" t="str">
        <f t="shared" si="72"/>
        <v>ne F.</v>
      </c>
    </row>
    <row r="2067" spans="1:5" ht="15.75" customHeight="1" x14ac:dyDescent="0.3">
      <c r="A2067" s="4" t="s">
        <v>4134</v>
      </c>
      <c r="B2067" s="4" t="s">
        <v>4135</v>
      </c>
      <c r="C2067" s="5" t="str">
        <f t="shared" si="73"/>
        <v>, M</v>
      </c>
      <c r="D2067" s="5" t="str">
        <f t="shared" si="74"/>
        <v>Thoma</v>
      </c>
      <c r="E2067" s="5" t="str">
        <f t="shared" si="72"/>
        <v>ia J.</v>
      </c>
    </row>
    <row r="2068" spans="1:5" ht="15.75" customHeight="1" x14ac:dyDescent="0.3">
      <c r="A2068" s="4" t="s">
        <v>4136</v>
      </c>
      <c r="B2068" s="4" t="s">
        <v>4137</v>
      </c>
      <c r="C2068" s="5" t="str">
        <f t="shared" si="73"/>
        <v>att</v>
      </c>
      <c r="D2068" s="5" t="str">
        <f t="shared" si="74"/>
        <v>Chere</v>
      </c>
      <c r="E2068" s="5" t="str">
        <f t="shared" si="72"/>
        <v xml:space="preserve"> Jack</v>
      </c>
    </row>
    <row r="2069" spans="1:5" ht="15.75" customHeight="1" x14ac:dyDescent="0.3">
      <c r="A2069" s="4" t="s">
        <v>4138</v>
      </c>
      <c r="B2069" s="4" t="s">
        <v>4139</v>
      </c>
      <c r="C2069" s="5" t="str">
        <f t="shared" si="73"/>
        <v>Mr.</v>
      </c>
      <c r="D2069" s="5" t="str">
        <f t="shared" si="74"/>
        <v>Olle,</v>
      </c>
      <c r="E2069" s="5" t="str">
        <f t="shared" si="72"/>
        <v>ernat</v>
      </c>
    </row>
    <row r="2070" spans="1:5" ht="15.75" customHeight="1" x14ac:dyDescent="0.3">
      <c r="A2070" s="4" t="s">
        <v>4140</v>
      </c>
      <c r="B2070" s="4" t="s">
        <v>4141</v>
      </c>
      <c r="C2070" s="5" t="str">
        <f t="shared" si="73"/>
        <v xml:space="preserve"> Mr</v>
      </c>
      <c r="D2070" s="5" t="str">
        <f t="shared" si="74"/>
        <v>Hamsi</v>
      </c>
      <c r="E2070" s="5" t="str">
        <f t="shared" si="72"/>
        <v>icham</v>
      </c>
    </row>
    <row r="2071" spans="1:5" ht="15.75" customHeight="1" x14ac:dyDescent="0.3">
      <c r="A2071" s="4" t="s">
        <v>4142</v>
      </c>
      <c r="B2071" s="4" t="s">
        <v>4143</v>
      </c>
      <c r="C2071" s="5" t="str">
        <f t="shared" si="73"/>
        <v>an,</v>
      </c>
      <c r="D2071" s="5" t="str">
        <f t="shared" si="74"/>
        <v>Finne</v>
      </c>
      <c r="E2071" s="5" t="str">
        <f t="shared" si="72"/>
        <v>Sarah</v>
      </c>
    </row>
    <row r="2072" spans="1:5" ht="15.75" customHeight="1" x14ac:dyDescent="0.3">
      <c r="A2072" s="4" t="s">
        <v>4144</v>
      </c>
      <c r="B2072" s="4" t="s">
        <v>4145</v>
      </c>
      <c r="C2072" s="5" t="str">
        <f t="shared" si="73"/>
        <v xml:space="preserve"> Mr</v>
      </c>
      <c r="D2072" s="5" t="str">
        <f t="shared" si="74"/>
        <v>Walsh</v>
      </c>
      <c r="E2072" s="5" t="str">
        <f t="shared" si="72"/>
        <v>ony S</v>
      </c>
    </row>
    <row r="2073" spans="1:5" ht="15.75" customHeight="1" x14ac:dyDescent="0.3">
      <c r="A2073" s="4" t="s">
        <v>4146</v>
      </c>
      <c r="B2073" s="4" t="s">
        <v>4147</v>
      </c>
      <c r="C2073" s="5" t="str">
        <f t="shared" si="73"/>
        <v xml:space="preserve"> Ms</v>
      </c>
      <c r="D2073" s="5" t="str">
        <f t="shared" si="74"/>
        <v>Villa</v>
      </c>
      <c r="E2073" s="5" t="str">
        <f t="shared" si="72"/>
        <v>betta</v>
      </c>
    </row>
    <row r="2074" spans="1:5" ht="15.75" customHeight="1" x14ac:dyDescent="0.3">
      <c r="A2074" s="4" t="s">
        <v>4148</v>
      </c>
      <c r="B2074" s="4" t="s">
        <v>4149</v>
      </c>
      <c r="C2074" s="5" t="str">
        <f t="shared" si="73"/>
        <v xml:space="preserve"> Mr</v>
      </c>
      <c r="D2074" s="5" t="str">
        <f t="shared" si="74"/>
        <v>Cable</v>
      </c>
      <c r="E2074" s="5" t="str">
        <f t="shared" si="72"/>
        <v>or N.</v>
      </c>
    </row>
    <row r="2075" spans="1:5" ht="15.75" customHeight="1" x14ac:dyDescent="0.3">
      <c r="A2075" s="4" t="s">
        <v>4150</v>
      </c>
      <c r="B2075" s="4" t="s">
        <v>4151</v>
      </c>
      <c r="C2075" s="5" t="str">
        <f t="shared" si="73"/>
        <v>, M</v>
      </c>
      <c r="D2075" s="5" t="str">
        <f t="shared" si="74"/>
        <v>Eirin</v>
      </c>
      <c r="E2075" s="5" t="str">
        <f t="shared" si="72"/>
        <v>Nancy</v>
      </c>
    </row>
    <row r="2076" spans="1:5" ht="15.75" customHeight="1" x14ac:dyDescent="0.3">
      <c r="A2076" s="4" t="s">
        <v>4152</v>
      </c>
      <c r="B2076" s="4" t="s">
        <v>4153</v>
      </c>
      <c r="C2076" s="5" t="str">
        <f t="shared" si="73"/>
        <v>, M</v>
      </c>
      <c r="D2076" s="5" t="str">
        <f t="shared" si="74"/>
        <v>Conno</v>
      </c>
      <c r="E2076" s="5" t="str">
        <f t="shared" si="72"/>
        <v>on R.</v>
      </c>
    </row>
    <row r="2077" spans="1:5" ht="15.75" customHeight="1" x14ac:dyDescent="0.3">
      <c r="A2077" s="4" t="s">
        <v>4154</v>
      </c>
      <c r="B2077" s="4" t="s">
        <v>4155</v>
      </c>
      <c r="C2077" s="5" t="str">
        <f t="shared" si="73"/>
        <v>an,</v>
      </c>
      <c r="D2077" s="5" t="str">
        <f t="shared" si="74"/>
        <v>Fried</v>
      </c>
      <c r="E2077" s="5" t="str">
        <f t="shared" si="72"/>
        <v>rt J.</v>
      </c>
    </row>
    <row r="2078" spans="1:5" ht="15.75" customHeight="1" x14ac:dyDescent="0.3">
      <c r="A2078" s="4" t="s">
        <v>4156</v>
      </c>
      <c r="B2078" s="4" t="s">
        <v>4157</v>
      </c>
      <c r="C2078" s="5" t="str">
        <f t="shared" si="73"/>
        <v>, M</v>
      </c>
      <c r="D2078" s="5" t="str">
        <f t="shared" si="74"/>
        <v>Croke</v>
      </c>
      <c r="E2078" s="5" t="str">
        <f t="shared" si="72"/>
        <v>holas</v>
      </c>
    </row>
    <row r="2079" spans="1:5" ht="15.75" customHeight="1" x14ac:dyDescent="0.3">
      <c r="A2079" s="4" t="s">
        <v>4158</v>
      </c>
      <c r="B2079" s="4" t="s">
        <v>4159</v>
      </c>
      <c r="C2079" s="5" t="str">
        <f t="shared" si="73"/>
        <v>cs,</v>
      </c>
      <c r="D2079" s="5" t="str">
        <f t="shared" si="74"/>
        <v>Began</v>
      </c>
      <c r="E2079" s="5" t="str">
        <f t="shared" si="72"/>
        <v>vin L</v>
      </c>
    </row>
    <row r="2080" spans="1:5" ht="15.75" customHeight="1" x14ac:dyDescent="0.3">
      <c r="A2080" s="4" t="s">
        <v>4160</v>
      </c>
      <c r="B2080" s="4" t="s">
        <v>4161</v>
      </c>
      <c r="C2080" s="5" t="str">
        <f t="shared" si="73"/>
        <v xml:space="preserve">y, </v>
      </c>
      <c r="D2080" s="5" t="str">
        <f t="shared" si="74"/>
        <v>Huber</v>
      </c>
      <c r="E2080" s="5" t="str">
        <f t="shared" si="72"/>
        <v>Bryan</v>
      </c>
    </row>
    <row r="2081" spans="1:5" ht="15.75" customHeight="1" x14ac:dyDescent="0.3">
      <c r="A2081" s="4" t="s">
        <v>4162</v>
      </c>
      <c r="B2081" s="4" t="s">
        <v>4163</v>
      </c>
      <c r="C2081" s="5" t="str">
        <f t="shared" si="73"/>
        <v>, M</v>
      </c>
      <c r="D2081" s="5" t="str">
        <f t="shared" si="74"/>
        <v>Jacob</v>
      </c>
      <c r="E2081" s="5" t="str">
        <f t="shared" si="72"/>
        <v>ae N.</v>
      </c>
    </row>
    <row r="2082" spans="1:5" ht="15.75" customHeight="1" x14ac:dyDescent="0.3">
      <c r="A2082" s="4" t="s">
        <v>4164</v>
      </c>
      <c r="B2082" s="4" t="s">
        <v>4165</v>
      </c>
      <c r="C2082" s="5" t="str">
        <f t="shared" si="73"/>
        <v>urs</v>
      </c>
      <c r="D2082" s="5" t="str">
        <f t="shared" si="74"/>
        <v>Hazle</v>
      </c>
      <c r="E2082" s="5" t="str">
        <f t="shared" si="72"/>
        <v>udrey</v>
      </c>
    </row>
    <row r="2083" spans="1:5" ht="15.75" customHeight="1" x14ac:dyDescent="0.3">
      <c r="A2083" s="4" t="s">
        <v>4166</v>
      </c>
      <c r="B2083" s="4" t="s">
        <v>4167</v>
      </c>
      <c r="C2083" s="5" t="str">
        <f t="shared" si="73"/>
        <v xml:space="preserve"> Ms</v>
      </c>
      <c r="D2083" s="5" t="str">
        <f t="shared" si="74"/>
        <v>Marin</v>
      </c>
      <c r="E2083" s="5" t="str">
        <f t="shared" si="72"/>
        <v>Laura</v>
      </c>
    </row>
    <row r="2084" spans="1:5" ht="15.75" customHeight="1" x14ac:dyDescent="0.3">
      <c r="A2084" s="4" t="s">
        <v>4168</v>
      </c>
      <c r="B2084" s="4" t="s">
        <v>4169</v>
      </c>
      <c r="C2084" s="5" t="str">
        <f t="shared" si="73"/>
        <v>Ms.</v>
      </c>
      <c r="D2084" s="5" t="str">
        <f t="shared" si="74"/>
        <v>Dear,</v>
      </c>
      <c r="E2084" s="5" t="str">
        <f t="shared" si="72"/>
        <v>ole F</v>
      </c>
    </row>
    <row r="2085" spans="1:5" ht="15.75" customHeight="1" x14ac:dyDescent="0.3">
      <c r="A2085" s="4" t="s">
        <v>4170</v>
      </c>
      <c r="B2085" s="4" t="s">
        <v>4171</v>
      </c>
      <c r="C2085" s="5" t="str">
        <f t="shared" si="73"/>
        <v xml:space="preserve">r, </v>
      </c>
      <c r="D2085" s="5" t="str">
        <f t="shared" si="74"/>
        <v>Leder</v>
      </c>
      <c r="E2085" s="5" t="str">
        <f t="shared" si="72"/>
        <v>sta L</v>
      </c>
    </row>
    <row r="2086" spans="1:5" ht="15.75" customHeight="1" x14ac:dyDescent="0.3">
      <c r="A2086" s="4" t="s">
        <v>4172</v>
      </c>
      <c r="B2086" s="4" t="s">
        <v>4173</v>
      </c>
      <c r="C2086" s="5" t="str">
        <f t="shared" si="73"/>
        <v>, M</v>
      </c>
      <c r="D2086" s="5" t="str">
        <f t="shared" si="74"/>
        <v>Robso</v>
      </c>
      <c r="E2086" s="5" t="str">
        <f t="shared" si="72"/>
        <v>enise</v>
      </c>
    </row>
    <row r="2087" spans="1:5" ht="15.75" customHeight="1" x14ac:dyDescent="0.3">
      <c r="A2087" s="4" t="s">
        <v>4174</v>
      </c>
      <c r="B2087" s="4" t="s">
        <v>4175</v>
      </c>
      <c r="C2087" s="5" t="str">
        <f t="shared" si="73"/>
        <v>, M</v>
      </c>
      <c r="D2087" s="5" t="str">
        <f t="shared" si="74"/>
        <v>Galva</v>
      </c>
      <c r="E2087" s="5" t="str">
        <f t="shared" si="72"/>
        <v>Ariel</v>
      </c>
    </row>
    <row r="2088" spans="1:5" ht="15.75" customHeight="1" x14ac:dyDescent="0.3">
      <c r="A2088" s="4" t="s">
        <v>4176</v>
      </c>
      <c r="B2088" s="4" t="s">
        <v>4177</v>
      </c>
      <c r="C2088" s="5" t="str">
        <f t="shared" si="73"/>
        <v xml:space="preserve"> Mr</v>
      </c>
      <c r="D2088" s="5" t="str">
        <f t="shared" si="74"/>
        <v>Walsh</v>
      </c>
      <c r="E2088" s="5" t="str">
        <f t="shared" si="72"/>
        <v>eremy</v>
      </c>
    </row>
    <row r="2089" spans="1:5" ht="15.75" customHeight="1" x14ac:dyDescent="0.3">
      <c r="A2089" s="4" t="s">
        <v>4178</v>
      </c>
      <c r="B2089" s="4" t="s">
        <v>4179</v>
      </c>
      <c r="C2089" s="5" t="str">
        <f t="shared" si="73"/>
        <v xml:space="preserve">n, </v>
      </c>
      <c r="D2089" s="5" t="str">
        <f t="shared" si="74"/>
        <v>Teeuw</v>
      </c>
      <c r="E2089" s="5" t="str">
        <f t="shared" si="72"/>
        <v>salie</v>
      </c>
    </row>
    <row r="2090" spans="1:5" ht="15.75" customHeight="1" x14ac:dyDescent="0.3">
      <c r="A2090" s="4" t="s">
        <v>4180</v>
      </c>
      <c r="B2090" s="4" t="s">
        <v>4181</v>
      </c>
      <c r="C2090" s="5" t="str">
        <f t="shared" si="73"/>
        <v>Mr.</v>
      </c>
      <c r="D2090" s="5" t="str">
        <f t="shared" si="74"/>
        <v>List,</v>
      </c>
      <c r="E2090" s="5" t="str">
        <f t="shared" si="72"/>
        <v xml:space="preserve">  Jay</v>
      </c>
    </row>
    <row r="2091" spans="1:5" ht="15.75" customHeight="1" x14ac:dyDescent="0.3">
      <c r="A2091" s="4" t="s">
        <v>4182</v>
      </c>
      <c r="B2091" s="4" t="s">
        <v>4183</v>
      </c>
      <c r="C2091" s="5" t="str">
        <f t="shared" si="73"/>
        <v>, M</v>
      </c>
      <c r="D2091" s="5" t="str">
        <f t="shared" si="74"/>
        <v>Shafa</v>
      </c>
      <c r="E2091" s="5" t="str">
        <f t="shared" si="72"/>
        <v>taliy</v>
      </c>
    </row>
    <row r="2092" spans="1:5" ht="15.75" customHeight="1" x14ac:dyDescent="0.3">
      <c r="A2092" s="4" t="s">
        <v>4184</v>
      </c>
      <c r="B2092" s="4" t="s">
        <v>4185</v>
      </c>
      <c r="C2092" s="5" t="str">
        <f t="shared" si="73"/>
        <v>ave</v>
      </c>
      <c r="D2092" s="5" t="str">
        <f t="shared" si="74"/>
        <v>Copen</v>
      </c>
      <c r="E2092" s="5" t="str">
        <f t="shared" si="72"/>
        <v>in W.</v>
      </c>
    </row>
    <row r="2093" spans="1:5" ht="15.75" customHeight="1" x14ac:dyDescent="0.3">
      <c r="A2093" s="4" t="s">
        <v>4186</v>
      </c>
      <c r="B2093" s="4" t="s">
        <v>4187</v>
      </c>
      <c r="C2093" s="5" t="str">
        <f t="shared" si="73"/>
        <v xml:space="preserve"> Mr</v>
      </c>
      <c r="D2093" s="5" t="str">
        <f t="shared" si="74"/>
        <v>Stump</v>
      </c>
      <c r="E2093" s="5" t="str">
        <f t="shared" si="72"/>
        <v>Jesse</v>
      </c>
    </row>
    <row r="2094" spans="1:5" ht="15.75" customHeight="1" x14ac:dyDescent="0.3">
      <c r="A2094" s="4" t="s">
        <v>4188</v>
      </c>
      <c r="B2094" s="4" t="s">
        <v>4189</v>
      </c>
      <c r="C2094" s="5" t="str">
        <f t="shared" si="73"/>
        <v xml:space="preserve">n, </v>
      </c>
      <c r="D2094" s="5" t="str">
        <f t="shared" si="74"/>
        <v>Wehrm</v>
      </c>
      <c r="E2094" s="5" t="str">
        <f t="shared" si="72"/>
        <v xml:space="preserve"> Mark</v>
      </c>
    </row>
    <row r="2095" spans="1:5" ht="15.75" customHeight="1" x14ac:dyDescent="0.3">
      <c r="A2095" s="4" t="s">
        <v>4190</v>
      </c>
      <c r="B2095" s="4" t="s">
        <v>4191</v>
      </c>
      <c r="C2095" s="5" t="str">
        <f t="shared" si="73"/>
        <v>, M</v>
      </c>
      <c r="D2095" s="5" t="str">
        <f t="shared" si="74"/>
        <v>Sisch</v>
      </c>
      <c r="E2095" s="5" t="str">
        <f t="shared" si="72"/>
        <v>auren</v>
      </c>
    </row>
    <row r="2096" spans="1:5" ht="15.75" customHeight="1" x14ac:dyDescent="0.3">
      <c r="A2096" s="4" t="s">
        <v>4192</v>
      </c>
      <c r="B2096" s="4" t="s">
        <v>4193</v>
      </c>
      <c r="C2096" s="5" t="str">
        <f t="shared" si="73"/>
        <v xml:space="preserve"> Mr</v>
      </c>
      <c r="D2096" s="5" t="str">
        <f t="shared" si="74"/>
        <v>Fonti</v>
      </c>
      <c r="E2096" s="5" t="str">
        <f t="shared" si="72"/>
        <v>liano</v>
      </c>
    </row>
    <row r="2097" spans="1:5" ht="15.75" customHeight="1" x14ac:dyDescent="0.3">
      <c r="A2097" s="4" t="s">
        <v>4194</v>
      </c>
      <c r="B2097" s="4" t="s">
        <v>4195</v>
      </c>
      <c r="C2097" s="5" t="str">
        <f t="shared" si="73"/>
        <v>, M</v>
      </c>
      <c r="D2097" s="5" t="str">
        <f t="shared" si="74"/>
        <v>Merli</v>
      </c>
      <c r="E2097" s="5" t="str">
        <f t="shared" si="72"/>
        <v xml:space="preserve"> Josh</v>
      </c>
    </row>
    <row r="2098" spans="1:5" ht="15.75" customHeight="1" x14ac:dyDescent="0.3">
      <c r="A2098" s="4" t="s">
        <v>4196</v>
      </c>
      <c r="B2098" s="4" t="s">
        <v>4197</v>
      </c>
      <c r="C2098" s="5" t="str">
        <f t="shared" si="73"/>
        <v>wa,</v>
      </c>
      <c r="D2098" s="5" t="str">
        <f t="shared" si="74"/>
        <v>Haseg</v>
      </c>
      <c r="E2098" s="5" t="str">
        <f t="shared" si="72"/>
        <v>katsu</v>
      </c>
    </row>
    <row r="2099" spans="1:5" ht="15.75" customHeight="1" x14ac:dyDescent="0.3">
      <c r="A2099" s="4" t="s">
        <v>4198</v>
      </c>
      <c r="B2099" s="4" t="s">
        <v>4199</v>
      </c>
      <c r="C2099" s="5" t="str">
        <f t="shared" si="73"/>
        <v>en,</v>
      </c>
      <c r="D2099" s="5" t="str">
        <f t="shared" si="74"/>
        <v>Hasel</v>
      </c>
      <c r="E2099" s="5" t="str">
        <f t="shared" si="72"/>
        <v>nda L</v>
      </c>
    </row>
    <row r="2100" spans="1:5" ht="15.75" customHeight="1" x14ac:dyDescent="0.3">
      <c r="A2100" s="4" t="s">
        <v>4200</v>
      </c>
      <c r="B2100" s="4" t="s">
        <v>4201</v>
      </c>
      <c r="C2100" s="5" t="str">
        <f t="shared" si="73"/>
        <v>on,</v>
      </c>
      <c r="D2100" s="5" t="str">
        <f t="shared" si="74"/>
        <v>Simon</v>
      </c>
      <c r="E2100" s="5" t="str">
        <f t="shared" si="72"/>
        <v>tthew</v>
      </c>
    </row>
    <row r="2101" spans="1:5" ht="15.75" customHeight="1" x14ac:dyDescent="0.3">
      <c r="A2101" s="4" t="s">
        <v>4202</v>
      </c>
      <c r="B2101" s="4" t="s">
        <v>4203</v>
      </c>
      <c r="C2101" s="5" t="str">
        <f t="shared" si="73"/>
        <v>, M</v>
      </c>
      <c r="D2101" s="5" t="str">
        <f t="shared" si="74"/>
        <v>Monta</v>
      </c>
      <c r="E2101" s="5" t="str">
        <f t="shared" si="72"/>
        <v>lia M</v>
      </c>
    </row>
    <row r="2102" spans="1:5" ht="15.75" customHeight="1" x14ac:dyDescent="0.3">
      <c r="A2102" s="4" t="s">
        <v>4204</v>
      </c>
      <c r="B2102" s="4" t="s">
        <v>4205</v>
      </c>
      <c r="C2102" s="5" t="str">
        <f t="shared" si="73"/>
        <v xml:space="preserve">n, </v>
      </c>
      <c r="D2102" s="5" t="str">
        <f t="shared" si="74"/>
        <v>Deroi</v>
      </c>
      <c r="E2102" s="5" t="str">
        <f t="shared" si="72"/>
        <v xml:space="preserve"> Rhea</v>
      </c>
    </row>
    <row r="2103" spans="1:5" ht="15.75" customHeight="1" x14ac:dyDescent="0.3">
      <c r="A2103" s="4" t="s">
        <v>4206</v>
      </c>
      <c r="B2103" s="4" t="s">
        <v>4207</v>
      </c>
      <c r="C2103" s="5" t="str">
        <f t="shared" si="73"/>
        <v xml:space="preserve"> Mr</v>
      </c>
      <c r="D2103" s="5" t="str">
        <f t="shared" si="74"/>
        <v>Goetz</v>
      </c>
      <c r="E2103" s="5" t="str">
        <f t="shared" si="72"/>
        <v>ustin</v>
      </c>
    </row>
    <row r="2104" spans="1:5" ht="15.75" customHeight="1" x14ac:dyDescent="0.3">
      <c r="A2104" s="4" t="s">
        <v>4208</v>
      </c>
      <c r="B2104" s="4" t="s">
        <v>4209</v>
      </c>
      <c r="C2104" s="5" t="str">
        <f t="shared" si="73"/>
        <v xml:space="preserve"> Mr</v>
      </c>
      <c r="D2104" s="5" t="str">
        <f t="shared" si="74"/>
        <v>Brady</v>
      </c>
      <c r="E2104" s="5" t="str">
        <f t="shared" si="72"/>
        <v>us M.</v>
      </c>
    </row>
    <row r="2105" spans="1:5" ht="15.75" customHeight="1" x14ac:dyDescent="0.3">
      <c r="A2105" s="4" t="s">
        <v>4210</v>
      </c>
      <c r="B2105" s="4" t="s">
        <v>4211</v>
      </c>
      <c r="C2105" s="5" t="str">
        <f t="shared" si="73"/>
        <v xml:space="preserve"> Mr</v>
      </c>
      <c r="D2105" s="5" t="str">
        <f t="shared" si="74"/>
        <v>Moran</v>
      </c>
      <c r="E2105" s="5" t="str">
        <f t="shared" si="72"/>
        <v xml:space="preserve"> Mike</v>
      </c>
    </row>
    <row r="2106" spans="1:5" ht="15.75" customHeight="1" x14ac:dyDescent="0.3">
      <c r="A2106" s="4" t="s">
        <v>4212</v>
      </c>
      <c r="B2106" s="4" t="s">
        <v>4213</v>
      </c>
      <c r="C2106" s="5" t="str">
        <f t="shared" si="73"/>
        <v>ler</v>
      </c>
      <c r="D2106" s="5" t="str">
        <f t="shared" si="74"/>
        <v>Stric</v>
      </c>
      <c r="E2106" s="5" t="str">
        <f t="shared" si="72"/>
        <v xml:space="preserve"> Beth</v>
      </c>
    </row>
    <row r="2107" spans="1:5" ht="15.75" customHeight="1" x14ac:dyDescent="0.3">
      <c r="A2107" s="4" t="s">
        <v>4214</v>
      </c>
      <c r="B2107" s="4" t="s">
        <v>4215</v>
      </c>
      <c r="C2107" s="5" t="str">
        <f t="shared" si="73"/>
        <v>, M</v>
      </c>
      <c r="D2107" s="5" t="str">
        <f t="shared" si="74"/>
        <v>Simon</v>
      </c>
      <c r="E2107" s="5" t="str">
        <f t="shared" si="72"/>
        <v xml:space="preserve"> Erin</v>
      </c>
    </row>
    <row r="2108" spans="1:5" ht="15.75" customHeight="1" x14ac:dyDescent="0.3">
      <c r="A2108" s="4" t="s">
        <v>4216</v>
      </c>
      <c r="B2108" s="4" t="s">
        <v>4217</v>
      </c>
      <c r="C2108" s="5" t="str">
        <f t="shared" si="73"/>
        <v>ck,</v>
      </c>
      <c r="D2108" s="5" t="str">
        <f t="shared" si="74"/>
        <v>Von R</v>
      </c>
      <c r="E2108" s="5" t="str">
        <f t="shared" si="72"/>
        <v>allie</v>
      </c>
    </row>
    <row r="2109" spans="1:5" ht="15.75" customHeight="1" x14ac:dyDescent="0.3">
      <c r="A2109" s="4" t="s">
        <v>4218</v>
      </c>
      <c r="B2109" s="4" t="s">
        <v>4219</v>
      </c>
      <c r="C2109" s="5" t="str">
        <f t="shared" si="73"/>
        <v xml:space="preserve">d, </v>
      </c>
      <c r="D2109" s="5" t="str">
        <f t="shared" si="74"/>
        <v>Wooda</v>
      </c>
      <c r="E2109" s="5" t="str">
        <f t="shared" si="72"/>
        <v>ige P</v>
      </c>
    </row>
    <row r="2110" spans="1:5" ht="15.75" customHeight="1" x14ac:dyDescent="0.3">
      <c r="A2110" s="4" t="s">
        <v>4220</v>
      </c>
      <c r="B2110" s="4" t="s">
        <v>4221</v>
      </c>
      <c r="C2110" s="5" t="str">
        <f t="shared" si="73"/>
        <v xml:space="preserve">.  </v>
      </c>
      <c r="D2110" s="5" t="str">
        <f t="shared" si="74"/>
        <v>Li, M</v>
      </c>
      <c r="E2110" s="5" t="str">
        <f t="shared" si="72"/>
        <v>.  Ji</v>
      </c>
    </row>
    <row r="2111" spans="1:5" ht="15.75" customHeight="1" x14ac:dyDescent="0.3">
      <c r="A2111" s="4" t="s">
        <v>4222</v>
      </c>
      <c r="B2111" s="4" t="s">
        <v>4223</v>
      </c>
      <c r="C2111" s="5" t="str">
        <f t="shared" si="73"/>
        <v xml:space="preserve"> Ms</v>
      </c>
      <c r="D2111" s="5" t="str">
        <f t="shared" si="74"/>
        <v>Sinda</v>
      </c>
      <c r="E2111" s="5" t="str">
        <f t="shared" si="72"/>
        <v>ssa A</v>
      </c>
    </row>
    <row r="2112" spans="1:5" ht="15.75" customHeight="1" x14ac:dyDescent="0.3">
      <c r="A2112" s="4" t="s">
        <v>4224</v>
      </c>
      <c r="B2112" s="4" t="s">
        <v>4225</v>
      </c>
      <c r="C2112" s="5" t="str">
        <f t="shared" si="73"/>
        <v xml:space="preserve">d, </v>
      </c>
      <c r="D2112" s="5" t="str">
        <f t="shared" si="74"/>
        <v>Rydla</v>
      </c>
      <c r="E2112" s="5" t="str">
        <f t="shared" si="72"/>
        <v xml:space="preserve"> Mona</v>
      </c>
    </row>
    <row r="2113" spans="1:5" ht="15.75" customHeight="1" x14ac:dyDescent="0.3">
      <c r="A2113" s="4" t="s">
        <v>4226</v>
      </c>
      <c r="B2113" s="4" t="s">
        <v>4227</v>
      </c>
      <c r="C2113" s="5" t="str">
        <f t="shared" si="73"/>
        <v xml:space="preserve"> Ms</v>
      </c>
      <c r="D2113" s="5" t="str">
        <f t="shared" si="74"/>
        <v>Vespa</v>
      </c>
      <c r="E2113" s="5" t="str">
        <f t="shared" si="72"/>
        <v>in R.</v>
      </c>
    </row>
    <row r="2114" spans="1:5" ht="15.75" customHeight="1" x14ac:dyDescent="0.3">
      <c r="A2114" s="4" t="s">
        <v>4228</v>
      </c>
      <c r="B2114" s="4" t="s">
        <v>4229</v>
      </c>
      <c r="C2114" s="5" t="str">
        <f t="shared" si="73"/>
        <v xml:space="preserve">s, </v>
      </c>
      <c r="D2114" s="5" t="str">
        <f t="shared" si="74"/>
        <v>Meado</v>
      </c>
      <c r="E2114" s="5" t="str">
        <f t="shared" ref="E2114:E2177" si="75">RIGHT(B2114,5)</f>
        <v xml:space="preserve"> Beth</v>
      </c>
    </row>
    <row r="2115" spans="1:5" ht="15.75" customHeight="1" x14ac:dyDescent="0.3">
      <c r="A2115" s="4" t="s">
        <v>4230</v>
      </c>
      <c r="B2115" s="4" t="s">
        <v>4231</v>
      </c>
      <c r="C2115" s="5" t="str">
        <f t="shared" si="73"/>
        <v>, M</v>
      </c>
      <c r="D2115" s="5" t="str">
        <f t="shared" si="74"/>
        <v>Toppe</v>
      </c>
      <c r="E2115" s="5" t="str">
        <f t="shared" si="75"/>
        <v>lison</v>
      </c>
    </row>
    <row r="2116" spans="1:5" ht="15.75" customHeight="1" x14ac:dyDescent="0.3">
      <c r="A2116" s="4" t="s">
        <v>4232</v>
      </c>
      <c r="B2116" s="4" t="s">
        <v>4233</v>
      </c>
      <c r="C2116" s="5" t="str">
        <f t="shared" si="73"/>
        <v xml:space="preserve"> Ms</v>
      </c>
      <c r="D2116" s="5" t="str">
        <f t="shared" si="74"/>
        <v>Ermer</v>
      </c>
      <c r="E2116" s="5" t="str">
        <f t="shared" si="75"/>
        <v>ley E</v>
      </c>
    </row>
    <row r="2117" spans="1:5" ht="15.75" customHeight="1" x14ac:dyDescent="0.3">
      <c r="A2117" s="4" t="s">
        <v>4234</v>
      </c>
      <c r="B2117" s="4" t="s">
        <v>4235</v>
      </c>
      <c r="C2117" s="5" t="str">
        <f t="shared" si="73"/>
        <v>, M</v>
      </c>
      <c r="D2117" s="5" t="str">
        <f t="shared" si="74"/>
        <v>Dionn</v>
      </c>
      <c r="E2117" s="5" t="str">
        <f t="shared" si="75"/>
        <v>ry K.</v>
      </c>
    </row>
    <row r="2118" spans="1:5" ht="15.75" customHeight="1" x14ac:dyDescent="0.3">
      <c r="A2118" s="4" t="s">
        <v>4236</v>
      </c>
      <c r="B2118" s="4" t="s">
        <v>4237</v>
      </c>
      <c r="C2118" s="5" t="str">
        <f t="shared" si="73"/>
        <v>li,</v>
      </c>
      <c r="D2118" s="5" t="str">
        <f t="shared" si="74"/>
        <v>Stasu</v>
      </c>
      <c r="E2118" s="5" t="str">
        <f t="shared" si="75"/>
        <v>nique</v>
      </c>
    </row>
    <row r="2119" spans="1:5" ht="15.75" customHeight="1" x14ac:dyDescent="0.3">
      <c r="A2119" s="4" t="s">
        <v>4238</v>
      </c>
      <c r="B2119" s="4" t="s">
        <v>4239</v>
      </c>
      <c r="C2119" s="5" t="str">
        <f t="shared" si="73"/>
        <v xml:space="preserve"> Mr</v>
      </c>
      <c r="D2119" s="5" t="str">
        <f t="shared" si="74"/>
        <v>Duran</v>
      </c>
      <c r="E2119" s="5" t="str">
        <f t="shared" si="75"/>
        <v>los I</v>
      </c>
    </row>
    <row r="2120" spans="1:5" ht="15.75" customHeight="1" x14ac:dyDescent="0.3">
      <c r="A2120" s="4" t="s">
        <v>4240</v>
      </c>
      <c r="B2120" s="4" t="s">
        <v>4241</v>
      </c>
      <c r="C2120" s="5" t="str">
        <f t="shared" si="73"/>
        <v>, M</v>
      </c>
      <c r="D2120" s="5" t="str">
        <f t="shared" si="74"/>
        <v>Klund</v>
      </c>
      <c r="E2120" s="5" t="str">
        <f t="shared" si="75"/>
        <v>tthew</v>
      </c>
    </row>
    <row r="2121" spans="1:5" ht="15.75" customHeight="1" x14ac:dyDescent="0.3">
      <c r="A2121" s="4" t="s">
        <v>4242</v>
      </c>
      <c r="B2121" s="4" t="s">
        <v>4243</v>
      </c>
      <c r="C2121" s="5" t="str">
        <f t="shared" si="73"/>
        <v>, M</v>
      </c>
      <c r="D2121" s="5" t="str">
        <f t="shared" si="74"/>
        <v>Water</v>
      </c>
      <c r="E2121" s="5" t="str">
        <f t="shared" si="75"/>
        <v xml:space="preserve"> Kara</v>
      </c>
    </row>
    <row r="2122" spans="1:5" ht="15.75" customHeight="1" x14ac:dyDescent="0.3">
      <c r="A2122" s="4" t="s">
        <v>4244</v>
      </c>
      <c r="B2122" s="4" t="s">
        <v>4245</v>
      </c>
      <c r="C2122" s="5" t="str">
        <f t="shared" si="73"/>
        <v>Ms.</v>
      </c>
      <c r="D2122" s="5" t="str">
        <f t="shared" si="74"/>
        <v>Rusk,</v>
      </c>
      <c r="E2122" s="5" t="str">
        <f t="shared" si="75"/>
        <v>rah S</v>
      </c>
    </row>
    <row r="2123" spans="1:5" ht="15.75" customHeight="1" x14ac:dyDescent="0.3">
      <c r="A2123" s="4" t="s">
        <v>4246</v>
      </c>
      <c r="B2123" s="4" t="s">
        <v>4247</v>
      </c>
      <c r="C2123" s="5" t="str">
        <f t="shared" si="73"/>
        <v>ch,</v>
      </c>
      <c r="D2123" s="5" t="str">
        <f t="shared" si="74"/>
        <v>Gersb</v>
      </c>
      <c r="E2123" s="5" t="str">
        <f t="shared" si="75"/>
        <v>na R.</v>
      </c>
    </row>
    <row r="2124" spans="1:5" ht="15.75" customHeight="1" x14ac:dyDescent="0.3">
      <c r="A2124" s="4" t="s">
        <v>4248</v>
      </c>
      <c r="B2124" s="4" t="s">
        <v>4249</v>
      </c>
      <c r="C2124" s="5" t="str">
        <f t="shared" si="73"/>
        <v>-Wa</v>
      </c>
      <c r="D2124" s="5" t="str">
        <f t="shared" si="74"/>
        <v>Taylo</v>
      </c>
      <c r="E2124" s="5" t="str">
        <f t="shared" si="75"/>
        <v>ay J.</v>
      </c>
    </row>
    <row r="2125" spans="1:5" ht="15.75" customHeight="1" x14ac:dyDescent="0.3">
      <c r="A2125" s="4" t="s">
        <v>4250</v>
      </c>
      <c r="B2125" s="4" t="s">
        <v>4251</v>
      </c>
      <c r="C2125" s="5" t="str">
        <f t="shared" si="73"/>
        <v>rd,</v>
      </c>
      <c r="D2125" s="5" t="str">
        <f t="shared" si="74"/>
        <v>Crawf</v>
      </c>
      <c r="E2125" s="5" t="str">
        <f t="shared" si="75"/>
        <v>ya A.</v>
      </c>
    </row>
    <row r="2126" spans="1:5" ht="15.75" customHeight="1" x14ac:dyDescent="0.3">
      <c r="A2126" s="4" t="s">
        <v>4252</v>
      </c>
      <c r="B2126" s="4" t="s">
        <v>4253</v>
      </c>
      <c r="C2126" s="5" t="str">
        <f t="shared" si="73"/>
        <v>ky,</v>
      </c>
      <c r="D2126" s="5" t="str">
        <f t="shared" si="74"/>
        <v>Levit</v>
      </c>
      <c r="E2126" s="5" t="str">
        <f t="shared" si="75"/>
        <v>raine</v>
      </c>
    </row>
    <row r="2127" spans="1:5" ht="15.75" customHeight="1" x14ac:dyDescent="0.3">
      <c r="A2127" s="4" t="s">
        <v>4254</v>
      </c>
      <c r="B2127" s="4" t="s">
        <v>4255</v>
      </c>
      <c r="C2127" s="5" t="str">
        <f t="shared" si="73"/>
        <v xml:space="preserve">l, </v>
      </c>
      <c r="D2127" s="5" t="str">
        <f t="shared" si="74"/>
        <v>Carro</v>
      </c>
      <c r="E2127" s="5" t="str">
        <f t="shared" si="75"/>
        <v>er L.</v>
      </c>
    </row>
    <row r="2128" spans="1:5" ht="15.75" customHeight="1" x14ac:dyDescent="0.3">
      <c r="A2128" s="4" t="s">
        <v>4256</v>
      </c>
      <c r="B2128" s="4" t="s">
        <v>4257</v>
      </c>
      <c r="C2128" s="5" t="str">
        <f t="shared" si="73"/>
        <v>, M</v>
      </c>
      <c r="D2128" s="5" t="str">
        <f t="shared" si="74"/>
        <v>Campo</v>
      </c>
      <c r="E2128" s="5" t="str">
        <f t="shared" si="75"/>
        <v>s Sr.</v>
      </c>
    </row>
    <row r="2129" spans="1:5" ht="15.75" customHeight="1" x14ac:dyDescent="0.3">
      <c r="A2129" s="4" t="s">
        <v>4258</v>
      </c>
      <c r="B2129" s="4" t="s">
        <v>4259</v>
      </c>
      <c r="C2129" s="5" t="str">
        <f t="shared" si="73"/>
        <v>ik,</v>
      </c>
      <c r="D2129" s="5" t="str">
        <f t="shared" ref="D2129:D2192" si="76">LEFT(B2129,5)</f>
        <v>Flajs</v>
      </c>
      <c r="E2129" s="5" t="str">
        <f t="shared" si="75"/>
        <v>isten</v>
      </c>
    </row>
    <row r="2130" spans="1:5" ht="15.75" customHeight="1" x14ac:dyDescent="0.3">
      <c r="A2130" s="4" t="s">
        <v>4260</v>
      </c>
      <c r="B2130" s="4" t="s">
        <v>4261</v>
      </c>
      <c r="C2130" s="5" t="str">
        <f t="shared" si="73"/>
        <v>Ms.</v>
      </c>
      <c r="D2130" s="5" t="str">
        <f t="shared" si="76"/>
        <v>Chua,</v>
      </c>
      <c r="E2130" s="5" t="str">
        <f t="shared" si="75"/>
        <v>ne C.</v>
      </c>
    </row>
    <row r="2131" spans="1:5" ht="15.75" customHeight="1" x14ac:dyDescent="0.3">
      <c r="A2131" s="4" t="s">
        <v>4262</v>
      </c>
      <c r="B2131" s="4" t="s">
        <v>4263</v>
      </c>
      <c r="C2131" s="5" t="str">
        <f t="shared" si="73"/>
        <v>, M</v>
      </c>
      <c r="D2131" s="5" t="str">
        <f t="shared" si="76"/>
        <v>Wilts</v>
      </c>
      <c r="E2131" s="5" t="str">
        <f t="shared" si="75"/>
        <v>Paula</v>
      </c>
    </row>
    <row r="2132" spans="1:5" ht="15.75" customHeight="1" x14ac:dyDescent="0.3">
      <c r="A2132" s="4" t="s">
        <v>4264</v>
      </c>
      <c r="B2132" s="4" t="s">
        <v>4265</v>
      </c>
      <c r="C2132" s="5" t="str">
        <f t="shared" si="73"/>
        <v>, M</v>
      </c>
      <c r="D2132" s="5" t="str">
        <f t="shared" si="76"/>
        <v>Fishe</v>
      </c>
      <c r="E2132" s="5" t="str">
        <f t="shared" si="75"/>
        <v xml:space="preserve"> Evan</v>
      </c>
    </row>
    <row r="2133" spans="1:5" ht="15.75" customHeight="1" x14ac:dyDescent="0.3">
      <c r="A2133" s="4" t="s">
        <v>4266</v>
      </c>
      <c r="B2133" s="4" t="s">
        <v>4267</v>
      </c>
      <c r="C2133" s="5" t="str">
        <f t="shared" si="73"/>
        <v>che</v>
      </c>
      <c r="D2133" s="5" t="str">
        <f t="shared" si="76"/>
        <v>Wilzb</v>
      </c>
      <c r="E2133" s="5" t="str">
        <f t="shared" si="75"/>
        <v>han J</v>
      </c>
    </row>
    <row r="2134" spans="1:5" ht="15.75" customHeight="1" x14ac:dyDescent="0.3">
      <c r="A2134" s="4" t="s">
        <v>4268</v>
      </c>
      <c r="B2134" s="4" t="s">
        <v>4269</v>
      </c>
      <c r="C2134" s="5" t="str">
        <f t="shared" si="73"/>
        <v>, M</v>
      </c>
      <c r="D2134" s="5" t="str">
        <f t="shared" si="76"/>
        <v>Thaye</v>
      </c>
      <c r="E2134" s="5" t="str">
        <f t="shared" si="75"/>
        <v>ley M</v>
      </c>
    </row>
    <row r="2135" spans="1:5" ht="15.75" customHeight="1" x14ac:dyDescent="0.3">
      <c r="A2135" s="4" t="s">
        <v>4270</v>
      </c>
      <c r="B2135" s="4" t="s">
        <v>4271</v>
      </c>
      <c r="C2135" s="5" t="str">
        <f t="shared" si="73"/>
        <v>au,</v>
      </c>
      <c r="D2135" s="5" t="str">
        <f t="shared" si="76"/>
        <v>Bross</v>
      </c>
      <c r="E2135" s="5" t="str">
        <f t="shared" si="75"/>
        <v>Jason</v>
      </c>
    </row>
    <row r="2136" spans="1:5" ht="15.75" customHeight="1" x14ac:dyDescent="0.3">
      <c r="A2136" s="4" t="s">
        <v>4272</v>
      </c>
      <c r="B2136" s="4" t="s">
        <v>4273</v>
      </c>
      <c r="C2136" s="5" t="str">
        <f t="shared" si="73"/>
        <v>, M</v>
      </c>
      <c r="D2136" s="5" t="str">
        <f t="shared" si="76"/>
        <v>Phare</v>
      </c>
      <c r="E2136" s="5" t="str">
        <f t="shared" si="75"/>
        <v>shall</v>
      </c>
    </row>
    <row r="2137" spans="1:5" ht="15.75" customHeight="1" x14ac:dyDescent="0.3">
      <c r="A2137" s="4" t="s">
        <v>4274</v>
      </c>
      <c r="B2137" s="4" t="s">
        <v>4275</v>
      </c>
      <c r="C2137" s="5" t="str">
        <f t="shared" si="73"/>
        <v>, M</v>
      </c>
      <c r="D2137" s="5" t="str">
        <f t="shared" si="76"/>
        <v>Curle</v>
      </c>
      <c r="E2137" s="5" t="str">
        <f t="shared" si="75"/>
        <v>Lavar</v>
      </c>
    </row>
    <row r="2138" spans="1:5" ht="15.75" customHeight="1" x14ac:dyDescent="0.3">
      <c r="A2138" s="4" t="s">
        <v>4276</v>
      </c>
      <c r="B2138" s="4" t="s">
        <v>4277</v>
      </c>
      <c r="C2138" s="5" t="str">
        <f t="shared" si="73"/>
        <v>on,</v>
      </c>
      <c r="D2138" s="5" t="str">
        <f t="shared" si="76"/>
        <v>Johns</v>
      </c>
      <c r="E2138" s="5" t="str">
        <f t="shared" si="75"/>
        <v>ie T.</v>
      </c>
    </row>
    <row r="2139" spans="1:5" ht="15.75" customHeight="1" x14ac:dyDescent="0.3">
      <c r="A2139" s="4" t="s">
        <v>4278</v>
      </c>
      <c r="B2139" s="4" t="s">
        <v>4279</v>
      </c>
      <c r="C2139" s="5" t="str">
        <f t="shared" si="73"/>
        <v>, M</v>
      </c>
      <c r="D2139" s="5" t="str">
        <f t="shared" si="76"/>
        <v>Padul</v>
      </c>
      <c r="E2139" s="5" t="str">
        <f t="shared" si="75"/>
        <v>auren</v>
      </c>
    </row>
    <row r="2140" spans="1:5" ht="15.75" customHeight="1" x14ac:dyDescent="0.3">
      <c r="A2140" s="4" t="s">
        <v>4280</v>
      </c>
      <c r="B2140" s="4" t="s">
        <v>4281</v>
      </c>
      <c r="C2140" s="5" t="str">
        <f t="shared" si="73"/>
        <v xml:space="preserve">v, </v>
      </c>
      <c r="D2140" s="5" t="str">
        <f t="shared" si="76"/>
        <v>Gamir</v>
      </c>
      <c r="E2140" s="5" t="str">
        <f t="shared" si="75"/>
        <v>rthur</v>
      </c>
    </row>
    <row r="2141" spans="1:5" ht="15.75" customHeight="1" x14ac:dyDescent="0.3">
      <c r="A2141" s="4" t="s">
        <v>4282</v>
      </c>
      <c r="B2141" s="4" t="s">
        <v>4283</v>
      </c>
      <c r="C2141" s="5" t="str">
        <f t="shared" si="73"/>
        <v xml:space="preserve"> Mr</v>
      </c>
      <c r="D2141" s="5" t="str">
        <f t="shared" si="76"/>
        <v>Briot</v>
      </c>
      <c r="E2141" s="5" t="str">
        <f t="shared" si="75"/>
        <v>homas</v>
      </c>
    </row>
    <row r="2142" spans="1:5" ht="15.75" customHeight="1" x14ac:dyDescent="0.3">
      <c r="A2142" s="4" t="s">
        <v>4284</v>
      </c>
      <c r="B2142" s="4" t="s">
        <v>4285</v>
      </c>
      <c r="C2142" s="5" t="str">
        <f t="shared" si="73"/>
        <v>ck,</v>
      </c>
      <c r="D2142" s="5" t="str">
        <f t="shared" si="76"/>
        <v>De Hu</v>
      </c>
      <c r="E2142" s="5" t="str">
        <f t="shared" si="75"/>
        <v>nifer</v>
      </c>
    </row>
    <row r="2143" spans="1:5" ht="15.75" customHeight="1" x14ac:dyDescent="0.3">
      <c r="A2143" s="4" t="s">
        <v>4286</v>
      </c>
      <c r="B2143" s="4" t="s">
        <v>4287</v>
      </c>
      <c r="C2143" s="5" t="str">
        <f t="shared" si="73"/>
        <v>Ms.</v>
      </c>
      <c r="D2143" s="5" t="str">
        <f t="shared" si="76"/>
        <v>Putt,</v>
      </c>
      <c r="E2143" s="5" t="str">
        <f t="shared" si="75"/>
        <v>Tammy</v>
      </c>
    </row>
    <row r="2144" spans="1:5" ht="15.75" customHeight="1" x14ac:dyDescent="0.3">
      <c r="A2144" s="4" t="s">
        <v>4288</v>
      </c>
      <c r="B2144" s="4" t="s">
        <v>4289</v>
      </c>
      <c r="C2144" s="5" t="str">
        <f t="shared" si="73"/>
        <v>, M</v>
      </c>
      <c r="D2144" s="5" t="str">
        <f t="shared" si="76"/>
        <v>Deima</v>
      </c>
      <c r="E2144" s="5" t="str">
        <f t="shared" si="75"/>
        <v xml:space="preserve"> Lena</v>
      </c>
    </row>
    <row r="2145" spans="1:5" ht="15.75" customHeight="1" x14ac:dyDescent="0.3">
      <c r="A2145" s="4" t="s">
        <v>4290</v>
      </c>
      <c r="B2145" s="4" t="s">
        <v>4291</v>
      </c>
      <c r="C2145" s="5" t="str">
        <f t="shared" si="73"/>
        <v xml:space="preserve">i, </v>
      </c>
      <c r="D2145" s="5" t="str">
        <f t="shared" si="76"/>
        <v>Bonan</v>
      </c>
      <c r="E2145" s="5" t="str">
        <f t="shared" si="75"/>
        <v>ntina</v>
      </c>
    </row>
    <row r="2146" spans="1:5" ht="15.75" customHeight="1" x14ac:dyDescent="0.3">
      <c r="A2146" s="4" t="s">
        <v>4292</v>
      </c>
      <c r="B2146" s="4" t="s">
        <v>4293</v>
      </c>
      <c r="C2146" s="5" t="str">
        <f t="shared" si="73"/>
        <v xml:space="preserve"> Mr</v>
      </c>
      <c r="D2146" s="5" t="str">
        <f t="shared" si="76"/>
        <v>Stein</v>
      </c>
      <c r="E2146" s="5" t="str">
        <f t="shared" si="75"/>
        <v>ll N.</v>
      </c>
    </row>
    <row r="2147" spans="1:5" ht="15.75" customHeight="1" x14ac:dyDescent="0.3">
      <c r="A2147" s="4" t="s">
        <v>4294</v>
      </c>
      <c r="B2147" s="4" t="s">
        <v>4295</v>
      </c>
      <c r="C2147" s="5" t="str">
        <f t="shared" si="73"/>
        <v xml:space="preserve">n, </v>
      </c>
      <c r="D2147" s="5" t="str">
        <f t="shared" si="76"/>
        <v>Lauma</v>
      </c>
      <c r="E2147" s="5" t="str">
        <f t="shared" si="75"/>
        <v>tt R.</v>
      </c>
    </row>
    <row r="2148" spans="1:5" ht="15.75" customHeight="1" x14ac:dyDescent="0.3">
      <c r="A2148" s="4" t="s">
        <v>4296</v>
      </c>
      <c r="B2148" s="4" t="s">
        <v>4297</v>
      </c>
      <c r="C2148" s="5" t="str">
        <f t="shared" si="73"/>
        <v xml:space="preserve">z, </v>
      </c>
      <c r="D2148" s="5" t="str">
        <f t="shared" si="76"/>
        <v>Galav</v>
      </c>
      <c r="E2148" s="5" t="str">
        <f t="shared" si="75"/>
        <v>o Sr.</v>
      </c>
    </row>
    <row r="2149" spans="1:5" ht="15.75" customHeight="1" x14ac:dyDescent="0.3">
      <c r="A2149" s="4" t="s">
        <v>4298</v>
      </c>
      <c r="B2149" s="4" t="s">
        <v>4299</v>
      </c>
      <c r="C2149" s="5" t="str">
        <f t="shared" si="73"/>
        <v xml:space="preserve"> Mr</v>
      </c>
      <c r="D2149" s="5" t="str">
        <f t="shared" si="76"/>
        <v>Piper</v>
      </c>
      <c r="E2149" s="5" t="str">
        <f t="shared" si="75"/>
        <v>aul J</v>
      </c>
    </row>
    <row r="2150" spans="1:5" ht="15.75" customHeight="1" x14ac:dyDescent="0.3">
      <c r="A2150" s="4" t="s">
        <v>4300</v>
      </c>
      <c r="B2150" s="4" t="s">
        <v>4301</v>
      </c>
      <c r="C2150" s="5" t="str">
        <f t="shared" si="73"/>
        <v xml:space="preserve">i, </v>
      </c>
      <c r="D2150" s="5" t="str">
        <f t="shared" si="76"/>
        <v>Canti</v>
      </c>
      <c r="E2150" s="5" t="str">
        <f t="shared" si="75"/>
        <v xml:space="preserve"> Adam</v>
      </c>
    </row>
    <row r="2151" spans="1:5" ht="15.75" customHeight="1" x14ac:dyDescent="0.3">
      <c r="A2151" s="4" t="s">
        <v>4302</v>
      </c>
      <c r="B2151" s="4" t="s">
        <v>4303</v>
      </c>
      <c r="C2151" s="5" t="str">
        <f t="shared" si="73"/>
        <v xml:space="preserve">n, </v>
      </c>
      <c r="D2151" s="5" t="str">
        <f t="shared" si="76"/>
        <v>Hartm</v>
      </c>
      <c r="E2151" s="5" t="str">
        <f t="shared" si="75"/>
        <v>rd J.</v>
      </c>
    </row>
    <row r="2152" spans="1:5" ht="15.75" customHeight="1" x14ac:dyDescent="0.3">
      <c r="A2152" s="4" t="s">
        <v>4304</v>
      </c>
      <c r="B2152" s="4" t="s">
        <v>4305</v>
      </c>
      <c r="C2152" s="5" t="str">
        <f t="shared" si="73"/>
        <v xml:space="preserve">e, </v>
      </c>
      <c r="D2152" s="5" t="str">
        <f t="shared" si="76"/>
        <v>Werha</v>
      </c>
      <c r="E2152" s="5" t="str">
        <f t="shared" si="75"/>
        <v>ck A.</v>
      </c>
    </row>
    <row r="2153" spans="1:5" ht="15.75" customHeight="1" x14ac:dyDescent="0.3">
      <c r="A2153" s="4" t="s">
        <v>4306</v>
      </c>
      <c r="B2153" s="4" t="s">
        <v>4307</v>
      </c>
      <c r="C2153" s="5" t="str">
        <f t="shared" si="73"/>
        <v>, M</v>
      </c>
      <c r="D2153" s="5" t="str">
        <f t="shared" si="76"/>
        <v>Davie</v>
      </c>
      <c r="E2153" s="5" t="str">
        <f t="shared" si="75"/>
        <v>int H</v>
      </c>
    </row>
    <row r="2154" spans="1:5" ht="15.75" customHeight="1" x14ac:dyDescent="0.3">
      <c r="A2154" s="4" t="s">
        <v>4308</v>
      </c>
      <c r="B2154" s="4" t="s">
        <v>4309</v>
      </c>
      <c r="C2154" s="5" t="str">
        <f t="shared" si="73"/>
        <v>, M</v>
      </c>
      <c r="D2154" s="5" t="str">
        <f t="shared" si="76"/>
        <v>Humme</v>
      </c>
      <c r="E2154" s="5" t="str">
        <f t="shared" si="75"/>
        <v>.  Dj</v>
      </c>
    </row>
    <row r="2155" spans="1:5" ht="15.75" customHeight="1" x14ac:dyDescent="0.3">
      <c r="A2155" s="4" t="s">
        <v>4310</v>
      </c>
      <c r="B2155" s="4" t="s">
        <v>4311</v>
      </c>
      <c r="C2155" s="5" t="str">
        <f t="shared" si="73"/>
        <v>Mr.</v>
      </c>
      <c r="D2155" s="5" t="str">
        <f t="shared" si="76"/>
        <v>Lutz,</v>
      </c>
      <c r="E2155" s="5" t="str">
        <f t="shared" si="75"/>
        <v>ary A</v>
      </c>
    </row>
    <row r="2156" spans="1:5" ht="15.75" customHeight="1" x14ac:dyDescent="0.3">
      <c r="A2156" s="4" t="s">
        <v>4312</v>
      </c>
      <c r="B2156" s="4" t="s">
        <v>4313</v>
      </c>
      <c r="C2156" s="5" t="str">
        <f t="shared" si="73"/>
        <v>, M</v>
      </c>
      <c r="D2156" s="5" t="str">
        <f t="shared" si="76"/>
        <v>Water</v>
      </c>
      <c r="E2156" s="5" t="str">
        <f t="shared" si="75"/>
        <v>an W.</v>
      </c>
    </row>
    <row r="2157" spans="1:5" ht="15.75" customHeight="1" x14ac:dyDescent="0.3">
      <c r="A2157" s="4" t="s">
        <v>4314</v>
      </c>
      <c r="B2157" s="4" t="s">
        <v>4315</v>
      </c>
      <c r="C2157" s="5" t="str">
        <f t="shared" si="73"/>
        <v>nzo</v>
      </c>
      <c r="D2157" s="5" t="str">
        <f t="shared" si="76"/>
        <v>Vigli</v>
      </c>
      <c r="E2157" s="5" t="str">
        <f t="shared" si="75"/>
        <v xml:space="preserve">  Joe</v>
      </c>
    </row>
    <row r="2158" spans="1:5" ht="15.75" customHeight="1" x14ac:dyDescent="0.3">
      <c r="A2158" s="4" t="s">
        <v>4316</v>
      </c>
      <c r="B2158" s="4" t="s">
        <v>4317</v>
      </c>
      <c r="C2158" s="5" t="str">
        <f t="shared" si="73"/>
        <v xml:space="preserve">n, </v>
      </c>
      <c r="D2158" s="5" t="str">
        <f t="shared" si="76"/>
        <v>Rathb</v>
      </c>
      <c r="E2158" s="5" t="str">
        <f t="shared" si="75"/>
        <v>ephen</v>
      </c>
    </row>
    <row r="2159" spans="1:5" ht="15.75" customHeight="1" x14ac:dyDescent="0.3">
      <c r="A2159" s="4" t="s">
        <v>4318</v>
      </c>
      <c r="B2159" s="4" t="s">
        <v>4319</v>
      </c>
      <c r="C2159" s="5" t="str">
        <f t="shared" si="73"/>
        <v xml:space="preserve"> Ms</v>
      </c>
      <c r="D2159" s="5" t="str">
        <f t="shared" si="76"/>
        <v>crane</v>
      </c>
      <c r="E2159" s="5" t="str">
        <f t="shared" si="75"/>
        <v>en L.</v>
      </c>
    </row>
    <row r="2160" spans="1:5" ht="15.75" customHeight="1" x14ac:dyDescent="0.3">
      <c r="A2160" s="4" t="s">
        <v>4320</v>
      </c>
      <c r="B2160" s="4" t="s">
        <v>4321</v>
      </c>
      <c r="C2160" s="5" t="str">
        <f t="shared" si="73"/>
        <v>, M</v>
      </c>
      <c r="D2160" s="5" t="str">
        <f t="shared" si="76"/>
        <v>Conan</v>
      </c>
      <c r="E2160" s="5" t="str">
        <f t="shared" si="75"/>
        <v>Cindy</v>
      </c>
    </row>
    <row r="2161" spans="1:5" ht="15.75" customHeight="1" x14ac:dyDescent="0.3">
      <c r="A2161" s="4" t="s">
        <v>4322</v>
      </c>
      <c r="B2161" s="4" t="s">
        <v>4323</v>
      </c>
      <c r="C2161" s="5" t="str">
        <f t="shared" si="73"/>
        <v>-Wi</v>
      </c>
      <c r="D2161" s="5" t="str">
        <f t="shared" si="76"/>
        <v>Huyse</v>
      </c>
      <c r="E2161" s="5" t="str">
        <f t="shared" si="75"/>
        <v>il R.</v>
      </c>
    </row>
    <row r="2162" spans="1:5" ht="15.75" customHeight="1" x14ac:dyDescent="0.3">
      <c r="A2162" s="4" t="s">
        <v>4324</v>
      </c>
      <c r="B2162" s="4" t="s">
        <v>4325</v>
      </c>
      <c r="C2162" s="5" t="str">
        <f t="shared" si="73"/>
        <v>ni,</v>
      </c>
      <c r="D2162" s="5" t="str">
        <f t="shared" si="76"/>
        <v>Natal</v>
      </c>
      <c r="E2162" s="5" t="str">
        <f t="shared" si="75"/>
        <v>my L.</v>
      </c>
    </row>
    <row r="2163" spans="1:5" ht="15.75" customHeight="1" x14ac:dyDescent="0.3">
      <c r="A2163" s="4" t="s">
        <v>4326</v>
      </c>
      <c r="B2163" s="4" t="s">
        <v>4327</v>
      </c>
      <c r="C2163" s="5" t="str">
        <f t="shared" si="73"/>
        <v xml:space="preserve">s, </v>
      </c>
      <c r="D2163" s="5" t="str">
        <f t="shared" si="76"/>
        <v>Robbi</v>
      </c>
      <c r="E2163" s="5" t="str">
        <f t="shared" si="75"/>
        <v xml:space="preserve">  Amy</v>
      </c>
    </row>
    <row r="2164" spans="1:5" ht="15.75" customHeight="1" x14ac:dyDescent="0.3">
      <c r="A2164" s="4" t="s">
        <v>4328</v>
      </c>
      <c r="B2164" s="4" t="s">
        <v>4329</v>
      </c>
      <c r="C2164" s="5" t="str">
        <f t="shared" si="73"/>
        <v>lav</v>
      </c>
      <c r="D2164" s="5" t="str">
        <f t="shared" si="76"/>
        <v>Stani</v>
      </c>
      <c r="E2164" s="5" t="str">
        <f t="shared" si="75"/>
        <v>ace H</v>
      </c>
    </row>
    <row r="2165" spans="1:5" ht="15.75" customHeight="1" x14ac:dyDescent="0.3">
      <c r="A2165" s="4" t="s">
        <v>4330</v>
      </c>
      <c r="B2165" s="4" t="s">
        <v>4331</v>
      </c>
      <c r="C2165" s="5" t="str">
        <f t="shared" si="73"/>
        <v xml:space="preserve"> Ms</v>
      </c>
      <c r="D2165" s="5" t="str">
        <f t="shared" si="76"/>
        <v>Meyer</v>
      </c>
      <c r="E2165" s="5" t="str">
        <f t="shared" si="75"/>
        <v>ie J.</v>
      </c>
    </row>
    <row r="2166" spans="1:5" ht="15.75" customHeight="1" x14ac:dyDescent="0.3">
      <c r="A2166" s="4" t="s">
        <v>4332</v>
      </c>
      <c r="B2166" s="4" t="s">
        <v>4333</v>
      </c>
      <c r="C2166" s="5" t="str">
        <f t="shared" si="73"/>
        <v xml:space="preserve"> Mr</v>
      </c>
      <c r="D2166" s="5" t="str">
        <f t="shared" si="76"/>
        <v>Mears</v>
      </c>
      <c r="E2166" s="5" t="str">
        <f t="shared" si="75"/>
        <v>jamin</v>
      </c>
    </row>
    <row r="2167" spans="1:5" ht="15.75" customHeight="1" x14ac:dyDescent="0.3">
      <c r="A2167" s="4" t="s">
        <v>4334</v>
      </c>
      <c r="B2167" s="4" t="s">
        <v>4335</v>
      </c>
      <c r="C2167" s="5" t="str">
        <f t="shared" si="73"/>
        <v xml:space="preserve"> Mr</v>
      </c>
      <c r="D2167" s="5" t="str">
        <f t="shared" si="76"/>
        <v>Neill</v>
      </c>
      <c r="E2167" s="5" t="str">
        <f t="shared" si="75"/>
        <v>Ian T</v>
      </c>
    </row>
    <row r="2168" spans="1:5" ht="15.75" customHeight="1" x14ac:dyDescent="0.3">
      <c r="A2168" s="4" t="s">
        <v>4336</v>
      </c>
      <c r="B2168" s="4" t="s">
        <v>4337</v>
      </c>
      <c r="C2168" s="5" t="str">
        <f t="shared" si="73"/>
        <v>Mr.</v>
      </c>
      <c r="D2168" s="5" t="str">
        <f t="shared" si="76"/>
        <v>Tola,</v>
      </c>
      <c r="E2168" s="5" t="str">
        <f t="shared" si="75"/>
        <v>adese</v>
      </c>
    </row>
    <row r="2169" spans="1:5" ht="15.75" customHeight="1" x14ac:dyDescent="0.3">
      <c r="A2169" s="4" t="s">
        <v>4338</v>
      </c>
      <c r="B2169" s="4" t="s">
        <v>4339</v>
      </c>
      <c r="C2169" s="5" t="str">
        <f t="shared" si="73"/>
        <v>an,</v>
      </c>
      <c r="D2169" s="5" t="str">
        <f t="shared" si="76"/>
        <v>Brisk</v>
      </c>
      <c r="E2169" s="5" t="str">
        <f t="shared" si="75"/>
        <v>athan</v>
      </c>
    </row>
    <row r="2170" spans="1:5" ht="15.75" customHeight="1" x14ac:dyDescent="0.3">
      <c r="A2170" s="4" t="s">
        <v>4340</v>
      </c>
      <c r="B2170" s="4" t="s">
        <v>4341</v>
      </c>
      <c r="C2170" s="5" t="str">
        <f t="shared" si="73"/>
        <v>hei</v>
      </c>
      <c r="D2170" s="5" t="str">
        <f t="shared" si="76"/>
        <v>Ritze</v>
      </c>
      <c r="E2170" s="5" t="str">
        <f t="shared" si="75"/>
        <v>athan</v>
      </c>
    </row>
    <row r="2171" spans="1:5" ht="15.75" customHeight="1" x14ac:dyDescent="0.3">
      <c r="A2171" s="4" t="s">
        <v>4342</v>
      </c>
      <c r="B2171" s="4" t="s">
        <v>4343</v>
      </c>
      <c r="C2171" s="5" t="str">
        <f t="shared" si="73"/>
        <v>ski</v>
      </c>
      <c r="D2171" s="5" t="str">
        <f t="shared" si="76"/>
        <v>Malko</v>
      </c>
      <c r="E2171" s="5" t="str">
        <f t="shared" si="75"/>
        <v xml:space="preserve"> Eric</v>
      </c>
    </row>
    <row r="2172" spans="1:5" ht="15.75" customHeight="1" x14ac:dyDescent="0.3">
      <c r="A2172" s="4" t="s">
        <v>4344</v>
      </c>
      <c r="B2172" s="4" t="s">
        <v>4345</v>
      </c>
      <c r="C2172" s="5" t="str">
        <f t="shared" si="73"/>
        <v>ko,</v>
      </c>
      <c r="D2172" s="5" t="str">
        <f t="shared" si="76"/>
        <v>Andre</v>
      </c>
      <c r="E2172" s="5" t="str">
        <f t="shared" si="75"/>
        <v>son M</v>
      </c>
    </row>
    <row r="2173" spans="1:5" ht="15.75" customHeight="1" x14ac:dyDescent="0.3">
      <c r="A2173" s="4" t="s">
        <v>4346</v>
      </c>
      <c r="B2173" s="4" t="s">
        <v>4347</v>
      </c>
      <c r="C2173" s="5" t="str">
        <f t="shared" si="73"/>
        <v>, M</v>
      </c>
      <c r="D2173" s="5" t="str">
        <f t="shared" si="76"/>
        <v>Landr</v>
      </c>
      <c r="E2173" s="5" t="str">
        <f t="shared" si="75"/>
        <v xml:space="preserve"> Paul</v>
      </c>
    </row>
    <row r="2174" spans="1:5" ht="15.75" customHeight="1" x14ac:dyDescent="0.3">
      <c r="A2174" s="4" t="s">
        <v>4348</v>
      </c>
      <c r="B2174" s="4" t="s">
        <v>4349</v>
      </c>
      <c r="C2174" s="5" t="str">
        <f t="shared" si="73"/>
        <v>, M</v>
      </c>
      <c r="D2174" s="5" t="str">
        <f t="shared" si="76"/>
        <v>Lozie</v>
      </c>
      <c r="E2174" s="5" t="str">
        <f t="shared" si="75"/>
        <v>ron R</v>
      </c>
    </row>
    <row r="2175" spans="1:5" ht="15.75" customHeight="1" x14ac:dyDescent="0.3">
      <c r="A2175" s="4" t="s">
        <v>4350</v>
      </c>
      <c r="B2175" s="4" t="s">
        <v>4351</v>
      </c>
      <c r="C2175" s="5" t="str">
        <f t="shared" si="73"/>
        <v xml:space="preserve">n, </v>
      </c>
      <c r="D2175" s="5" t="str">
        <f t="shared" si="76"/>
        <v>O'Bri</v>
      </c>
      <c r="E2175" s="5" t="str">
        <f t="shared" si="75"/>
        <v>in H.</v>
      </c>
    </row>
    <row r="2176" spans="1:5" ht="15.75" customHeight="1" x14ac:dyDescent="0.3">
      <c r="A2176" s="4" t="s">
        <v>4352</v>
      </c>
      <c r="B2176" s="4" t="s">
        <v>4353</v>
      </c>
      <c r="C2176" s="5" t="str">
        <f t="shared" si="73"/>
        <v xml:space="preserve"> Mr</v>
      </c>
      <c r="D2176" s="5" t="str">
        <f t="shared" si="76"/>
        <v>Rodas</v>
      </c>
      <c r="E2176" s="5" t="str">
        <f t="shared" si="75"/>
        <v>ld E.</v>
      </c>
    </row>
    <row r="2177" spans="1:5" ht="15.75" customHeight="1" x14ac:dyDescent="0.3">
      <c r="A2177" s="4" t="s">
        <v>4354</v>
      </c>
      <c r="B2177" s="4" t="s">
        <v>4355</v>
      </c>
      <c r="C2177" s="5" t="str">
        <f t="shared" si="73"/>
        <v>or,</v>
      </c>
      <c r="D2177" s="5" t="str">
        <f t="shared" si="76"/>
        <v>O'Con</v>
      </c>
      <c r="E2177" s="5" t="str">
        <f t="shared" si="75"/>
        <v>an A.</v>
      </c>
    </row>
    <row r="2178" spans="1:5" ht="15.75" customHeight="1" x14ac:dyDescent="0.3">
      <c r="A2178" s="4" t="s">
        <v>4356</v>
      </c>
      <c r="B2178" s="4" t="s">
        <v>4357</v>
      </c>
      <c r="C2178" s="5" t="str">
        <f t="shared" si="73"/>
        <v xml:space="preserve"> Ms</v>
      </c>
      <c r="D2178" s="5" t="str">
        <f t="shared" si="76"/>
        <v>White</v>
      </c>
      <c r="E2178" s="5" t="str">
        <f t="shared" ref="E2178:E2241" si="77">RIGHT(B2178,5)</f>
        <v>ea J.</v>
      </c>
    </row>
    <row r="2179" spans="1:5" ht="15.75" customHeight="1" x14ac:dyDescent="0.3">
      <c r="A2179" s="4" t="s">
        <v>4358</v>
      </c>
      <c r="B2179" s="4" t="s">
        <v>4359</v>
      </c>
      <c r="C2179" s="5" t="str">
        <f t="shared" si="73"/>
        <v>ort</v>
      </c>
      <c r="D2179" s="5" t="str">
        <f t="shared" si="76"/>
        <v>Daven</v>
      </c>
      <c r="E2179" s="5" t="str">
        <f t="shared" si="77"/>
        <v>Marie</v>
      </c>
    </row>
    <row r="2180" spans="1:5" ht="15.75" customHeight="1" x14ac:dyDescent="0.3">
      <c r="A2180" s="4" t="s">
        <v>4360</v>
      </c>
      <c r="B2180" s="4" t="s">
        <v>4361</v>
      </c>
      <c r="C2180" s="5" t="str">
        <f t="shared" si="73"/>
        <v>, M</v>
      </c>
      <c r="D2180" s="5" t="str">
        <f t="shared" si="76"/>
        <v>Karme</v>
      </c>
      <c r="E2180" s="5" t="str">
        <f t="shared" si="77"/>
        <v>el A.</v>
      </c>
    </row>
    <row r="2181" spans="1:5" ht="15.75" customHeight="1" x14ac:dyDescent="0.3">
      <c r="A2181" s="4" t="s">
        <v>4362</v>
      </c>
      <c r="B2181" s="4" t="s">
        <v>4363</v>
      </c>
      <c r="C2181" s="5" t="str">
        <f t="shared" si="73"/>
        <v>, M</v>
      </c>
      <c r="D2181" s="5" t="str">
        <f t="shared" si="76"/>
        <v>Mille</v>
      </c>
      <c r="E2181" s="5" t="str">
        <f t="shared" si="77"/>
        <v xml:space="preserve"> Emma</v>
      </c>
    </row>
    <row r="2182" spans="1:5" ht="15.75" customHeight="1" x14ac:dyDescent="0.3">
      <c r="A2182" s="4" t="s">
        <v>4364</v>
      </c>
      <c r="B2182" s="4" t="s">
        <v>4365</v>
      </c>
      <c r="C2182" s="5" t="str">
        <f t="shared" si="73"/>
        <v>nn,</v>
      </c>
      <c r="D2182" s="5" t="str">
        <f t="shared" si="76"/>
        <v>Lippm</v>
      </c>
      <c r="E2182" s="5" t="str">
        <f t="shared" si="77"/>
        <v>rsten</v>
      </c>
    </row>
    <row r="2183" spans="1:5" ht="15.75" customHeight="1" x14ac:dyDescent="0.3">
      <c r="A2183" s="4" t="s">
        <v>4366</v>
      </c>
      <c r="B2183" s="4" t="s">
        <v>4367</v>
      </c>
      <c r="C2183" s="5" t="str">
        <f t="shared" si="73"/>
        <v xml:space="preserve"> Ms</v>
      </c>
      <c r="D2183" s="5" t="str">
        <f t="shared" si="76"/>
        <v>Klehm</v>
      </c>
      <c r="E2183" s="5" t="str">
        <f t="shared" si="77"/>
        <v>chael</v>
      </c>
    </row>
    <row r="2184" spans="1:5" ht="15.75" customHeight="1" x14ac:dyDescent="0.3">
      <c r="A2184" s="4" t="s">
        <v>4368</v>
      </c>
      <c r="B2184" s="4" t="s">
        <v>4369</v>
      </c>
      <c r="C2184" s="5" t="str">
        <f t="shared" si="73"/>
        <v>, M</v>
      </c>
      <c r="D2184" s="5" t="str">
        <f t="shared" si="76"/>
        <v>Murph</v>
      </c>
      <c r="E2184" s="5" t="str">
        <f t="shared" si="77"/>
        <v>hy P.</v>
      </c>
    </row>
    <row r="2185" spans="1:5" ht="15.75" customHeight="1" x14ac:dyDescent="0.3">
      <c r="A2185" s="4" t="s">
        <v>4370</v>
      </c>
      <c r="B2185" s="4" t="s">
        <v>4371</v>
      </c>
      <c r="C2185" s="5" t="str">
        <f t="shared" si="73"/>
        <v>, M</v>
      </c>
      <c r="D2185" s="5" t="str">
        <f t="shared" si="76"/>
        <v>Desis</v>
      </c>
      <c r="E2185" s="5" t="str">
        <f t="shared" si="77"/>
        <v>elisa</v>
      </c>
    </row>
    <row r="2186" spans="1:5" ht="15.75" customHeight="1" x14ac:dyDescent="0.3">
      <c r="A2186" s="4" t="s">
        <v>4372</v>
      </c>
      <c r="B2186" s="4" t="s">
        <v>4373</v>
      </c>
      <c r="C2186" s="5" t="str">
        <f t="shared" si="73"/>
        <v>, M</v>
      </c>
      <c r="D2186" s="5" t="str">
        <f t="shared" si="76"/>
        <v>Brook</v>
      </c>
      <c r="E2186" s="5" t="str">
        <f t="shared" si="77"/>
        <v xml:space="preserve"> Nate</v>
      </c>
    </row>
    <row r="2187" spans="1:5" ht="15.75" customHeight="1" x14ac:dyDescent="0.3">
      <c r="A2187" s="4" t="s">
        <v>4374</v>
      </c>
      <c r="B2187" s="4" t="s">
        <v>4375</v>
      </c>
      <c r="C2187" s="5" t="str">
        <f t="shared" si="73"/>
        <v xml:space="preserve"> Mr</v>
      </c>
      <c r="D2187" s="5" t="str">
        <f t="shared" si="76"/>
        <v>Stone</v>
      </c>
      <c r="E2187" s="5" t="str">
        <f t="shared" si="77"/>
        <v>is C.</v>
      </c>
    </row>
    <row r="2188" spans="1:5" ht="15.75" customHeight="1" x14ac:dyDescent="0.3">
      <c r="A2188" s="4" t="s">
        <v>4376</v>
      </c>
      <c r="B2188" s="4" t="s">
        <v>4377</v>
      </c>
      <c r="C2188" s="5" t="str">
        <f t="shared" si="73"/>
        <v>enn</v>
      </c>
      <c r="D2188" s="5" t="str">
        <f t="shared" si="76"/>
        <v>Weisp</v>
      </c>
      <c r="E2188" s="5" t="str">
        <f t="shared" si="77"/>
        <v>Scott</v>
      </c>
    </row>
    <row r="2189" spans="1:5" ht="15.75" customHeight="1" x14ac:dyDescent="0.3">
      <c r="A2189" s="4" t="s">
        <v>4378</v>
      </c>
      <c r="B2189" s="4" t="s">
        <v>4379</v>
      </c>
      <c r="C2189" s="5" t="str">
        <f t="shared" si="73"/>
        <v xml:space="preserve">l, </v>
      </c>
      <c r="D2189" s="5" t="str">
        <f t="shared" si="76"/>
        <v>Sorre</v>
      </c>
      <c r="E2189" s="5" t="str">
        <f t="shared" si="77"/>
        <v>Kevin</v>
      </c>
    </row>
    <row r="2190" spans="1:5" ht="15.75" customHeight="1" x14ac:dyDescent="0.3">
      <c r="A2190" s="4" t="s">
        <v>4380</v>
      </c>
      <c r="B2190" s="4" t="s">
        <v>4381</v>
      </c>
      <c r="C2190" s="5" t="str">
        <f t="shared" si="73"/>
        <v>, M</v>
      </c>
      <c r="D2190" s="5" t="str">
        <f t="shared" si="76"/>
        <v>Morri</v>
      </c>
      <c r="E2190" s="5" t="str">
        <f t="shared" si="77"/>
        <v>ik C.</v>
      </c>
    </row>
    <row r="2191" spans="1:5" ht="15.75" customHeight="1" x14ac:dyDescent="0.3">
      <c r="A2191" s="4" t="s">
        <v>4382</v>
      </c>
      <c r="B2191" s="4" t="s">
        <v>4383</v>
      </c>
      <c r="C2191" s="5" t="str">
        <f t="shared" si="73"/>
        <v xml:space="preserve"> Mr</v>
      </c>
      <c r="D2191" s="5" t="str">
        <f t="shared" si="76"/>
        <v>Marek</v>
      </c>
      <c r="E2191" s="5" t="str">
        <f t="shared" si="77"/>
        <v>awn C</v>
      </c>
    </row>
    <row r="2192" spans="1:5" ht="15.75" customHeight="1" x14ac:dyDescent="0.3">
      <c r="A2192" s="4" t="s">
        <v>4384</v>
      </c>
      <c r="B2192" s="4" t="s">
        <v>4385</v>
      </c>
      <c r="C2192" s="5" t="str">
        <f t="shared" si="73"/>
        <v>ong</v>
      </c>
      <c r="D2192" s="5" t="str">
        <f t="shared" si="76"/>
        <v>Armst</v>
      </c>
      <c r="E2192" s="5" t="str">
        <f t="shared" si="77"/>
        <v>in L.</v>
      </c>
    </row>
    <row r="2193" spans="1:5" ht="15.75" customHeight="1" x14ac:dyDescent="0.3">
      <c r="A2193" s="4" t="s">
        <v>4386</v>
      </c>
      <c r="B2193" s="4" t="s">
        <v>4387</v>
      </c>
      <c r="C2193" s="5" t="str">
        <f t="shared" si="73"/>
        <v>, M</v>
      </c>
      <c r="D2193" s="5" t="str">
        <f t="shared" ref="D2193:D2256" si="78">LEFT(B2193,5)</f>
        <v>Werne</v>
      </c>
      <c r="E2193" s="5" t="str">
        <f t="shared" si="77"/>
        <v>. Jr.</v>
      </c>
    </row>
    <row r="2194" spans="1:5" ht="15.75" customHeight="1" x14ac:dyDescent="0.3">
      <c r="A2194" s="4" t="s">
        <v>4388</v>
      </c>
      <c r="B2194" s="4" t="s">
        <v>4389</v>
      </c>
      <c r="C2194" s="5" t="str">
        <f t="shared" si="73"/>
        <v xml:space="preserve"> Mr</v>
      </c>
      <c r="D2194" s="5" t="str">
        <f t="shared" si="78"/>
        <v>Gries</v>
      </c>
      <c r="E2194" s="5" t="str">
        <f t="shared" si="77"/>
        <v>in J.</v>
      </c>
    </row>
    <row r="2195" spans="1:5" ht="15.75" customHeight="1" x14ac:dyDescent="0.3">
      <c r="A2195" s="4" t="s">
        <v>4390</v>
      </c>
      <c r="B2195" s="4" t="s">
        <v>4391</v>
      </c>
      <c r="C2195" s="5" t="str">
        <f t="shared" si="73"/>
        <v xml:space="preserve"> Mr</v>
      </c>
      <c r="D2195" s="5" t="str">
        <f t="shared" si="78"/>
        <v>Mills</v>
      </c>
      <c r="E2195" s="5" t="str">
        <f t="shared" si="77"/>
        <v>by W.</v>
      </c>
    </row>
    <row r="2196" spans="1:5" ht="15.75" customHeight="1" x14ac:dyDescent="0.3">
      <c r="A2196" s="4" t="s">
        <v>4392</v>
      </c>
      <c r="B2196" s="4" t="s">
        <v>4393</v>
      </c>
      <c r="C2196" s="5" t="str">
        <f t="shared" si="73"/>
        <v xml:space="preserve"> Mr</v>
      </c>
      <c r="D2196" s="5" t="str">
        <f t="shared" si="78"/>
        <v>Penny</v>
      </c>
      <c r="E2196" s="5" t="str">
        <f t="shared" si="77"/>
        <v xml:space="preserve">  J A</v>
      </c>
    </row>
    <row r="2197" spans="1:5" ht="15.75" customHeight="1" x14ac:dyDescent="0.3">
      <c r="A2197" s="4" t="s">
        <v>4394</v>
      </c>
      <c r="B2197" s="4" t="s">
        <v>4395</v>
      </c>
      <c r="C2197" s="5" t="str">
        <f t="shared" si="73"/>
        <v xml:space="preserve"> Mr</v>
      </c>
      <c r="D2197" s="5" t="str">
        <f t="shared" si="78"/>
        <v>Hicks</v>
      </c>
      <c r="E2197" s="5" t="str">
        <f t="shared" si="77"/>
        <v>in G.</v>
      </c>
    </row>
    <row r="2198" spans="1:5" ht="15.75" customHeight="1" x14ac:dyDescent="0.3">
      <c r="A2198" s="4" t="s">
        <v>4396</v>
      </c>
      <c r="B2198" s="4" t="s">
        <v>4397</v>
      </c>
      <c r="C2198" s="5" t="str">
        <f t="shared" si="73"/>
        <v>sva</v>
      </c>
      <c r="D2198" s="5" t="str">
        <f t="shared" si="78"/>
        <v>Masay</v>
      </c>
      <c r="E2198" s="5" t="str">
        <f t="shared" si="77"/>
        <v>ony G</v>
      </c>
    </row>
    <row r="2199" spans="1:5" ht="15.75" customHeight="1" x14ac:dyDescent="0.3">
      <c r="A2199" s="4" t="s">
        <v>4398</v>
      </c>
      <c r="B2199" s="4" t="s">
        <v>4399</v>
      </c>
      <c r="C2199" s="5" t="str">
        <f t="shared" si="73"/>
        <v xml:space="preserve">a, </v>
      </c>
      <c r="D2199" s="5" t="str">
        <f t="shared" si="78"/>
        <v>Paavo</v>
      </c>
      <c r="E2199" s="5" t="str">
        <f t="shared" si="77"/>
        <v xml:space="preserve"> Ryan</v>
      </c>
    </row>
    <row r="2200" spans="1:5" ht="15.75" customHeight="1" x14ac:dyDescent="0.3">
      <c r="A2200" s="4" t="s">
        <v>4400</v>
      </c>
      <c r="B2200" s="4" t="s">
        <v>4401</v>
      </c>
      <c r="C2200" s="5" t="str">
        <f t="shared" si="73"/>
        <v xml:space="preserve">n, </v>
      </c>
      <c r="D2200" s="5" t="str">
        <f t="shared" si="78"/>
        <v>Gehls</v>
      </c>
      <c r="E2200" s="5" t="str">
        <f t="shared" si="77"/>
        <v>ric N</v>
      </c>
    </row>
    <row r="2201" spans="1:5" ht="15.75" customHeight="1" x14ac:dyDescent="0.3">
      <c r="A2201" s="4" t="s">
        <v>4402</v>
      </c>
      <c r="B2201" s="4" t="s">
        <v>4403</v>
      </c>
      <c r="C2201" s="5" t="str">
        <f t="shared" si="73"/>
        <v xml:space="preserve"> Mr</v>
      </c>
      <c r="D2201" s="5" t="str">
        <f t="shared" si="78"/>
        <v>Roche</v>
      </c>
      <c r="E2201" s="5" t="str">
        <f t="shared" si="77"/>
        <v>onnor</v>
      </c>
    </row>
    <row r="2202" spans="1:5" ht="15.75" customHeight="1" x14ac:dyDescent="0.3">
      <c r="A2202" s="4" t="s">
        <v>4404</v>
      </c>
      <c r="B2202" s="4" t="s">
        <v>4405</v>
      </c>
      <c r="C2202" s="5" t="str">
        <f t="shared" si="73"/>
        <v xml:space="preserve"> Mr</v>
      </c>
      <c r="D2202" s="5" t="str">
        <f t="shared" si="78"/>
        <v>Hearn</v>
      </c>
      <c r="E2202" s="5" t="str">
        <f t="shared" si="77"/>
        <v>ck H.</v>
      </c>
    </row>
    <row r="2203" spans="1:5" ht="15.75" customHeight="1" x14ac:dyDescent="0.3">
      <c r="A2203" s="4" t="s">
        <v>4406</v>
      </c>
      <c r="B2203" s="4" t="s">
        <v>4407</v>
      </c>
      <c r="C2203" s="5" t="str">
        <f t="shared" si="73"/>
        <v>, M</v>
      </c>
      <c r="D2203" s="5" t="str">
        <f t="shared" si="78"/>
        <v>Dimso</v>
      </c>
      <c r="E2203" s="5" t="str">
        <f t="shared" si="77"/>
        <v>Tyler</v>
      </c>
    </row>
    <row r="2204" spans="1:5" ht="15.75" customHeight="1" x14ac:dyDescent="0.3">
      <c r="A2204" s="4" t="s">
        <v>4408</v>
      </c>
      <c r="B2204" s="4" t="s">
        <v>4409</v>
      </c>
      <c r="C2204" s="5" t="str">
        <f t="shared" si="73"/>
        <v>, M</v>
      </c>
      <c r="D2204" s="5" t="str">
        <f t="shared" si="78"/>
        <v>Slaso</v>
      </c>
      <c r="E2204" s="5" t="str">
        <f t="shared" si="77"/>
        <v>ah L.</v>
      </c>
    </row>
    <row r="2205" spans="1:5" ht="15.75" customHeight="1" x14ac:dyDescent="0.3">
      <c r="A2205" s="4" t="s">
        <v>4410</v>
      </c>
      <c r="B2205" s="4" t="s">
        <v>4411</v>
      </c>
      <c r="C2205" s="5" t="str">
        <f t="shared" si="73"/>
        <v>, M</v>
      </c>
      <c r="D2205" s="5" t="str">
        <f t="shared" si="78"/>
        <v>Gibso</v>
      </c>
      <c r="E2205" s="5" t="str">
        <f t="shared" si="77"/>
        <v>rea K</v>
      </c>
    </row>
    <row r="2206" spans="1:5" ht="15.75" customHeight="1" x14ac:dyDescent="0.3">
      <c r="A2206" s="4" t="s">
        <v>4412</v>
      </c>
      <c r="B2206" s="4" t="s">
        <v>4413</v>
      </c>
      <c r="C2206" s="5" t="str">
        <f t="shared" si="73"/>
        <v xml:space="preserve"> Ms</v>
      </c>
      <c r="D2206" s="5" t="str">
        <f t="shared" si="78"/>
        <v>Erdos</v>
      </c>
      <c r="E2206" s="5" t="str">
        <f t="shared" si="77"/>
        <v>leree</v>
      </c>
    </row>
    <row r="2207" spans="1:5" ht="15.75" customHeight="1" x14ac:dyDescent="0.3">
      <c r="A2207" s="4" t="s">
        <v>4414</v>
      </c>
      <c r="B2207" s="4" t="s">
        <v>4415</v>
      </c>
      <c r="C2207" s="5" t="str">
        <f t="shared" si="73"/>
        <v xml:space="preserve">n, </v>
      </c>
      <c r="D2207" s="5" t="str">
        <f t="shared" si="78"/>
        <v>Cushm</v>
      </c>
      <c r="E2207" s="5" t="str">
        <f t="shared" si="77"/>
        <v>don J</v>
      </c>
    </row>
    <row r="2208" spans="1:5" ht="15.75" customHeight="1" x14ac:dyDescent="0.3">
      <c r="A2208" s="4" t="s">
        <v>4416</v>
      </c>
      <c r="B2208" s="4" t="s">
        <v>4417</v>
      </c>
      <c r="C2208" s="5" t="str">
        <f t="shared" si="73"/>
        <v>, M</v>
      </c>
      <c r="D2208" s="5" t="str">
        <f t="shared" si="78"/>
        <v>Hamme</v>
      </c>
      <c r="E2208" s="5" t="str">
        <f t="shared" si="77"/>
        <v>Steve</v>
      </c>
    </row>
    <row r="2209" spans="1:5" ht="15.75" customHeight="1" x14ac:dyDescent="0.3">
      <c r="A2209" s="4" t="s">
        <v>4418</v>
      </c>
      <c r="B2209" s="4" t="s">
        <v>4419</v>
      </c>
      <c r="C2209" s="5" t="str">
        <f t="shared" si="73"/>
        <v>tad</v>
      </c>
      <c r="D2209" s="5" t="str">
        <f t="shared" si="78"/>
        <v>Ytter</v>
      </c>
      <c r="E2209" s="5" t="str">
        <f t="shared" si="77"/>
        <v>k Sr.</v>
      </c>
    </row>
    <row r="2210" spans="1:5" ht="15.75" customHeight="1" x14ac:dyDescent="0.3">
      <c r="A2210" s="4" t="s">
        <v>4420</v>
      </c>
      <c r="B2210" s="4" t="s">
        <v>4421</v>
      </c>
      <c r="C2210" s="5" t="str">
        <f t="shared" si="73"/>
        <v>, M</v>
      </c>
      <c r="D2210" s="5" t="str">
        <f t="shared" si="78"/>
        <v>Princ</v>
      </c>
      <c r="E2210" s="5" t="str">
        <f t="shared" si="77"/>
        <v xml:space="preserve"> Dani</v>
      </c>
    </row>
    <row r="2211" spans="1:5" ht="15.75" customHeight="1" x14ac:dyDescent="0.3">
      <c r="A2211" s="4" t="s">
        <v>4422</v>
      </c>
      <c r="B2211" s="4" t="s">
        <v>4423</v>
      </c>
      <c r="C2211" s="5" t="str">
        <f t="shared" si="73"/>
        <v xml:space="preserve">n, </v>
      </c>
      <c r="D2211" s="5" t="str">
        <f t="shared" si="78"/>
        <v>Freem</v>
      </c>
      <c r="E2211" s="5" t="str">
        <f t="shared" si="77"/>
        <v>er A.</v>
      </c>
    </row>
    <row r="2212" spans="1:5" ht="15.75" customHeight="1" x14ac:dyDescent="0.3">
      <c r="A2212" s="4" t="s">
        <v>4424</v>
      </c>
      <c r="B2212" s="4" t="s">
        <v>4425</v>
      </c>
      <c r="C2212" s="5" t="str">
        <f t="shared" si="73"/>
        <v>ak,</v>
      </c>
      <c r="D2212" s="5" t="str">
        <f t="shared" si="78"/>
        <v>Petru</v>
      </c>
      <c r="E2212" s="5" t="str">
        <f t="shared" si="77"/>
        <v>artin</v>
      </c>
    </row>
    <row r="2213" spans="1:5" ht="15.75" customHeight="1" x14ac:dyDescent="0.3">
      <c r="A2213" s="4" t="s">
        <v>4426</v>
      </c>
      <c r="B2213" s="4" t="s">
        <v>4427</v>
      </c>
      <c r="C2213" s="5" t="str">
        <f t="shared" si="73"/>
        <v xml:space="preserve"> Mr</v>
      </c>
      <c r="D2213" s="5" t="str">
        <f t="shared" si="78"/>
        <v>Lloyd</v>
      </c>
      <c r="E2213" s="5" t="str">
        <f t="shared" si="77"/>
        <v>Steve</v>
      </c>
    </row>
    <row r="2214" spans="1:5" ht="15.75" customHeight="1" x14ac:dyDescent="0.3">
      <c r="A2214" s="4" t="s">
        <v>4428</v>
      </c>
      <c r="B2214" s="4" t="s">
        <v>4429</v>
      </c>
      <c r="C2214" s="5" t="str">
        <f t="shared" si="73"/>
        <v>ki,</v>
      </c>
      <c r="D2214" s="5" t="str">
        <f t="shared" si="78"/>
        <v>Zablo</v>
      </c>
      <c r="E2214" s="5" t="str">
        <f t="shared" si="77"/>
        <v>opher</v>
      </c>
    </row>
    <row r="2215" spans="1:5" ht="15.75" customHeight="1" x14ac:dyDescent="0.3">
      <c r="A2215" s="4" t="s">
        <v>4430</v>
      </c>
      <c r="B2215" s="4" t="s">
        <v>4431</v>
      </c>
      <c r="C2215" s="5" t="str">
        <f t="shared" si="73"/>
        <v>ter</v>
      </c>
      <c r="D2215" s="5" t="str">
        <f t="shared" si="78"/>
        <v>Van M</v>
      </c>
      <c r="E2215" s="5" t="str">
        <f t="shared" si="77"/>
        <v>yn M.</v>
      </c>
    </row>
    <row r="2216" spans="1:5" ht="15.75" customHeight="1" x14ac:dyDescent="0.3">
      <c r="A2216" s="4" t="s">
        <v>4432</v>
      </c>
      <c r="B2216" s="4" t="s">
        <v>4433</v>
      </c>
      <c r="C2216" s="5" t="str">
        <f t="shared" si="73"/>
        <v xml:space="preserve"> Ms</v>
      </c>
      <c r="D2216" s="5" t="str">
        <f t="shared" si="78"/>
        <v>Babay</v>
      </c>
      <c r="E2216" s="5" t="str">
        <f t="shared" si="77"/>
        <v>Emily</v>
      </c>
    </row>
    <row r="2217" spans="1:5" ht="15.75" customHeight="1" x14ac:dyDescent="0.3">
      <c r="A2217" s="4" t="s">
        <v>4434</v>
      </c>
      <c r="B2217" s="4" t="s">
        <v>4435</v>
      </c>
      <c r="C2217" s="5" t="str">
        <f t="shared" si="73"/>
        <v>, M</v>
      </c>
      <c r="D2217" s="5" t="str">
        <f t="shared" si="78"/>
        <v>Taylo</v>
      </c>
      <c r="E2217" s="5" t="str">
        <f t="shared" si="77"/>
        <v>ent A</v>
      </c>
    </row>
    <row r="2218" spans="1:5" ht="15.75" customHeight="1" x14ac:dyDescent="0.3">
      <c r="A2218" s="4" t="s">
        <v>4436</v>
      </c>
      <c r="B2218" s="4" t="s">
        <v>4437</v>
      </c>
      <c r="C2218" s="5" t="str">
        <f t="shared" si="73"/>
        <v xml:space="preserve"> Ms</v>
      </c>
      <c r="D2218" s="5" t="str">
        <f t="shared" si="78"/>
        <v>Smith</v>
      </c>
      <c r="E2218" s="5" t="str">
        <f t="shared" si="77"/>
        <v>fer E</v>
      </c>
    </row>
    <row r="2219" spans="1:5" ht="15.75" customHeight="1" x14ac:dyDescent="0.3">
      <c r="A2219" s="4" t="s">
        <v>4438</v>
      </c>
      <c r="B2219" s="4" t="s">
        <v>4439</v>
      </c>
      <c r="C2219" s="5" t="str">
        <f t="shared" si="73"/>
        <v xml:space="preserve"> Ms</v>
      </c>
      <c r="D2219" s="5" t="str">
        <f t="shared" si="78"/>
        <v>Moody</v>
      </c>
      <c r="E2219" s="5" t="str">
        <f t="shared" si="77"/>
        <v>Polly</v>
      </c>
    </row>
    <row r="2220" spans="1:5" ht="15.75" customHeight="1" x14ac:dyDescent="0.3">
      <c r="A2220" s="4" t="s">
        <v>4440</v>
      </c>
      <c r="B2220" s="4" t="s">
        <v>4441</v>
      </c>
      <c r="C2220" s="5" t="str">
        <f t="shared" si="73"/>
        <v>bin</v>
      </c>
      <c r="D2220" s="5" t="str">
        <f t="shared" si="78"/>
        <v>Swier</v>
      </c>
      <c r="E2220" s="5" t="str">
        <f t="shared" si="77"/>
        <v>abeth</v>
      </c>
    </row>
    <row r="2221" spans="1:5" ht="15.75" customHeight="1" x14ac:dyDescent="0.3">
      <c r="A2221" s="4" t="s">
        <v>4442</v>
      </c>
      <c r="B2221" s="4" t="s">
        <v>4443</v>
      </c>
      <c r="C2221" s="5" t="str">
        <f t="shared" si="73"/>
        <v>tz,</v>
      </c>
      <c r="D2221" s="5" t="str">
        <f t="shared" si="78"/>
        <v>Schwa</v>
      </c>
      <c r="E2221" s="5" t="str">
        <f t="shared" si="77"/>
        <v>ny A.</v>
      </c>
    </row>
    <row r="2222" spans="1:5" ht="15.75" customHeight="1" x14ac:dyDescent="0.3">
      <c r="A2222" s="4" t="s">
        <v>4444</v>
      </c>
      <c r="B2222" s="4" t="s">
        <v>4445</v>
      </c>
      <c r="C2222" s="5" t="str">
        <f t="shared" si="73"/>
        <v>eri</v>
      </c>
      <c r="D2222" s="5" t="str">
        <f t="shared" si="78"/>
        <v>Sanse</v>
      </c>
      <c r="E2222" s="5" t="str">
        <f t="shared" si="77"/>
        <v xml:space="preserve"> Cole</v>
      </c>
    </row>
    <row r="2223" spans="1:5" ht="15.75" customHeight="1" x14ac:dyDescent="0.3">
      <c r="A2223" s="4" t="s">
        <v>4446</v>
      </c>
      <c r="B2223" s="4" t="s">
        <v>4447</v>
      </c>
      <c r="C2223" s="5" t="str">
        <f t="shared" si="73"/>
        <v>, M</v>
      </c>
      <c r="D2223" s="5" t="str">
        <f t="shared" si="78"/>
        <v>Lawde</v>
      </c>
      <c r="E2223" s="5" t="str">
        <f t="shared" si="77"/>
        <v>ew T.</v>
      </c>
    </row>
    <row r="2224" spans="1:5" ht="15.75" customHeight="1" x14ac:dyDescent="0.3">
      <c r="A2224" s="4" t="s">
        <v>4448</v>
      </c>
      <c r="B2224" s="4" t="s">
        <v>4449</v>
      </c>
      <c r="C2224" s="5" t="str">
        <f t="shared" si="73"/>
        <v xml:space="preserve"> Mr</v>
      </c>
      <c r="D2224" s="5" t="str">
        <f t="shared" si="78"/>
        <v>Young</v>
      </c>
      <c r="E2224" s="5" t="str">
        <f t="shared" si="77"/>
        <v>chary</v>
      </c>
    </row>
    <row r="2225" spans="1:5" ht="15.75" customHeight="1" x14ac:dyDescent="0.3">
      <c r="A2225" s="4" t="s">
        <v>4450</v>
      </c>
      <c r="B2225" s="4" t="s">
        <v>4451</v>
      </c>
      <c r="C2225" s="5" t="str">
        <f t="shared" si="73"/>
        <v xml:space="preserve">r, </v>
      </c>
      <c r="D2225" s="5" t="str">
        <f t="shared" si="78"/>
        <v>Hoern</v>
      </c>
      <c r="E2225" s="5" t="str">
        <f t="shared" si="77"/>
        <v>ew T.</v>
      </c>
    </row>
    <row r="2226" spans="1:5" ht="15.75" customHeight="1" x14ac:dyDescent="0.3">
      <c r="A2226" s="4" t="s">
        <v>4452</v>
      </c>
      <c r="B2226" s="4" t="s">
        <v>4453</v>
      </c>
      <c r="C2226" s="5" t="str">
        <f t="shared" si="73"/>
        <v>, M</v>
      </c>
      <c r="D2226" s="5" t="str">
        <f t="shared" si="78"/>
        <v>Benso</v>
      </c>
      <c r="E2226" s="5" t="str">
        <f t="shared" si="77"/>
        <v xml:space="preserve">  Pat</v>
      </c>
    </row>
    <row r="2227" spans="1:5" ht="15.75" customHeight="1" x14ac:dyDescent="0.3">
      <c r="A2227" s="4" t="s">
        <v>4454</v>
      </c>
      <c r="B2227" s="4" t="s">
        <v>4455</v>
      </c>
      <c r="C2227" s="5" t="str">
        <f t="shared" si="73"/>
        <v>, M</v>
      </c>
      <c r="D2227" s="5" t="str">
        <f t="shared" si="78"/>
        <v>Horto</v>
      </c>
      <c r="E2227" s="5" t="str">
        <f t="shared" si="77"/>
        <v>shley</v>
      </c>
    </row>
    <row r="2228" spans="1:5" ht="15.75" customHeight="1" x14ac:dyDescent="0.3">
      <c r="A2228" s="4" t="s">
        <v>4456</v>
      </c>
      <c r="B2228" s="4" t="s">
        <v>4457</v>
      </c>
      <c r="C2228" s="5" t="str">
        <f t="shared" si="73"/>
        <v>, M</v>
      </c>
      <c r="D2228" s="5" t="str">
        <f t="shared" si="78"/>
        <v>McGra</v>
      </c>
      <c r="E2228" s="5" t="str">
        <f t="shared" si="77"/>
        <v>th A.</v>
      </c>
    </row>
    <row r="2229" spans="1:5" ht="15.75" customHeight="1" x14ac:dyDescent="0.3">
      <c r="A2229" s="4" t="s">
        <v>4458</v>
      </c>
      <c r="B2229" s="4" t="s">
        <v>4459</v>
      </c>
      <c r="C2229" s="5" t="str">
        <f t="shared" si="73"/>
        <v xml:space="preserve">e, </v>
      </c>
      <c r="D2229" s="5" t="str">
        <f t="shared" si="78"/>
        <v>Beaul</v>
      </c>
      <c r="E2229" s="5" t="str">
        <f t="shared" si="77"/>
        <v>ca M.</v>
      </c>
    </row>
    <row r="2230" spans="1:5" ht="15.75" customHeight="1" x14ac:dyDescent="0.3">
      <c r="A2230" s="4" t="s">
        <v>4460</v>
      </c>
      <c r="B2230" s="4" t="s">
        <v>4461</v>
      </c>
      <c r="C2230" s="5" t="str">
        <f t="shared" si="73"/>
        <v>Ms.</v>
      </c>
      <c r="D2230" s="5" t="str">
        <f t="shared" si="78"/>
        <v>Lunz,</v>
      </c>
      <c r="E2230" s="5" t="str">
        <f t="shared" si="77"/>
        <v xml:space="preserve"> Ruth</v>
      </c>
    </row>
    <row r="2231" spans="1:5" ht="15.75" customHeight="1" x14ac:dyDescent="0.3">
      <c r="A2231" s="4" t="s">
        <v>4462</v>
      </c>
      <c r="B2231" s="4" t="s">
        <v>4463</v>
      </c>
      <c r="C2231" s="5" t="str">
        <f t="shared" si="73"/>
        <v>Mr.</v>
      </c>
      <c r="D2231" s="5" t="str">
        <f t="shared" si="78"/>
        <v>Kyle,</v>
      </c>
      <c r="E2231" s="5" t="str">
        <f t="shared" si="77"/>
        <v>ory S</v>
      </c>
    </row>
    <row r="2232" spans="1:5" ht="15.75" customHeight="1" x14ac:dyDescent="0.3">
      <c r="A2232" s="4" t="s">
        <v>4464</v>
      </c>
      <c r="B2232" s="4" t="s">
        <v>4465</v>
      </c>
      <c r="C2232" s="5" t="str">
        <f t="shared" si="73"/>
        <v>nwa</v>
      </c>
      <c r="D2232" s="5" t="str">
        <f t="shared" si="78"/>
        <v>Brack</v>
      </c>
      <c r="E2232" s="5" t="str">
        <f t="shared" si="77"/>
        <v>dra S</v>
      </c>
    </row>
    <row r="2233" spans="1:5" ht="15.75" customHeight="1" x14ac:dyDescent="0.3">
      <c r="A2233" s="4" t="s">
        <v>4466</v>
      </c>
      <c r="B2233" s="4" t="s">
        <v>4467</v>
      </c>
      <c r="C2233" s="5" t="str">
        <f t="shared" si="73"/>
        <v xml:space="preserve">t, </v>
      </c>
      <c r="D2233" s="5" t="str">
        <f t="shared" si="78"/>
        <v>Schmi</v>
      </c>
      <c r="E2233" s="5" t="str">
        <f t="shared" si="77"/>
        <v>llary</v>
      </c>
    </row>
    <row r="2234" spans="1:5" ht="15.75" customHeight="1" x14ac:dyDescent="0.3">
      <c r="A2234" s="4" t="s">
        <v>4468</v>
      </c>
      <c r="B2234" s="4" t="s">
        <v>4469</v>
      </c>
      <c r="C2234" s="5" t="str">
        <f t="shared" si="73"/>
        <v>, M</v>
      </c>
      <c r="D2234" s="5" t="str">
        <f t="shared" si="78"/>
        <v>Borde</v>
      </c>
      <c r="E2234" s="5" t="str">
        <f t="shared" si="77"/>
        <v>my K.</v>
      </c>
    </row>
    <row r="2235" spans="1:5" ht="15.75" customHeight="1" x14ac:dyDescent="0.3">
      <c r="A2235" s="4" t="s">
        <v>4470</v>
      </c>
      <c r="B2235" s="4" t="s">
        <v>4471</v>
      </c>
      <c r="C2235" s="5" t="str">
        <f t="shared" si="73"/>
        <v>, M</v>
      </c>
      <c r="D2235" s="5" t="str">
        <f t="shared" si="78"/>
        <v>McLea</v>
      </c>
      <c r="E2235" s="5" t="str">
        <f t="shared" si="77"/>
        <v>Scott</v>
      </c>
    </row>
    <row r="2236" spans="1:5" ht="15.75" customHeight="1" x14ac:dyDescent="0.3">
      <c r="A2236" s="4" t="s">
        <v>4472</v>
      </c>
      <c r="B2236" s="4" t="s">
        <v>4473</v>
      </c>
      <c r="C2236" s="5" t="str">
        <f t="shared" si="73"/>
        <v xml:space="preserve"> Mr</v>
      </c>
      <c r="D2236" s="5" t="str">
        <f t="shared" si="78"/>
        <v>Regan</v>
      </c>
      <c r="E2236" s="5" t="str">
        <f t="shared" si="77"/>
        <v xml:space="preserve"> John</v>
      </c>
    </row>
    <row r="2237" spans="1:5" ht="15.75" customHeight="1" x14ac:dyDescent="0.3">
      <c r="A2237" s="4" t="s">
        <v>4474</v>
      </c>
      <c r="B2237" s="4" t="s">
        <v>4475</v>
      </c>
      <c r="C2237" s="5" t="str">
        <f t="shared" si="73"/>
        <v>, M</v>
      </c>
      <c r="D2237" s="5" t="str">
        <f t="shared" si="78"/>
        <v>Koeni</v>
      </c>
      <c r="E2237" s="5" t="str">
        <f t="shared" si="77"/>
        <v>aikel</v>
      </c>
    </row>
    <row r="2238" spans="1:5" ht="15.75" customHeight="1" x14ac:dyDescent="0.3">
      <c r="A2238" s="4" t="s">
        <v>4476</v>
      </c>
      <c r="B2238" s="4" t="s">
        <v>4477</v>
      </c>
      <c r="C2238" s="5" t="str">
        <f t="shared" si="73"/>
        <v xml:space="preserve">a, </v>
      </c>
      <c r="D2238" s="5" t="str">
        <f t="shared" si="78"/>
        <v>Kitta</v>
      </c>
      <c r="E2238" s="5" t="str">
        <f t="shared" si="77"/>
        <v>iel C</v>
      </c>
    </row>
    <row r="2239" spans="1:5" ht="15.75" customHeight="1" x14ac:dyDescent="0.3">
      <c r="A2239" s="4" t="s">
        <v>4478</v>
      </c>
      <c r="B2239" s="4" t="s">
        <v>4479</v>
      </c>
      <c r="C2239" s="5" t="str">
        <f t="shared" si="73"/>
        <v>non</v>
      </c>
      <c r="D2239" s="5" t="str">
        <f t="shared" si="78"/>
        <v>Conca</v>
      </c>
      <c r="E2239" s="5" t="str">
        <f t="shared" si="77"/>
        <v>er S.</v>
      </c>
    </row>
    <row r="2240" spans="1:5" ht="15.75" customHeight="1" x14ac:dyDescent="0.3">
      <c r="A2240" s="4" t="s">
        <v>4480</v>
      </c>
      <c r="B2240" s="4" t="s">
        <v>4481</v>
      </c>
      <c r="C2240" s="5" t="str">
        <f t="shared" si="73"/>
        <v xml:space="preserve">n, </v>
      </c>
      <c r="D2240" s="5" t="str">
        <f t="shared" si="78"/>
        <v>Johns</v>
      </c>
      <c r="E2240" s="5" t="str">
        <f t="shared" si="77"/>
        <v>iam R</v>
      </c>
    </row>
    <row r="2241" spans="1:5" ht="15.75" customHeight="1" x14ac:dyDescent="0.3">
      <c r="A2241" s="4" t="s">
        <v>4482</v>
      </c>
      <c r="B2241" s="4" t="s">
        <v>4483</v>
      </c>
      <c r="C2241" s="5" t="str">
        <f t="shared" si="73"/>
        <v xml:space="preserve">z, </v>
      </c>
      <c r="D2241" s="5" t="str">
        <f t="shared" si="78"/>
        <v>Schul</v>
      </c>
      <c r="E2241" s="5" t="str">
        <f t="shared" si="77"/>
        <v>yndsy</v>
      </c>
    </row>
    <row r="2242" spans="1:5" ht="15.75" customHeight="1" x14ac:dyDescent="0.3">
      <c r="A2242" s="4" t="s">
        <v>4484</v>
      </c>
      <c r="B2242" s="4" t="s">
        <v>4485</v>
      </c>
      <c r="C2242" s="5" t="str">
        <f t="shared" si="73"/>
        <v>gan</v>
      </c>
      <c r="D2242" s="5" t="str">
        <f t="shared" si="78"/>
        <v>Brann</v>
      </c>
      <c r="E2242" s="5" t="str">
        <f t="shared" ref="E2242:E2305" si="79">RIGHT(B2242,5)</f>
        <v>ssica</v>
      </c>
    </row>
    <row r="2243" spans="1:5" ht="15.75" customHeight="1" x14ac:dyDescent="0.3">
      <c r="A2243" s="4" t="s">
        <v>4486</v>
      </c>
      <c r="B2243" s="4" t="s">
        <v>4487</v>
      </c>
      <c r="C2243" s="5" t="str">
        <f t="shared" si="73"/>
        <v xml:space="preserve">o, </v>
      </c>
      <c r="D2243" s="5" t="str">
        <f t="shared" si="78"/>
        <v>Caval</v>
      </c>
      <c r="E2243" s="5" t="str">
        <f t="shared" si="79"/>
        <v xml:space="preserve"> Anna</v>
      </c>
    </row>
    <row r="2244" spans="1:5" ht="15.75" customHeight="1" x14ac:dyDescent="0.3">
      <c r="A2244" s="4" t="s">
        <v>4488</v>
      </c>
      <c r="B2244" s="4" t="s">
        <v>4489</v>
      </c>
      <c r="C2244" s="5" t="str">
        <f t="shared" si="73"/>
        <v xml:space="preserve"> Mr</v>
      </c>
      <c r="D2244" s="5" t="str">
        <f t="shared" si="78"/>
        <v>Chang</v>
      </c>
      <c r="E2244" s="5" t="str">
        <f t="shared" si="79"/>
        <v>ordan</v>
      </c>
    </row>
    <row r="2245" spans="1:5" ht="15.75" customHeight="1" x14ac:dyDescent="0.3">
      <c r="A2245" s="4" t="s">
        <v>4490</v>
      </c>
      <c r="B2245" s="4" t="s">
        <v>4491</v>
      </c>
      <c r="C2245" s="5" t="str">
        <f t="shared" si="73"/>
        <v xml:space="preserve">d, </v>
      </c>
      <c r="D2245" s="5" t="str">
        <f t="shared" si="78"/>
        <v>Axelr</v>
      </c>
      <c r="E2245" s="5" t="str">
        <f t="shared" si="79"/>
        <v>Brian</v>
      </c>
    </row>
    <row r="2246" spans="1:5" ht="15.75" customHeight="1" x14ac:dyDescent="0.3">
      <c r="A2246" s="4" t="s">
        <v>4492</v>
      </c>
      <c r="B2246" s="4" t="s">
        <v>4493</v>
      </c>
      <c r="C2246" s="5" t="str">
        <f t="shared" si="73"/>
        <v>ort</v>
      </c>
      <c r="D2246" s="5" t="str">
        <f t="shared" si="78"/>
        <v>Daven</v>
      </c>
      <c r="E2246" s="5" t="str">
        <f t="shared" si="79"/>
        <v>ine A</v>
      </c>
    </row>
    <row r="2247" spans="1:5" ht="15.75" customHeight="1" x14ac:dyDescent="0.3">
      <c r="A2247" s="4" t="s">
        <v>4494</v>
      </c>
      <c r="B2247" s="4" t="s">
        <v>4495</v>
      </c>
      <c r="C2247" s="5" t="str">
        <f t="shared" si="73"/>
        <v xml:space="preserve">e, </v>
      </c>
      <c r="D2247" s="5" t="str">
        <f t="shared" si="78"/>
        <v>Rober</v>
      </c>
      <c r="E2247" s="5" t="str">
        <f t="shared" si="79"/>
        <v>lanie</v>
      </c>
    </row>
    <row r="2248" spans="1:5" ht="15.75" customHeight="1" x14ac:dyDescent="0.3">
      <c r="A2248" s="4" t="s">
        <v>4496</v>
      </c>
      <c r="B2248" s="4" t="s">
        <v>4497</v>
      </c>
      <c r="C2248" s="5" t="str">
        <f t="shared" si="73"/>
        <v xml:space="preserve">t, </v>
      </c>
      <c r="D2248" s="5" t="str">
        <f t="shared" si="78"/>
        <v>Schmi</v>
      </c>
      <c r="E2248" s="5" t="str">
        <f t="shared" si="79"/>
        <v>ssica</v>
      </c>
    </row>
    <row r="2249" spans="1:5" ht="15.75" customHeight="1" x14ac:dyDescent="0.3">
      <c r="A2249" s="4" t="s">
        <v>4498</v>
      </c>
      <c r="B2249" s="4" t="s">
        <v>4499</v>
      </c>
      <c r="C2249" s="5" t="str">
        <f t="shared" si="73"/>
        <v xml:space="preserve">s, </v>
      </c>
      <c r="D2249" s="5" t="str">
        <f t="shared" si="78"/>
        <v>Koste</v>
      </c>
      <c r="E2249" s="5" t="str">
        <f t="shared" si="79"/>
        <v>ric S</v>
      </c>
    </row>
    <row r="2250" spans="1:5" ht="15.75" customHeight="1" x14ac:dyDescent="0.3">
      <c r="A2250" s="4" t="s">
        <v>4500</v>
      </c>
      <c r="B2250" s="4" t="s">
        <v>4501</v>
      </c>
      <c r="C2250" s="5" t="str">
        <f t="shared" si="73"/>
        <v xml:space="preserve"> Mr</v>
      </c>
      <c r="D2250" s="5" t="str">
        <f t="shared" si="78"/>
        <v>Dykes</v>
      </c>
      <c r="E2250" s="5" t="str">
        <f t="shared" si="79"/>
        <v>oseph</v>
      </c>
    </row>
    <row r="2251" spans="1:5" ht="15.75" customHeight="1" x14ac:dyDescent="0.3">
      <c r="A2251" s="4" t="s">
        <v>4502</v>
      </c>
      <c r="B2251" s="4" t="s">
        <v>4503</v>
      </c>
      <c r="C2251" s="5" t="str">
        <f t="shared" si="73"/>
        <v xml:space="preserve"> Ms</v>
      </c>
      <c r="D2251" s="5" t="str">
        <f t="shared" si="78"/>
        <v>Velan</v>
      </c>
      <c r="E2251" s="5" t="str">
        <f t="shared" si="79"/>
        <v xml:space="preserve"> Mary</v>
      </c>
    </row>
    <row r="2252" spans="1:5" ht="15.75" customHeight="1" x14ac:dyDescent="0.3">
      <c r="A2252" s="4" t="s">
        <v>4504</v>
      </c>
      <c r="B2252" s="4" t="s">
        <v>4505</v>
      </c>
      <c r="C2252" s="5" t="str">
        <f t="shared" si="73"/>
        <v>, M</v>
      </c>
      <c r="D2252" s="5" t="str">
        <f t="shared" si="78"/>
        <v>Gooli</v>
      </c>
      <c r="E2252" s="5" t="str">
        <f t="shared" si="79"/>
        <v>talie</v>
      </c>
    </row>
    <row r="2253" spans="1:5" ht="15.75" customHeight="1" x14ac:dyDescent="0.3">
      <c r="A2253" s="4" t="s">
        <v>4506</v>
      </c>
      <c r="B2253" s="4" t="s">
        <v>4507</v>
      </c>
      <c r="C2253" s="5" t="str">
        <f t="shared" si="73"/>
        <v>Mr.</v>
      </c>
      <c r="D2253" s="5" t="str">
        <f t="shared" si="78"/>
        <v>Bain,</v>
      </c>
      <c r="E2253" s="5" t="str">
        <f t="shared" si="79"/>
        <v>opher</v>
      </c>
    </row>
    <row r="2254" spans="1:5" ht="15.75" customHeight="1" x14ac:dyDescent="0.3">
      <c r="A2254" s="4" t="s">
        <v>4508</v>
      </c>
      <c r="B2254" s="4" t="s">
        <v>4509</v>
      </c>
      <c r="C2254" s="5" t="str">
        <f t="shared" si="73"/>
        <v xml:space="preserve"> Ms</v>
      </c>
      <c r="D2254" s="5" t="str">
        <f t="shared" si="78"/>
        <v>Wieck</v>
      </c>
      <c r="E2254" s="5" t="str">
        <f t="shared" si="79"/>
        <v>Sonja</v>
      </c>
    </row>
    <row r="2255" spans="1:5" ht="15.75" customHeight="1" x14ac:dyDescent="0.3">
      <c r="A2255" s="4" t="s">
        <v>4510</v>
      </c>
      <c r="B2255" s="4" t="s">
        <v>4511</v>
      </c>
      <c r="C2255" s="5" t="str">
        <f t="shared" si="73"/>
        <v xml:space="preserve"> Ms</v>
      </c>
      <c r="D2255" s="5" t="str">
        <f t="shared" si="78"/>
        <v>Friel</v>
      </c>
      <c r="E2255" s="5" t="str">
        <f t="shared" si="79"/>
        <v>andra</v>
      </c>
    </row>
    <row r="2256" spans="1:5" ht="15.75" customHeight="1" x14ac:dyDescent="0.3">
      <c r="A2256" s="4" t="s">
        <v>4512</v>
      </c>
      <c r="B2256" s="4" t="s">
        <v>4513</v>
      </c>
      <c r="C2256" s="5" t="str">
        <f t="shared" si="73"/>
        <v>dre</v>
      </c>
      <c r="D2256" s="5" t="str">
        <f t="shared" si="78"/>
        <v>Santa</v>
      </c>
      <c r="E2256" s="5" t="str">
        <f t="shared" si="79"/>
        <v>ha L.</v>
      </c>
    </row>
    <row r="2257" spans="1:5" ht="15.75" customHeight="1" x14ac:dyDescent="0.3">
      <c r="A2257" s="4" t="s">
        <v>4514</v>
      </c>
      <c r="B2257" s="4" t="s">
        <v>4515</v>
      </c>
      <c r="C2257" s="5" t="str">
        <f t="shared" si="73"/>
        <v xml:space="preserve">n, </v>
      </c>
      <c r="D2257" s="5" t="str">
        <f t="shared" ref="D2257:D2320" si="80">LEFT(B2257,5)</f>
        <v>Johns</v>
      </c>
      <c r="E2257" s="5" t="str">
        <f t="shared" si="79"/>
        <v>an C.</v>
      </c>
    </row>
    <row r="2258" spans="1:5" ht="15.75" customHeight="1" x14ac:dyDescent="0.3">
      <c r="A2258" s="4" t="s">
        <v>4516</v>
      </c>
      <c r="B2258" s="4" t="s">
        <v>4517</v>
      </c>
      <c r="C2258" s="5" t="str">
        <f t="shared" si="73"/>
        <v>, M</v>
      </c>
      <c r="D2258" s="5" t="str">
        <f t="shared" si="80"/>
        <v>Gerbe</v>
      </c>
      <c r="E2258" s="5" t="str">
        <f t="shared" si="79"/>
        <v>Cliff</v>
      </c>
    </row>
    <row r="2259" spans="1:5" ht="15.75" customHeight="1" x14ac:dyDescent="0.3">
      <c r="A2259" s="4" t="s">
        <v>4518</v>
      </c>
      <c r="B2259" s="4" t="s">
        <v>4519</v>
      </c>
      <c r="C2259" s="5" t="str">
        <f t="shared" si="73"/>
        <v xml:space="preserve">m, </v>
      </c>
      <c r="D2259" s="5" t="str">
        <f t="shared" si="80"/>
        <v>Benad</v>
      </c>
      <c r="E2259" s="5" t="str">
        <f t="shared" si="79"/>
        <v xml:space="preserve"> Blue</v>
      </c>
    </row>
    <row r="2260" spans="1:5" ht="15.75" customHeight="1" x14ac:dyDescent="0.3">
      <c r="A2260" s="4" t="s">
        <v>4520</v>
      </c>
      <c r="B2260" s="4" t="s">
        <v>4521</v>
      </c>
      <c r="C2260" s="5" t="str">
        <f t="shared" si="73"/>
        <v>ini</v>
      </c>
      <c r="D2260" s="5" t="str">
        <f t="shared" si="80"/>
        <v>Ragaz</v>
      </c>
      <c r="E2260" s="5" t="str">
        <f t="shared" si="79"/>
        <v>rey M</v>
      </c>
    </row>
    <row r="2261" spans="1:5" ht="15.75" customHeight="1" x14ac:dyDescent="0.3">
      <c r="A2261" s="4" t="s">
        <v>4522</v>
      </c>
      <c r="B2261" s="4" t="s">
        <v>4523</v>
      </c>
      <c r="C2261" s="5" t="str">
        <f t="shared" si="73"/>
        <v>ger</v>
      </c>
      <c r="D2261" s="5" t="str">
        <f t="shared" si="80"/>
        <v>Kessi</v>
      </c>
      <c r="E2261" s="5" t="str">
        <f t="shared" si="79"/>
        <v>ndrew</v>
      </c>
    </row>
    <row r="2262" spans="1:5" ht="15.75" customHeight="1" x14ac:dyDescent="0.3">
      <c r="A2262" s="4" t="s">
        <v>4524</v>
      </c>
      <c r="B2262" s="4" t="s">
        <v>4525</v>
      </c>
      <c r="C2262" s="5" t="str">
        <f t="shared" si="73"/>
        <v>, M</v>
      </c>
      <c r="D2262" s="5" t="str">
        <f t="shared" si="80"/>
        <v>Bezgi</v>
      </c>
      <c r="E2262" s="5" t="str">
        <f t="shared" si="79"/>
        <v>Julia</v>
      </c>
    </row>
    <row r="2263" spans="1:5" ht="15.75" customHeight="1" x14ac:dyDescent="0.3">
      <c r="A2263" s="4" t="s">
        <v>4526</v>
      </c>
      <c r="B2263" s="4" t="s">
        <v>4527</v>
      </c>
      <c r="C2263" s="5" t="str">
        <f t="shared" si="73"/>
        <v>ila</v>
      </c>
      <c r="D2263" s="5" t="str">
        <f t="shared" si="80"/>
        <v>Wolde</v>
      </c>
      <c r="E2263" s="5" t="str">
        <f t="shared" si="79"/>
        <v>aniel</v>
      </c>
    </row>
    <row r="2264" spans="1:5" ht="15.75" customHeight="1" x14ac:dyDescent="0.3">
      <c r="A2264" s="4" t="s">
        <v>4528</v>
      </c>
      <c r="B2264" s="4" t="s">
        <v>4529</v>
      </c>
      <c r="C2264" s="5" t="str">
        <f t="shared" si="73"/>
        <v>err</v>
      </c>
      <c r="D2264" s="5" t="str">
        <f t="shared" si="80"/>
        <v xml:space="preserve">Ruiz </v>
      </c>
      <c r="E2264" s="5" t="str">
        <f t="shared" si="79"/>
        <v>Jaime</v>
      </c>
    </row>
    <row r="2265" spans="1:5" ht="15.75" customHeight="1" x14ac:dyDescent="0.3">
      <c r="A2265" s="4" t="s">
        <v>4530</v>
      </c>
      <c r="B2265" s="4" t="s">
        <v>4531</v>
      </c>
      <c r="C2265" s="5" t="str">
        <f t="shared" si="73"/>
        <v>ias</v>
      </c>
      <c r="D2265" s="5" t="str">
        <f t="shared" si="80"/>
        <v>Bin A</v>
      </c>
      <c r="E2265" s="5" t="str">
        <f t="shared" si="79"/>
        <v>hidan</v>
      </c>
    </row>
    <row r="2266" spans="1:5" ht="15.75" customHeight="1" x14ac:dyDescent="0.3">
      <c r="A2266" s="4" t="s">
        <v>4532</v>
      </c>
      <c r="B2266" s="4" t="s">
        <v>4533</v>
      </c>
      <c r="C2266" s="5" t="str">
        <f t="shared" si="73"/>
        <v>r-D</v>
      </c>
      <c r="D2266" s="5" t="str">
        <f t="shared" si="80"/>
        <v>Fisch</v>
      </c>
      <c r="E2266" s="5" t="str">
        <f t="shared" si="79"/>
        <v>tthew</v>
      </c>
    </row>
    <row r="2267" spans="1:5" ht="15.75" customHeight="1" x14ac:dyDescent="0.3">
      <c r="A2267" s="4" t="s">
        <v>4534</v>
      </c>
      <c r="B2267" s="4" t="s">
        <v>4535</v>
      </c>
      <c r="C2267" s="5" t="str">
        <f t="shared" si="73"/>
        <v xml:space="preserve">m, </v>
      </c>
      <c r="D2267" s="5" t="str">
        <f t="shared" si="80"/>
        <v>Pulli</v>
      </c>
      <c r="E2267" s="5" t="str">
        <f t="shared" si="79"/>
        <v>th S.</v>
      </c>
    </row>
    <row r="2268" spans="1:5" ht="15.75" customHeight="1" x14ac:dyDescent="0.3">
      <c r="A2268" s="4" t="s">
        <v>4536</v>
      </c>
      <c r="B2268" s="4" t="s">
        <v>4537</v>
      </c>
      <c r="C2268" s="5" t="str">
        <f t="shared" si="73"/>
        <v>ger</v>
      </c>
      <c r="D2268" s="5" t="str">
        <f t="shared" si="80"/>
        <v>Guisi</v>
      </c>
      <c r="E2268" s="5" t="str">
        <f t="shared" si="79"/>
        <v>Katie</v>
      </c>
    </row>
    <row r="2269" spans="1:5" ht="15.75" customHeight="1" x14ac:dyDescent="0.3">
      <c r="A2269" s="4" t="s">
        <v>4538</v>
      </c>
      <c r="B2269" s="4" t="s">
        <v>4539</v>
      </c>
      <c r="C2269" s="5" t="str">
        <f t="shared" si="73"/>
        <v>ch,</v>
      </c>
      <c r="D2269" s="5" t="str">
        <f t="shared" si="80"/>
        <v>Arner</v>
      </c>
      <c r="E2269" s="5" t="str">
        <f t="shared" si="79"/>
        <v>ti A.</v>
      </c>
    </row>
    <row r="2270" spans="1:5" ht="15.75" customHeight="1" x14ac:dyDescent="0.3">
      <c r="A2270" s="4" t="s">
        <v>4540</v>
      </c>
      <c r="B2270" s="4" t="s">
        <v>4541</v>
      </c>
      <c r="C2270" s="5" t="str">
        <f t="shared" si="73"/>
        <v xml:space="preserve"> Ms</v>
      </c>
      <c r="D2270" s="5" t="str">
        <f t="shared" si="80"/>
        <v>Lynch</v>
      </c>
      <c r="E2270" s="5" t="str">
        <f t="shared" si="79"/>
        <v>ra K.</v>
      </c>
    </row>
    <row r="2271" spans="1:5" ht="15.75" customHeight="1" x14ac:dyDescent="0.3">
      <c r="A2271" s="4" t="s">
        <v>4542</v>
      </c>
      <c r="B2271" s="4" t="s">
        <v>4543</v>
      </c>
      <c r="C2271" s="5" t="str">
        <f t="shared" si="73"/>
        <v>, M</v>
      </c>
      <c r="D2271" s="5" t="str">
        <f t="shared" si="80"/>
        <v>Reill</v>
      </c>
      <c r="E2271" s="5" t="str">
        <f t="shared" si="79"/>
        <v>arine</v>
      </c>
    </row>
    <row r="2272" spans="1:5" ht="15.75" customHeight="1" x14ac:dyDescent="0.3">
      <c r="A2272" s="4" t="s">
        <v>4544</v>
      </c>
      <c r="B2272" s="4" t="s">
        <v>4545</v>
      </c>
      <c r="C2272" s="5" t="str">
        <f t="shared" si="73"/>
        <v xml:space="preserve">e, </v>
      </c>
      <c r="D2272" s="5" t="str">
        <f t="shared" si="80"/>
        <v>Nolet</v>
      </c>
      <c r="E2272" s="5" t="str">
        <f t="shared" si="79"/>
        <v>erome</v>
      </c>
    </row>
    <row r="2273" spans="1:5" ht="15.75" customHeight="1" x14ac:dyDescent="0.3">
      <c r="A2273" s="4" t="s">
        <v>4546</v>
      </c>
      <c r="B2273" s="4" t="s">
        <v>4547</v>
      </c>
      <c r="C2273" s="5" t="str">
        <f t="shared" si="73"/>
        <v>er,</v>
      </c>
      <c r="D2273" s="5" t="str">
        <f t="shared" si="80"/>
        <v>Chabr</v>
      </c>
      <c r="E2273" s="5" t="str">
        <f t="shared" si="79"/>
        <v>lia R</v>
      </c>
    </row>
    <row r="2274" spans="1:5" ht="15.75" customHeight="1" x14ac:dyDescent="0.3">
      <c r="A2274" s="4" t="s">
        <v>4548</v>
      </c>
      <c r="B2274" s="4" t="s">
        <v>4549</v>
      </c>
      <c r="C2274" s="5" t="str">
        <f t="shared" si="73"/>
        <v xml:space="preserve">r. </v>
      </c>
      <c r="D2274" s="5" t="str">
        <f t="shared" si="80"/>
        <v xml:space="preserve">Lee, </v>
      </c>
      <c r="E2274" s="5" t="str">
        <f t="shared" si="79"/>
        <v>Henry</v>
      </c>
    </row>
    <row r="2275" spans="1:5" ht="15.75" customHeight="1" x14ac:dyDescent="0.3">
      <c r="A2275" s="4" t="s">
        <v>4550</v>
      </c>
      <c r="B2275" s="4" t="s">
        <v>4551</v>
      </c>
      <c r="C2275" s="5" t="str">
        <f t="shared" si="73"/>
        <v>, M</v>
      </c>
      <c r="D2275" s="5" t="str">
        <f t="shared" si="80"/>
        <v>Knott</v>
      </c>
      <c r="E2275" s="5" t="str">
        <f t="shared" si="79"/>
        <v>el A.</v>
      </c>
    </row>
    <row r="2276" spans="1:5" ht="15.75" customHeight="1" x14ac:dyDescent="0.3">
      <c r="A2276" s="4" t="s">
        <v>4552</v>
      </c>
      <c r="B2276" s="4" t="s">
        <v>4553</v>
      </c>
      <c r="C2276" s="5" t="str">
        <f t="shared" si="73"/>
        <v>ak,</v>
      </c>
      <c r="D2276" s="5" t="str">
        <f t="shared" si="80"/>
        <v>Pulto</v>
      </c>
      <c r="E2276" s="5" t="str">
        <f t="shared" si="79"/>
        <v xml:space="preserve">  Jim</v>
      </c>
    </row>
    <row r="2277" spans="1:5" ht="15.75" customHeight="1" x14ac:dyDescent="0.3">
      <c r="A2277" s="4" t="s">
        <v>4554</v>
      </c>
      <c r="B2277" s="4" t="s">
        <v>4555</v>
      </c>
      <c r="C2277" s="5" t="str">
        <f t="shared" si="73"/>
        <v xml:space="preserve"> Mr</v>
      </c>
      <c r="D2277" s="5" t="str">
        <f t="shared" si="80"/>
        <v>Maxon</v>
      </c>
      <c r="E2277" s="5" t="str">
        <f t="shared" si="79"/>
        <v xml:space="preserve">  Tim</v>
      </c>
    </row>
    <row r="2278" spans="1:5" ht="15.75" customHeight="1" x14ac:dyDescent="0.3">
      <c r="A2278" s="4" t="s">
        <v>4556</v>
      </c>
      <c r="B2278" s="4" t="s">
        <v>4557</v>
      </c>
      <c r="C2278" s="5" t="str">
        <f t="shared" si="73"/>
        <v xml:space="preserve"> Ms</v>
      </c>
      <c r="D2278" s="5" t="str">
        <f t="shared" si="80"/>
        <v>Kraai</v>
      </c>
      <c r="E2278" s="5" t="str">
        <f t="shared" si="79"/>
        <v>by L.</v>
      </c>
    </row>
    <row r="2279" spans="1:5" ht="15.75" customHeight="1" x14ac:dyDescent="0.3">
      <c r="A2279" s="4" t="s">
        <v>4558</v>
      </c>
      <c r="B2279" s="4" t="s">
        <v>4559</v>
      </c>
      <c r="C2279" s="5" t="str">
        <f t="shared" si="73"/>
        <v>, M</v>
      </c>
      <c r="D2279" s="5" t="str">
        <f t="shared" si="80"/>
        <v>Laros</v>
      </c>
      <c r="E2279" s="5" t="str">
        <f t="shared" si="79"/>
        <v xml:space="preserve"> Mark</v>
      </c>
    </row>
    <row r="2280" spans="1:5" ht="15.75" customHeight="1" x14ac:dyDescent="0.3">
      <c r="A2280" s="4" t="s">
        <v>4560</v>
      </c>
      <c r="B2280" s="4" t="s">
        <v>4561</v>
      </c>
      <c r="C2280" s="5" t="str">
        <f t="shared" si="73"/>
        <v>Mr.</v>
      </c>
      <c r="D2280" s="5" t="str">
        <f t="shared" si="80"/>
        <v>King,</v>
      </c>
      <c r="E2280" s="5" t="str">
        <f t="shared" si="79"/>
        <v xml:space="preserve">  Ali</v>
      </c>
    </row>
    <row r="2281" spans="1:5" ht="15.75" customHeight="1" x14ac:dyDescent="0.3">
      <c r="A2281" s="4" t="s">
        <v>4562</v>
      </c>
      <c r="B2281" s="4" t="s">
        <v>4563</v>
      </c>
      <c r="C2281" s="5" t="str">
        <f t="shared" si="73"/>
        <v xml:space="preserve"> Mr</v>
      </c>
      <c r="D2281" s="5" t="str">
        <f t="shared" si="80"/>
        <v>Haney</v>
      </c>
      <c r="E2281" s="5" t="str">
        <f t="shared" si="79"/>
        <v>oshua</v>
      </c>
    </row>
    <row r="2282" spans="1:5" ht="15.75" customHeight="1" x14ac:dyDescent="0.3">
      <c r="A2282" s="4" t="s">
        <v>4564</v>
      </c>
      <c r="B2282" s="4" t="s">
        <v>4565</v>
      </c>
      <c r="C2282" s="5" t="str">
        <f t="shared" si="73"/>
        <v>, M</v>
      </c>
      <c r="D2282" s="5" t="str">
        <f t="shared" si="80"/>
        <v>Boula</v>
      </c>
      <c r="E2282" s="5" t="str">
        <f t="shared" si="79"/>
        <v>ierre</v>
      </c>
    </row>
    <row r="2283" spans="1:5" ht="15.75" customHeight="1" x14ac:dyDescent="0.3">
      <c r="A2283" s="4" t="s">
        <v>4566</v>
      </c>
      <c r="B2283" s="4" t="s">
        <v>4567</v>
      </c>
      <c r="C2283" s="5" t="str">
        <f t="shared" si="73"/>
        <v>, M</v>
      </c>
      <c r="D2283" s="5" t="str">
        <f t="shared" si="80"/>
        <v>Peter</v>
      </c>
      <c r="E2283" s="5" t="str">
        <f t="shared" si="79"/>
        <v xml:space="preserve"> Kate</v>
      </c>
    </row>
    <row r="2284" spans="1:5" ht="15.75" customHeight="1" x14ac:dyDescent="0.3">
      <c r="A2284" s="4" t="s">
        <v>4568</v>
      </c>
      <c r="B2284" s="4" t="s">
        <v>4569</v>
      </c>
      <c r="C2284" s="5" t="str">
        <f t="shared" si="73"/>
        <v xml:space="preserve">r. </v>
      </c>
      <c r="D2284" s="5" t="str">
        <f t="shared" si="80"/>
        <v xml:space="preserve">Luy, </v>
      </c>
      <c r="E2284" s="5" t="str">
        <f t="shared" si="79"/>
        <v>David</v>
      </c>
    </row>
    <row r="2285" spans="1:5" ht="15.75" customHeight="1" x14ac:dyDescent="0.3">
      <c r="A2285" s="4" t="s">
        <v>4570</v>
      </c>
      <c r="B2285" s="4" t="s">
        <v>4571</v>
      </c>
      <c r="C2285" s="5" t="str">
        <f t="shared" si="73"/>
        <v>Ms.</v>
      </c>
      <c r="D2285" s="5" t="str">
        <f t="shared" si="80"/>
        <v>Fava,</v>
      </c>
      <c r="E2285" s="5" t="str">
        <f t="shared" si="79"/>
        <v>Carla</v>
      </c>
    </row>
    <row r="2286" spans="1:5" ht="15.75" customHeight="1" x14ac:dyDescent="0.3">
      <c r="A2286" s="4" t="s">
        <v>4572</v>
      </c>
      <c r="B2286" s="4" t="s">
        <v>4573</v>
      </c>
      <c r="C2286" s="5" t="str">
        <f t="shared" si="73"/>
        <v xml:space="preserve">a, </v>
      </c>
      <c r="D2286" s="5" t="str">
        <f t="shared" si="80"/>
        <v>Monto</v>
      </c>
      <c r="E2286" s="5" t="str">
        <f t="shared" si="79"/>
        <v>o Sr.</v>
      </c>
    </row>
    <row r="2287" spans="1:5" ht="15.75" customHeight="1" x14ac:dyDescent="0.3">
      <c r="A2287" s="4" t="s">
        <v>4574</v>
      </c>
      <c r="B2287" s="4" t="s">
        <v>4575</v>
      </c>
      <c r="C2287" s="5" t="str">
        <f t="shared" si="73"/>
        <v>Ms.</v>
      </c>
      <c r="D2287" s="5" t="str">
        <f t="shared" si="80"/>
        <v>Bain,</v>
      </c>
      <c r="E2287" s="5" t="str">
        <f t="shared" si="79"/>
        <v xml:space="preserve"> Hope</v>
      </c>
    </row>
    <row r="2288" spans="1:5" ht="15.75" customHeight="1" x14ac:dyDescent="0.3">
      <c r="A2288" s="4" t="s">
        <v>4576</v>
      </c>
      <c r="B2288" s="4" t="s">
        <v>4577</v>
      </c>
      <c r="C2288" s="5" t="str">
        <f t="shared" si="73"/>
        <v>son</v>
      </c>
      <c r="D2288" s="5" t="str">
        <f t="shared" si="80"/>
        <v>Alber</v>
      </c>
      <c r="E2288" s="5" t="str">
        <f t="shared" si="79"/>
        <v>rk P.</v>
      </c>
    </row>
    <row r="2289" spans="1:5" ht="15.75" customHeight="1" x14ac:dyDescent="0.3">
      <c r="A2289" s="4" t="s">
        <v>4578</v>
      </c>
      <c r="B2289" s="4" t="s">
        <v>4579</v>
      </c>
      <c r="C2289" s="5" t="str">
        <f t="shared" si="73"/>
        <v>, M</v>
      </c>
      <c r="D2289" s="5" t="str">
        <f t="shared" si="80"/>
        <v>Barge</v>
      </c>
      <c r="E2289" s="5" t="str">
        <f t="shared" si="79"/>
        <v>siree</v>
      </c>
    </row>
    <row r="2290" spans="1:5" ht="15.75" customHeight="1" x14ac:dyDescent="0.3">
      <c r="A2290" s="4" t="s">
        <v>4580</v>
      </c>
      <c r="B2290" s="4" t="s">
        <v>4581</v>
      </c>
      <c r="C2290" s="5" t="str">
        <f t="shared" si="73"/>
        <v xml:space="preserve">i, </v>
      </c>
      <c r="D2290" s="5" t="str">
        <f t="shared" si="80"/>
        <v>Fraio</v>
      </c>
      <c r="E2290" s="5" t="str">
        <f t="shared" si="79"/>
        <v>o Jr.</v>
      </c>
    </row>
    <row r="2291" spans="1:5" ht="15.75" customHeight="1" x14ac:dyDescent="0.3">
      <c r="A2291" s="4" t="s">
        <v>4582</v>
      </c>
      <c r="B2291" s="4" t="s">
        <v>4583</v>
      </c>
      <c r="C2291" s="5" t="str">
        <f t="shared" si="73"/>
        <v xml:space="preserve"> Mr</v>
      </c>
      <c r="D2291" s="5" t="str">
        <f t="shared" si="80"/>
        <v>April</v>
      </c>
      <c r="E2291" s="5" t="str">
        <f t="shared" si="79"/>
        <v>sapho</v>
      </c>
    </row>
    <row r="2292" spans="1:5" ht="15.75" customHeight="1" x14ac:dyDescent="0.3">
      <c r="A2292" s="4" t="s">
        <v>4584</v>
      </c>
      <c r="B2292" s="4" t="s">
        <v>4585</v>
      </c>
      <c r="C2292" s="5" t="str">
        <f t="shared" si="73"/>
        <v>Ms.</v>
      </c>
      <c r="D2292" s="5" t="str">
        <f t="shared" si="80"/>
        <v>King,</v>
      </c>
      <c r="E2292" s="5" t="str">
        <f t="shared" si="79"/>
        <v>in C.</v>
      </c>
    </row>
    <row r="2293" spans="1:5" ht="15.75" customHeight="1" x14ac:dyDescent="0.3">
      <c r="A2293" s="4" t="s">
        <v>4586</v>
      </c>
      <c r="B2293" s="4" t="s">
        <v>4587</v>
      </c>
      <c r="C2293" s="5" t="str">
        <f t="shared" si="73"/>
        <v xml:space="preserve">m, </v>
      </c>
      <c r="D2293" s="5" t="str">
        <f t="shared" si="80"/>
        <v>Talhe</v>
      </c>
      <c r="E2293" s="5" t="str">
        <f t="shared" si="79"/>
        <v>lan F</v>
      </c>
    </row>
    <row r="2294" spans="1:5" ht="15.75" customHeight="1" x14ac:dyDescent="0.3">
      <c r="A2294" s="4" t="s">
        <v>4588</v>
      </c>
      <c r="B2294" s="4" t="s">
        <v>4589</v>
      </c>
      <c r="C2294" s="5" t="str">
        <f t="shared" si="73"/>
        <v xml:space="preserve">r, </v>
      </c>
      <c r="D2294" s="5" t="str">
        <f t="shared" si="80"/>
        <v>Regni</v>
      </c>
      <c r="E2294" s="5" t="str">
        <f t="shared" si="79"/>
        <v xml:space="preserve"> Ryan</v>
      </c>
    </row>
    <row r="2295" spans="1:5" ht="15.75" customHeight="1" x14ac:dyDescent="0.3">
      <c r="A2295" s="4" t="s">
        <v>4590</v>
      </c>
      <c r="B2295" s="4" t="s">
        <v>4591</v>
      </c>
      <c r="C2295" s="5" t="str">
        <f t="shared" si="73"/>
        <v>, M</v>
      </c>
      <c r="D2295" s="5" t="str">
        <f t="shared" si="80"/>
        <v>Treec</v>
      </c>
      <c r="E2295" s="5" t="str">
        <f t="shared" si="79"/>
        <v xml:space="preserve"> Hope</v>
      </c>
    </row>
    <row r="2296" spans="1:5" ht="15.75" customHeight="1" x14ac:dyDescent="0.3">
      <c r="A2296" s="4" t="s">
        <v>4592</v>
      </c>
      <c r="B2296" s="4" t="s">
        <v>4593</v>
      </c>
      <c r="C2296" s="5" t="str">
        <f t="shared" si="73"/>
        <v>, M</v>
      </c>
      <c r="D2296" s="5" t="str">
        <f t="shared" si="80"/>
        <v>Beise</v>
      </c>
      <c r="E2296" s="5" t="str">
        <f t="shared" si="79"/>
        <v xml:space="preserve"> Josh</v>
      </c>
    </row>
    <row r="2297" spans="1:5" ht="15.75" customHeight="1" x14ac:dyDescent="0.3">
      <c r="A2297" s="4" t="s">
        <v>4594</v>
      </c>
      <c r="B2297" s="4" t="s">
        <v>4595</v>
      </c>
      <c r="C2297" s="5" t="str">
        <f t="shared" si="73"/>
        <v>Mr.</v>
      </c>
      <c r="D2297" s="5" t="str">
        <f t="shared" si="80"/>
        <v>Enke,</v>
      </c>
      <c r="E2297" s="5" t="str">
        <f t="shared" si="79"/>
        <v>cob J</v>
      </c>
    </row>
    <row r="2298" spans="1:5" ht="15.75" customHeight="1" x14ac:dyDescent="0.3">
      <c r="A2298" s="4" t="s">
        <v>4596</v>
      </c>
      <c r="B2298" s="4" t="s">
        <v>4597</v>
      </c>
      <c r="C2298" s="5" t="str">
        <f t="shared" si="73"/>
        <v>agl</v>
      </c>
      <c r="D2298" s="5" t="str">
        <f t="shared" si="80"/>
        <v>Ruiz-</v>
      </c>
      <c r="E2298" s="5" t="str">
        <f t="shared" si="79"/>
        <v>Tomas</v>
      </c>
    </row>
    <row r="2299" spans="1:5" ht="15.75" customHeight="1" x14ac:dyDescent="0.3">
      <c r="A2299" s="4" t="s">
        <v>4598</v>
      </c>
      <c r="B2299" s="4" t="s">
        <v>4599</v>
      </c>
      <c r="C2299" s="5" t="str">
        <f t="shared" si="73"/>
        <v xml:space="preserve">l, </v>
      </c>
      <c r="D2299" s="5" t="str">
        <f t="shared" si="80"/>
        <v>Ferre</v>
      </c>
      <c r="E2299" s="5" t="str">
        <f t="shared" si="79"/>
        <v xml:space="preserve"> Evan</v>
      </c>
    </row>
    <row r="2300" spans="1:5" ht="15.75" customHeight="1" x14ac:dyDescent="0.3">
      <c r="A2300" s="4" t="s">
        <v>4600</v>
      </c>
      <c r="B2300" s="4" t="s">
        <v>4601</v>
      </c>
      <c r="C2300" s="5" t="str">
        <f t="shared" si="73"/>
        <v xml:space="preserve"> Mr</v>
      </c>
      <c r="D2300" s="5" t="str">
        <f t="shared" si="80"/>
        <v>Gates</v>
      </c>
      <c r="E2300" s="5" t="str">
        <f t="shared" si="79"/>
        <v>in K.</v>
      </c>
    </row>
    <row r="2301" spans="1:5" ht="15.75" customHeight="1" x14ac:dyDescent="0.3">
      <c r="A2301" s="4" t="s">
        <v>4602</v>
      </c>
      <c r="B2301" s="4" t="s">
        <v>4603</v>
      </c>
      <c r="C2301" s="5" t="str">
        <f t="shared" si="73"/>
        <v xml:space="preserve">s, </v>
      </c>
      <c r="D2301" s="5" t="str">
        <f t="shared" si="80"/>
        <v>Jeffe</v>
      </c>
      <c r="E2301" s="5" t="str">
        <f t="shared" si="79"/>
        <v>trick</v>
      </c>
    </row>
    <row r="2302" spans="1:5" ht="15.75" customHeight="1" x14ac:dyDescent="0.3">
      <c r="A2302" s="4" t="s">
        <v>4604</v>
      </c>
      <c r="B2302" s="4" t="s">
        <v>4605</v>
      </c>
      <c r="C2302" s="5" t="str">
        <f t="shared" si="73"/>
        <v>ek,</v>
      </c>
      <c r="D2302" s="5" t="str">
        <f t="shared" si="80"/>
        <v>Sulha</v>
      </c>
      <c r="E2302" s="5" t="str">
        <f t="shared" si="79"/>
        <v>Roman</v>
      </c>
    </row>
    <row r="2303" spans="1:5" ht="15.75" customHeight="1" x14ac:dyDescent="0.3">
      <c r="A2303" s="4" t="s">
        <v>4606</v>
      </c>
      <c r="B2303" s="4" t="s">
        <v>4607</v>
      </c>
      <c r="C2303" s="5" t="str">
        <f t="shared" si="73"/>
        <v>ski</v>
      </c>
      <c r="D2303" s="5" t="str">
        <f t="shared" si="80"/>
        <v>Ozaho</v>
      </c>
      <c r="E2303" s="5" t="str">
        <f t="shared" si="79"/>
        <v>David</v>
      </c>
    </row>
    <row r="2304" spans="1:5" ht="15.75" customHeight="1" x14ac:dyDescent="0.3">
      <c r="A2304" s="4" t="s">
        <v>4608</v>
      </c>
      <c r="B2304" s="4" t="s">
        <v>4609</v>
      </c>
      <c r="C2304" s="5" t="str">
        <f t="shared" si="73"/>
        <v xml:space="preserve"> Ms</v>
      </c>
      <c r="D2304" s="5" t="str">
        <f t="shared" si="80"/>
        <v>Caron</v>
      </c>
      <c r="E2304" s="5" t="str">
        <f t="shared" si="79"/>
        <v>lyn L</v>
      </c>
    </row>
    <row r="2305" spans="1:5" ht="15.75" customHeight="1" x14ac:dyDescent="0.3">
      <c r="A2305" s="4" t="s">
        <v>4610</v>
      </c>
      <c r="B2305" s="4" t="s">
        <v>4611</v>
      </c>
      <c r="C2305" s="5" t="str">
        <f t="shared" si="73"/>
        <v>ton</v>
      </c>
      <c r="D2305" s="5" t="str">
        <f t="shared" si="80"/>
        <v>Fulla</v>
      </c>
      <c r="E2305" s="5" t="str">
        <f t="shared" si="79"/>
        <v xml:space="preserve">  Jim</v>
      </c>
    </row>
    <row r="2306" spans="1:5" ht="15.75" customHeight="1" x14ac:dyDescent="0.3">
      <c r="A2306" s="4" t="s">
        <v>4612</v>
      </c>
      <c r="B2306" s="4" t="s">
        <v>4613</v>
      </c>
      <c r="C2306" s="5" t="str">
        <f t="shared" si="73"/>
        <v>en,</v>
      </c>
      <c r="D2306" s="5" t="str">
        <f t="shared" si="80"/>
        <v>Lindg</v>
      </c>
      <c r="E2306" s="5" t="str">
        <f t="shared" ref="E2306:E2336" si="81">RIGHT(B2306,5)</f>
        <v>hew S</v>
      </c>
    </row>
    <row r="2307" spans="1:5" ht="15.75" customHeight="1" x14ac:dyDescent="0.3">
      <c r="A2307" s="4" t="s">
        <v>4614</v>
      </c>
      <c r="B2307" s="4" t="s">
        <v>4615</v>
      </c>
      <c r="C2307" s="5" t="str">
        <f t="shared" si="73"/>
        <v xml:space="preserve"> Mr</v>
      </c>
      <c r="D2307" s="5" t="str">
        <f t="shared" si="80"/>
        <v>Akiha</v>
      </c>
      <c r="E2307" s="5" t="str">
        <f t="shared" si="81"/>
        <v>nneth</v>
      </c>
    </row>
    <row r="2308" spans="1:5" ht="15.75" customHeight="1" x14ac:dyDescent="0.3">
      <c r="A2308" s="4" t="s">
        <v>4616</v>
      </c>
      <c r="B2308" s="4" t="s">
        <v>4617</v>
      </c>
      <c r="C2308" s="5" t="str">
        <f t="shared" si="73"/>
        <v xml:space="preserve"> Ms</v>
      </c>
      <c r="D2308" s="5" t="str">
        <f t="shared" si="80"/>
        <v>Sweny</v>
      </c>
      <c r="E2308" s="5" t="str">
        <f t="shared" si="81"/>
        <v>ndrea</v>
      </c>
    </row>
    <row r="2309" spans="1:5" ht="15.75" customHeight="1" x14ac:dyDescent="0.3">
      <c r="A2309" s="4" t="s">
        <v>4618</v>
      </c>
      <c r="B2309" s="4" t="s">
        <v>4619</v>
      </c>
      <c r="C2309" s="5" t="str">
        <f t="shared" si="73"/>
        <v xml:space="preserve"> Ms</v>
      </c>
      <c r="D2309" s="5" t="str">
        <f t="shared" si="80"/>
        <v>Tobin</v>
      </c>
      <c r="E2309" s="5" t="str">
        <f t="shared" si="81"/>
        <v>stina</v>
      </c>
    </row>
    <row r="2310" spans="1:5" ht="15.75" customHeight="1" x14ac:dyDescent="0.3">
      <c r="A2310" s="4" t="s">
        <v>4620</v>
      </c>
      <c r="B2310" s="4" t="s">
        <v>4621</v>
      </c>
      <c r="C2310" s="5" t="str">
        <f t="shared" si="73"/>
        <v>en,</v>
      </c>
      <c r="D2310" s="5" t="str">
        <f t="shared" si="80"/>
        <v>Peder</v>
      </c>
      <c r="E2310" s="5" t="str">
        <f t="shared" si="81"/>
        <v>isten</v>
      </c>
    </row>
    <row r="2311" spans="1:5" ht="15.75" customHeight="1" x14ac:dyDescent="0.3">
      <c r="A2311" s="4" t="s">
        <v>4622</v>
      </c>
      <c r="B2311" s="4" t="s">
        <v>4623</v>
      </c>
      <c r="C2311" s="5" t="str">
        <f t="shared" si="73"/>
        <v xml:space="preserve"> Mr</v>
      </c>
      <c r="D2311" s="5" t="str">
        <f t="shared" si="80"/>
        <v>Lynch</v>
      </c>
      <c r="E2311" s="5" t="str">
        <f t="shared" si="81"/>
        <v>tthew</v>
      </c>
    </row>
    <row r="2312" spans="1:5" ht="15.75" customHeight="1" x14ac:dyDescent="0.3">
      <c r="A2312" s="4" t="s">
        <v>4624</v>
      </c>
      <c r="B2312" s="4" t="s">
        <v>4625</v>
      </c>
      <c r="C2312" s="5" t="str">
        <f t="shared" si="73"/>
        <v>Mrs</v>
      </c>
      <c r="D2312" s="5" t="str">
        <f t="shared" si="80"/>
        <v>Keys,</v>
      </c>
      <c r="E2312" s="5" t="str">
        <f t="shared" si="81"/>
        <v>hleen</v>
      </c>
    </row>
    <row r="2313" spans="1:5" ht="15.75" customHeight="1" x14ac:dyDescent="0.3">
      <c r="A2313" s="4" t="s">
        <v>4626</v>
      </c>
      <c r="B2313" s="4" t="s">
        <v>4627</v>
      </c>
      <c r="C2313" s="5" t="str">
        <f t="shared" ref="C2313:C2336" si="82">MID(B2313,7,3)</f>
        <v>, M</v>
      </c>
      <c r="D2313" s="5" t="str">
        <f t="shared" si="80"/>
        <v>Wilbu</v>
      </c>
      <c r="E2313" s="5" t="str">
        <f t="shared" si="81"/>
        <v>ndsey</v>
      </c>
    </row>
    <row r="2314" spans="1:5" ht="15.75" customHeight="1" x14ac:dyDescent="0.3">
      <c r="A2314" s="4" t="s">
        <v>4628</v>
      </c>
      <c r="B2314" s="4" t="s">
        <v>4629</v>
      </c>
      <c r="C2314" s="5" t="str">
        <f t="shared" si="82"/>
        <v>, M</v>
      </c>
      <c r="D2314" s="5" t="str">
        <f t="shared" si="80"/>
        <v>Ditot</v>
      </c>
      <c r="E2314" s="5" t="str">
        <f t="shared" si="81"/>
        <v>obert</v>
      </c>
    </row>
    <row r="2315" spans="1:5" ht="15.75" customHeight="1" x14ac:dyDescent="0.3">
      <c r="A2315" s="4" t="s">
        <v>4630</v>
      </c>
      <c r="B2315" s="4" t="s">
        <v>4631</v>
      </c>
      <c r="C2315" s="5" t="str">
        <f t="shared" si="82"/>
        <v>, M</v>
      </c>
      <c r="D2315" s="5" t="str">
        <f t="shared" si="80"/>
        <v>Horbo</v>
      </c>
      <c r="E2315" s="5" t="str">
        <f t="shared" si="81"/>
        <v>ah E.</v>
      </c>
    </row>
    <row r="2316" spans="1:5" ht="15.75" customHeight="1" x14ac:dyDescent="0.3">
      <c r="A2316" s="4" t="s">
        <v>4632</v>
      </c>
      <c r="B2316" s="4" t="s">
        <v>4633</v>
      </c>
      <c r="C2316" s="5" t="str">
        <f t="shared" si="82"/>
        <v>ke,</v>
      </c>
      <c r="D2316" s="5" t="str">
        <f t="shared" si="80"/>
        <v>O'Rou</v>
      </c>
      <c r="E2316" s="5" t="str">
        <f t="shared" si="81"/>
        <v>nnery</v>
      </c>
    </row>
    <row r="2317" spans="1:5" ht="15.75" customHeight="1" x14ac:dyDescent="0.3">
      <c r="A2317" s="4" t="s">
        <v>4634</v>
      </c>
      <c r="B2317" s="4" t="s">
        <v>4635</v>
      </c>
      <c r="C2317" s="5" t="str">
        <f t="shared" si="82"/>
        <v>ms,</v>
      </c>
      <c r="D2317" s="5" t="str">
        <f t="shared" si="80"/>
        <v>Willi</v>
      </c>
      <c r="E2317" s="5" t="str">
        <f t="shared" si="81"/>
        <v>ohn T</v>
      </c>
    </row>
    <row r="2318" spans="1:5" ht="15.75" customHeight="1" x14ac:dyDescent="0.3">
      <c r="A2318" s="4" t="s">
        <v>4636</v>
      </c>
      <c r="B2318" s="4" t="s">
        <v>4637</v>
      </c>
      <c r="C2318" s="5" t="str">
        <f t="shared" si="82"/>
        <v>mi,</v>
      </c>
      <c r="D2318" s="5" t="str">
        <f t="shared" si="80"/>
        <v>Murak</v>
      </c>
      <c r="E2318" s="5" t="str">
        <f t="shared" si="81"/>
        <v xml:space="preserve"> Koji</v>
      </c>
    </row>
    <row r="2319" spans="1:5" ht="15.75" customHeight="1" x14ac:dyDescent="0.3">
      <c r="A2319" s="4" t="s">
        <v>4638</v>
      </c>
      <c r="B2319" s="4" t="s">
        <v>4639</v>
      </c>
      <c r="C2319" s="5" t="str">
        <f t="shared" si="82"/>
        <v>, M</v>
      </c>
      <c r="D2319" s="5" t="str">
        <f t="shared" si="80"/>
        <v>Gagno</v>
      </c>
      <c r="E2319" s="5" t="str">
        <f t="shared" si="81"/>
        <v>ice M</v>
      </c>
    </row>
    <row r="2320" spans="1:5" ht="15.75" customHeight="1" x14ac:dyDescent="0.3">
      <c r="A2320" s="4" t="s">
        <v>4640</v>
      </c>
      <c r="B2320" s="4" t="s">
        <v>4641</v>
      </c>
      <c r="C2320" s="5" t="str">
        <f t="shared" si="82"/>
        <v>ann</v>
      </c>
      <c r="D2320" s="5" t="str">
        <f t="shared" si="80"/>
        <v>Peter</v>
      </c>
      <c r="E2320" s="5" t="str">
        <f t="shared" si="81"/>
        <v>re A.</v>
      </c>
    </row>
    <row r="2321" spans="1:5" ht="15.75" customHeight="1" x14ac:dyDescent="0.3">
      <c r="A2321" s="4" t="s">
        <v>4642</v>
      </c>
      <c r="B2321" s="4" t="s">
        <v>4643</v>
      </c>
      <c r="C2321" s="5" t="str">
        <f t="shared" si="82"/>
        <v xml:space="preserve"> - </v>
      </c>
      <c r="D2321" s="5" t="str">
        <f t="shared" ref="D2321:D2336" si="83">LEFT(B2321,5)</f>
        <v>Grave</v>
      </c>
      <c r="E2321" s="5" t="str">
        <f t="shared" si="81"/>
        <v>Lindy</v>
      </c>
    </row>
    <row r="2322" spans="1:5" ht="15.75" customHeight="1" x14ac:dyDescent="0.3">
      <c r="A2322" s="4" t="s">
        <v>4644</v>
      </c>
      <c r="B2322" s="4" t="s">
        <v>4645</v>
      </c>
      <c r="C2322" s="5" t="str">
        <f t="shared" si="82"/>
        <v>son</v>
      </c>
      <c r="D2322" s="5" t="str">
        <f t="shared" si="83"/>
        <v>Danie</v>
      </c>
      <c r="E2322" s="5" t="str">
        <f t="shared" si="81"/>
        <v>homas</v>
      </c>
    </row>
    <row r="2323" spans="1:5" ht="15.75" customHeight="1" x14ac:dyDescent="0.3">
      <c r="A2323" s="4" t="s">
        <v>4646</v>
      </c>
      <c r="B2323" s="4" t="s">
        <v>4647</v>
      </c>
      <c r="C2323" s="5" t="str">
        <f t="shared" si="82"/>
        <v>, M</v>
      </c>
      <c r="D2323" s="5" t="str">
        <f t="shared" si="83"/>
        <v>Stree</v>
      </c>
      <c r="E2323" s="5" t="str">
        <f t="shared" si="81"/>
        <v>Holly</v>
      </c>
    </row>
    <row r="2324" spans="1:5" ht="15.75" customHeight="1" x14ac:dyDescent="0.3">
      <c r="A2324" s="4" t="s">
        <v>4648</v>
      </c>
      <c r="B2324" s="4" t="s">
        <v>4649</v>
      </c>
      <c r="C2324" s="5" t="str">
        <f t="shared" si="82"/>
        <v>Mr.</v>
      </c>
      <c r="D2324" s="5" t="str">
        <f t="shared" si="83"/>
        <v>Buss,</v>
      </c>
      <c r="E2324" s="5" t="str">
        <f t="shared" si="81"/>
        <v>tthew</v>
      </c>
    </row>
    <row r="2325" spans="1:5" ht="15.75" customHeight="1" x14ac:dyDescent="0.3">
      <c r="A2325" s="4" t="s">
        <v>4650</v>
      </c>
      <c r="B2325" s="4" t="s">
        <v>4651</v>
      </c>
      <c r="C2325" s="5" t="str">
        <f t="shared" si="82"/>
        <v xml:space="preserve"> Ms</v>
      </c>
      <c r="D2325" s="5" t="str">
        <f t="shared" si="83"/>
        <v>Duffy</v>
      </c>
      <c r="E2325" s="5" t="str">
        <f t="shared" si="81"/>
        <v>han K</v>
      </c>
    </row>
    <row r="2326" spans="1:5" ht="15.75" customHeight="1" x14ac:dyDescent="0.3">
      <c r="A2326" s="4" t="s">
        <v>4652</v>
      </c>
      <c r="B2326" s="4" t="s">
        <v>4653</v>
      </c>
      <c r="C2326" s="5" t="str">
        <f t="shared" si="82"/>
        <v xml:space="preserve"> Mr</v>
      </c>
      <c r="D2326" s="5" t="str">
        <f t="shared" si="83"/>
        <v>Hines</v>
      </c>
      <c r="E2326" s="5" t="str">
        <f t="shared" si="81"/>
        <v xml:space="preserve"> Fred</v>
      </c>
    </row>
    <row r="2327" spans="1:5" ht="15.75" customHeight="1" x14ac:dyDescent="0.3">
      <c r="A2327" s="4" t="s">
        <v>4654</v>
      </c>
      <c r="B2327" s="4" t="s">
        <v>4655</v>
      </c>
      <c r="C2327" s="5" t="str">
        <f t="shared" si="82"/>
        <v>, M</v>
      </c>
      <c r="D2327" s="5" t="str">
        <f t="shared" si="83"/>
        <v>Castr</v>
      </c>
      <c r="E2327" s="5" t="str">
        <f t="shared" si="81"/>
        <v>stian</v>
      </c>
    </row>
    <row r="2328" spans="1:5" ht="15.75" customHeight="1" x14ac:dyDescent="0.3">
      <c r="A2328" s="4" t="s">
        <v>4656</v>
      </c>
      <c r="B2328" s="4" t="s">
        <v>4657</v>
      </c>
      <c r="C2328" s="5" t="str">
        <f t="shared" si="82"/>
        <v>, M</v>
      </c>
      <c r="D2328" s="5" t="str">
        <f t="shared" si="83"/>
        <v>Howel</v>
      </c>
      <c r="E2328" s="5" t="str">
        <f t="shared" si="81"/>
        <v>Laura</v>
      </c>
    </row>
    <row r="2329" spans="1:5" ht="15.75" customHeight="1" x14ac:dyDescent="0.3">
      <c r="A2329" s="4" t="s">
        <v>4658</v>
      </c>
      <c r="B2329" s="4" t="s">
        <v>4659</v>
      </c>
      <c r="C2329" s="5" t="str">
        <f t="shared" si="82"/>
        <v xml:space="preserve"> Ms</v>
      </c>
      <c r="D2329" s="5" t="str">
        <f t="shared" si="83"/>
        <v>Avery</v>
      </c>
      <c r="E2329" s="5" t="str">
        <f t="shared" si="81"/>
        <v>icole</v>
      </c>
    </row>
    <row r="2330" spans="1:5" ht="15.75" customHeight="1" x14ac:dyDescent="0.3">
      <c r="A2330" s="4" t="s">
        <v>4660</v>
      </c>
      <c r="B2330" s="4" t="s">
        <v>4661</v>
      </c>
      <c r="C2330" s="5" t="str">
        <f t="shared" si="82"/>
        <v>ki,</v>
      </c>
      <c r="D2330" s="5" t="str">
        <f t="shared" si="83"/>
        <v>Bohin</v>
      </c>
      <c r="E2330" s="5" t="str">
        <f t="shared" si="81"/>
        <v>san E</v>
      </c>
    </row>
    <row r="2331" spans="1:5" ht="15.75" customHeight="1" x14ac:dyDescent="0.3">
      <c r="A2331" s="4" t="s">
        <v>4662</v>
      </c>
      <c r="B2331" s="4" t="s">
        <v>4663</v>
      </c>
      <c r="C2331" s="5" t="str">
        <f t="shared" si="82"/>
        <v xml:space="preserve"> Ms</v>
      </c>
      <c r="D2331" s="5" t="str">
        <f t="shared" si="83"/>
        <v>Kohls</v>
      </c>
      <c r="E2331" s="5" t="str">
        <f t="shared" si="81"/>
        <v xml:space="preserve"> Katy</v>
      </c>
    </row>
    <row r="2332" spans="1:5" ht="15.75" customHeight="1" x14ac:dyDescent="0.3">
      <c r="A2332" s="4" t="s">
        <v>4664</v>
      </c>
      <c r="B2332" s="4" t="s">
        <v>4665</v>
      </c>
      <c r="C2332" s="5" t="str">
        <f t="shared" si="82"/>
        <v>ke,</v>
      </c>
      <c r="D2332" s="5" t="str">
        <f t="shared" si="83"/>
        <v>Briet</v>
      </c>
      <c r="E2332" s="5" t="str">
        <f t="shared" si="81"/>
        <v>ordan</v>
      </c>
    </row>
    <row r="2333" spans="1:5" ht="15.75" customHeight="1" x14ac:dyDescent="0.3">
      <c r="A2333" s="4" t="s">
        <v>4666</v>
      </c>
      <c r="B2333" s="4" t="s">
        <v>4667</v>
      </c>
      <c r="C2333" s="5" t="str">
        <f t="shared" si="82"/>
        <v>s G</v>
      </c>
      <c r="D2333" s="5" t="str">
        <f t="shared" si="83"/>
        <v>River</v>
      </c>
      <c r="E2333" s="5" t="str">
        <f t="shared" si="81"/>
        <v>. Sr.</v>
      </c>
    </row>
    <row r="2334" spans="1:5" ht="15.75" customHeight="1" x14ac:dyDescent="0.3">
      <c r="A2334" s="4" t="s">
        <v>4668</v>
      </c>
      <c r="B2334" s="4" t="s">
        <v>4669</v>
      </c>
      <c r="C2334" s="5" t="str">
        <f t="shared" si="82"/>
        <v>, M</v>
      </c>
      <c r="D2334" s="5" t="str">
        <f t="shared" si="83"/>
        <v>Alban</v>
      </c>
      <c r="E2334" s="5" t="str">
        <f t="shared" si="81"/>
        <v>Julie</v>
      </c>
    </row>
    <row r="2335" spans="1:5" ht="15.75" customHeight="1" x14ac:dyDescent="0.3">
      <c r="A2335" s="4" t="s">
        <v>4670</v>
      </c>
      <c r="B2335" s="4" t="s">
        <v>4671</v>
      </c>
      <c r="C2335" s="5" t="str">
        <f t="shared" si="82"/>
        <v>ahl</v>
      </c>
      <c r="D2335" s="5" t="str">
        <f t="shared" si="83"/>
        <v>Rosen</v>
      </c>
      <c r="E2335" s="5" t="str">
        <f t="shared" si="81"/>
        <v>van P</v>
      </c>
    </row>
    <row r="2336" spans="1:5" ht="15.75" customHeight="1" x14ac:dyDescent="0.3">
      <c r="A2336" s="4" t="s">
        <v>4672</v>
      </c>
      <c r="B2336" s="4" t="s">
        <v>4673</v>
      </c>
      <c r="C2336" s="5" t="str">
        <f t="shared" si="82"/>
        <v>, M</v>
      </c>
      <c r="D2336" s="5" t="str">
        <f t="shared" si="83"/>
        <v>Germa</v>
      </c>
      <c r="E2336" s="5" t="str">
        <f t="shared" si="81"/>
        <v>ron K</v>
      </c>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0419E-BF28-47D7-9A63-41CFACEF2F8F}">
  <dimension ref="A2:F8"/>
  <sheetViews>
    <sheetView tabSelected="1" workbookViewId="0">
      <selection activeCell="A4" sqref="A4"/>
    </sheetView>
  </sheetViews>
  <sheetFormatPr defaultRowHeight="14.4" x14ac:dyDescent="0.3"/>
  <cols>
    <col min="1" max="1" width="22.109375" bestFit="1" customWidth="1"/>
    <col min="2" max="2" width="15.5546875" bestFit="1" customWidth="1"/>
    <col min="3" max="3" width="12.6640625" bestFit="1" customWidth="1"/>
    <col min="4" max="4" width="12.109375" bestFit="1" customWidth="1"/>
    <col min="5" max="5" width="11.6640625" bestFit="1" customWidth="1"/>
    <col min="6" max="6" width="10.77734375" bestFit="1" customWidth="1"/>
    <col min="7" max="7" width="14.109375" bestFit="1" customWidth="1"/>
    <col min="8" max="8" width="16.88671875" bestFit="1" customWidth="1"/>
    <col min="9" max="9" width="13.6640625" bestFit="1" customWidth="1"/>
    <col min="10" max="10" width="3.77734375" bestFit="1" customWidth="1"/>
    <col min="11" max="11" width="16.44140625" bestFit="1" customWidth="1"/>
    <col min="12" max="12" width="10.77734375" bestFit="1" customWidth="1"/>
    <col min="13" max="13" width="10.88671875" bestFit="1" customWidth="1"/>
    <col min="14" max="14" width="26.5546875" bestFit="1" customWidth="1"/>
    <col min="15" max="15" width="34.44140625" bestFit="1" customWidth="1"/>
    <col min="16" max="16" width="15.6640625" bestFit="1" customWidth="1"/>
    <col min="17" max="25" width="6.6640625" bestFit="1" customWidth="1"/>
    <col min="26" max="26" width="5.6640625" bestFit="1" customWidth="1"/>
    <col min="27" max="36" width="6.6640625" bestFit="1" customWidth="1"/>
    <col min="37" max="37" width="5.6640625" bestFit="1" customWidth="1"/>
    <col min="38" max="47" width="6.6640625" bestFit="1" customWidth="1"/>
    <col min="48" max="48" width="5.6640625" bestFit="1" customWidth="1"/>
    <col min="49" max="58" width="6.6640625" bestFit="1" customWidth="1"/>
    <col min="59" max="59" width="5.6640625" bestFit="1" customWidth="1"/>
    <col min="60" max="69" width="6.6640625" bestFit="1" customWidth="1"/>
    <col min="70" max="70" width="5.6640625" bestFit="1" customWidth="1"/>
    <col min="71" max="80" width="6.6640625" bestFit="1" customWidth="1"/>
    <col min="81" max="81" width="5.6640625" bestFit="1" customWidth="1"/>
    <col min="82" max="91" width="6.6640625" bestFit="1" customWidth="1"/>
    <col min="92" max="92" width="5.6640625" bestFit="1" customWidth="1"/>
    <col min="93" max="102" width="6.6640625" bestFit="1" customWidth="1"/>
    <col min="103" max="103" width="5.6640625" bestFit="1" customWidth="1"/>
    <col min="104" max="113" width="6.6640625" bestFit="1" customWidth="1"/>
    <col min="114" max="114" width="4.6640625" bestFit="1" customWidth="1"/>
    <col min="115" max="115" width="5.6640625" bestFit="1" customWidth="1"/>
    <col min="116" max="125" width="6.6640625" bestFit="1" customWidth="1"/>
    <col min="126" max="126" width="5.6640625" bestFit="1" customWidth="1"/>
    <col min="127" max="136" width="6.6640625" bestFit="1" customWidth="1"/>
    <col min="137" max="137" width="5.6640625" bestFit="1" customWidth="1"/>
    <col min="138" max="147" width="6.6640625" bestFit="1" customWidth="1"/>
    <col min="148" max="148" width="5.6640625" bestFit="1" customWidth="1"/>
    <col min="149" max="158" width="6.6640625" bestFit="1" customWidth="1"/>
    <col min="159" max="159" width="5.6640625" bestFit="1" customWidth="1"/>
    <col min="160" max="169" width="6.6640625" bestFit="1" customWidth="1"/>
    <col min="170" max="170" width="5.6640625" bestFit="1" customWidth="1"/>
    <col min="171" max="180" width="6.6640625" bestFit="1" customWidth="1"/>
    <col min="181" max="181" width="5.6640625" bestFit="1" customWidth="1"/>
    <col min="182" max="191" width="6.6640625" bestFit="1" customWidth="1"/>
    <col min="192" max="192" width="5.6640625" bestFit="1" customWidth="1"/>
    <col min="193" max="202" width="6.6640625" bestFit="1" customWidth="1"/>
    <col min="203" max="203" width="5.6640625" bestFit="1" customWidth="1"/>
    <col min="204" max="213" width="6.6640625" bestFit="1" customWidth="1"/>
    <col min="214" max="214" width="5.6640625" bestFit="1" customWidth="1"/>
    <col min="215" max="224" width="6.6640625" bestFit="1" customWidth="1"/>
    <col min="225" max="225" width="4.6640625" bestFit="1" customWidth="1"/>
    <col min="226" max="226" width="5.6640625" bestFit="1" customWidth="1"/>
    <col min="227" max="236" width="6.6640625" bestFit="1" customWidth="1"/>
    <col min="237" max="237" width="5.6640625" bestFit="1" customWidth="1"/>
    <col min="238" max="247" width="6.6640625" bestFit="1" customWidth="1"/>
    <col min="248" max="248" width="5.6640625" bestFit="1" customWidth="1"/>
    <col min="249" max="258" width="6.6640625" bestFit="1" customWidth="1"/>
    <col min="259" max="259" width="5.6640625" bestFit="1" customWidth="1"/>
    <col min="260" max="269" width="6.6640625" bestFit="1" customWidth="1"/>
    <col min="270" max="270" width="5.6640625" bestFit="1" customWidth="1"/>
    <col min="271" max="280" width="6.6640625" bestFit="1" customWidth="1"/>
    <col min="281" max="281" width="5.6640625" bestFit="1" customWidth="1"/>
    <col min="282" max="291" width="6.6640625" bestFit="1" customWidth="1"/>
    <col min="292" max="292" width="5.6640625" bestFit="1" customWidth="1"/>
    <col min="293" max="302" width="6.6640625" bestFit="1" customWidth="1"/>
    <col min="303" max="303" width="5.6640625" bestFit="1" customWidth="1"/>
    <col min="304" max="313" width="6.6640625" bestFit="1" customWidth="1"/>
    <col min="314" max="314" width="5.6640625" bestFit="1" customWidth="1"/>
    <col min="315" max="324" width="6.6640625" bestFit="1" customWidth="1"/>
    <col min="325" max="325" width="5.6640625" bestFit="1" customWidth="1"/>
    <col min="326" max="335" width="6.6640625" bestFit="1" customWidth="1"/>
    <col min="336" max="336" width="4.6640625" bestFit="1" customWidth="1"/>
    <col min="337" max="337" width="5.6640625" bestFit="1" customWidth="1"/>
    <col min="338" max="347" width="6.6640625" bestFit="1" customWidth="1"/>
    <col min="348" max="348" width="5.6640625" bestFit="1" customWidth="1"/>
    <col min="349" max="358" width="6.6640625" bestFit="1" customWidth="1"/>
    <col min="359" max="359" width="5.6640625" bestFit="1" customWidth="1"/>
    <col min="360" max="369" width="6.6640625" bestFit="1" customWidth="1"/>
    <col min="370" max="370" width="5.6640625" bestFit="1" customWidth="1"/>
    <col min="371" max="380" width="6.6640625" bestFit="1" customWidth="1"/>
    <col min="381" max="381" width="5.6640625" bestFit="1" customWidth="1"/>
    <col min="382" max="391" width="6.6640625" bestFit="1" customWidth="1"/>
    <col min="392" max="392" width="5.6640625" bestFit="1" customWidth="1"/>
    <col min="393" max="402" width="6.6640625" bestFit="1" customWidth="1"/>
    <col min="403" max="403" width="5.6640625" bestFit="1" customWidth="1"/>
    <col min="404" max="413" width="6.6640625" bestFit="1" customWidth="1"/>
    <col min="414" max="414" width="5.6640625" bestFit="1" customWidth="1"/>
    <col min="415" max="424" width="6.6640625" bestFit="1" customWidth="1"/>
    <col min="425" max="425" width="5.6640625" bestFit="1" customWidth="1"/>
    <col min="426" max="435" width="6.6640625" bestFit="1" customWidth="1"/>
    <col min="436" max="436" width="5.6640625" bestFit="1" customWidth="1"/>
    <col min="437" max="446" width="6.6640625" bestFit="1" customWidth="1"/>
    <col min="447" max="447" width="4.6640625" bestFit="1" customWidth="1"/>
    <col min="448" max="448" width="5.6640625" bestFit="1" customWidth="1"/>
    <col min="449" max="458" width="6.6640625" bestFit="1" customWidth="1"/>
    <col min="459" max="459" width="5.6640625" bestFit="1" customWidth="1"/>
    <col min="460" max="469" width="6.6640625" bestFit="1" customWidth="1"/>
    <col min="470" max="470" width="5.6640625" bestFit="1" customWidth="1"/>
    <col min="471" max="480" width="6.6640625" bestFit="1" customWidth="1"/>
    <col min="481" max="481" width="5.6640625" bestFit="1" customWidth="1"/>
    <col min="482" max="491" width="6.6640625" bestFit="1" customWidth="1"/>
    <col min="492" max="492" width="5.6640625" bestFit="1" customWidth="1"/>
    <col min="493" max="502" width="6.6640625" bestFit="1" customWidth="1"/>
    <col min="503" max="503" width="5.6640625" bestFit="1" customWidth="1"/>
    <col min="504" max="513" width="6.6640625" bestFit="1" customWidth="1"/>
    <col min="514" max="514" width="5.6640625" bestFit="1" customWidth="1"/>
    <col min="515" max="524" width="6.6640625" bestFit="1" customWidth="1"/>
    <col min="525" max="525" width="5.6640625" bestFit="1" customWidth="1"/>
    <col min="526" max="535" width="6.6640625" bestFit="1" customWidth="1"/>
    <col min="536" max="536" width="5.6640625" bestFit="1" customWidth="1"/>
    <col min="537" max="546" width="6.6640625" bestFit="1" customWidth="1"/>
    <col min="547" max="547" width="5.6640625" bestFit="1" customWidth="1"/>
    <col min="548" max="557" width="6.6640625" bestFit="1" customWidth="1"/>
    <col min="558" max="558" width="4.6640625" bestFit="1" customWidth="1"/>
    <col min="559" max="559" width="5.6640625" bestFit="1" customWidth="1"/>
    <col min="560" max="569" width="6.6640625" bestFit="1" customWidth="1"/>
    <col min="570" max="570" width="5.6640625" bestFit="1" customWidth="1"/>
    <col min="571" max="580" width="6.6640625" bestFit="1" customWidth="1"/>
    <col min="581" max="581" width="5.6640625" bestFit="1" customWidth="1"/>
    <col min="582" max="591" width="6.6640625" bestFit="1" customWidth="1"/>
    <col min="592" max="592" width="5.6640625" bestFit="1" customWidth="1"/>
    <col min="593" max="602" width="6.6640625" bestFit="1" customWidth="1"/>
    <col min="603" max="603" width="5.6640625" bestFit="1" customWidth="1"/>
    <col min="604" max="613" width="6.6640625" bestFit="1" customWidth="1"/>
    <col min="614" max="614" width="5.6640625" bestFit="1" customWidth="1"/>
    <col min="615" max="624" width="6.6640625" bestFit="1" customWidth="1"/>
    <col min="625" max="625" width="5.6640625" bestFit="1" customWidth="1"/>
    <col min="626" max="635" width="6.6640625" bestFit="1" customWidth="1"/>
    <col min="636" max="636" width="5.6640625" bestFit="1" customWidth="1"/>
    <col min="637" max="646" width="6.6640625" bestFit="1" customWidth="1"/>
    <col min="647" max="647" width="5.6640625" bestFit="1" customWidth="1"/>
    <col min="648" max="657" width="6.6640625" bestFit="1" customWidth="1"/>
    <col min="658" max="658" width="5.6640625" bestFit="1" customWidth="1"/>
    <col min="659" max="668" width="6.6640625" bestFit="1" customWidth="1"/>
    <col min="669" max="669" width="4.6640625" bestFit="1" customWidth="1"/>
    <col min="670" max="670" width="5.6640625" bestFit="1" customWidth="1"/>
    <col min="671" max="680" width="6.6640625" bestFit="1" customWidth="1"/>
    <col min="681" max="681" width="5.6640625" bestFit="1" customWidth="1"/>
    <col min="682" max="691" width="6.6640625" bestFit="1" customWidth="1"/>
    <col min="692" max="692" width="5.6640625" bestFit="1" customWidth="1"/>
    <col min="693" max="702" width="6.6640625" bestFit="1" customWidth="1"/>
    <col min="703" max="703" width="5.6640625" bestFit="1" customWidth="1"/>
    <col min="704" max="713" width="6.6640625" bestFit="1" customWidth="1"/>
    <col min="714" max="714" width="5.6640625" bestFit="1" customWidth="1"/>
    <col min="715" max="724" width="6.6640625" bestFit="1" customWidth="1"/>
    <col min="725" max="725" width="5.6640625" bestFit="1" customWidth="1"/>
    <col min="726" max="735" width="6.6640625" bestFit="1" customWidth="1"/>
    <col min="736" max="736" width="5.6640625" bestFit="1" customWidth="1"/>
    <col min="737" max="746" width="6.6640625" bestFit="1" customWidth="1"/>
    <col min="747" max="747" width="5.6640625" bestFit="1" customWidth="1"/>
    <col min="748" max="757" width="6.6640625" bestFit="1" customWidth="1"/>
    <col min="758" max="758" width="5.6640625" bestFit="1" customWidth="1"/>
    <col min="759" max="768" width="6.6640625" bestFit="1" customWidth="1"/>
    <col min="769" max="769" width="5.6640625" bestFit="1" customWidth="1"/>
    <col min="770" max="779" width="6.6640625" bestFit="1" customWidth="1"/>
    <col min="780" max="780" width="4.6640625" bestFit="1" customWidth="1"/>
    <col min="781" max="781" width="5.6640625" bestFit="1" customWidth="1"/>
    <col min="782" max="791" width="6.6640625" bestFit="1" customWidth="1"/>
    <col min="792" max="792" width="5.6640625" bestFit="1" customWidth="1"/>
    <col min="793" max="802" width="6.6640625" bestFit="1" customWidth="1"/>
    <col min="803" max="803" width="5.6640625" bestFit="1" customWidth="1"/>
    <col min="804" max="813" width="6.6640625" bestFit="1" customWidth="1"/>
    <col min="814" max="814" width="5.6640625" bestFit="1" customWidth="1"/>
    <col min="815" max="824" width="6.6640625" bestFit="1" customWidth="1"/>
    <col min="825" max="825" width="5.6640625" bestFit="1" customWidth="1"/>
    <col min="826" max="835" width="6.6640625" bestFit="1" customWidth="1"/>
    <col min="836" max="836" width="5.6640625" bestFit="1" customWidth="1"/>
    <col min="837" max="846" width="6.6640625" bestFit="1" customWidth="1"/>
    <col min="847" max="847" width="5.6640625" bestFit="1" customWidth="1"/>
    <col min="848" max="857" width="6.6640625" bestFit="1" customWidth="1"/>
    <col min="858" max="858" width="5.6640625" bestFit="1" customWidth="1"/>
    <col min="859" max="868" width="6.6640625" bestFit="1" customWidth="1"/>
    <col min="869" max="869" width="5.6640625" bestFit="1" customWidth="1"/>
    <col min="870" max="879" width="6.6640625" bestFit="1" customWidth="1"/>
    <col min="880" max="880" width="5.6640625" bestFit="1" customWidth="1"/>
    <col min="881" max="890" width="6.6640625" bestFit="1" customWidth="1"/>
    <col min="891" max="891" width="4.6640625" bestFit="1" customWidth="1"/>
    <col min="892" max="892" width="5.6640625" bestFit="1" customWidth="1"/>
    <col min="893" max="902" width="6.6640625" bestFit="1" customWidth="1"/>
    <col min="903" max="903" width="5.6640625" bestFit="1" customWidth="1"/>
    <col min="904" max="913" width="6.6640625" bestFit="1" customWidth="1"/>
    <col min="914" max="914" width="5.6640625" bestFit="1" customWidth="1"/>
    <col min="915" max="924" width="6.6640625" bestFit="1" customWidth="1"/>
    <col min="925" max="925" width="5.6640625" bestFit="1" customWidth="1"/>
    <col min="926" max="935" width="6.6640625" bestFit="1" customWidth="1"/>
    <col min="936" max="936" width="5.6640625" bestFit="1" customWidth="1"/>
    <col min="937" max="946" width="6.6640625" bestFit="1" customWidth="1"/>
    <col min="947" max="947" width="5.6640625" bestFit="1" customWidth="1"/>
    <col min="948" max="957" width="6.6640625" bestFit="1" customWidth="1"/>
    <col min="958" max="958" width="5.6640625" bestFit="1" customWidth="1"/>
    <col min="959" max="968" width="6.6640625" bestFit="1" customWidth="1"/>
    <col min="969" max="969" width="5.6640625" bestFit="1" customWidth="1"/>
    <col min="970" max="979" width="6.6640625" bestFit="1" customWidth="1"/>
    <col min="980" max="980" width="5.6640625" bestFit="1" customWidth="1"/>
    <col min="981" max="990" width="6.6640625" bestFit="1" customWidth="1"/>
    <col min="991" max="991" width="5.6640625" bestFit="1" customWidth="1"/>
    <col min="992" max="1001" width="6.6640625" bestFit="1" customWidth="1"/>
    <col min="1002" max="1002" width="4.6640625" bestFit="1" customWidth="1"/>
    <col min="1003" max="1003" width="5.6640625" bestFit="1" customWidth="1"/>
    <col min="1004" max="1013" width="6.6640625" bestFit="1" customWidth="1"/>
    <col min="1014" max="1014" width="5.6640625" bestFit="1" customWidth="1"/>
    <col min="1015" max="1024" width="6.6640625" bestFit="1" customWidth="1"/>
    <col min="1025" max="1025" width="5.6640625" bestFit="1" customWidth="1"/>
    <col min="1026" max="1035" width="6.6640625" bestFit="1" customWidth="1"/>
    <col min="1036" max="1036" width="5.6640625" bestFit="1" customWidth="1"/>
    <col min="1037" max="1046" width="6.6640625" bestFit="1" customWidth="1"/>
    <col min="1047" max="1047" width="5.6640625" bestFit="1" customWidth="1"/>
    <col min="1048" max="1057" width="6.6640625" bestFit="1" customWidth="1"/>
    <col min="1058" max="1058" width="5.6640625" bestFit="1" customWidth="1"/>
    <col min="1059" max="1068" width="6.6640625" bestFit="1" customWidth="1"/>
    <col min="1069" max="1069" width="5.6640625" bestFit="1" customWidth="1"/>
    <col min="1070" max="1079" width="6.6640625" bestFit="1" customWidth="1"/>
    <col min="1080" max="1080" width="5.6640625" bestFit="1" customWidth="1"/>
    <col min="1081" max="1090" width="6.6640625" bestFit="1" customWidth="1"/>
    <col min="1091" max="1091" width="5.6640625" bestFit="1" customWidth="1"/>
    <col min="1092" max="1101" width="6.6640625" bestFit="1" customWidth="1"/>
    <col min="1102" max="1102" width="5.6640625" bestFit="1" customWidth="1"/>
    <col min="1103" max="1112" width="6.6640625" bestFit="1" customWidth="1"/>
    <col min="1113" max="1113" width="3.6640625" bestFit="1" customWidth="1"/>
    <col min="1114" max="1114" width="4.6640625" bestFit="1" customWidth="1"/>
    <col min="1115" max="1115" width="5.6640625" bestFit="1" customWidth="1"/>
    <col min="1116" max="1125" width="6.6640625" bestFit="1" customWidth="1"/>
    <col min="1126" max="1126" width="5.6640625" bestFit="1" customWidth="1"/>
    <col min="1127" max="1136" width="6.6640625" bestFit="1" customWidth="1"/>
    <col min="1137" max="1137" width="5.6640625" bestFit="1" customWidth="1"/>
    <col min="1138" max="1147" width="6.6640625" bestFit="1" customWidth="1"/>
    <col min="1148" max="1148" width="5.6640625" bestFit="1" customWidth="1"/>
    <col min="1149" max="1158" width="6.6640625" bestFit="1" customWidth="1"/>
    <col min="1159" max="1159" width="5.6640625" bestFit="1" customWidth="1"/>
    <col min="1160" max="1169" width="6.6640625" bestFit="1" customWidth="1"/>
    <col min="1170" max="1170" width="5.6640625" bestFit="1" customWidth="1"/>
    <col min="1171" max="1180" width="6.6640625" bestFit="1" customWidth="1"/>
    <col min="1181" max="1181" width="5.6640625" bestFit="1" customWidth="1"/>
    <col min="1182" max="1191" width="6.6640625" bestFit="1" customWidth="1"/>
    <col min="1192" max="1192" width="5.6640625" bestFit="1" customWidth="1"/>
    <col min="1193" max="1202" width="6.6640625" bestFit="1" customWidth="1"/>
    <col min="1203" max="1203" width="5.6640625" bestFit="1" customWidth="1"/>
    <col min="1204" max="1213" width="6.6640625" bestFit="1" customWidth="1"/>
    <col min="1214" max="1214" width="5.6640625" bestFit="1" customWidth="1"/>
    <col min="1215" max="1224" width="6.6640625" bestFit="1" customWidth="1"/>
    <col min="1225" max="1225" width="4.6640625" bestFit="1" customWidth="1"/>
    <col min="1226" max="1226" width="5.6640625" bestFit="1" customWidth="1"/>
    <col min="1227" max="1236" width="6.6640625" bestFit="1" customWidth="1"/>
    <col min="1237" max="1237" width="5.6640625" bestFit="1" customWidth="1"/>
    <col min="1238" max="1247" width="6.6640625" bestFit="1" customWidth="1"/>
    <col min="1248" max="1248" width="5.6640625" bestFit="1" customWidth="1"/>
    <col min="1249" max="1258" width="6.6640625" bestFit="1" customWidth="1"/>
    <col min="1259" max="1259" width="5.6640625" bestFit="1" customWidth="1"/>
    <col min="1260" max="1269" width="6.6640625" bestFit="1" customWidth="1"/>
    <col min="1270" max="1270" width="5.6640625" bestFit="1" customWidth="1"/>
    <col min="1271" max="1280" width="6.6640625" bestFit="1" customWidth="1"/>
    <col min="1281" max="1281" width="5.6640625" bestFit="1" customWidth="1"/>
    <col min="1282" max="1291" width="6.6640625" bestFit="1" customWidth="1"/>
    <col min="1292" max="1292" width="5.6640625" bestFit="1" customWidth="1"/>
    <col min="1293" max="1302" width="6.6640625" bestFit="1" customWidth="1"/>
    <col min="1303" max="1303" width="5.6640625" bestFit="1" customWidth="1"/>
    <col min="1304" max="1313" width="6.6640625" bestFit="1" customWidth="1"/>
    <col min="1314" max="1314" width="5.6640625" bestFit="1" customWidth="1"/>
    <col min="1315" max="1324" width="6.6640625" bestFit="1" customWidth="1"/>
    <col min="1325" max="1325" width="5.6640625" bestFit="1" customWidth="1"/>
    <col min="1326" max="1335" width="6.6640625" bestFit="1" customWidth="1"/>
    <col min="1336" max="1336" width="4.6640625" bestFit="1" customWidth="1"/>
    <col min="1337" max="1337" width="5.6640625" bestFit="1" customWidth="1"/>
    <col min="1338" max="1347" width="6.6640625" bestFit="1" customWidth="1"/>
    <col min="1348" max="1348" width="5.6640625" bestFit="1" customWidth="1"/>
    <col min="1349" max="1358" width="6.6640625" bestFit="1" customWidth="1"/>
    <col min="1359" max="1359" width="5.6640625" bestFit="1" customWidth="1"/>
    <col min="1360" max="1369" width="6.6640625" bestFit="1" customWidth="1"/>
    <col min="1370" max="1370" width="5.6640625" bestFit="1" customWidth="1"/>
    <col min="1371" max="1380" width="6.6640625" bestFit="1" customWidth="1"/>
    <col min="1381" max="1381" width="5.6640625" bestFit="1" customWidth="1"/>
    <col min="1382" max="1391" width="6.6640625" bestFit="1" customWidth="1"/>
    <col min="1392" max="1392" width="5.6640625" bestFit="1" customWidth="1"/>
    <col min="1393" max="1402" width="6.6640625" bestFit="1" customWidth="1"/>
    <col min="1403" max="1403" width="5.6640625" bestFit="1" customWidth="1"/>
    <col min="1404" max="1413" width="6.6640625" bestFit="1" customWidth="1"/>
    <col min="1414" max="1414" width="5.6640625" bestFit="1" customWidth="1"/>
    <col min="1415" max="1424" width="6.6640625" bestFit="1" customWidth="1"/>
    <col min="1425" max="1425" width="5.6640625" bestFit="1" customWidth="1"/>
    <col min="1426" max="1435" width="6.6640625" bestFit="1" customWidth="1"/>
    <col min="1436" max="1436" width="5.6640625" bestFit="1" customWidth="1"/>
    <col min="1437" max="1446" width="6.6640625" bestFit="1" customWidth="1"/>
    <col min="1447" max="1447" width="4.6640625" bestFit="1" customWidth="1"/>
    <col min="1448" max="1448" width="5.6640625" bestFit="1" customWidth="1"/>
    <col min="1449" max="1458" width="6.6640625" bestFit="1" customWidth="1"/>
    <col min="1459" max="1459" width="5.6640625" bestFit="1" customWidth="1"/>
    <col min="1460" max="1469" width="6.6640625" bestFit="1" customWidth="1"/>
    <col min="1470" max="1470" width="5.6640625" bestFit="1" customWidth="1"/>
    <col min="1471" max="1480" width="6.6640625" bestFit="1" customWidth="1"/>
    <col min="1481" max="1481" width="5.6640625" bestFit="1" customWidth="1"/>
    <col min="1482" max="1487" width="6.6640625" bestFit="1" customWidth="1"/>
    <col min="1488" max="1493" width="5.6640625" bestFit="1" customWidth="1"/>
    <col min="1494" max="1494" width="4.6640625" bestFit="1" customWidth="1"/>
    <col min="1495" max="1499" width="5.6640625" bestFit="1" customWidth="1"/>
    <col min="1500" max="1500" width="6.5546875" bestFit="1" customWidth="1"/>
    <col min="1501" max="1505" width="5.6640625" bestFit="1" customWidth="1"/>
    <col min="1506" max="1506" width="4.6640625" bestFit="1" customWidth="1"/>
    <col min="1507" max="1516" width="5.6640625" bestFit="1" customWidth="1"/>
    <col min="1517" max="1517" width="4.6640625" bestFit="1" customWidth="1"/>
    <col min="1518" max="1527" width="5.6640625" bestFit="1" customWidth="1"/>
    <col min="1528" max="1528" width="4.6640625" bestFit="1" customWidth="1"/>
    <col min="1529" max="1538" width="5.6640625" bestFit="1" customWidth="1"/>
    <col min="1539" max="1539" width="4.6640625" bestFit="1" customWidth="1"/>
    <col min="1540" max="1549" width="5.6640625" bestFit="1" customWidth="1"/>
    <col min="1550" max="1550" width="4.6640625" bestFit="1" customWidth="1"/>
    <col min="1551" max="1560" width="5.6640625" bestFit="1" customWidth="1"/>
    <col min="1561" max="1561" width="3.6640625" bestFit="1" customWidth="1"/>
    <col min="1562" max="1562" width="4.6640625" bestFit="1" customWidth="1"/>
    <col min="1563" max="1572" width="5.6640625" bestFit="1" customWidth="1"/>
    <col min="1573" max="1573" width="4.6640625" bestFit="1" customWidth="1"/>
    <col min="1574" max="1583" width="5.6640625" bestFit="1" customWidth="1"/>
    <col min="1584" max="1584" width="4.6640625" bestFit="1" customWidth="1"/>
    <col min="1585" max="1594" width="5.6640625" bestFit="1" customWidth="1"/>
    <col min="1595" max="1595" width="4.6640625" bestFit="1" customWidth="1"/>
    <col min="1596" max="1605" width="5.6640625" bestFit="1" customWidth="1"/>
    <col min="1606" max="1606" width="4.6640625" bestFit="1" customWidth="1"/>
    <col min="1607" max="1611" width="5.6640625" bestFit="1" customWidth="1"/>
    <col min="1612" max="1612" width="6.5546875" bestFit="1" customWidth="1"/>
    <col min="1613" max="1617" width="5.6640625" bestFit="1" customWidth="1"/>
    <col min="1618" max="1618" width="4.6640625" bestFit="1" customWidth="1"/>
    <col min="1619" max="1628" width="5.6640625" bestFit="1" customWidth="1"/>
    <col min="1629" max="1629" width="4.6640625" bestFit="1" customWidth="1"/>
    <col min="1630" max="1639" width="5.6640625" bestFit="1" customWidth="1"/>
    <col min="1640" max="1640" width="4.6640625" bestFit="1" customWidth="1"/>
    <col min="1641" max="1650" width="5.6640625" bestFit="1" customWidth="1"/>
    <col min="1651" max="1651" width="4.6640625" bestFit="1" customWidth="1"/>
    <col min="1652" max="1661" width="5.6640625" bestFit="1" customWidth="1"/>
    <col min="1662" max="1662" width="4.6640625" bestFit="1" customWidth="1"/>
    <col min="1663" max="1672" width="5.6640625" bestFit="1" customWidth="1"/>
    <col min="1673" max="1673" width="3.6640625" bestFit="1" customWidth="1"/>
    <col min="1674" max="1674" width="4.6640625" bestFit="1" customWidth="1"/>
    <col min="1675" max="1684" width="5.6640625" bestFit="1" customWidth="1"/>
    <col min="1685" max="1685" width="4.6640625" bestFit="1" customWidth="1"/>
    <col min="1686" max="1695" width="5.6640625" bestFit="1" customWidth="1"/>
    <col min="1696" max="1696" width="4.6640625" bestFit="1" customWidth="1"/>
    <col min="1697" max="1706" width="5.6640625" bestFit="1" customWidth="1"/>
    <col min="1707" max="1707" width="4.6640625" bestFit="1" customWidth="1"/>
    <col min="1708" max="1717" width="5.6640625" bestFit="1" customWidth="1"/>
    <col min="1718" max="1718" width="4.6640625" bestFit="1" customWidth="1"/>
    <col min="1719" max="1728" width="5.6640625" bestFit="1" customWidth="1"/>
    <col min="1729" max="1729" width="4.6640625" bestFit="1" customWidth="1"/>
    <col min="1730" max="1739" width="5.6640625" bestFit="1" customWidth="1"/>
    <col min="1740" max="1740" width="4.6640625" bestFit="1" customWidth="1"/>
    <col min="1741" max="1750" width="5.6640625" bestFit="1" customWidth="1"/>
    <col min="1751" max="1751" width="4.6640625" bestFit="1" customWidth="1"/>
    <col min="1752" max="1761" width="5.6640625" bestFit="1" customWidth="1"/>
    <col min="1762" max="1762" width="4.6640625" bestFit="1" customWidth="1"/>
    <col min="1763" max="1772" width="5.6640625" bestFit="1" customWidth="1"/>
    <col min="1773" max="1773" width="4.6640625" bestFit="1" customWidth="1"/>
    <col min="1774" max="1783" width="5.6640625" bestFit="1" customWidth="1"/>
    <col min="1784" max="1784" width="3.6640625" bestFit="1" customWidth="1"/>
    <col min="1785" max="1785" width="4.6640625" bestFit="1" customWidth="1"/>
    <col min="1786" max="1795" width="5.6640625" bestFit="1" customWidth="1"/>
    <col min="1796" max="1796" width="4.6640625" bestFit="1" customWidth="1"/>
    <col min="1797" max="1806" width="5.6640625" bestFit="1" customWidth="1"/>
    <col min="1807" max="1807" width="4.6640625" bestFit="1" customWidth="1"/>
    <col min="1808" max="1817" width="5.6640625" bestFit="1" customWidth="1"/>
    <col min="1818" max="1818" width="4.6640625" bestFit="1" customWidth="1"/>
    <col min="1819" max="1828" width="5.6640625" bestFit="1" customWidth="1"/>
    <col min="1829" max="1829" width="4.6640625" bestFit="1" customWidth="1"/>
    <col min="1830" max="1839" width="5.6640625" bestFit="1" customWidth="1"/>
    <col min="1840" max="1840" width="4.6640625" bestFit="1" customWidth="1"/>
    <col min="1841" max="1850" width="5.6640625" bestFit="1" customWidth="1"/>
    <col min="1851" max="1851" width="4.6640625" bestFit="1" customWidth="1"/>
    <col min="1852" max="1861" width="5.6640625" bestFit="1" customWidth="1"/>
    <col min="1862" max="1862" width="4.6640625" bestFit="1" customWidth="1"/>
    <col min="1863" max="1872" width="5.6640625" bestFit="1" customWidth="1"/>
    <col min="1873" max="1873" width="4.6640625" bestFit="1" customWidth="1"/>
    <col min="1874" max="1883" width="5.6640625" bestFit="1" customWidth="1"/>
    <col min="1884" max="1884" width="4.6640625" bestFit="1" customWidth="1"/>
    <col min="1885" max="1894" width="5.6640625" bestFit="1" customWidth="1"/>
    <col min="1895" max="1895" width="3.6640625" bestFit="1" customWidth="1"/>
    <col min="1896" max="1896" width="4.6640625" bestFit="1" customWidth="1"/>
    <col min="1897" max="1906" width="5.6640625" bestFit="1" customWidth="1"/>
    <col min="1907" max="1907" width="4.6640625" bestFit="1" customWidth="1"/>
    <col min="1908" max="1917" width="5.6640625" bestFit="1" customWidth="1"/>
    <col min="1918" max="1918" width="4.6640625" bestFit="1" customWidth="1"/>
    <col min="1919" max="1928" width="5.6640625" bestFit="1" customWidth="1"/>
    <col min="1929" max="1929" width="4.6640625" bestFit="1" customWidth="1"/>
    <col min="1930" max="1939" width="5.6640625" bestFit="1" customWidth="1"/>
    <col min="1940" max="1940" width="4.6640625" bestFit="1" customWidth="1"/>
    <col min="1941" max="1950" width="5.6640625" bestFit="1" customWidth="1"/>
    <col min="1951" max="1951" width="4.6640625" bestFit="1" customWidth="1"/>
    <col min="1952" max="1961" width="5.6640625" bestFit="1" customWidth="1"/>
    <col min="1962" max="1962" width="4.6640625" bestFit="1" customWidth="1"/>
    <col min="1963" max="1972" width="5.6640625" bestFit="1" customWidth="1"/>
    <col min="1973" max="1973" width="4.6640625" bestFit="1" customWidth="1"/>
    <col min="1974" max="1983" width="5.6640625" bestFit="1" customWidth="1"/>
    <col min="1984" max="1984" width="4.6640625" bestFit="1" customWidth="1"/>
    <col min="1985" max="1994" width="5.6640625" bestFit="1" customWidth="1"/>
    <col min="1995" max="1995" width="4.6640625" bestFit="1" customWidth="1"/>
    <col min="1996" max="2005" width="5.6640625" bestFit="1" customWidth="1"/>
    <col min="2006" max="2006" width="3.6640625" bestFit="1" customWidth="1"/>
    <col min="2007" max="2007" width="4.6640625" bestFit="1" customWidth="1"/>
    <col min="2008" max="2017" width="5.6640625" bestFit="1" customWidth="1"/>
    <col min="2018" max="2018" width="4.6640625" bestFit="1" customWidth="1"/>
    <col min="2019" max="2028" width="5.6640625" bestFit="1" customWidth="1"/>
    <col min="2029" max="2029" width="4.6640625" bestFit="1" customWidth="1"/>
    <col min="2030" max="2039" width="5.6640625" bestFit="1" customWidth="1"/>
    <col min="2040" max="2040" width="4.6640625" bestFit="1" customWidth="1"/>
    <col min="2041" max="2050" width="5.6640625" bestFit="1" customWidth="1"/>
    <col min="2051" max="2051" width="4.6640625" bestFit="1" customWidth="1"/>
    <col min="2052" max="2061" width="5.6640625" bestFit="1" customWidth="1"/>
    <col min="2062" max="2062" width="4.6640625" bestFit="1" customWidth="1"/>
    <col min="2063" max="2072" width="5.6640625" bestFit="1" customWidth="1"/>
    <col min="2073" max="2073" width="4.6640625" bestFit="1" customWidth="1"/>
    <col min="2074" max="2083" width="5.6640625" bestFit="1" customWidth="1"/>
    <col min="2084" max="2084" width="4.6640625" bestFit="1" customWidth="1"/>
    <col min="2085" max="2094" width="5.6640625" bestFit="1" customWidth="1"/>
    <col min="2095" max="2095" width="4.6640625" bestFit="1" customWidth="1"/>
    <col min="2096" max="2105" width="5.6640625" bestFit="1" customWidth="1"/>
    <col min="2106" max="2106" width="4.6640625" bestFit="1" customWidth="1"/>
    <col min="2107" max="2116" width="5.6640625" bestFit="1" customWidth="1"/>
    <col min="2117" max="2117" width="3.6640625" bestFit="1" customWidth="1"/>
    <col min="2118" max="2118" width="4.6640625" bestFit="1" customWidth="1"/>
    <col min="2119" max="2128" width="5.6640625" bestFit="1" customWidth="1"/>
    <col min="2129" max="2129" width="4.6640625" bestFit="1" customWidth="1"/>
    <col min="2130" max="2139" width="5.6640625" bestFit="1" customWidth="1"/>
    <col min="2140" max="2140" width="4.6640625" bestFit="1" customWidth="1"/>
    <col min="2141" max="2150" width="5.6640625" bestFit="1" customWidth="1"/>
    <col min="2151" max="2151" width="4.6640625" bestFit="1" customWidth="1"/>
    <col min="2152" max="2161" width="5.6640625" bestFit="1" customWidth="1"/>
    <col min="2162" max="2162" width="4.6640625" bestFit="1" customWidth="1"/>
    <col min="2163" max="2172" width="5.6640625" bestFit="1" customWidth="1"/>
    <col min="2173" max="2173" width="4.6640625" bestFit="1" customWidth="1"/>
    <col min="2174" max="2183" width="5.6640625" bestFit="1" customWidth="1"/>
    <col min="2184" max="2184" width="4.6640625" bestFit="1" customWidth="1"/>
    <col min="2185" max="2194" width="5.6640625" bestFit="1" customWidth="1"/>
    <col min="2195" max="2195" width="4.6640625" bestFit="1" customWidth="1"/>
    <col min="2196" max="2205" width="5.6640625" bestFit="1" customWidth="1"/>
    <col min="2206" max="2206" width="4.6640625" bestFit="1" customWidth="1"/>
    <col min="2207" max="2216" width="5.6640625" bestFit="1" customWidth="1"/>
    <col min="2217" max="2217" width="4.6640625" bestFit="1" customWidth="1"/>
    <col min="2218" max="2227" width="5.6640625" bestFit="1" customWidth="1"/>
    <col min="2228" max="2228" width="3.6640625" bestFit="1" customWidth="1"/>
    <col min="2229" max="2229" width="4.6640625" bestFit="1" customWidth="1"/>
    <col min="2230" max="2239" width="5.6640625" bestFit="1" customWidth="1"/>
    <col min="2240" max="2240" width="4.6640625" bestFit="1" customWidth="1"/>
    <col min="2241" max="2250" width="5.6640625" bestFit="1" customWidth="1"/>
    <col min="2251" max="2251" width="4.6640625" bestFit="1" customWidth="1"/>
    <col min="2252" max="2261" width="5.6640625" bestFit="1" customWidth="1"/>
    <col min="2262" max="2262" width="4.6640625" bestFit="1" customWidth="1"/>
    <col min="2263" max="2272" width="5.6640625" bestFit="1" customWidth="1"/>
    <col min="2273" max="2273" width="4.6640625" bestFit="1" customWidth="1"/>
    <col min="2274" max="2283" width="5.6640625" bestFit="1" customWidth="1"/>
    <col min="2284" max="2284" width="4.6640625" bestFit="1" customWidth="1"/>
    <col min="2285" max="2294" width="5.6640625" bestFit="1" customWidth="1"/>
    <col min="2295" max="2295" width="4.6640625" bestFit="1" customWidth="1"/>
    <col min="2296" max="2305" width="5.6640625" bestFit="1" customWidth="1"/>
    <col min="2306" max="2306" width="4.6640625" bestFit="1" customWidth="1"/>
    <col min="2307" max="2316" width="5.6640625" bestFit="1" customWidth="1"/>
    <col min="2317" max="2317" width="4.6640625" bestFit="1" customWidth="1"/>
    <col min="2318" max="2327" width="5.6640625" bestFit="1" customWidth="1"/>
    <col min="2328" max="2328" width="4.6640625" bestFit="1" customWidth="1"/>
    <col min="2329" max="2338" width="5.6640625" bestFit="1" customWidth="1"/>
    <col min="2339" max="2339" width="10.77734375" bestFit="1" customWidth="1"/>
  </cols>
  <sheetData>
    <row r="2" spans="1:6" x14ac:dyDescent="0.3">
      <c r="A2" s="28" t="s">
        <v>4679</v>
      </c>
      <c r="B2" t="s">
        <v>4746</v>
      </c>
    </row>
    <row r="4" spans="1:6" x14ac:dyDescent="0.3">
      <c r="A4" s="28" t="s">
        <v>4743</v>
      </c>
      <c r="B4" s="28" t="s">
        <v>4744</v>
      </c>
    </row>
    <row r="5" spans="1:6" x14ac:dyDescent="0.3">
      <c r="A5" s="28" t="s">
        <v>4735</v>
      </c>
      <c r="B5" t="s">
        <v>4738</v>
      </c>
      <c r="C5" t="s">
        <v>4691</v>
      </c>
      <c r="D5" t="s">
        <v>4739</v>
      </c>
      <c r="E5" t="s">
        <v>4740</v>
      </c>
      <c r="F5" t="s">
        <v>4698</v>
      </c>
    </row>
    <row r="6" spans="1:6" x14ac:dyDescent="0.3">
      <c r="A6" s="29" t="s">
        <v>4683</v>
      </c>
      <c r="B6" s="33"/>
      <c r="C6" s="33">
        <v>1700</v>
      </c>
      <c r="D6" s="33"/>
      <c r="E6" s="33">
        <v>155</v>
      </c>
      <c r="F6" s="33">
        <v>1855</v>
      </c>
    </row>
    <row r="7" spans="1:6" x14ac:dyDescent="0.3">
      <c r="A7" s="29" t="s">
        <v>4684</v>
      </c>
      <c r="B7" s="33">
        <v>1</v>
      </c>
      <c r="C7" s="33">
        <v>445</v>
      </c>
      <c r="D7" s="33">
        <v>19</v>
      </c>
      <c r="E7" s="33">
        <v>23</v>
      </c>
      <c r="F7" s="33">
        <v>488</v>
      </c>
    </row>
    <row r="8" spans="1:6" x14ac:dyDescent="0.3">
      <c r="A8" s="29" t="s">
        <v>4698</v>
      </c>
      <c r="B8" s="33">
        <v>1</v>
      </c>
      <c r="C8" s="33">
        <v>2145</v>
      </c>
      <c r="D8" s="33">
        <v>19</v>
      </c>
      <c r="E8" s="33">
        <v>178</v>
      </c>
      <c r="F8" s="33">
        <v>2343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919A5-4048-43A2-9EBE-8BB99F578F86}">
  <dimension ref="A3:D9"/>
  <sheetViews>
    <sheetView workbookViewId="0">
      <selection activeCell="I26" sqref="I26"/>
    </sheetView>
  </sheetViews>
  <sheetFormatPr defaultRowHeight="14.4" x14ac:dyDescent="0.3"/>
  <cols>
    <col min="1" max="1" width="9.44140625" bestFit="1" customWidth="1"/>
    <col min="2" max="2" width="14.33203125" bestFit="1" customWidth="1"/>
    <col min="3" max="3" width="20.44140625" bestFit="1" customWidth="1"/>
    <col min="4" max="4" width="10.88671875" bestFit="1" customWidth="1"/>
    <col min="5" max="9" width="20.44140625" bestFit="1" customWidth="1"/>
  </cols>
  <sheetData>
    <row r="3" spans="1:4" x14ac:dyDescent="0.3">
      <c r="A3" s="28" t="s">
        <v>4680</v>
      </c>
      <c r="B3" s="28" t="s">
        <v>4681</v>
      </c>
      <c r="C3" t="s">
        <v>4742</v>
      </c>
      <c r="D3" t="s">
        <v>4745</v>
      </c>
    </row>
    <row r="4" spans="1:4" x14ac:dyDescent="0.3">
      <c r="A4" t="s">
        <v>4683</v>
      </c>
      <c r="B4" t="s">
        <v>4691</v>
      </c>
      <c r="C4" s="33">
        <v>1700</v>
      </c>
      <c r="D4" s="33">
        <v>53884.199999999975</v>
      </c>
    </row>
    <row r="5" spans="1:4" x14ac:dyDescent="0.3">
      <c r="A5" t="s">
        <v>4683</v>
      </c>
      <c r="B5" t="s">
        <v>4740</v>
      </c>
      <c r="C5" s="33">
        <v>155</v>
      </c>
      <c r="D5" s="33">
        <v>2610.92</v>
      </c>
    </row>
    <row r="6" spans="1:4" x14ac:dyDescent="0.3">
      <c r="A6" t="s">
        <v>4684</v>
      </c>
      <c r="B6" t="s">
        <v>4738</v>
      </c>
      <c r="C6" s="33">
        <v>1</v>
      </c>
      <c r="D6" s="33">
        <v>47.41</v>
      </c>
    </row>
    <row r="7" spans="1:4" x14ac:dyDescent="0.3">
      <c r="A7" t="s">
        <v>4684</v>
      </c>
      <c r="B7" t="s">
        <v>4691</v>
      </c>
      <c r="C7" s="33">
        <v>445</v>
      </c>
      <c r="D7" s="33">
        <v>14861.994999999994</v>
      </c>
    </row>
    <row r="8" spans="1:4" x14ac:dyDescent="0.3">
      <c r="A8" t="s">
        <v>4684</v>
      </c>
      <c r="B8" t="s">
        <v>4739</v>
      </c>
      <c r="C8" s="33">
        <v>19</v>
      </c>
      <c r="D8" s="33">
        <v>711.84999999999991</v>
      </c>
    </row>
    <row r="9" spans="1:4" x14ac:dyDescent="0.3">
      <c r="A9" t="s">
        <v>4684</v>
      </c>
      <c r="B9" t="s">
        <v>4740</v>
      </c>
      <c r="C9" s="33">
        <v>23</v>
      </c>
      <c r="D9" s="33">
        <v>400.18500000000006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342"/>
  <sheetViews>
    <sheetView workbookViewId="0">
      <selection sqref="A1:A1048576"/>
    </sheetView>
  </sheetViews>
  <sheetFormatPr defaultColWidth="14.44140625" defaultRowHeight="15" customHeight="1" x14ac:dyDescent="0.3"/>
  <cols>
    <col min="1" max="1" width="11.33203125" style="11" bestFit="1" customWidth="1"/>
    <col min="2" max="2" width="7" style="11" customWidth="1"/>
    <col min="3" max="3" width="6.6640625" style="11" bestFit="1" customWidth="1"/>
    <col min="4" max="4" width="13.77734375" style="11" bestFit="1" customWidth="1"/>
    <col min="5" max="5" width="11" style="11" bestFit="1" customWidth="1"/>
    <col min="6" max="6" width="14.5546875" style="11" bestFit="1" customWidth="1"/>
    <col min="7" max="7" width="13.109375" style="11" bestFit="1" customWidth="1"/>
    <col min="8" max="8" width="23" style="11" bestFit="1" customWidth="1"/>
    <col min="9" max="9" width="7.21875" style="11" bestFit="1" customWidth="1"/>
    <col min="10" max="10" width="12.6640625" style="11" bestFit="1" customWidth="1"/>
    <col min="12" max="12" width="15.5546875" style="30" customWidth="1"/>
  </cols>
  <sheetData>
    <row r="1" spans="1:12" ht="18.75" customHeight="1" x14ac:dyDescent="0.3">
      <c r="A1" s="12" t="s">
        <v>0</v>
      </c>
      <c r="B1" s="13" t="s">
        <v>4674</v>
      </c>
      <c r="C1" s="13" t="s">
        <v>4675</v>
      </c>
      <c r="D1" s="13" t="s">
        <v>4731</v>
      </c>
      <c r="E1" s="13" t="s">
        <v>4676</v>
      </c>
      <c r="F1" s="13" t="s">
        <v>4677</v>
      </c>
      <c r="G1" s="13" t="s">
        <v>4678</v>
      </c>
      <c r="H1" s="13" t="s">
        <v>4679</v>
      </c>
      <c r="I1" s="13" t="s">
        <v>4680</v>
      </c>
      <c r="J1" s="13" t="s">
        <v>4681</v>
      </c>
      <c r="L1" s="31" t="s">
        <v>4741</v>
      </c>
    </row>
    <row r="2" spans="1:12" ht="14.4" x14ac:dyDescent="0.3">
      <c r="A2" s="10" t="s">
        <v>4668</v>
      </c>
      <c r="B2" s="10">
        <v>34.484999999999999</v>
      </c>
      <c r="C2" s="10">
        <v>11.87</v>
      </c>
      <c r="D2" s="16" t="s">
        <v>4682</v>
      </c>
      <c r="E2" s="10" t="s">
        <v>4684</v>
      </c>
      <c r="F2" s="10" t="s">
        <v>4683</v>
      </c>
      <c r="G2" s="10" t="s">
        <v>4683</v>
      </c>
      <c r="H2" s="14">
        <v>2</v>
      </c>
      <c r="I2" s="10" t="s">
        <v>4684</v>
      </c>
      <c r="J2" s="10" t="str">
        <f t="shared" ref="J2:J19" si="0">IF(B2&gt;=18.5,"under weight",IF(B2&gt;=18.5-24.9,"normal weight",IF(B2&gt;=25-29.9,"over weight",IF(B2&gt;=30,"obesity","unobesity"))))</f>
        <v>under weight</v>
      </c>
      <c r="L2" s="30" t="e" cm="1">
        <f t="array" ref="L2:L2342">VLOOKUP(A2:A2342,B2:B2342,FALSE)</f>
        <v>#N/A</v>
      </c>
    </row>
    <row r="3" spans="1:12" ht="14.4" x14ac:dyDescent="0.3">
      <c r="A3" s="10" t="s">
        <v>4666</v>
      </c>
      <c r="B3" s="10">
        <v>38.094999999999999</v>
      </c>
      <c r="C3" s="10">
        <v>6.05</v>
      </c>
      <c r="D3" s="16" t="s">
        <v>4685</v>
      </c>
      <c r="E3" s="10" t="s">
        <v>4683</v>
      </c>
      <c r="F3" s="10" t="s">
        <v>4683</v>
      </c>
      <c r="G3" s="10" t="s">
        <v>4683</v>
      </c>
      <c r="H3" s="14">
        <v>0</v>
      </c>
      <c r="I3" s="10" t="s">
        <v>4684</v>
      </c>
      <c r="J3" s="10" t="str">
        <f t="shared" si="0"/>
        <v>under weight</v>
      </c>
      <c r="L3" s="30" t="e">
        <v>#N/A</v>
      </c>
    </row>
    <row r="4" spans="1:12" ht="14.4" x14ac:dyDescent="0.3">
      <c r="A4" s="10" t="s">
        <v>4664</v>
      </c>
      <c r="B4" s="10">
        <v>35.53</v>
      </c>
      <c r="C4" s="10">
        <v>5.45</v>
      </c>
      <c r="D4" s="16" t="s">
        <v>4685</v>
      </c>
      <c r="E4" s="10" t="s">
        <v>4683</v>
      </c>
      <c r="F4" s="10" t="s">
        <v>4683</v>
      </c>
      <c r="G4" s="10" t="s">
        <v>4683</v>
      </c>
      <c r="H4" s="14">
        <v>0</v>
      </c>
      <c r="I4" s="10" t="s">
        <v>4684</v>
      </c>
      <c r="J4" s="10" t="str">
        <f t="shared" si="0"/>
        <v>under weight</v>
      </c>
      <c r="L4" s="30" t="e">
        <v>#N/A</v>
      </c>
    </row>
    <row r="5" spans="1:12" ht="14.4" x14ac:dyDescent="0.3">
      <c r="A5" s="10" t="s">
        <v>4662</v>
      </c>
      <c r="B5" s="10">
        <v>32.799999999999997</v>
      </c>
      <c r="C5" s="10">
        <v>6.59</v>
      </c>
      <c r="D5" s="16" t="s">
        <v>4682</v>
      </c>
      <c r="E5" s="10" t="s">
        <v>4683</v>
      </c>
      <c r="F5" s="10" t="s">
        <v>4683</v>
      </c>
      <c r="G5" s="10" t="s">
        <v>4683</v>
      </c>
      <c r="H5" s="14">
        <v>0</v>
      </c>
      <c r="I5" s="10" t="s">
        <v>4684</v>
      </c>
      <c r="J5" s="10" t="str">
        <f t="shared" si="0"/>
        <v>under weight</v>
      </c>
      <c r="L5" s="30" t="e">
        <v>#N/A</v>
      </c>
    </row>
    <row r="6" spans="1:12" ht="14.4" x14ac:dyDescent="0.3">
      <c r="A6" s="10" t="s">
        <v>4660</v>
      </c>
      <c r="B6" s="10">
        <v>36.4</v>
      </c>
      <c r="C6" s="10">
        <v>6.07</v>
      </c>
      <c r="D6" s="16" t="s">
        <v>4685</v>
      </c>
      <c r="E6" s="10" t="s">
        <v>4683</v>
      </c>
      <c r="F6" s="10" t="s">
        <v>4683</v>
      </c>
      <c r="G6" s="10" t="s">
        <v>4683</v>
      </c>
      <c r="H6" s="14">
        <v>0</v>
      </c>
      <c r="I6" s="10" t="s">
        <v>4684</v>
      </c>
      <c r="J6" s="10" t="str">
        <f t="shared" si="0"/>
        <v>under weight</v>
      </c>
      <c r="L6" s="30" t="e">
        <v>#N/A</v>
      </c>
    </row>
    <row r="7" spans="1:12" ht="14.4" x14ac:dyDescent="0.3">
      <c r="A7" s="10" t="s">
        <v>4658</v>
      </c>
      <c r="B7" s="10">
        <v>36.96</v>
      </c>
      <c r="C7" s="10">
        <v>7.93</v>
      </c>
      <c r="D7" s="16" t="s">
        <v>4682</v>
      </c>
      <c r="E7" s="10" t="s">
        <v>4683</v>
      </c>
      <c r="F7" s="10" t="s">
        <v>4683</v>
      </c>
      <c r="G7" s="10" t="s">
        <v>4683</v>
      </c>
      <c r="H7" s="14">
        <v>3</v>
      </c>
      <c r="I7" s="10" t="s">
        <v>4684</v>
      </c>
      <c r="J7" s="10" t="str">
        <f t="shared" si="0"/>
        <v>under weight</v>
      </c>
      <c r="L7" s="30" t="e">
        <v>#N/A</v>
      </c>
    </row>
    <row r="8" spans="1:12" ht="14.4" x14ac:dyDescent="0.3">
      <c r="A8" s="10" t="s">
        <v>4656</v>
      </c>
      <c r="B8" s="10">
        <v>41.14</v>
      </c>
      <c r="C8" s="10">
        <v>9.58</v>
      </c>
      <c r="D8" s="16" t="s">
        <v>4682</v>
      </c>
      <c r="E8" s="10" t="s">
        <v>4684</v>
      </c>
      <c r="F8" s="10" t="s">
        <v>4683</v>
      </c>
      <c r="G8" s="10" t="s">
        <v>4686</v>
      </c>
      <c r="H8" s="14">
        <v>1</v>
      </c>
      <c r="I8" s="10" t="s">
        <v>4684</v>
      </c>
      <c r="J8" s="10" t="str">
        <f t="shared" si="0"/>
        <v>under weight</v>
      </c>
      <c r="L8" s="30" t="e">
        <v>#N/A</v>
      </c>
    </row>
    <row r="9" spans="1:12" ht="14.4" x14ac:dyDescent="0.3">
      <c r="A9" s="10" t="s">
        <v>4654</v>
      </c>
      <c r="B9" s="10">
        <v>38.06</v>
      </c>
      <c r="C9" s="10">
        <v>10.79</v>
      </c>
      <c r="D9" s="16" t="s">
        <v>4682</v>
      </c>
      <c r="E9" s="10" t="s">
        <v>4683</v>
      </c>
      <c r="F9" s="10" t="s">
        <v>4683</v>
      </c>
      <c r="G9" s="10" t="s">
        <v>4683</v>
      </c>
      <c r="H9" s="14">
        <v>0</v>
      </c>
      <c r="I9" s="10" t="s">
        <v>4684</v>
      </c>
      <c r="J9" s="10" t="str">
        <f t="shared" si="0"/>
        <v>under weight</v>
      </c>
      <c r="L9" s="30" t="e">
        <v>#N/A</v>
      </c>
    </row>
    <row r="10" spans="1:12" ht="14.4" x14ac:dyDescent="0.3">
      <c r="A10" s="10" t="s">
        <v>4652</v>
      </c>
      <c r="B10" s="10">
        <v>37.700000000000003</v>
      </c>
      <c r="C10" s="10">
        <v>5.96</v>
      </c>
      <c r="D10" s="16" t="s">
        <v>4685</v>
      </c>
      <c r="E10" s="10" t="s">
        <v>4684</v>
      </c>
      <c r="F10" s="10" t="s">
        <v>4683</v>
      </c>
      <c r="G10" s="10" t="s">
        <v>4683</v>
      </c>
      <c r="H10" s="14">
        <v>2</v>
      </c>
      <c r="I10" s="10" t="s">
        <v>4684</v>
      </c>
      <c r="J10" s="10" t="str">
        <f t="shared" si="0"/>
        <v>under weight</v>
      </c>
      <c r="L10" s="30" t="e">
        <v>#N/A</v>
      </c>
    </row>
    <row r="11" spans="1:12" ht="14.4" x14ac:dyDescent="0.3">
      <c r="A11" s="10" t="s">
        <v>4650</v>
      </c>
      <c r="B11" s="10">
        <v>42.13</v>
      </c>
      <c r="C11" s="10">
        <v>11.9</v>
      </c>
      <c r="D11" s="16" t="s">
        <v>4682</v>
      </c>
      <c r="E11" s="10" t="s">
        <v>4683</v>
      </c>
      <c r="F11" s="10" t="s">
        <v>4683</v>
      </c>
      <c r="G11" s="10" t="s">
        <v>4683</v>
      </c>
      <c r="H11" s="14">
        <v>0</v>
      </c>
      <c r="I11" s="10" t="s">
        <v>4684</v>
      </c>
      <c r="J11" s="10" t="str">
        <f t="shared" si="0"/>
        <v>under weight</v>
      </c>
      <c r="L11" s="30" t="e">
        <v>#N/A</v>
      </c>
    </row>
    <row r="12" spans="1:12" ht="14.4" x14ac:dyDescent="0.3">
      <c r="A12" s="10" t="s">
        <v>4648</v>
      </c>
      <c r="B12" s="10">
        <v>40.92</v>
      </c>
      <c r="C12" s="10">
        <v>8.41</v>
      </c>
      <c r="D12" s="16" t="s">
        <v>4682</v>
      </c>
      <c r="E12" s="10" t="s">
        <v>4683</v>
      </c>
      <c r="F12" s="10" t="s">
        <v>4683</v>
      </c>
      <c r="G12" s="10" t="s">
        <v>4683</v>
      </c>
      <c r="H12" s="14">
        <v>0</v>
      </c>
      <c r="I12" s="10" t="s">
        <v>4684</v>
      </c>
      <c r="J12" s="10" t="str">
        <f t="shared" si="0"/>
        <v>under weight</v>
      </c>
      <c r="L12" s="30" t="e">
        <v>#N/A</v>
      </c>
    </row>
    <row r="13" spans="1:12" ht="14.4" x14ac:dyDescent="0.3">
      <c r="A13" s="10" t="s">
        <v>4646</v>
      </c>
      <c r="B13" s="10">
        <v>40.564999999999998</v>
      </c>
      <c r="C13" s="10">
        <v>7.02</v>
      </c>
      <c r="D13" s="16" t="s">
        <v>4682</v>
      </c>
      <c r="E13" s="10" t="s">
        <v>4683</v>
      </c>
      <c r="F13" s="10" t="s">
        <v>4683</v>
      </c>
      <c r="G13" s="10" t="s">
        <v>4683</v>
      </c>
      <c r="H13" s="14">
        <v>0</v>
      </c>
      <c r="I13" s="10" t="s">
        <v>4684</v>
      </c>
      <c r="J13" s="10" t="str">
        <f t="shared" si="0"/>
        <v>under weight</v>
      </c>
      <c r="L13" s="30" t="e">
        <v>#N/A</v>
      </c>
    </row>
    <row r="14" spans="1:12" ht="14.4" x14ac:dyDescent="0.3">
      <c r="A14" s="10" t="s">
        <v>4644</v>
      </c>
      <c r="B14" s="10">
        <v>36.384999999999998</v>
      </c>
      <c r="C14" s="10">
        <v>7.59</v>
      </c>
      <c r="D14" s="16" t="s">
        <v>4682</v>
      </c>
      <c r="E14" s="10" t="s">
        <v>4684</v>
      </c>
      <c r="F14" s="10" t="s">
        <v>4683</v>
      </c>
      <c r="G14" s="10" t="s">
        <v>4683</v>
      </c>
      <c r="H14" s="14">
        <v>2</v>
      </c>
      <c r="I14" s="10" t="s">
        <v>4684</v>
      </c>
      <c r="J14" s="10" t="str">
        <f t="shared" si="0"/>
        <v>under weight</v>
      </c>
      <c r="L14" s="30" t="e">
        <v>#N/A</v>
      </c>
    </row>
    <row r="15" spans="1:12" ht="14.4" x14ac:dyDescent="0.3">
      <c r="A15" s="10" t="s">
        <v>4642</v>
      </c>
      <c r="B15" s="10">
        <v>39.9</v>
      </c>
      <c r="C15" s="10">
        <v>11.32</v>
      </c>
      <c r="D15" s="16" t="s">
        <v>4682</v>
      </c>
      <c r="E15" s="10" t="s">
        <v>4683</v>
      </c>
      <c r="F15" s="10" t="s">
        <v>4683</v>
      </c>
      <c r="G15" s="10" t="s">
        <v>4683</v>
      </c>
      <c r="H15" s="14">
        <v>0</v>
      </c>
      <c r="I15" s="10" t="s">
        <v>4684</v>
      </c>
      <c r="J15" s="10" t="str">
        <f t="shared" si="0"/>
        <v>under weight</v>
      </c>
      <c r="L15" s="30" t="e">
        <v>#N/A</v>
      </c>
    </row>
    <row r="16" spans="1:12" ht="14.4" x14ac:dyDescent="0.3">
      <c r="A16" s="10" t="s">
        <v>4640</v>
      </c>
      <c r="B16" s="10">
        <v>33.799999999999997</v>
      </c>
      <c r="C16" s="10">
        <v>7.67</v>
      </c>
      <c r="D16" s="16" t="s">
        <v>4682</v>
      </c>
      <c r="E16" s="10" t="s">
        <v>4683</v>
      </c>
      <c r="F16" s="10" t="s">
        <v>4683</v>
      </c>
      <c r="G16" s="10" t="s">
        <v>4683</v>
      </c>
      <c r="H16" s="14">
        <v>3</v>
      </c>
      <c r="I16" s="10" t="s">
        <v>4684</v>
      </c>
      <c r="J16" s="10" t="str">
        <f t="shared" si="0"/>
        <v>under weight</v>
      </c>
      <c r="L16" s="30" t="e">
        <v>#N/A</v>
      </c>
    </row>
    <row r="17" spans="1:12" ht="14.4" x14ac:dyDescent="0.3">
      <c r="A17" s="10" t="s">
        <v>4638</v>
      </c>
      <c r="B17" s="10">
        <v>36.765000000000001</v>
      </c>
      <c r="C17" s="10">
        <v>7.29</v>
      </c>
      <c r="D17" s="16" t="s">
        <v>4682</v>
      </c>
      <c r="E17" s="10" t="s">
        <v>4684</v>
      </c>
      <c r="F17" s="10" t="s">
        <v>4683</v>
      </c>
      <c r="G17" s="10" t="s">
        <v>4686</v>
      </c>
      <c r="H17" s="14">
        <v>1</v>
      </c>
      <c r="I17" s="10" t="s">
        <v>4684</v>
      </c>
      <c r="J17" s="10" t="str">
        <f t="shared" si="0"/>
        <v>under weight</v>
      </c>
      <c r="L17" s="30" t="e">
        <v>#N/A</v>
      </c>
    </row>
    <row r="18" spans="1:12" ht="14.4" x14ac:dyDescent="0.3">
      <c r="A18" s="10" t="s">
        <v>4636</v>
      </c>
      <c r="B18" s="10">
        <v>36.954999999999998</v>
      </c>
      <c r="C18" s="10">
        <v>4.72</v>
      </c>
      <c r="D18" s="10" t="s">
        <v>4685</v>
      </c>
      <c r="E18" s="10" t="s">
        <v>4684</v>
      </c>
      <c r="F18" s="10" t="s">
        <v>4683</v>
      </c>
      <c r="G18" s="10" t="s">
        <v>4683</v>
      </c>
      <c r="H18" s="14">
        <v>1</v>
      </c>
      <c r="I18" s="10" t="s">
        <v>4684</v>
      </c>
      <c r="J18" s="10" t="str">
        <f t="shared" si="0"/>
        <v>under weight</v>
      </c>
      <c r="L18" s="30" t="e">
        <v>#N/A</v>
      </c>
    </row>
    <row r="19" spans="1:12" ht="15.75" customHeight="1" x14ac:dyDescent="0.3">
      <c r="A19" s="10" t="s">
        <v>4634</v>
      </c>
      <c r="B19" s="10">
        <v>42.9</v>
      </c>
      <c r="C19" s="10">
        <v>11.41</v>
      </c>
      <c r="D19" s="16" t="s">
        <v>4682</v>
      </c>
      <c r="E19" s="10" t="s">
        <v>4683</v>
      </c>
      <c r="F19" s="10" t="s">
        <v>4683</v>
      </c>
      <c r="G19" s="10" t="s">
        <v>4683</v>
      </c>
      <c r="H19" s="14">
        <v>0</v>
      </c>
      <c r="I19" s="10" t="s">
        <v>4684</v>
      </c>
      <c r="J19" s="10" t="str">
        <f t="shared" si="0"/>
        <v>under weight</v>
      </c>
      <c r="L19" s="30" t="e">
        <v>#N/A</v>
      </c>
    </row>
    <row r="20" spans="1:12" ht="15.75" customHeight="1" x14ac:dyDescent="0.3">
      <c r="A20" s="10" t="s">
        <v>4632</v>
      </c>
      <c r="B20" s="10">
        <v>36.299999999999997</v>
      </c>
      <c r="C20" s="10">
        <v>11.5</v>
      </c>
      <c r="D20" s="16" t="s">
        <v>4682</v>
      </c>
      <c r="E20" s="10" t="s">
        <v>4684</v>
      </c>
      <c r="F20" s="10" t="s">
        <v>4683</v>
      </c>
      <c r="G20" s="10" t="s">
        <v>4683</v>
      </c>
      <c r="H20" s="14">
        <v>2</v>
      </c>
      <c r="I20" s="10" t="s">
        <v>4684</v>
      </c>
      <c r="J20" s="10" t="str">
        <f t="shared" ref="J20:J274" si="1">IF(B20&lt;=18.5,"underweight",IF(B20&gt;=18.5-24.9,"normalweight",IF(B20&gt;=25-29.9,"overweight","obesity")))</f>
        <v>normalweight</v>
      </c>
      <c r="L20" s="30" t="e">
        <v>#N/A</v>
      </c>
    </row>
    <row r="21" spans="1:12" ht="15.75" customHeight="1" x14ac:dyDescent="0.3">
      <c r="A21" s="10" t="s">
        <v>4630</v>
      </c>
      <c r="B21" s="10">
        <v>32.200000000000003</v>
      </c>
      <c r="C21" s="10">
        <v>6.22</v>
      </c>
      <c r="D21" s="10" t="s">
        <v>4685</v>
      </c>
      <c r="E21" s="10" t="s">
        <v>4684</v>
      </c>
      <c r="F21" s="10" t="s">
        <v>4683</v>
      </c>
      <c r="G21" s="10" t="s">
        <v>4683</v>
      </c>
      <c r="H21" s="14">
        <v>2</v>
      </c>
      <c r="I21" s="10" t="s">
        <v>4684</v>
      </c>
      <c r="J21" s="10" t="str">
        <f t="shared" si="1"/>
        <v>normalweight</v>
      </c>
      <c r="L21" s="30" t="e">
        <v>#N/A</v>
      </c>
    </row>
    <row r="22" spans="1:12" ht="15.75" customHeight="1" x14ac:dyDescent="0.3">
      <c r="A22" s="10" t="s">
        <v>4628</v>
      </c>
      <c r="B22" s="10">
        <v>31.3</v>
      </c>
      <c r="C22" s="10">
        <v>11.38</v>
      </c>
      <c r="D22" s="16" t="s">
        <v>4682</v>
      </c>
      <c r="E22" s="10" t="s">
        <v>4683</v>
      </c>
      <c r="F22" s="10" t="s">
        <v>4683</v>
      </c>
      <c r="G22" s="10" t="s">
        <v>4683</v>
      </c>
      <c r="H22" s="14">
        <v>3</v>
      </c>
      <c r="I22" s="10" t="s">
        <v>4684</v>
      </c>
      <c r="J22" s="10" t="str">
        <f t="shared" si="1"/>
        <v>normalweight</v>
      </c>
      <c r="L22" s="30" t="e">
        <v>#N/A</v>
      </c>
    </row>
    <row r="23" spans="1:12" ht="15.75" customHeight="1" x14ac:dyDescent="0.3">
      <c r="A23" s="10" t="s">
        <v>4626</v>
      </c>
      <c r="B23" s="10">
        <v>41.8</v>
      </c>
      <c r="C23" s="10">
        <v>7.89</v>
      </c>
      <c r="D23" s="16" t="s">
        <v>4682</v>
      </c>
      <c r="E23" s="10" t="s">
        <v>4684</v>
      </c>
      <c r="F23" s="10" t="s">
        <v>4683</v>
      </c>
      <c r="G23" s="10" t="s">
        <v>4683</v>
      </c>
      <c r="H23" s="14">
        <v>2</v>
      </c>
      <c r="I23" s="10" t="s">
        <v>4684</v>
      </c>
      <c r="J23" s="10" t="str">
        <f t="shared" si="1"/>
        <v>normalweight</v>
      </c>
      <c r="L23" s="30" t="e">
        <v>#N/A</v>
      </c>
    </row>
    <row r="24" spans="1:12" ht="15.75" customHeight="1" x14ac:dyDescent="0.3">
      <c r="A24" s="10" t="s">
        <v>4624</v>
      </c>
      <c r="B24" s="10">
        <v>35.090000000000003</v>
      </c>
      <c r="C24" s="10">
        <v>4.38</v>
      </c>
      <c r="D24" s="10" t="s">
        <v>4685</v>
      </c>
      <c r="E24" s="10" t="s">
        <v>4684</v>
      </c>
      <c r="F24" s="10" t="s">
        <v>4683</v>
      </c>
      <c r="G24" s="10" t="s">
        <v>4683</v>
      </c>
      <c r="H24" s="14">
        <v>2</v>
      </c>
      <c r="I24" s="10" t="s">
        <v>4684</v>
      </c>
      <c r="J24" s="10" t="str">
        <f t="shared" si="1"/>
        <v>normalweight</v>
      </c>
      <c r="L24" s="30" t="e">
        <v>#N/A</v>
      </c>
    </row>
    <row r="25" spans="1:12" ht="15.75" customHeight="1" x14ac:dyDescent="0.3">
      <c r="A25" s="10" t="s">
        <v>4622</v>
      </c>
      <c r="B25" s="10">
        <v>33.880000000000003</v>
      </c>
      <c r="C25" s="10">
        <v>7.01</v>
      </c>
      <c r="D25" s="16" t="s">
        <v>4682</v>
      </c>
      <c r="E25" s="10" t="s">
        <v>4683</v>
      </c>
      <c r="F25" s="10" t="s">
        <v>4683</v>
      </c>
      <c r="G25" s="10" t="s">
        <v>4683</v>
      </c>
      <c r="H25" s="14">
        <v>3</v>
      </c>
      <c r="I25" s="10" t="s">
        <v>4684</v>
      </c>
      <c r="J25" s="10" t="str">
        <f t="shared" si="1"/>
        <v>normalweight</v>
      </c>
      <c r="L25" s="30" t="e">
        <v>#N/A</v>
      </c>
    </row>
    <row r="26" spans="1:12" ht="15.75" customHeight="1" x14ac:dyDescent="0.3">
      <c r="A26" s="10" t="s">
        <v>4620</v>
      </c>
      <c r="B26" s="10">
        <v>30.875</v>
      </c>
      <c r="C26" s="10">
        <v>11.88</v>
      </c>
      <c r="D26" s="16" t="s">
        <v>4682</v>
      </c>
      <c r="E26" s="10" t="s">
        <v>4683</v>
      </c>
      <c r="F26" s="10" t="s">
        <v>4683</v>
      </c>
      <c r="G26" s="10" t="s">
        <v>4683</v>
      </c>
      <c r="H26" s="14">
        <v>0</v>
      </c>
      <c r="I26" s="10" t="s">
        <v>4684</v>
      </c>
      <c r="J26" s="10" t="str">
        <f t="shared" si="1"/>
        <v>normalweight</v>
      </c>
      <c r="L26" s="30" t="e">
        <v>#N/A</v>
      </c>
    </row>
    <row r="27" spans="1:12" ht="15.75" customHeight="1" x14ac:dyDescent="0.3">
      <c r="A27" s="10" t="s">
        <v>4618</v>
      </c>
      <c r="B27" s="10">
        <v>36.86</v>
      </c>
      <c r="C27" s="10">
        <v>5.19</v>
      </c>
      <c r="D27" s="10" t="s">
        <v>4685</v>
      </c>
      <c r="E27" s="10" t="s">
        <v>4684</v>
      </c>
      <c r="F27" s="10" t="s">
        <v>4683</v>
      </c>
      <c r="G27" s="10" t="s">
        <v>4686</v>
      </c>
      <c r="H27" s="14">
        <v>1</v>
      </c>
      <c r="I27" s="10" t="s">
        <v>4684</v>
      </c>
      <c r="J27" s="10" t="str">
        <f t="shared" si="1"/>
        <v>normalweight</v>
      </c>
      <c r="L27" s="30" t="e">
        <v>#N/A</v>
      </c>
    </row>
    <row r="28" spans="1:12" ht="15.75" customHeight="1" x14ac:dyDescent="0.3">
      <c r="A28" s="10" t="s">
        <v>4616</v>
      </c>
      <c r="B28" s="10">
        <v>35.86</v>
      </c>
      <c r="C28" s="10">
        <v>6.74</v>
      </c>
      <c r="D28" s="16" t="s">
        <v>4682</v>
      </c>
      <c r="E28" s="10" t="s">
        <v>4684</v>
      </c>
      <c r="F28" s="10" t="s">
        <v>4683</v>
      </c>
      <c r="G28" s="10" t="s">
        <v>4683</v>
      </c>
      <c r="H28" s="14">
        <v>2</v>
      </c>
      <c r="I28" s="10" t="s">
        <v>4684</v>
      </c>
      <c r="J28" s="10" t="str">
        <f t="shared" si="1"/>
        <v>normalweight</v>
      </c>
      <c r="L28" s="30" t="e">
        <v>#N/A</v>
      </c>
    </row>
    <row r="29" spans="1:12" ht="15.75" customHeight="1" x14ac:dyDescent="0.3">
      <c r="A29" s="10" t="s">
        <v>4614</v>
      </c>
      <c r="B29" s="10">
        <v>37.049999999999997</v>
      </c>
      <c r="C29" s="10">
        <v>8.44</v>
      </c>
      <c r="D29" s="16" t="s">
        <v>4682</v>
      </c>
      <c r="E29" s="10" t="s">
        <v>4683</v>
      </c>
      <c r="F29" s="10" t="s">
        <v>4683</v>
      </c>
      <c r="G29" s="10" t="s">
        <v>4683</v>
      </c>
      <c r="H29" s="14">
        <v>0</v>
      </c>
      <c r="I29" s="10" t="s">
        <v>4684</v>
      </c>
      <c r="J29" s="10" t="str">
        <f t="shared" si="1"/>
        <v>normalweight</v>
      </c>
      <c r="L29" s="30" t="e">
        <v>#N/A</v>
      </c>
    </row>
    <row r="30" spans="1:12" ht="15.75" customHeight="1" x14ac:dyDescent="0.3">
      <c r="A30" s="10" t="s">
        <v>4612</v>
      </c>
      <c r="B30" s="10">
        <v>43.89</v>
      </c>
      <c r="C30" s="10">
        <v>8.7100000000000009</v>
      </c>
      <c r="D30" s="16" t="s">
        <v>4682</v>
      </c>
      <c r="E30" s="10" t="s">
        <v>4683</v>
      </c>
      <c r="F30" s="10" t="s">
        <v>4683</v>
      </c>
      <c r="G30" s="10" t="s">
        <v>4683</v>
      </c>
      <c r="H30" s="14">
        <v>0</v>
      </c>
      <c r="I30" s="10" t="s">
        <v>4684</v>
      </c>
      <c r="J30" s="10" t="str">
        <f t="shared" si="1"/>
        <v>normalweight</v>
      </c>
      <c r="L30" s="30" t="e">
        <v>#N/A</v>
      </c>
    </row>
    <row r="31" spans="1:12" ht="15.75" customHeight="1" x14ac:dyDescent="0.3">
      <c r="A31" s="10" t="s">
        <v>4610</v>
      </c>
      <c r="B31" s="10">
        <v>42.35</v>
      </c>
      <c r="C31" s="10">
        <v>5.08</v>
      </c>
      <c r="D31" s="10" t="s">
        <v>4685</v>
      </c>
      <c r="E31" s="10" t="s">
        <v>4684</v>
      </c>
      <c r="F31" s="10" t="s">
        <v>4683</v>
      </c>
      <c r="G31" s="10" t="s">
        <v>4683</v>
      </c>
      <c r="H31" s="14">
        <v>0</v>
      </c>
      <c r="I31" s="10" t="s">
        <v>4684</v>
      </c>
      <c r="J31" s="10" t="str">
        <f t="shared" si="1"/>
        <v>normalweight</v>
      </c>
      <c r="L31" s="30" t="e">
        <v>#N/A</v>
      </c>
    </row>
    <row r="32" spans="1:12" ht="15.75" customHeight="1" x14ac:dyDescent="0.3">
      <c r="A32" s="10" t="s">
        <v>4608</v>
      </c>
      <c r="B32" s="10">
        <v>31.35</v>
      </c>
      <c r="C32" s="10">
        <v>6.86</v>
      </c>
      <c r="D32" s="16" t="s">
        <v>4682</v>
      </c>
      <c r="E32" s="10" t="s">
        <v>4683</v>
      </c>
      <c r="F32" s="10" t="s">
        <v>4683</v>
      </c>
      <c r="G32" s="10" t="s">
        <v>4683</v>
      </c>
      <c r="H32" s="14">
        <v>0</v>
      </c>
      <c r="I32" s="10" t="s">
        <v>4684</v>
      </c>
      <c r="J32" s="10" t="str">
        <f t="shared" si="1"/>
        <v>normalweight</v>
      </c>
      <c r="L32" s="30" t="e">
        <v>#N/A</v>
      </c>
    </row>
    <row r="33" spans="1:12" ht="15.75" customHeight="1" x14ac:dyDescent="0.3">
      <c r="A33" s="10" t="s">
        <v>4606</v>
      </c>
      <c r="B33" s="10">
        <v>47.6</v>
      </c>
      <c r="C33" s="10">
        <v>5.95</v>
      </c>
      <c r="D33" s="10" t="s">
        <v>4685</v>
      </c>
      <c r="E33" s="10" t="s">
        <v>4684</v>
      </c>
      <c r="F33" s="10" t="s">
        <v>4683</v>
      </c>
      <c r="G33" s="10" t="s">
        <v>4683</v>
      </c>
      <c r="H33" s="14">
        <v>0</v>
      </c>
      <c r="I33" s="10" t="s">
        <v>4684</v>
      </c>
      <c r="J33" s="10" t="str">
        <f t="shared" si="1"/>
        <v>normalweight</v>
      </c>
      <c r="L33" s="30" t="e">
        <v>#N/A</v>
      </c>
    </row>
    <row r="34" spans="1:12" ht="15.75" customHeight="1" x14ac:dyDescent="0.3">
      <c r="A34" s="10" t="s">
        <v>4604</v>
      </c>
      <c r="B34" s="10">
        <v>46.2</v>
      </c>
      <c r="C34" s="10">
        <v>6.09</v>
      </c>
      <c r="D34" s="10" t="s">
        <v>4685</v>
      </c>
      <c r="E34" s="10" t="s">
        <v>4683</v>
      </c>
      <c r="F34" s="10" t="s">
        <v>4683</v>
      </c>
      <c r="G34" s="10" t="s">
        <v>4686</v>
      </c>
      <c r="H34" s="14">
        <v>1</v>
      </c>
      <c r="I34" s="10" t="s">
        <v>4684</v>
      </c>
      <c r="J34" s="10" t="str">
        <f t="shared" si="1"/>
        <v>normalweight</v>
      </c>
      <c r="L34" s="30" t="e">
        <v>#N/A</v>
      </c>
    </row>
    <row r="35" spans="1:12" ht="15.75" customHeight="1" x14ac:dyDescent="0.3">
      <c r="A35" s="10" t="s">
        <v>4602</v>
      </c>
      <c r="B35" s="10">
        <v>32.015000000000001</v>
      </c>
      <c r="C35" s="10">
        <v>11.75</v>
      </c>
      <c r="D35" s="16" t="s">
        <v>4682</v>
      </c>
      <c r="E35" s="10" t="s">
        <v>4683</v>
      </c>
      <c r="F35" s="10" t="s">
        <v>4683</v>
      </c>
      <c r="G35" s="10" t="s">
        <v>4683</v>
      </c>
      <c r="H35" s="14">
        <v>0</v>
      </c>
      <c r="I35" s="10" t="s">
        <v>4684</v>
      </c>
      <c r="J35" s="10" t="str">
        <f t="shared" si="1"/>
        <v>normalweight</v>
      </c>
      <c r="L35" s="30" t="e">
        <v>#N/A</v>
      </c>
    </row>
    <row r="36" spans="1:12" ht="15.75" customHeight="1" x14ac:dyDescent="0.3">
      <c r="A36" s="10" t="s">
        <v>4600</v>
      </c>
      <c r="B36" s="10">
        <v>40.564999999999998</v>
      </c>
      <c r="C36" s="10">
        <v>7.37</v>
      </c>
      <c r="D36" s="16" t="s">
        <v>4682</v>
      </c>
      <c r="E36" s="10" t="s">
        <v>4683</v>
      </c>
      <c r="F36" s="10" t="s">
        <v>4683</v>
      </c>
      <c r="G36" s="10" t="s">
        <v>4683</v>
      </c>
      <c r="H36" s="14">
        <v>0</v>
      </c>
      <c r="I36" s="10" t="s">
        <v>4684</v>
      </c>
      <c r="J36" s="10" t="str">
        <f t="shared" si="1"/>
        <v>normalweight</v>
      </c>
      <c r="L36" s="30" t="e">
        <v>#N/A</v>
      </c>
    </row>
    <row r="37" spans="1:12" ht="15.75" customHeight="1" x14ac:dyDescent="0.3">
      <c r="A37" s="10" t="s">
        <v>4598</v>
      </c>
      <c r="B37" s="10">
        <v>32.450000000000003</v>
      </c>
      <c r="C37" s="10">
        <v>11.91</v>
      </c>
      <c r="D37" s="16" t="s">
        <v>4682</v>
      </c>
      <c r="E37" s="10" t="s">
        <v>4683</v>
      </c>
      <c r="F37" s="10" t="s">
        <v>4683</v>
      </c>
      <c r="G37" s="10" t="s">
        <v>4683</v>
      </c>
      <c r="H37" s="14">
        <v>0</v>
      </c>
      <c r="I37" s="10" t="s">
        <v>4684</v>
      </c>
      <c r="J37" s="10" t="str">
        <f t="shared" si="1"/>
        <v>normalweight</v>
      </c>
      <c r="L37" s="30" t="e">
        <v>#N/A</v>
      </c>
    </row>
    <row r="38" spans="1:12" ht="15.75" customHeight="1" x14ac:dyDescent="0.3">
      <c r="A38" s="10" t="s">
        <v>4596</v>
      </c>
      <c r="B38" s="10">
        <v>34.96</v>
      </c>
      <c r="C38" s="10">
        <v>6.52</v>
      </c>
      <c r="D38" s="16" t="s">
        <v>4682</v>
      </c>
      <c r="E38" s="10" t="s">
        <v>4683</v>
      </c>
      <c r="F38" s="10" t="s">
        <v>4683</v>
      </c>
      <c r="G38" s="10" t="s">
        <v>4683</v>
      </c>
      <c r="H38" s="14">
        <v>0</v>
      </c>
      <c r="I38" s="10" t="s">
        <v>4684</v>
      </c>
      <c r="J38" s="10" t="str">
        <f t="shared" si="1"/>
        <v>normalweight</v>
      </c>
      <c r="L38" s="30" t="e">
        <v>#N/A</v>
      </c>
    </row>
    <row r="39" spans="1:12" ht="15.75" customHeight="1" x14ac:dyDescent="0.3">
      <c r="A39" s="10" t="s">
        <v>4594</v>
      </c>
      <c r="B39" s="10">
        <v>35.5</v>
      </c>
      <c r="C39" s="10">
        <v>5.14</v>
      </c>
      <c r="D39" s="10" t="s">
        <v>4685</v>
      </c>
      <c r="E39" s="10" t="s">
        <v>4683</v>
      </c>
      <c r="F39" s="10" t="s">
        <v>4683</v>
      </c>
      <c r="G39" s="10" t="s">
        <v>4686</v>
      </c>
      <c r="H39" s="14">
        <v>1</v>
      </c>
      <c r="I39" s="10" t="s">
        <v>4684</v>
      </c>
      <c r="J39" s="10" t="str">
        <f t="shared" si="1"/>
        <v>normalweight</v>
      </c>
      <c r="L39" s="30" t="e">
        <v>#N/A</v>
      </c>
    </row>
    <row r="40" spans="1:12" ht="15.75" customHeight="1" x14ac:dyDescent="0.3">
      <c r="A40" s="10" t="s">
        <v>4590</v>
      </c>
      <c r="B40" s="10">
        <v>52.58</v>
      </c>
      <c r="C40" s="10">
        <v>4.1900000000000004</v>
      </c>
      <c r="D40" s="10" t="s">
        <v>4685</v>
      </c>
      <c r="E40" s="10" t="s">
        <v>4683</v>
      </c>
      <c r="F40" s="10" t="s">
        <v>4684</v>
      </c>
      <c r="G40" s="10" t="s">
        <v>4683</v>
      </c>
      <c r="H40" s="14">
        <v>1</v>
      </c>
      <c r="I40" s="10" t="s">
        <v>4684</v>
      </c>
      <c r="J40" s="10" t="str">
        <f t="shared" si="1"/>
        <v>normalweight</v>
      </c>
      <c r="L40" s="30" t="e">
        <v>#N/A</v>
      </c>
    </row>
    <row r="41" spans="1:12" ht="15.75" customHeight="1" x14ac:dyDescent="0.3">
      <c r="A41" s="10" t="s">
        <v>4588</v>
      </c>
      <c r="B41" s="10">
        <v>35.200000000000003</v>
      </c>
      <c r="C41" s="10">
        <v>11.68</v>
      </c>
      <c r="D41" s="16" t="s">
        <v>4682</v>
      </c>
      <c r="E41" s="10" t="s">
        <v>4684</v>
      </c>
      <c r="F41" s="10" t="s">
        <v>4683</v>
      </c>
      <c r="G41" s="10" t="s">
        <v>4683</v>
      </c>
      <c r="H41" s="14">
        <v>0</v>
      </c>
      <c r="I41" s="10" t="s">
        <v>4684</v>
      </c>
      <c r="J41" s="10" t="str">
        <f t="shared" si="1"/>
        <v>normalweight</v>
      </c>
      <c r="L41" s="30" t="e">
        <v>#N/A</v>
      </c>
    </row>
    <row r="42" spans="1:12" ht="15.75" customHeight="1" x14ac:dyDescent="0.3">
      <c r="A42" s="10" t="s">
        <v>4586</v>
      </c>
      <c r="B42" s="10">
        <v>38.06</v>
      </c>
      <c r="C42" s="10">
        <v>6.98</v>
      </c>
      <c r="D42" s="16" t="s">
        <v>4682</v>
      </c>
      <c r="E42" s="10" t="s">
        <v>4683</v>
      </c>
      <c r="F42" s="10" t="s">
        <v>4683</v>
      </c>
      <c r="G42" s="10" t="s">
        <v>4683</v>
      </c>
      <c r="H42" s="14">
        <v>0</v>
      </c>
      <c r="I42" s="10" t="s">
        <v>4684</v>
      </c>
      <c r="J42" s="10" t="str">
        <f t="shared" si="1"/>
        <v>normalweight</v>
      </c>
      <c r="L42" s="30" t="e">
        <v>#N/A</v>
      </c>
    </row>
    <row r="43" spans="1:12" ht="15.75" customHeight="1" x14ac:dyDescent="0.3">
      <c r="A43" s="10" t="s">
        <v>4584</v>
      </c>
      <c r="B43" s="10">
        <v>34.21</v>
      </c>
      <c r="C43" s="10">
        <v>8.34</v>
      </c>
      <c r="D43" s="16" t="s">
        <v>4682</v>
      </c>
      <c r="E43" s="10" t="s">
        <v>4683</v>
      </c>
      <c r="F43" s="10" t="s">
        <v>4683</v>
      </c>
      <c r="G43" s="10" t="s">
        <v>4683</v>
      </c>
      <c r="H43" s="14">
        <v>0</v>
      </c>
      <c r="I43" s="10" t="s">
        <v>4684</v>
      </c>
      <c r="J43" s="10" t="str">
        <f t="shared" si="1"/>
        <v>normalweight</v>
      </c>
      <c r="L43" s="30" t="e">
        <v>#N/A</v>
      </c>
    </row>
    <row r="44" spans="1:12" ht="15.75" customHeight="1" x14ac:dyDescent="0.3">
      <c r="A44" s="10" t="s">
        <v>4434</v>
      </c>
      <c r="B44" s="10">
        <v>38.94</v>
      </c>
      <c r="C44" s="10">
        <v>8.49</v>
      </c>
      <c r="D44" s="16" t="s">
        <v>4682</v>
      </c>
      <c r="E44" s="10" t="s">
        <v>4684</v>
      </c>
      <c r="F44" s="10" t="s">
        <v>4683</v>
      </c>
      <c r="G44" s="10" t="s">
        <v>4683</v>
      </c>
      <c r="H44" s="14">
        <v>1</v>
      </c>
      <c r="I44" s="10" t="s">
        <v>4684</v>
      </c>
      <c r="J44" s="10" t="str">
        <f t="shared" si="1"/>
        <v>normalweight</v>
      </c>
      <c r="L44" s="30" t="e">
        <v>#N/A</v>
      </c>
    </row>
    <row r="45" spans="1:12" ht="15.75" customHeight="1" x14ac:dyDescent="0.3">
      <c r="A45" s="10" t="s">
        <v>4582</v>
      </c>
      <c r="B45" s="10">
        <v>30.21</v>
      </c>
      <c r="C45" s="10">
        <v>5.34</v>
      </c>
      <c r="D45" s="10" t="s">
        <v>4685</v>
      </c>
      <c r="E45" s="10" t="s">
        <v>4684</v>
      </c>
      <c r="F45" s="10" t="s">
        <v>4683</v>
      </c>
      <c r="G45" s="10" t="s">
        <v>4683</v>
      </c>
      <c r="H45" s="14">
        <v>1</v>
      </c>
      <c r="I45" s="10" t="s">
        <v>4684</v>
      </c>
      <c r="J45" s="10" t="str">
        <f t="shared" si="1"/>
        <v>normalweight</v>
      </c>
      <c r="L45" s="30" t="e">
        <v>#N/A</v>
      </c>
    </row>
    <row r="46" spans="1:12" ht="15.75" customHeight="1" x14ac:dyDescent="0.3">
      <c r="A46" s="10" t="s">
        <v>4580</v>
      </c>
      <c r="B46" s="10">
        <v>33.630000000000003</v>
      </c>
      <c r="C46" s="10">
        <v>4.43</v>
      </c>
      <c r="D46" s="10" t="s">
        <v>4685</v>
      </c>
      <c r="E46" s="10" t="s">
        <v>4684</v>
      </c>
      <c r="F46" s="10" t="s">
        <v>4683</v>
      </c>
      <c r="G46" s="10" t="s">
        <v>4683</v>
      </c>
      <c r="H46" s="14">
        <v>2</v>
      </c>
      <c r="I46" s="10" t="s">
        <v>4684</v>
      </c>
      <c r="J46" s="10" t="str">
        <f t="shared" si="1"/>
        <v>normalweight</v>
      </c>
      <c r="L46" s="30" t="e">
        <v>#N/A</v>
      </c>
    </row>
    <row r="47" spans="1:12" ht="15.75" customHeight="1" x14ac:dyDescent="0.3">
      <c r="A47" s="10" t="s">
        <v>4578</v>
      </c>
      <c r="B47" s="10">
        <v>40.369999999999997</v>
      </c>
      <c r="C47" s="10">
        <v>4.47</v>
      </c>
      <c r="D47" s="10" t="s">
        <v>4685</v>
      </c>
      <c r="E47" s="10" t="s">
        <v>4683</v>
      </c>
      <c r="F47" s="10" t="s">
        <v>4683</v>
      </c>
      <c r="G47" s="10" t="s">
        <v>4683</v>
      </c>
      <c r="H47" s="14">
        <v>0</v>
      </c>
      <c r="I47" s="10" t="s">
        <v>4684</v>
      </c>
      <c r="J47" s="10" t="str">
        <f t="shared" si="1"/>
        <v>normalweight</v>
      </c>
      <c r="L47" s="30" t="e">
        <v>#N/A</v>
      </c>
    </row>
    <row r="48" spans="1:12" ht="15.75" customHeight="1" x14ac:dyDescent="0.3">
      <c r="A48" s="10" t="s">
        <v>4576</v>
      </c>
      <c r="B48" s="10">
        <v>53.09</v>
      </c>
      <c r="C48" s="10">
        <v>4.82</v>
      </c>
      <c r="D48" s="10" t="s">
        <v>4685</v>
      </c>
      <c r="E48" s="10" t="s">
        <v>4684</v>
      </c>
      <c r="F48" s="10" t="s">
        <v>4683</v>
      </c>
      <c r="G48" s="10" t="s">
        <v>4683</v>
      </c>
      <c r="H48" s="14">
        <v>2</v>
      </c>
      <c r="I48" s="10" t="s">
        <v>4684</v>
      </c>
      <c r="J48" s="10" t="str">
        <f t="shared" si="1"/>
        <v>normalweight</v>
      </c>
      <c r="L48" s="30" t="e">
        <v>#N/A</v>
      </c>
    </row>
    <row r="49" spans="1:12" ht="15.75" customHeight="1" x14ac:dyDescent="0.3">
      <c r="A49" s="10" t="s">
        <v>4574</v>
      </c>
      <c r="B49" s="10">
        <v>31.79</v>
      </c>
      <c r="C49" s="10">
        <v>5.51</v>
      </c>
      <c r="D49" s="10" t="s">
        <v>4685</v>
      </c>
      <c r="E49" s="10" t="s">
        <v>4684</v>
      </c>
      <c r="F49" s="10" t="s">
        <v>4683</v>
      </c>
      <c r="G49" s="10" t="s">
        <v>4683</v>
      </c>
      <c r="H49" s="14">
        <v>2</v>
      </c>
      <c r="I49" s="10" t="s">
        <v>4684</v>
      </c>
      <c r="J49" s="10" t="str">
        <f t="shared" si="1"/>
        <v>normalweight</v>
      </c>
      <c r="L49" s="30" t="e">
        <v>#N/A</v>
      </c>
    </row>
    <row r="50" spans="1:12" ht="15.75" customHeight="1" x14ac:dyDescent="0.3">
      <c r="A50" s="10" t="s">
        <v>4572</v>
      </c>
      <c r="B50" s="10">
        <v>41.895000000000003</v>
      </c>
      <c r="C50" s="10">
        <v>10.87</v>
      </c>
      <c r="D50" s="16" t="s">
        <v>4682</v>
      </c>
      <c r="E50" s="10" t="s">
        <v>4684</v>
      </c>
      <c r="F50" s="10" t="s">
        <v>4683</v>
      </c>
      <c r="G50" s="10" t="s">
        <v>4683</v>
      </c>
      <c r="H50" s="14">
        <v>1</v>
      </c>
      <c r="I50" s="10" t="s">
        <v>4684</v>
      </c>
      <c r="J50" s="10" t="str">
        <f t="shared" si="1"/>
        <v>normalweight</v>
      </c>
      <c r="L50" s="30" t="e">
        <v>#N/A</v>
      </c>
    </row>
    <row r="51" spans="1:12" ht="15.75" customHeight="1" x14ac:dyDescent="0.3">
      <c r="A51" s="10" t="s">
        <v>4570</v>
      </c>
      <c r="B51" s="10">
        <v>31.16</v>
      </c>
      <c r="C51" s="10">
        <v>9.34</v>
      </c>
      <c r="D51" s="16" t="s">
        <v>4682</v>
      </c>
      <c r="E51" s="10" t="s">
        <v>4683</v>
      </c>
      <c r="F51" s="10" t="s">
        <v>4683</v>
      </c>
      <c r="G51" s="10" t="s">
        <v>4683</v>
      </c>
      <c r="H51" s="14">
        <v>0</v>
      </c>
      <c r="I51" s="10" t="s">
        <v>4684</v>
      </c>
      <c r="J51" s="10" t="str">
        <f t="shared" si="1"/>
        <v>normalweight</v>
      </c>
      <c r="L51" s="30" t="e">
        <v>#N/A</v>
      </c>
    </row>
    <row r="52" spans="1:12" ht="15.75" customHeight="1" x14ac:dyDescent="0.3">
      <c r="A52" s="10" t="s">
        <v>4568</v>
      </c>
      <c r="B52" s="10">
        <v>34.104999999999997</v>
      </c>
      <c r="C52" s="10">
        <v>5.03</v>
      </c>
      <c r="D52" s="10" t="s">
        <v>4685</v>
      </c>
      <c r="E52" s="10" t="s">
        <v>4684</v>
      </c>
      <c r="F52" s="10" t="s">
        <v>4683</v>
      </c>
      <c r="G52" s="10" t="s">
        <v>4686</v>
      </c>
      <c r="H52" s="14">
        <v>1</v>
      </c>
      <c r="I52" s="10" t="s">
        <v>4684</v>
      </c>
      <c r="J52" s="10" t="str">
        <f t="shared" si="1"/>
        <v>normalweight</v>
      </c>
      <c r="L52" s="30" t="e">
        <v>#N/A</v>
      </c>
    </row>
    <row r="53" spans="1:12" ht="15.75" customHeight="1" x14ac:dyDescent="0.3">
      <c r="A53" s="10" t="s">
        <v>4592</v>
      </c>
      <c r="B53" s="10">
        <v>51.93</v>
      </c>
      <c r="C53" s="10">
        <v>11.05</v>
      </c>
      <c r="D53" s="16" t="s">
        <v>4682</v>
      </c>
      <c r="E53" s="10" t="s">
        <v>4683</v>
      </c>
      <c r="F53" s="10" t="s">
        <v>4683</v>
      </c>
      <c r="G53" s="10" t="s">
        <v>4683</v>
      </c>
      <c r="H53" s="14">
        <v>0</v>
      </c>
      <c r="I53" s="10" t="s">
        <v>4684</v>
      </c>
      <c r="J53" s="10" t="str">
        <f t="shared" si="1"/>
        <v>normalweight</v>
      </c>
      <c r="L53" s="30" t="e">
        <v>#N/A</v>
      </c>
    </row>
    <row r="54" spans="1:12" ht="15.75" customHeight="1" x14ac:dyDescent="0.3">
      <c r="A54" s="10" t="s">
        <v>4566</v>
      </c>
      <c r="B54" s="10">
        <v>38.950000000000003</v>
      </c>
      <c r="C54" s="10">
        <v>11.95</v>
      </c>
      <c r="D54" s="16" t="s">
        <v>4682</v>
      </c>
      <c r="E54" s="10" t="s">
        <v>4683</v>
      </c>
      <c r="F54" s="10" t="s">
        <v>4683</v>
      </c>
      <c r="G54" s="10" t="s">
        <v>4683</v>
      </c>
      <c r="H54" s="14">
        <v>0</v>
      </c>
      <c r="I54" s="10" t="s">
        <v>4684</v>
      </c>
      <c r="J54" s="10" t="str">
        <f t="shared" si="1"/>
        <v>normalweight</v>
      </c>
      <c r="L54" s="30" t="e">
        <v>#N/A</v>
      </c>
    </row>
    <row r="55" spans="1:12" ht="15.75" customHeight="1" x14ac:dyDescent="0.3">
      <c r="A55" s="10" t="s">
        <v>4564</v>
      </c>
      <c r="B55" s="10">
        <v>36.630000000000003</v>
      </c>
      <c r="C55" s="10">
        <v>7.72</v>
      </c>
      <c r="D55" s="16" t="s">
        <v>4682</v>
      </c>
      <c r="E55" s="10" t="s">
        <v>4684</v>
      </c>
      <c r="F55" s="10" t="s">
        <v>4683</v>
      </c>
      <c r="G55" s="10" t="s">
        <v>4683</v>
      </c>
      <c r="H55" s="14">
        <v>1</v>
      </c>
      <c r="I55" s="10" t="s">
        <v>4684</v>
      </c>
      <c r="J55" s="10" t="str">
        <f t="shared" si="1"/>
        <v>normalweight</v>
      </c>
      <c r="L55" s="30" t="e">
        <v>#N/A</v>
      </c>
    </row>
    <row r="56" spans="1:12" ht="15.75" customHeight="1" x14ac:dyDescent="0.3">
      <c r="A56" s="10" t="s">
        <v>4562</v>
      </c>
      <c r="B56" s="10">
        <v>34.200000000000003</v>
      </c>
      <c r="C56" s="10">
        <v>5.75</v>
      </c>
      <c r="D56" s="10" t="s">
        <v>4685</v>
      </c>
      <c r="E56" s="10" t="s">
        <v>4683</v>
      </c>
      <c r="F56" s="10" t="s">
        <v>4683</v>
      </c>
      <c r="G56" s="10" t="s">
        <v>4683</v>
      </c>
      <c r="H56" s="14">
        <v>2</v>
      </c>
      <c r="I56" s="10" t="s">
        <v>4684</v>
      </c>
      <c r="J56" s="10" t="str">
        <f t="shared" si="1"/>
        <v>normalweight</v>
      </c>
      <c r="L56" s="30" t="e">
        <v>#N/A</v>
      </c>
    </row>
    <row r="57" spans="1:12" ht="15.75" customHeight="1" x14ac:dyDescent="0.3">
      <c r="A57" s="10" t="s">
        <v>4560</v>
      </c>
      <c r="B57" s="10">
        <v>50.63</v>
      </c>
      <c r="C57" s="10">
        <v>11.89</v>
      </c>
      <c r="D57" s="16" t="s">
        <v>4682</v>
      </c>
      <c r="E57" s="10" t="s">
        <v>4683</v>
      </c>
      <c r="F57" s="10" t="s">
        <v>4683</v>
      </c>
      <c r="G57" s="10" t="s">
        <v>4683</v>
      </c>
      <c r="H57" s="14">
        <v>0</v>
      </c>
      <c r="I57" s="10" t="s">
        <v>4684</v>
      </c>
      <c r="J57" s="10" t="str">
        <f t="shared" si="1"/>
        <v>normalweight</v>
      </c>
      <c r="L57" s="30" t="e">
        <v>#N/A</v>
      </c>
    </row>
    <row r="58" spans="1:12" ht="15.75" customHeight="1" x14ac:dyDescent="0.3">
      <c r="A58" s="10" t="s">
        <v>4558</v>
      </c>
      <c r="B58" s="10">
        <v>36.479999999999997</v>
      </c>
      <c r="C58" s="10">
        <v>6.2</v>
      </c>
      <c r="D58" s="10" t="s">
        <v>4685</v>
      </c>
      <c r="E58" s="10" t="s">
        <v>4683</v>
      </c>
      <c r="F58" s="10" t="s">
        <v>4683</v>
      </c>
      <c r="G58" s="10" t="s">
        <v>4683</v>
      </c>
      <c r="H58" s="14">
        <v>0</v>
      </c>
      <c r="I58" s="10" t="s">
        <v>4684</v>
      </c>
      <c r="J58" s="10" t="str">
        <f t="shared" si="1"/>
        <v>normalweight</v>
      </c>
      <c r="L58" s="30" t="e">
        <v>#N/A</v>
      </c>
    </row>
    <row r="59" spans="1:12" ht="15.75" customHeight="1" x14ac:dyDescent="0.3">
      <c r="A59" s="10" t="s">
        <v>4556</v>
      </c>
      <c r="B59" s="10">
        <v>54.82</v>
      </c>
      <c r="C59" s="10">
        <v>10.61</v>
      </c>
      <c r="D59" s="16" t="s">
        <v>4682</v>
      </c>
      <c r="E59" s="10" t="s">
        <v>4683</v>
      </c>
      <c r="F59" s="10" t="s">
        <v>4683</v>
      </c>
      <c r="G59" s="10" t="s">
        <v>4683</v>
      </c>
      <c r="H59" s="14">
        <v>0</v>
      </c>
      <c r="I59" s="10" t="s">
        <v>4684</v>
      </c>
      <c r="J59" s="10" t="str">
        <f t="shared" si="1"/>
        <v>normalweight</v>
      </c>
      <c r="L59" s="30" t="e">
        <v>#N/A</v>
      </c>
    </row>
    <row r="60" spans="1:12" ht="15.75" customHeight="1" x14ac:dyDescent="0.3">
      <c r="A60" s="10" t="s">
        <v>4554</v>
      </c>
      <c r="B60" s="10">
        <v>38.06</v>
      </c>
      <c r="C60" s="10">
        <v>6.04</v>
      </c>
      <c r="D60" s="10" t="s">
        <v>4685</v>
      </c>
      <c r="E60" s="10" t="s">
        <v>4683</v>
      </c>
      <c r="F60" s="10" t="s">
        <v>4683</v>
      </c>
      <c r="G60" s="10" t="s">
        <v>4686</v>
      </c>
      <c r="H60" s="14">
        <v>1</v>
      </c>
      <c r="I60" s="10" t="s">
        <v>4684</v>
      </c>
      <c r="J60" s="10" t="str">
        <f t="shared" si="1"/>
        <v>normalweight</v>
      </c>
      <c r="L60" s="30" t="e">
        <v>#N/A</v>
      </c>
    </row>
    <row r="61" spans="1:12" ht="15.75" customHeight="1" x14ac:dyDescent="0.3">
      <c r="A61" s="10" t="s">
        <v>4552</v>
      </c>
      <c r="B61" s="10">
        <v>51.48</v>
      </c>
      <c r="C61" s="10">
        <v>9.33</v>
      </c>
      <c r="D61" s="16" t="s">
        <v>4682</v>
      </c>
      <c r="E61" s="10" t="s">
        <v>4684</v>
      </c>
      <c r="F61" s="10" t="s">
        <v>4683</v>
      </c>
      <c r="G61" s="10" t="s">
        <v>4683</v>
      </c>
      <c r="H61" s="14">
        <v>0</v>
      </c>
      <c r="I61" s="10" t="s">
        <v>4684</v>
      </c>
      <c r="J61" s="10" t="str">
        <f t="shared" si="1"/>
        <v>normalweight</v>
      </c>
      <c r="L61" s="30" t="e">
        <v>#N/A</v>
      </c>
    </row>
    <row r="62" spans="1:12" ht="15.75" customHeight="1" x14ac:dyDescent="0.3">
      <c r="A62" s="10" t="s">
        <v>4550</v>
      </c>
      <c r="B62" s="10">
        <v>52.06</v>
      </c>
      <c r="C62" s="10">
        <v>11.47</v>
      </c>
      <c r="D62" s="16" t="s">
        <v>4682</v>
      </c>
      <c r="E62" s="10" t="s">
        <v>4683</v>
      </c>
      <c r="F62" s="10" t="s">
        <v>4683</v>
      </c>
      <c r="G62" s="10" t="s">
        <v>4683</v>
      </c>
      <c r="H62" s="14">
        <v>0</v>
      </c>
      <c r="I62" s="10" t="s">
        <v>4684</v>
      </c>
      <c r="J62" s="10" t="str">
        <f t="shared" si="1"/>
        <v>normalweight</v>
      </c>
      <c r="L62" s="30" t="e">
        <v>#N/A</v>
      </c>
    </row>
    <row r="63" spans="1:12" ht="15.75" customHeight="1" x14ac:dyDescent="0.3">
      <c r="A63" s="10" t="s">
        <v>4548</v>
      </c>
      <c r="B63" s="10">
        <v>30.684999999999999</v>
      </c>
      <c r="C63" s="10">
        <v>7.02</v>
      </c>
      <c r="D63" s="16" t="s">
        <v>4682</v>
      </c>
      <c r="E63" s="10" t="s">
        <v>4684</v>
      </c>
      <c r="F63" s="10" t="s">
        <v>4683</v>
      </c>
      <c r="G63" s="10" t="s">
        <v>4683</v>
      </c>
      <c r="H63" s="14">
        <v>0</v>
      </c>
      <c r="I63" s="10" t="s">
        <v>4684</v>
      </c>
      <c r="J63" s="10" t="str">
        <f t="shared" si="1"/>
        <v>normalweight</v>
      </c>
      <c r="L63" s="30" t="e">
        <v>#N/A</v>
      </c>
    </row>
    <row r="64" spans="1:12" ht="15.75" customHeight="1" x14ac:dyDescent="0.3">
      <c r="A64" s="10" t="s">
        <v>4546</v>
      </c>
      <c r="B64" s="10">
        <v>36.08</v>
      </c>
      <c r="C64" s="10">
        <v>8.8000000000000007</v>
      </c>
      <c r="D64" s="16" t="s">
        <v>4682</v>
      </c>
      <c r="E64" s="10" t="s">
        <v>4684</v>
      </c>
      <c r="F64" s="10" t="s">
        <v>4683</v>
      </c>
      <c r="G64" s="10" t="s">
        <v>4683</v>
      </c>
      <c r="H64" s="14">
        <v>1</v>
      </c>
      <c r="I64" s="10" t="s">
        <v>4684</v>
      </c>
      <c r="J64" s="10" t="str">
        <f t="shared" si="1"/>
        <v>normalweight</v>
      </c>
      <c r="L64" s="30" t="e">
        <v>#N/A</v>
      </c>
    </row>
    <row r="65" spans="1:12" ht="15.75" customHeight="1" x14ac:dyDescent="0.3">
      <c r="A65" s="10" t="s">
        <v>4544</v>
      </c>
      <c r="B65" s="10">
        <v>54.99</v>
      </c>
      <c r="C65" s="10">
        <v>8.68</v>
      </c>
      <c r="D65" s="16" t="s">
        <v>4682</v>
      </c>
      <c r="E65" s="10" t="s">
        <v>4683</v>
      </c>
      <c r="F65" s="10" t="s">
        <v>4683</v>
      </c>
      <c r="G65" s="10" t="s">
        <v>4683</v>
      </c>
      <c r="H65" s="14">
        <v>2</v>
      </c>
      <c r="I65" s="10" t="s">
        <v>4684</v>
      </c>
      <c r="J65" s="10" t="str">
        <f t="shared" si="1"/>
        <v>normalweight</v>
      </c>
      <c r="L65" s="30" t="e">
        <v>#N/A</v>
      </c>
    </row>
    <row r="66" spans="1:12" ht="15.75" customHeight="1" x14ac:dyDescent="0.3">
      <c r="A66" s="10" t="s">
        <v>4542</v>
      </c>
      <c r="B66" s="10">
        <v>35.97</v>
      </c>
      <c r="C66" s="10">
        <v>6.12</v>
      </c>
      <c r="D66" s="10" t="s">
        <v>4685</v>
      </c>
      <c r="E66" s="10" t="s">
        <v>4683</v>
      </c>
      <c r="F66" s="10" t="s">
        <v>4683</v>
      </c>
      <c r="G66" s="10" t="s">
        <v>4686</v>
      </c>
      <c r="H66" s="14">
        <v>1</v>
      </c>
      <c r="I66" s="10" t="s">
        <v>4684</v>
      </c>
      <c r="J66" s="10" t="str">
        <f t="shared" si="1"/>
        <v>normalweight</v>
      </c>
      <c r="L66" s="30" t="e">
        <v>#N/A</v>
      </c>
    </row>
    <row r="67" spans="1:12" ht="15.75" customHeight="1" x14ac:dyDescent="0.3">
      <c r="A67" s="10" t="s">
        <v>4540</v>
      </c>
      <c r="B67" s="10">
        <v>45.54</v>
      </c>
      <c r="C67" s="10">
        <v>5.4</v>
      </c>
      <c r="D67" s="10" t="s">
        <v>4685</v>
      </c>
      <c r="E67" s="10" t="s">
        <v>4684</v>
      </c>
      <c r="F67" s="10" t="s">
        <v>4683</v>
      </c>
      <c r="G67" s="10" t="s">
        <v>4686</v>
      </c>
      <c r="H67" s="14">
        <v>1</v>
      </c>
      <c r="I67" s="10" t="s">
        <v>4684</v>
      </c>
      <c r="J67" s="10" t="str">
        <f t="shared" si="1"/>
        <v>normalweight</v>
      </c>
      <c r="L67" s="30" t="e">
        <v>#N/A</v>
      </c>
    </row>
    <row r="68" spans="1:12" ht="15.75" customHeight="1" x14ac:dyDescent="0.3">
      <c r="A68" s="10" t="s">
        <v>4538</v>
      </c>
      <c r="B68" s="10">
        <v>35.53</v>
      </c>
      <c r="C68" s="10">
        <v>4.3600000000000003</v>
      </c>
      <c r="D68" s="10" t="s">
        <v>4685</v>
      </c>
      <c r="E68" s="10" t="s">
        <v>4684</v>
      </c>
      <c r="F68" s="10" t="s">
        <v>4683</v>
      </c>
      <c r="G68" s="10" t="s">
        <v>4683</v>
      </c>
      <c r="H68" s="14">
        <v>0</v>
      </c>
      <c r="I68" s="10" t="s">
        <v>4684</v>
      </c>
      <c r="J68" s="10" t="str">
        <f t="shared" si="1"/>
        <v>normalweight</v>
      </c>
      <c r="L68" s="30" t="e">
        <v>#N/A</v>
      </c>
    </row>
    <row r="69" spans="1:12" ht="15.75" customHeight="1" x14ac:dyDescent="0.3">
      <c r="A69" s="10" t="s">
        <v>4536</v>
      </c>
      <c r="B69" s="10">
        <v>30.8</v>
      </c>
      <c r="C69" s="10">
        <v>9.77</v>
      </c>
      <c r="D69" s="16" t="s">
        <v>4682</v>
      </c>
      <c r="E69" s="10" t="s">
        <v>4683</v>
      </c>
      <c r="F69" s="10" t="s">
        <v>4683</v>
      </c>
      <c r="G69" s="10" t="s">
        <v>4683</v>
      </c>
      <c r="H69" s="14">
        <v>0</v>
      </c>
      <c r="I69" s="10" t="s">
        <v>4684</v>
      </c>
      <c r="J69" s="10" t="str">
        <f t="shared" si="1"/>
        <v>normalweight</v>
      </c>
      <c r="L69" s="30" t="e">
        <v>#N/A</v>
      </c>
    </row>
    <row r="70" spans="1:12" ht="15.75" customHeight="1" x14ac:dyDescent="0.3">
      <c r="A70" s="10" t="s">
        <v>4534</v>
      </c>
      <c r="B70" s="10">
        <v>38.39</v>
      </c>
      <c r="C70" s="10">
        <v>4.25</v>
      </c>
      <c r="D70" s="10" t="s">
        <v>4685</v>
      </c>
      <c r="E70" s="10" t="s">
        <v>4683</v>
      </c>
      <c r="F70" s="10" t="s">
        <v>4683</v>
      </c>
      <c r="G70" s="10" t="s">
        <v>4683</v>
      </c>
      <c r="H70" s="14">
        <v>1</v>
      </c>
      <c r="I70" s="10" t="s">
        <v>4684</v>
      </c>
      <c r="J70" s="10" t="str">
        <f t="shared" si="1"/>
        <v>normalweight</v>
      </c>
      <c r="L70" s="30" t="e">
        <v>#N/A</v>
      </c>
    </row>
    <row r="71" spans="1:12" ht="15.75" customHeight="1" x14ac:dyDescent="0.3">
      <c r="A71" s="10" t="s">
        <v>4532</v>
      </c>
      <c r="B71" s="10">
        <v>32.299999999999997</v>
      </c>
      <c r="C71" s="10">
        <v>4.76</v>
      </c>
      <c r="D71" s="10" t="s">
        <v>4685</v>
      </c>
      <c r="E71" s="10" t="s">
        <v>4683</v>
      </c>
      <c r="F71" s="10" t="s">
        <v>4683</v>
      </c>
      <c r="G71" s="10" t="s">
        <v>4683</v>
      </c>
      <c r="H71" s="14">
        <v>2</v>
      </c>
      <c r="I71" s="10" t="s">
        <v>4684</v>
      </c>
      <c r="J71" s="10" t="str">
        <f t="shared" si="1"/>
        <v>normalweight</v>
      </c>
      <c r="L71" s="30" t="e">
        <v>#N/A</v>
      </c>
    </row>
    <row r="72" spans="1:12" ht="15.75" customHeight="1" x14ac:dyDescent="0.3">
      <c r="A72" s="10" t="s">
        <v>4530</v>
      </c>
      <c r="B72" s="10">
        <v>48.8</v>
      </c>
      <c r="C72" s="10">
        <v>6.22</v>
      </c>
      <c r="D72" s="10" t="s">
        <v>4685</v>
      </c>
      <c r="E72" s="10" t="s">
        <v>4684</v>
      </c>
      <c r="F72" s="10" t="s">
        <v>4683</v>
      </c>
      <c r="G72" s="10" t="s">
        <v>4683</v>
      </c>
      <c r="H72" s="14">
        <v>2</v>
      </c>
      <c r="I72" s="10" t="s">
        <v>4684</v>
      </c>
      <c r="J72" s="10" t="str">
        <f t="shared" si="1"/>
        <v>normalweight</v>
      </c>
      <c r="L72" s="30" t="e">
        <v>#N/A</v>
      </c>
    </row>
    <row r="73" spans="1:12" ht="15.75" customHeight="1" x14ac:dyDescent="0.3">
      <c r="A73" s="10" t="s">
        <v>4528</v>
      </c>
      <c r="B73" s="10">
        <v>45.5</v>
      </c>
      <c r="C73" s="10">
        <v>7.96</v>
      </c>
      <c r="D73" s="16" t="s">
        <v>4682</v>
      </c>
      <c r="E73" s="10" t="s">
        <v>4683</v>
      </c>
      <c r="F73" s="10" t="s">
        <v>4683</v>
      </c>
      <c r="G73" s="10" t="s">
        <v>4683</v>
      </c>
      <c r="H73" s="14">
        <v>0</v>
      </c>
      <c r="I73" s="10" t="s">
        <v>4684</v>
      </c>
      <c r="J73" s="10" t="str">
        <f t="shared" si="1"/>
        <v>normalweight</v>
      </c>
      <c r="L73" s="30" t="e">
        <v>#N/A</v>
      </c>
    </row>
    <row r="74" spans="1:12" ht="15.75" customHeight="1" x14ac:dyDescent="0.3">
      <c r="A74" s="10" t="s">
        <v>4526</v>
      </c>
      <c r="B74" s="10">
        <v>53.61</v>
      </c>
      <c r="C74" s="10">
        <v>10.92</v>
      </c>
      <c r="D74" s="16" t="s">
        <v>4682</v>
      </c>
      <c r="E74" s="10" t="s">
        <v>4684</v>
      </c>
      <c r="F74" s="10" t="s">
        <v>4683</v>
      </c>
      <c r="G74" s="10" t="s">
        <v>4683</v>
      </c>
      <c r="H74" s="14">
        <v>1</v>
      </c>
      <c r="I74" s="10" t="s">
        <v>4684</v>
      </c>
      <c r="J74" s="10" t="str">
        <f t="shared" si="1"/>
        <v>normalweight</v>
      </c>
      <c r="L74" s="30" t="e">
        <v>#N/A</v>
      </c>
    </row>
    <row r="75" spans="1:12" ht="15.75" customHeight="1" x14ac:dyDescent="0.3">
      <c r="A75" s="10" t="s">
        <v>4524</v>
      </c>
      <c r="B75" s="10">
        <v>36.19</v>
      </c>
      <c r="C75" s="10">
        <v>11.51</v>
      </c>
      <c r="D75" s="16" t="s">
        <v>4682</v>
      </c>
      <c r="E75" s="10" t="s">
        <v>4684</v>
      </c>
      <c r="F75" s="10" t="s">
        <v>4683</v>
      </c>
      <c r="G75" s="10" t="s">
        <v>4683</v>
      </c>
      <c r="H75" s="14">
        <v>1</v>
      </c>
      <c r="I75" s="10" t="s">
        <v>4684</v>
      </c>
      <c r="J75" s="10" t="str">
        <f t="shared" si="1"/>
        <v>normalweight</v>
      </c>
      <c r="L75" s="30" t="e">
        <v>#N/A</v>
      </c>
    </row>
    <row r="76" spans="1:12" ht="15.75" customHeight="1" x14ac:dyDescent="0.3">
      <c r="A76" s="10" t="s">
        <v>4522</v>
      </c>
      <c r="B76" s="10">
        <v>34.6</v>
      </c>
      <c r="C76" s="10">
        <v>5.99</v>
      </c>
      <c r="D76" s="10" t="s">
        <v>4685</v>
      </c>
      <c r="E76" s="10" t="s">
        <v>4684</v>
      </c>
      <c r="F76" s="10" t="s">
        <v>4683</v>
      </c>
      <c r="G76" s="10" t="s">
        <v>4683</v>
      </c>
      <c r="H76" s="14">
        <v>0</v>
      </c>
      <c r="I76" s="10" t="s">
        <v>4684</v>
      </c>
      <c r="J76" s="10" t="str">
        <f t="shared" si="1"/>
        <v>normalweight</v>
      </c>
      <c r="L76" s="30" t="e">
        <v>#N/A</v>
      </c>
    </row>
    <row r="77" spans="1:12" ht="15.75" customHeight="1" x14ac:dyDescent="0.3">
      <c r="A77" s="10" t="s">
        <v>4520</v>
      </c>
      <c r="B77" s="10">
        <v>54.12</v>
      </c>
      <c r="C77" s="10">
        <v>11.57</v>
      </c>
      <c r="D77" s="16" t="s">
        <v>4682</v>
      </c>
      <c r="E77" s="10" t="s">
        <v>4683</v>
      </c>
      <c r="F77" s="10" t="s">
        <v>4683</v>
      </c>
      <c r="G77" s="10" t="s">
        <v>4683</v>
      </c>
      <c r="H77" s="14">
        <v>0</v>
      </c>
      <c r="I77" s="10" t="s">
        <v>4684</v>
      </c>
      <c r="J77" s="10" t="str">
        <f t="shared" si="1"/>
        <v>normalweight</v>
      </c>
      <c r="L77" s="30" t="e">
        <v>#N/A</v>
      </c>
    </row>
    <row r="78" spans="1:12" ht="15.75" customHeight="1" x14ac:dyDescent="0.3">
      <c r="A78" s="10" t="s">
        <v>4518</v>
      </c>
      <c r="B78" s="10">
        <v>48.82</v>
      </c>
      <c r="C78" s="10">
        <v>6.67</v>
      </c>
      <c r="D78" s="16" t="s">
        <v>4682</v>
      </c>
      <c r="E78" s="10" t="s">
        <v>4684</v>
      </c>
      <c r="F78" s="10" t="s">
        <v>4683</v>
      </c>
      <c r="G78" s="10" t="s">
        <v>4683</v>
      </c>
      <c r="H78" s="14">
        <v>0</v>
      </c>
      <c r="I78" s="10" t="s">
        <v>4684</v>
      </c>
      <c r="J78" s="10" t="str">
        <f t="shared" si="1"/>
        <v>normalweight</v>
      </c>
      <c r="L78" s="30" t="e">
        <v>#N/A</v>
      </c>
    </row>
    <row r="79" spans="1:12" ht="15.75" customHeight="1" x14ac:dyDescent="0.3">
      <c r="A79" s="10" t="s">
        <v>4516</v>
      </c>
      <c r="B79" s="10">
        <v>51.01</v>
      </c>
      <c r="C79" s="10">
        <v>9.1999999999999993</v>
      </c>
      <c r="D79" s="16" t="s">
        <v>4682</v>
      </c>
      <c r="E79" s="10" t="s">
        <v>4683</v>
      </c>
      <c r="F79" s="10" t="s">
        <v>4683</v>
      </c>
      <c r="G79" s="10" t="s">
        <v>4683</v>
      </c>
      <c r="H79" s="14">
        <v>0</v>
      </c>
      <c r="I79" s="10" t="s">
        <v>4684</v>
      </c>
      <c r="J79" s="10" t="str">
        <f t="shared" si="1"/>
        <v>normalweight</v>
      </c>
      <c r="L79" s="30" t="e">
        <v>#N/A</v>
      </c>
    </row>
    <row r="80" spans="1:12" ht="15.75" customHeight="1" x14ac:dyDescent="0.3">
      <c r="A80" s="10" t="s">
        <v>4514</v>
      </c>
      <c r="B80" s="10">
        <v>45.65</v>
      </c>
      <c r="C80" s="10">
        <v>5.1100000000000003</v>
      </c>
      <c r="D80" s="10" t="s">
        <v>4685</v>
      </c>
      <c r="E80" s="10" t="s">
        <v>4684</v>
      </c>
      <c r="F80" s="10" t="s">
        <v>4683</v>
      </c>
      <c r="G80" s="10" t="s">
        <v>4683</v>
      </c>
      <c r="H80" s="14">
        <v>1</v>
      </c>
      <c r="I80" s="10" t="s">
        <v>4684</v>
      </c>
      <c r="J80" s="10" t="str">
        <f t="shared" si="1"/>
        <v>normalweight</v>
      </c>
      <c r="L80" s="30" t="e">
        <v>#N/A</v>
      </c>
    </row>
    <row r="81" spans="1:12" ht="15.75" customHeight="1" x14ac:dyDescent="0.3">
      <c r="A81" s="10" t="s">
        <v>4512</v>
      </c>
      <c r="B81" s="10">
        <v>52.9</v>
      </c>
      <c r="C81" s="10">
        <v>5.34</v>
      </c>
      <c r="D81" s="10" t="s">
        <v>4685</v>
      </c>
      <c r="E81" s="10" t="s">
        <v>4683</v>
      </c>
      <c r="F81" s="10" t="s">
        <v>4683</v>
      </c>
      <c r="G81" s="10" t="s">
        <v>4683</v>
      </c>
      <c r="H81" s="14">
        <v>0</v>
      </c>
      <c r="I81" s="10" t="s">
        <v>4684</v>
      </c>
      <c r="J81" s="10" t="str">
        <f t="shared" si="1"/>
        <v>normalweight</v>
      </c>
      <c r="L81" s="30" t="e">
        <v>#N/A</v>
      </c>
    </row>
    <row r="82" spans="1:12" ht="15.75" customHeight="1" x14ac:dyDescent="0.3">
      <c r="A82" s="10" t="s">
        <v>4510</v>
      </c>
      <c r="B82" s="10">
        <v>45.41</v>
      </c>
      <c r="C82" s="10">
        <v>4.03</v>
      </c>
      <c r="D82" s="10" t="s">
        <v>4685</v>
      </c>
      <c r="E82" s="10" t="s">
        <v>4684</v>
      </c>
      <c r="F82" s="10" t="s">
        <v>4683</v>
      </c>
      <c r="G82" s="10" t="s">
        <v>4683</v>
      </c>
      <c r="H82" s="14">
        <v>1</v>
      </c>
      <c r="I82" s="10" t="s">
        <v>4684</v>
      </c>
      <c r="J82" s="10" t="str">
        <f t="shared" si="1"/>
        <v>normalweight</v>
      </c>
      <c r="L82" s="30" t="e">
        <v>#N/A</v>
      </c>
    </row>
    <row r="83" spans="1:12" ht="15.75" customHeight="1" x14ac:dyDescent="0.3">
      <c r="A83" s="10" t="s">
        <v>4508</v>
      </c>
      <c r="B83" s="10">
        <v>49.41</v>
      </c>
      <c r="C83" s="10">
        <v>4.2300000000000004</v>
      </c>
      <c r="D83" s="10" t="s">
        <v>4685</v>
      </c>
      <c r="E83" s="10" t="s">
        <v>4684</v>
      </c>
      <c r="F83" s="10" t="s">
        <v>4683</v>
      </c>
      <c r="G83" s="10" t="s">
        <v>4686</v>
      </c>
      <c r="H83" s="14">
        <v>1</v>
      </c>
      <c r="I83" s="10" t="s">
        <v>4684</v>
      </c>
      <c r="J83" s="10" t="str">
        <f t="shared" si="1"/>
        <v>normalweight</v>
      </c>
      <c r="L83" s="30" t="e">
        <v>#N/A</v>
      </c>
    </row>
    <row r="84" spans="1:12" ht="15.75" customHeight="1" x14ac:dyDescent="0.3">
      <c r="A84" s="10" t="s">
        <v>4506</v>
      </c>
      <c r="B84" s="10">
        <v>31.824999999999999</v>
      </c>
      <c r="C84" s="10">
        <v>4.0599999999999996</v>
      </c>
      <c r="D84" s="10" t="s">
        <v>4685</v>
      </c>
      <c r="E84" s="10" t="s">
        <v>4683</v>
      </c>
      <c r="F84" s="10" t="s">
        <v>4683</v>
      </c>
      <c r="G84" s="10" t="s">
        <v>4683</v>
      </c>
      <c r="H84" s="14">
        <v>2</v>
      </c>
      <c r="I84" s="10" t="s">
        <v>4684</v>
      </c>
      <c r="J84" s="10" t="str">
        <f t="shared" si="1"/>
        <v>normalweight</v>
      </c>
      <c r="L84" s="30" t="e">
        <v>#N/A</v>
      </c>
    </row>
    <row r="85" spans="1:12" ht="15.75" customHeight="1" x14ac:dyDescent="0.3">
      <c r="A85" s="10" t="s">
        <v>4504</v>
      </c>
      <c r="B85" s="10">
        <v>51.28</v>
      </c>
      <c r="C85" s="10">
        <v>4.68</v>
      </c>
      <c r="D85" s="10" t="s">
        <v>4685</v>
      </c>
      <c r="E85" s="10" t="s">
        <v>4683</v>
      </c>
      <c r="F85" s="10" t="s">
        <v>4683</v>
      </c>
      <c r="G85" s="10" t="s">
        <v>4683</v>
      </c>
      <c r="H85" s="14">
        <v>2</v>
      </c>
      <c r="I85" s="10" t="s">
        <v>4684</v>
      </c>
      <c r="J85" s="10" t="str">
        <f t="shared" si="1"/>
        <v>normalweight</v>
      </c>
      <c r="L85" s="30" t="e">
        <v>#N/A</v>
      </c>
    </row>
    <row r="86" spans="1:12" ht="15.75" customHeight="1" x14ac:dyDescent="0.3">
      <c r="A86" s="10" t="s">
        <v>4502</v>
      </c>
      <c r="B86" s="10">
        <v>34.96</v>
      </c>
      <c r="C86" s="10">
        <v>4.34</v>
      </c>
      <c r="D86" s="10" t="s">
        <v>4685</v>
      </c>
      <c r="E86" s="10" t="s">
        <v>4683</v>
      </c>
      <c r="F86" s="10" t="s">
        <v>4683</v>
      </c>
      <c r="G86" s="10" t="s">
        <v>4686</v>
      </c>
      <c r="H86" s="14">
        <v>1</v>
      </c>
      <c r="I86" s="10" t="s">
        <v>4684</v>
      </c>
      <c r="J86" s="10" t="str">
        <f t="shared" si="1"/>
        <v>normalweight</v>
      </c>
      <c r="L86" s="30" t="e">
        <v>#N/A</v>
      </c>
    </row>
    <row r="87" spans="1:12" ht="15.75" customHeight="1" x14ac:dyDescent="0.3">
      <c r="A87" s="10" t="s">
        <v>4500</v>
      </c>
      <c r="B87" s="10">
        <v>33.11</v>
      </c>
      <c r="C87" s="10">
        <v>10.51</v>
      </c>
      <c r="D87" s="16" t="s">
        <v>4682</v>
      </c>
      <c r="E87" s="10" t="s">
        <v>4683</v>
      </c>
      <c r="F87" s="10" t="s">
        <v>4683</v>
      </c>
      <c r="G87" s="10" t="s">
        <v>4683</v>
      </c>
      <c r="H87" s="14">
        <v>0</v>
      </c>
      <c r="I87" s="10" t="s">
        <v>4684</v>
      </c>
      <c r="J87" s="10" t="str">
        <f t="shared" si="1"/>
        <v>normalweight</v>
      </c>
      <c r="L87" s="30" t="e">
        <v>#N/A</v>
      </c>
    </row>
    <row r="88" spans="1:12" ht="15.75" customHeight="1" x14ac:dyDescent="0.3">
      <c r="A88" s="10" t="s">
        <v>4498</v>
      </c>
      <c r="B88" s="10">
        <v>54.74</v>
      </c>
      <c r="C88" s="10">
        <v>5.84</v>
      </c>
      <c r="D88" s="10" t="s">
        <v>4685</v>
      </c>
      <c r="E88" s="10" t="s">
        <v>4684</v>
      </c>
      <c r="F88" s="10" t="s">
        <v>4683</v>
      </c>
      <c r="G88" s="10" t="s">
        <v>4686</v>
      </c>
      <c r="H88" s="14">
        <v>1</v>
      </c>
      <c r="I88" s="10" t="s">
        <v>4684</v>
      </c>
      <c r="J88" s="10" t="str">
        <f t="shared" si="1"/>
        <v>normalweight</v>
      </c>
      <c r="L88" s="30" t="e">
        <v>#N/A</v>
      </c>
    </row>
    <row r="89" spans="1:12" ht="15.75" customHeight="1" x14ac:dyDescent="0.3">
      <c r="A89" s="10" t="s">
        <v>4496</v>
      </c>
      <c r="B89" s="10">
        <v>32.56</v>
      </c>
      <c r="C89" s="10">
        <v>5.41</v>
      </c>
      <c r="D89" s="10" t="s">
        <v>4685</v>
      </c>
      <c r="E89" s="10" t="s">
        <v>4683</v>
      </c>
      <c r="F89" s="10" t="s">
        <v>4683</v>
      </c>
      <c r="G89" s="10" t="s">
        <v>4686</v>
      </c>
      <c r="H89" s="14">
        <v>1</v>
      </c>
      <c r="I89" s="10" t="s">
        <v>4684</v>
      </c>
      <c r="J89" s="10" t="str">
        <f t="shared" si="1"/>
        <v>normalweight</v>
      </c>
      <c r="L89" s="30" t="e">
        <v>#N/A</v>
      </c>
    </row>
    <row r="90" spans="1:12" ht="15.75" customHeight="1" x14ac:dyDescent="0.3">
      <c r="A90" s="10" t="s">
        <v>4494</v>
      </c>
      <c r="B90" s="10">
        <v>39.049999999999997</v>
      </c>
      <c r="C90" s="10">
        <v>6.06</v>
      </c>
      <c r="D90" s="10" t="s">
        <v>4685</v>
      </c>
      <c r="E90" s="10" t="s">
        <v>4683</v>
      </c>
      <c r="F90" s="10" t="s">
        <v>4683</v>
      </c>
      <c r="G90" s="10" t="s">
        <v>4683</v>
      </c>
      <c r="H90" s="14">
        <v>1</v>
      </c>
      <c r="I90" s="10" t="s">
        <v>4684</v>
      </c>
      <c r="J90" s="10" t="str">
        <f t="shared" si="1"/>
        <v>normalweight</v>
      </c>
      <c r="L90" s="30" t="e">
        <v>#N/A</v>
      </c>
    </row>
    <row r="91" spans="1:12" ht="15.75" customHeight="1" x14ac:dyDescent="0.3">
      <c r="A91" s="10" t="s">
        <v>4492</v>
      </c>
      <c r="B91" s="10">
        <v>42.75</v>
      </c>
      <c r="C91" s="10">
        <v>4.22</v>
      </c>
      <c r="D91" s="10" t="s">
        <v>4685</v>
      </c>
      <c r="E91" s="10" t="s">
        <v>4683</v>
      </c>
      <c r="F91" s="10" t="s">
        <v>4683</v>
      </c>
      <c r="G91" s="10" t="s">
        <v>4683</v>
      </c>
      <c r="H91" s="14">
        <v>0</v>
      </c>
      <c r="I91" s="10" t="s">
        <v>4684</v>
      </c>
      <c r="J91" s="10" t="str">
        <f t="shared" si="1"/>
        <v>normalweight</v>
      </c>
      <c r="L91" s="30" t="e">
        <v>#N/A</v>
      </c>
    </row>
    <row r="92" spans="1:12" ht="15.75" customHeight="1" x14ac:dyDescent="0.3">
      <c r="A92" s="10" t="s">
        <v>4490</v>
      </c>
      <c r="B92" s="10">
        <v>50.58</v>
      </c>
      <c r="C92" s="10">
        <v>5.12</v>
      </c>
      <c r="D92" s="10" t="s">
        <v>4685</v>
      </c>
      <c r="E92" s="10" t="s">
        <v>4683</v>
      </c>
      <c r="F92" s="10" t="s">
        <v>4683</v>
      </c>
      <c r="G92" s="10" t="s">
        <v>4683</v>
      </c>
      <c r="H92" s="14">
        <v>2</v>
      </c>
      <c r="I92" s="10" t="s">
        <v>4684</v>
      </c>
      <c r="J92" s="10" t="str">
        <f t="shared" si="1"/>
        <v>normalweight</v>
      </c>
      <c r="L92" s="30" t="e">
        <v>#N/A</v>
      </c>
    </row>
    <row r="93" spans="1:12" ht="15.75" customHeight="1" x14ac:dyDescent="0.3">
      <c r="A93" s="10" t="s">
        <v>4488</v>
      </c>
      <c r="B93" s="10">
        <v>30.495000000000001</v>
      </c>
      <c r="C93" s="10">
        <v>4.57</v>
      </c>
      <c r="D93" s="10" t="s">
        <v>4685</v>
      </c>
      <c r="E93" s="10" t="s">
        <v>4684</v>
      </c>
      <c r="F93" s="10" t="s">
        <v>4683</v>
      </c>
      <c r="G93" s="10" t="s">
        <v>4683</v>
      </c>
      <c r="H93" s="14">
        <v>0</v>
      </c>
      <c r="I93" s="10" t="s">
        <v>4684</v>
      </c>
      <c r="J93" s="10" t="str">
        <f t="shared" si="1"/>
        <v>normalweight</v>
      </c>
      <c r="L93" s="30" t="e">
        <v>#N/A</v>
      </c>
    </row>
    <row r="94" spans="1:12" ht="15.75" customHeight="1" x14ac:dyDescent="0.3">
      <c r="A94" s="10" t="s">
        <v>4486</v>
      </c>
      <c r="B94" s="10">
        <v>48.31</v>
      </c>
      <c r="C94" s="10">
        <v>9.58</v>
      </c>
      <c r="D94" s="16" t="s">
        <v>4682</v>
      </c>
      <c r="E94" s="10" t="s">
        <v>4684</v>
      </c>
      <c r="F94" s="10" t="s">
        <v>4683</v>
      </c>
      <c r="G94" s="10" t="s">
        <v>4683</v>
      </c>
      <c r="H94" s="14">
        <v>2</v>
      </c>
      <c r="I94" s="10" t="s">
        <v>4684</v>
      </c>
      <c r="J94" s="10" t="str">
        <f t="shared" si="1"/>
        <v>normalweight</v>
      </c>
      <c r="L94" s="30" t="e">
        <v>#N/A</v>
      </c>
    </row>
    <row r="95" spans="1:12" ht="15.75" customHeight="1" x14ac:dyDescent="0.3">
      <c r="A95" s="10" t="s">
        <v>4484</v>
      </c>
      <c r="B95" s="10">
        <v>48.99</v>
      </c>
      <c r="C95" s="10">
        <v>9.7799999999999994</v>
      </c>
      <c r="D95" s="16" t="s">
        <v>4682</v>
      </c>
      <c r="E95" s="10" t="s">
        <v>4684</v>
      </c>
      <c r="F95" s="10" t="s">
        <v>4683</v>
      </c>
      <c r="G95" s="10" t="s">
        <v>4683</v>
      </c>
      <c r="H95" s="14">
        <v>1</v>
      </c>
      <c r="I95" s="10" t="s">
        <v>4684</v>
      </c>
      <c r="J95" s="10" t="str">
        <f t="shared" si="1"/>
        <v>normalweight</v>
      </c>
      <c r="L95" s="30" t="e">
        <v>#N/A</v>
      </c>
    </row>
    <row r="96" spans="1:12" ht="15.75" customHeight="1" x14ac:dyDescent="0.3">
      <c r="A96" s="10" t="s">
        <v>4482</v>
      </c>
      <c r="B96" s="10">
        <v>38.39</v>
      </c>
      <c r="C96" s="10">
        <v>4.1100000000000003</v>
      </c>
      <c r="D96" s="10" t="s">
        <v>4685</v>
      </c>
      <c r="E96" s="10" t="s">
        <v>4684</v>
      </c>
      <c r="F96" s="10" t="s">
        <v>4683</v>
      </c>
      <c r="G96" s="10" t="s">
        <v>4683</v>
      </c>
      <c r="H96" s="14">
        <v>0</v>
      </c>
      <c r="I96" s="10" t="s">
        <v>4684</v>
      </c>
      <c r="J96" s="10" t="str">
        <f t="shared" si="1"/>
        <v>normalweight</v>
      </c>
      <c r="L96" s="30" t="e">
        <v>#N/A</v>
      </c>
    </row>
    <row r="97" spans="1:12" ht="15.75" customHeight="1" x14ac:dyDescent="0.3">
      <c r="A97" s="10" t="s">
        <v>4480</v>
      </c>
      <c r="B97" s="10">
        <v>44.34</v>
      </c>
      <c r="C97" s="10">
        <v>4.0199999999999996</v>
      </c>
      <c r="D97" s="10" t="s">
        <v>4685</v>
      </c>
      <c r="E97" s="10" t="s">
        <v>4684</v>
      </c>
      <c r="F97" s="10" t="s">
        <v>4683</v>
      </c>
      <c r="G97" s="10" t="s">
        <v>4683</v>
      </c>
      <c r="H97" s="14">
        <v>2</v>
      </c>
      <c r="I97" s="10" t="s">
        <v>4684</v>
      </c>
      <c r="J97" s="10" t="str">
        <f t="shared" si="1"/>
        <v>normalweight</v>
      </c>
      <c r="L97" s="30" t="e">
        <v>#N/A</v>
      </c>
    </row>
    <row r="98" spans="1:12" ht="15.75" customHeight="1" x14ac:dyDescent="0.3">
      <c r="A98" s="10" t="s">
        <v>4478</v>
      </c>
      <c r="B98" s="10">
        <v>41.51</v>
      </c>
      <c r="C98" s="10">
        <v>6.92</v>
      </c>
      <c r="D98" s="16" t="s">
        <v>4682</v>
      </c>
      <c r="E98" s="10" t="s">
        <v>4683</v>
      </c>
      <c r="F98" s="10" t="s">
        <v>4683</v>
      </c>
      <c r="G98" s="10" t="s">
        <v>4683</v>
      </c>
      <c r="H98" s="14">
        <v>0</v>
      </c>
      <c r="I98" s="10" t="s">
        <v>4684</v>
      </c>
      <c r="J98" s="10" t="str">
        <f t="shared" si="1"/>
        <v>normalweight</v>
      </c>
      <c r="L98" s="30" t="e">
        <v>#N/A</v>
      </c>
    </row>
    <row r="99" spans="1:12" ht="15.75" customHeight="1" x14ac:dyDescent="0.3">
      <c r="A99" s="10" t="s">
        <v>4476</v>
      </c>
      <c r="B99" s="10">
        <v>48.2</v>
      </c>
      <c r="C99" s="10">
        <v>4.84</v>
      </c>
      <c r="D99" s="10" t="s">
        <v>4685</v>
      </c>
      <c r="E99" s="10" t="s">
        <v>4683</v>
      </c>
      <c r="F99" s="10" t="s">
        <v>4683</v>
      </c>
      <c r="G99" s="10" t="s">
        <v>4683</v>
      </c>
      <c r="H99" s="14">
        <v>0</v>
      </c>
      <c r="I99" s="10" t="s">
        <v>4684</v>
      </c>
      <c r="J99" s="10" t="str">
        <f t="shared" si="1"/>
        <v>normalweight</v>
      </c>
      <c r="L99" s="30" t="e">
        <v>#N/A</v>
      </c>
    </row>
    <row r="100" spans="1:12" ht="15.75" customHeight="1" x14ac:dyDescent="0.3">
      <c r="A100" s="10" t="s">
        <v>4474</v>
      </c>
      <c r="B100" s="10">
        <v>35.75</v>
      </c>
      <c r="C100" s="10">
        <v>8</v>
      </c>
      <c r="D100" s="16" t="s">
        <v>4682</v>
      </c>
      <c r="E100" s="10" t="s">
        <v>4684</v>
      </c>
      <c r="F100" s="10" t="s">
        <v>4683</v>
      </c>
      <c r="G100" s="10" t="s">
        <v>4683</v>
      </c>
      <c r="H100" s="14">
        <v>0</v>
      </c>
      <c r="I100" s="10" t="s">
        <v>4684</v>
      </c>
      <c r="J100" s="10" t="str">
        <f t="shared" si="1"/>
        <v>normalweight</v>
      </c>
      <c r="L100" s="30" t="e">
        <v>#N/A</v>
      </c>
    </row>
    <row r="101" spans="1:12" ht="15.75" customHeight="1" x14ac:dyDescent="0.3">
      <c r="A101" s="10" t="s">
        <v>4472</v>
      </c>
      <c r="B101" s="10">
        <v>53.81</v>
      </c>
      <c r="C101" s="10">
        <v>8.77</v>
      </c>
      <c r="D101" s="16" t="s">
        <v>4682</v>
      </c>
      <c r="E101" s="10" t="s">
        <v>4684</v>
      </c>
      <c r="F101" s="10" t="s">
        <v>4683</v>
      </c>
      <c r="G101" s="10" t="s">
        <v>4683</v>
      </c>
      <c r="H101" s="14">
        <v>0</v>
      </c>
      <c r="I101" s="10" t="s">
        <v>4684</v>
      </c>
      <c r="J101" s="10" t="str">
        <f t="shared" si="1"/>
        <v>normalweight</v>
      </c>
      <c r="L101" s="30" t="e">
        <v>#N/A</v>
      </c>
    </row>
    <row r="102" spans="1:12" ht="15.75" customHeight="1" x14ac:dyDescent="0.3">
      <c r="A102" s="10" t="s">
        <v>4470</v>
      </c>
      <c r="B102" s="10">
        <v>49.48</v>
      </c>
      <c r="C102" s="10">
        <v>4.96</v>
      </c>
      <c r="D102" s="10" t="s">
        <v>4685</v>
      </c>
      <c r="E102" s="10" t="s">
        <v>4683</v>
      </c>
      <c r="F102" s="10" t="s">
        <v>4683</v>
      </c>
      <c r="G102" s="10" t="s">
        <v>4686</v>
      </c>
      <c r="H102" s="14">
        <v>1</v>
      </c>
      <c r="I102" s="10" t="s">
        <v>4684</v>
      </c>
      <c r="J102" s="10" t="str">
        <f t="shared" si="1"/>
        <v>normalweight</v>
      </c>
      <c r="L102" s="30" t="e">
        <v>#N/A</v>
      </c>
    </row>
    <row r="103" spans="1:12" ht="15.75" customHeight="1" x14ac:dyDescent="0.3">
      <c r="A103" s="10" t="s">
        <v>4468</v>
      </c>
      <c r="B103" s="10">
        <v>34.1</v>
      </c>
      <c r="C103" s="10">
        <v>4.43</v>
      </c>
      <c r="D103" s="10" t="s">
        <v>4685</v>
      </c>
      <c r="E103" s="10" t="s">
        <v>4684</v>
      </c>
      <c r="F103" s="10" t="s">
        <v>4683</v>
      </c>
      <c r="G103" s="10" t="s">
        <v>4683</v>
      </c>
      <c r="H103" s="14">
        <v>0</v>
      </c>
      <c r="I103" s="10" t="s">
        <v>4684</v>
      </c>
      <c r="J103" s="10" t="str">
        <f t="shared" si="1"/>
        <v>normalweight</v>
      </c>
      <c r="L103" s="30" t="e">
        <v>#N/A</v>
      </c>
    </row>
    <row r="104" spans="1:12" ht="15.75" customHeight="1" x14ac:dyDescent="0.3">
      <c r="A104" s="10" t="s">
        <v>4466</v>
      </c>
      <c r="B104" s="10">
        <v>35.299999999999997</v>
      </c>
      <c r="C104" s="10">
        <v>5.82</v>
      </c>
      <c r="D104" s="10" t="s">
        <v>4685</v>
      </c>
      <c r="E104" s="10" t="s">
        <v>4684</v>
      </c>
      <c r="F104" s="10" t="s">
        <v>4683</v>
      </c>
      <c r="G104" s="10" t="s">
        <v>4686</v>
      </c>
      <c r="H104" s="14">
        <v>1</v>
      </c>
      <c r="I104" s="10" t="s">
        <v>4684</v>
      </c>
      <c r="J104" s="10" t="str">
        <f t="shared" si="1"/>
        <v>normalweight</v>
      </c>
      <c r="L104" s="30" t="e">
        <v>#N/A</v>
      </c>
    </row>
    <row r="105" spans="1:12" ht="15.75" customHeight="1" x14ac:dyDescent="0.3">
      <c r="A105" s="10" t="s">
        <v>4464</v>
      </c>
      <c r="B105" s="10">
        <v>43.83</v>
      </c>
      <c r="C105" s="10">
        <v>6.03</v>
      </c>
      <c r="D105" s="10" t="s">
        <v>4685</v>
      </c>
      <c r="E105" s="10" t="s">
        <v>4684</v>
      </c>
      <c r="F105" s="10" t="s">
        <v>4683</v>
      </c>
      <c r="G105" s="10" t="s">
        <v>4683</v>
      </c>
      <c r="H105" s="14">
        <v>2</v>
      </c>
      <c r="I105" s="10" t="s">
        <v>4684</v>
      </c>
      <c r="J105" s="10" t="str">
        <f t="shared" si="1"/>
        <v>normalweight</v>
      </c>
      <c r="L105" s="30" t="e">
        <v>#N/A</v>
      </c>
    </row>
    <row r="106" spans="1:12" ht="15.75" customHeight="1" x14ac:dyDescent="0.3">
      <c r="A106" s="10" t="s">
        <v>4462</v>
      </c>
      <c r="B106" s="10">
        <v>50.07</v>
      </c>
      <c r="C106" s="10">
        <v>9.27</v>
      </c>
      <c r="D106" s="16" t="s">
        <v>4682</v>
      </c>
      <c r="E106" s="10" t="s">
        <v>4683</v>
      </c>
      <c r="F106" s="10" t="s">
        <v>4683</v>
      </c>
      <c r="G106" s="10" t="s">
        <v>4683</v>
      </c>
      <c r="H106" s="14">
        <v>0</v>
      </c>
      <c r="I106" s="10" t="s">
        <v>4684</v>
      </c>
      <c r="J106" s="10" t="str">
        <f t="shared" si="1"/>
        <v>normalweight</v>
      </c>
      <c r="L106" s="30" t="e">
        <v>#N/A</v>
      </c>
    </row>
    <row r="107" spans="1:12" ht="15.75" customHeight="1" x14ac:dyDescent="0.3">
      <c r="A107" s="10" t="s">
        <v>4460</v>
      </c>
      <c r="B107" s="10">
        <v>32.774999999999999</v>
      </c>
      <c r="C107" s="10">
        <v>5.53</v>
      </c>
      <c r="D107" s="10" t="s">
        <v>4685</v>
      </c>
      <c r="E107" s="10" t="s">
        <v>4683</v>
      </c>
      <c r="F107" s="10" t="s">
        <v>4683</v>
      </c>
      <c r="G107" s="10" t="s">
        <v>4683</v>
      </c>
      <c r="H107" s="14">
        <v>0</v>
      </c>
      <c r="I107" s="10" t="s">
        <v>4684</v>
      </c>
      <c r="J107" s="10" t="str">
        <f t="shared" si="1"/>
        <v>normalweight</v>
      </c>
      <c r="L107" s="30" t="e">
        <v>#N/A</v>
      </c>
    </row>
    <row r="108" spans="1:12" ht="15.75" customHeight="1" x14ac:dyDescent="0.3">
      <c r="A108" s="10" t="s">
        <v>4458</v>
      </c>
      <c r="B108" s="10">
        <v>34.104999999999997</v>
      </c>
      <c r="C108" s="10">
        <v>5.07</v>
      </c>
      <c r="D108" s="10" t="s">
        <v>4685</v>
      </c>
      <c r="E108" s="10" t="s">
        <v>4683</v>
      </c>
      <c r="F108" s="10" t="s">
        <v>4683</v>
      </c>
      <c r="G108" s="10" t="s">
        <v>4683</v>
      </c>
      <c r="H108" s="14">
        <v>1</v>
      </c>
      <c r="I108" s="10" t="s">
        <v>4684</v>
      </c>
      <c r="J108" s="10" t="str">
        <f t="shared" si="1"/>
        <v>normalweight</v>
      </c>
      <c r="L108" s="30" t="e">
        <v>#N/A</v>
      </c>
    </row>
    <row r="109" spans="1:12" ht="15.75" customHeight="1" x14ac:dyDescent="0.3">
      <c r="A109" s="10" t="s">
        <v>4456</v>
      </c>
      <c r="B109" s="10">
        <v>48.93</v>
      </c>
      <c r="C109" s="10">
        <v>11.17</v>
      </c>
      <c r="D109" s="16" t="s">
        <v>4682</v>
      </c>
      <c r="E109" s="10" t="s">
        <v>4684</v>
      </c>
      <c r="F109" s="10" t="s">
        <v>4683</v>
      </c>
      <c r="G109" s="10" t="s">
        <v>4683</v>
      </c>
      <c r="H109" s="14">
        <v>1</v>
      </c>
      <c r="I109" s="10" t="s">
        <v>4684</v>
      </c>
      <c r="J109" s="10" t="str">
        <f t="shared" si="1"/>
        <v>normalweight</v>
      </c>
      <c r="L109" s="30" t="e">
        <v>#N/A</v>
      </c>
    </row>
    <row r="110" spans="1:12" ht="15.75" customHeight="1" x14ac:dyDescent="0.3">
      <c r="A110" s="10" t="s">
        <v>4454</v>
      </c>
      <c r="B110" s="10">
        <v>37.07</v>
      </c>
      <c r="C110" s="10">
        <v>6.14</v>
      </c>
      <c r="D110" s="10" t="s">
        <v>4685</v>
      </c>
      <c r="E110" s="10" t="s">
        <v>4684</v>
      </c>
      <c r="F110" s="10" t="s">
        <v>4683</v>
      </c>
      <c r="G110" s="10" t="s">
        <v>4683</v>
      </c>
      <c r="H110" s="14">
        <v>0</v>
      </c>
      <c r="I110" s="10" t="s">
        <v>4684</v>
      </c>
      <c r="J110" s="10" t="str">
        <f t="shared" si="1"/>
        <v>normalweight</v>
      </c>
      <c r="L110" s="30" t="e">
        <v>#N/A</v>
      </c>
    </row>
    <row r="111" spans="1:12" ht="15.75" customHeight="1" x14ac:dyDescent="0.3">
      <c r="A111" s="10" t="s">
        <v>4452</v>
      </c>
      <c r="B111" s="10">
        <v>51.51</v>
      </c>
      <c r="C111" s="10">
        <v>6.26</v>
      </c>
      <c r="D111" s="10" t="s">
        <v>4685</v>
      </c>
      <c r="E111" s="10" t="s">
        <v>4684</v>
      </c>
      <c r="F111" s="10" t="s">
        <v>4683</v>
      </c>
      <c r="G111" s="10" t="s">
        <v>4686</v>
      </c>
      <c r="H111" s="14">
        <v>1</v>
      </c>
      <c r="I111" s="10" t="s">
        <v>4684</v>
      </c>
      <c r="J111" s="10" t="str">
        <f t="shared" si="1"/>
        <v>normalweight</v>
      </c>
      <c r="L111" s="30" t="e">
        <v>#N/A</v>
      </c>
    </row>
    <row r="112" spans="1:12" ht="15.75" customHeight="1" x14ac:dyDescent="0.3">
      <c r="A112" s="10" t="s">
        <v>4450</v>
      </c>
      <c r="B112" s="10">
        <v>34.799999999999997</v>
      </c>
      <c r="C112" s="10">
        <v>4.72</v>
      </c>
      <c r="D112" s="10" t="s">
        <v>4685</v>
      </c>
      <c r="E112" s="10" t="s">
        <v>4684</v>
      </c>
      <c r="F112" s="10" t="s">
        <v>4683</v>
      </c>
      <c r="G112" s="10" t="s">
        <v>4683</v>
      </c>
      <c r="H112" s="14">
        <v>0</v>
      </c>
      <c r="I112" s="10" t="s">
        <v>4684</v>
      </c>
      <c r="J112" s="10" t="str">
        <f t="shared" si="1"/>
        <v>normalweight</v>
      </c>
      <c r="L112" s="30" t="e">
        <v>#N/A</v>
      </c>
    </row>
    <row r="113" spans="1:12" ht="15.75" customHeight="1" x14ac:dyDescent="0.3">
      <c r="A113" s="10" t="s">
        <v>4448</v>
      </c>
      <c r="B113" s="10">
        <v>36.67</v>
      </c>
      <c r="C113" s="10">
        <v>5.18</v>
      </c>
      <c r="D113" s="10" t="s">
        <v>4685</v>
      </c>
      <c r="E113" s="10" t="s">
        <v>4683</v>
      </c>
      <c r="F113" s="10" t="s">
        <v>4683</v>
      </c>
      <c r="G113" s="10" t="s">
        <v>4683</v>
      </c>
      <c r="H113" s="14">
        <v>1</v>
      </c>
      <c r="I113" s="10" t="s">
        <v>4684</v>
      </c>
      <c r="J113" s="10" t="str">
        <f t="shared" si="1"/>
        <v>normalweight</v>
      </c>
      <c r="L113" s="30" t="e">
        <v>#N/A</v>
      </c>
    </row>
    <row r="114" spans="1:12" ht="15.75" customHeight="1" x14ac:dyDescent="0.3">
      <c r="A114" s="10" t="s">
        <v>4446</v>
      </c>
      <c r="B114" s="10">
        <v>30.9</v>
      </c>
      <c r="C114" s="10">
        <v>9.4</v>
      </c>
      <c r="D114" s="16" t="s">
        <v>4682</v>
      </c>
      <c r="E114" s="10" t="s">
        <v>4683</v>
      </c>
      <c r="F114" s="10" t="s">
        <v>4683</v>
      </c>
      <c r="G114" s="10" t="s">
        <v>4683</v>
      </c>
      <c r="H114" s="14">
        <v>2</v>
      </c>
      <c r="I114" s="10" t="s">
        <v>4684</v>
      </c>
      <c r="J114" s="10" t="str">
        <f t="shared" si="1"/>
        <v>normalweight</v>
      </c>
      <c r="L114" s="30" t="e">
        <v>#N/A</v>
      </c>
    </row>
    <row r="115" spans="1:12" ht="15.75" customHeight="1" x14ac:dyDescent="0.3">
      <c r="A115" s="10" t="s">
        <v>4444</v>
      </c>
      <c r="B115" s="10">
        <v>30.495000000000001</v>
      </c>
      <c r="C115" s="10">
        <v>6.29</v>
      </c>
      <c r="D115" s="10" t="s">
        <v>4685</v>
      </c>
      <c r="E115" s="10" t="s">
        <v>4683</v>
      </c>
      <c r="F115" s="10" t="s">
        <v>4683</v>
      </c>
      <c r="G115" s="10" t="s">
        <v>4683</v>
      </c>
      <c r="H115" s="14">
        <v>0</v>
      </c>
      <c r="I115" s="10" t="s">
        <v>4684</v>
      </c>
      <c r="J115" s="10" t="str">
        <f t="shared" si="1"/>
        <v>normalweight</v>
      </c>
      <c r="L115" s="30" t="e">
        <v>#N/A</v>
      </c>
    </row>
    <row r="116" spans="1:12" ht="15.75" customHeight="1" x14ac:dyDescent="0.3">
      <c r="A116" s="10" t="s">
        <v>4442</v>
      </c>
      <c r="B116" s="10">
        <v>44.88</v>
      </c>
      <c r="C116" s="10">
        <v>6.04</v>
      </c>
      <c r="D116" s="10" t="s">
        <v>4685</v>
      </c>
      <c r="E116" s="10" t="s">
        <v>4683</v>
      </c>
      <c r="F116" s="10" t="s">
        <v>4683</v>
      </c>
      <c r="G116" s="10" t="s">
        <v>4686</v>
      </c>
      <c r="H116" s="14">
        <v>1</v>
      </c>
      <c r="I116" s="10" t="s">
        <v>4684</v>
      </c>
      <c r="J116" s="10" t="str">
        <f t="shared" si="1"/>
        <v>normalweight</v>
      </c>
      <c r="L116" s="30" t="e">
        <v>#N/A</v>
      </c>
    </row>
    <row r="117" spans="1:12" ht="15.75" customHeight="1" x14ac:dyDescent="0.3">
      <c r="A117" s="10" t="s">
        <v>4440</v>
      </c>
      <c r="B117" s="10">
        <v>44.32</v>
      </c>
      <c r="C117" s="10">
        <v>10.55</v>
      </c>
      <c r="D117" s="16" t="s">
        <v>4682</v>
      </c>
      <c r="E117" s="10" t="s">
        <v>4683</v>
      </c>
      <c r="F117" s="10" t="s">
        <v>4683</v>
      </c>
      <c r="G117" s="10" t="s">
        <v>4683</v>
      </c>
      <c r="H117" s="14">
        <v>0</v>
      </c>
      <c r="I117" s="10" t="s">
        <v>4684</v>
      </c>
      <c r="J117" s="10" t="str">
        <f t="shared" si="1"/>
        <v>normalweight</v>
      </c>
      <c r="L117" s="30" t="e">
        <v>#N/A</v>
      </c>
    </row>
    <row r="118" spans="1:12" ht="15.75" customHeight="1" x14ac:dyDescent="0.3">
      <c r="A118" s="10" t="s">
        <v>4438</v>
      </c>
      <c r="B118" s="10">
        <v>46.39</v>
      </c>
      <c r="C118" s="10">
        <v>5.09</v>
      </c>
      <c r="D118" s="10" t="s">
        <v>4685</v>
      </c>
      <c r="E118" s="10" t="s">
        <v>4683</v>
      </c>
      <c r="F118" s="10" t="s">
        <v>4683</v>
      </c>
      <c r="G118" s="10" t="s">
        <v>4683</v>
      </c>
      <c r="H118" s="14">
        <v>0</v>
      </c>
      <c r="I118" s="10" t="s">
        <v>4684</v>
      </c>
      <c r="J118" s="10" t="str">
        <f t="shared" si="1"/>
        <v>normalweight</v>
      </c>
      <c r="L118" s="30" t="e">
        <v>#N/A</v>
      </c>
    </row>
    <row r="119" spans="1:12" ht="15.75" customHeight="1" x14ac:dyDescent="0.3">
      <c r="A119" s="10" t="s">
        <v>4436</v>
      </c>
      <c r="B119" s="10">
        <v>42.13</v>
      </c>
      <c r="C119" s="10">
        <v>5.2</v>
      </c>
      <c r="D119" s="10" t="s">
        <v>4685</v>
      </c>
      <c r="E119" s="10" t="s">
        <v>4684</v>
      </c>
      <c r="F119" s="10" t="s">
        <v>4683</v>
      </c>
      <c r="G119" s="10" t="s">
        <v>4683</v>
      </c>
      <c r="H119" s="14">
        <v>1</v>
      </c>
      <c r="I119" s="10" t="s">
        <v>4684</v>
      </c>
      <c r="J119" s="10" t="str">
        <f t="shared" si="1"/>
        <v>normalweight</v>
      </c>
      <c r="L119" s="30" t="e">
        <v>#N/A</v>
      </c>
    </row>
    <row r="120" spans="1:12" ht="15.75" customHeight="1" x14ac:dyDescent="0.3">
      <c r="A120" s="10" t="s">
        <v>4434</v>
      </c>
      <c r="B120" s="10">
        <v>30.78</v>
      </c>
      <c r="C120" s="10">
        <v>8.4499999999999993</v>
      </c>
      <c r="D120" s="16" t="s">
        <v>4682</v>
      </c>
      <c r="E120" s="10" t="s">
        <v>4684</v>
      </c>
      <c r="F120" s="10" t="s">
        <v>4683</v>
      </c>
      <c r="G120" s="10" t="s">
        <v>4683</v>
      </c>
      <c r="H120" s="14">
        <v>0</v>
      </c>
      <c r="I120" s="10" t="s">
        <v>4684</v>
      </c>
      <c r="J120" s="10" t="str">
        <f t="shared" si="1"/>
        <v>normalweight</v>
      </c>
      <c r="L120" s="30" t="e">
        <v>#N/A</v>
      </c>
    </row>
    <row r="121" spans="1:12" ht="15.75" customHeight="1" x14ac:dyDescent="0.3">
      <c r="A121" s="10" t="s">
        <v>4432</v>
      </c>
      <c r="B121" s="10">
        <v>31.35</v>
      </c>
      <c r="C121" s="10">
        <v>9.5399999999999991</v>
      </c>
      <c r="D121" s="16" t="s">
        <v>4682</v>
      </c>
      <c r="E121" s="10" t="s">
        <v>4683</v>
      </c>
      <c r="F121" s="10" t="s">
        <v>4683</v>
      </c>
      <c r="G121" s="10" t="s">
        <v>4683</v>
      </c>
      <c r="H121" s="14">
        <v>0</v>
      </c>
      <c r="I121" s="10" t="s">
        <v>4684</v>
      </c>
      <c r="J121" s="10" t="str">
        <f t="shared" si="1"/>
        <v>normalweight</v>
      </c>
      <c r="L121" s="30" t="e">
        <v>#N/A</v>
      </c>
    </row>
    <row r="122" spans="1:12" ht="15.75" customHeight="1" x14ac:dyDescent="0.3">
      <c r="A122" s="10" t="s">
        <v>4430</v>
      </c>
      <c r="B122" s="10">
        <v>41.46</v>
      </c>
      <c r="C122" s="10">
        <v>4.99</v>
      </c>
      <c r="D122" s="10" t="s">
        <v>4685</v>
      </c>
      <c r="E122" s="10" t="s">
        <v>4684</v>
      </c>
      <c r="F122" s="10" t="s">
        <v>4683</v>
      </c>
      <c r="G122" s="10" t="s">
        <v>4683</v>
      </c>
      <c r="H122" s="14">
        <v>2</v>
      </c>
      <c r="I122" s="10" t="s">
        <v>4684</v>
      </c>
      <c r="J122" s="10" t="str">
        <f t="shared" si="1"/>
        <v>normalweight</v>
      </c>
      <c r="L122" s="30" t="e">
        <v>#N/A</v>
      </c>
    </row>
    <row r="123" spans="1:12" ht="15.75" customHeight="1" x14ac:dyDescent="0.3">
      <c r="A123" s="10" t="s">
        <v>4428</v>
      </c>
      <c r="B123" s="10">
        <v>48</v>
      </c>
      <c r="C123" s="10">
        <v>10.54</v>
      </c>
      <c r="D123" s="16" t="s">
        <v>4682</v>
      </c>
      <c r="E123" s="10" t="s">
        <v>4683</v>
      </c>
      <c r="F123" s="10" t="s">
        <v>4683</v>
      </c>
      <c r="G123" s="10" t="s">
        <v>4683</v>
      </c>
      <c r="H123" s="14">
        <v>0</v>
      </c>
      <c r="I123" s="10" t="s">
        <v>4684</v>
      </c>
      <c r="J123" s="10" t="str">
        <f t="shared" si="1"/>
        <v>normalweight</v>
      </c>
      <c r="L123" s="30" t="e">
        <v>#N/A</v>
      </c>
    </row>
    <row r="124" spans="1:12" ht="15.75" customHeight="1" x14ac:dyDescent="0.3">
      <c r="A124" s="10" t="s">
        <v>4426</v>
      </c>
      <c r="B124" s="10">
        <v>49.13</v>
      </c>
      <c r="C124" s="10">
        <v>4.54</v>
      </c>
      <c r="D124" s="10" t="s">
        <v>4685</v>
      </c>
      <c r="E124" s="10" t="s">
        <v>4683</v>
      </c>
      <c r="F124" s="10" t="s">
        <v>4683</v>
      </c>
      <c r="G124" s="10" t="s">
        <v>4683</v>
      </c>
      <c r="H124" s="14">
        <v>0</v>
      </c>
      <c r="I124" s="10" t="s">
        <v>4684</v>
      </c>
      <c r="J124" s="10" t="str">
        <f t="shared" si="1"/>
        <v>normalweight</v>
      </c>
      <c r="L124" s="30" t="e">
        <v>#N/A</v>
      </c>
    </row>
    <row r="125" spans="1:12" ht="15.75" customHeight="1" x14ac:dyDescent="0.3">
      <c r="A125" s="10" t="s">
        <v>4424</v>
      </c>
      <c r="B125" s="10">
        <v>37.799999999999997</v>
      </c>
      <c r="C125" s="10">
        <v>6.29</v>
      </c>
      <c r="D125" s="10" t="s">
        <v>4685</v>
      </c>
      <c r="E125" s="10" t="s">
        <v>4683</v>
      </c>
      <c r="F125" s="10" t="s">
        <v>4683</v>
      </c>
      <c r="G125" s="10" t="s">
        <v>4683</v>
      </c>
      <c r="H125" s="14">
        <v>1</v>
      </c>
      <c r="I125" s="10" t="s">
        <v>4684</v>
      </c>
      <c r="J125" s="10" t="str">
        <f t="shared" si="1"/>
        <v>normalweight</v>
      </c>
      <c r="L125" s="30" t="e">
        <v>#N/A</v>
      </c>
    </row>
    <row r="126" spans="1:12" ht="15.75" customHeight="1" x14ac:dyDescent="0.3">
      <c r="A126" s="10" t="s">
        <v>4422</v>
      </c>
      <c r="B126" s="10">
        <v>38.299999999999997</v>
      </c>
      <c r="C126" s="10">
        <v>9.51</v>
      </c>
      <c r="D126" s="16" t="s">
        <v>4682</v>
      </c>
      <c r="E126" s="10" t="s">
        <v>4683</v>
      </c>
      <c r="F126" s="10" t="s">
        <v>4683</v>
      </c>
      <c r="G126" s="10" t="s">
        <v>4683</v>
      </c>
      <c r="H126" s="14">
        <v>0</v>
      </c>
      <c r="I126" s="10" t="s">
        <v>4684</v>
      </c>
      <c r="J126" s="10" t="str">
        <f t="shared" si="1"/>
        <v>normalweight</v>
      </c>
      <c r="L126" s="30" t="e">
        <v>#N/A</v>
      </c>
    </row>
    <row r="127" spans="1:12" ht="15.75" customHeight="1" x14ac:dyDescent="0.3">
      <c r="A127" s="10" t="s">
        <v>4420</v>
      </c>
      <c r="B127" s="10">
        <v>32.774999999999999</v>
      </c>
      <c r="C127" s="10">
        <v>4.72</v>
      </c>
      <c r="D127" s="10" t="s">
        <v>4685</v>
      </c>
      <c r="E127" s="10" t="s">
        <v>4683</v>
      </c>
      <c r="F127" s="10" t="s">
        <v>4683</v>
      </c>
      <c r="G127" s="10" t="s">
        <v>4683</v>
      </c>
      <c r="H127" s="14">
        <v>0</v>
      </c>
      <c r="I127" s="10" t="s">
        <v>4684</v>
      </c>
      <c r="J127" s="10" t="str">
        <f t="shared" si="1"/>
        <v>normalweight</v>
      </c>
      <c r="L127" s="30" t="e">
        <v>#N/A</v>
      </c>
    </row>
    <row r="128" spans="1:12" ht="15.75" customHeight="1" x14ac:dyDescent="0.3">
      <c r="A128" s="10" t="s">
        <v>4418</v>
      </c>
      <c r="B128" s="10">
        <v>34.200000000000003</v>
      </c>
      <c r="C128" s="10">
        <v>5.91</v>
      </c>
      <c r="D128" s="10" t="s">
        <v>4685</v>
      </c>
      <c r="E128" s="10" t="s">
        <v>4684</v>
      </c>
      <c r="F128" s="10" t="s">
        <v>4683</v>
      </c>
      <c r="G128" s="10" t="s">
        <v>4683</v>
      </c>
      <c r="H128" s="14">
        <v>0</v>
      </c>
      <c r="I128" s="10" t="s">
        <v>4684</v>
      </c>
      <c r="J128" s="10" t="str">
        <f t="shared" si="1"/>
        <v>normalweight</v>
      </c>
      <c r="L128" s="30" t="e">
        <v>#N/A</v>
      </c>
    </row>
    <row r="129" spans="1:12" ht="15.75" customHeight="1" x14ac:dyDescent="0.3">
      <c r="A129" s="10" t="s">
        <v>4416</v>
      </c>
      <c r="B129" s="10">
        <v>30.2</v>
      </c>
      <c r="C129" s="10">
        <v>9.58</v>
      </c>
      <c r="D129" s="16" t="s">
        <v>4682</v>
      </c>
      <c r="E129" s="10" t="s">
        <v>4683</v>
      </c>
      <c r="F129" s="10" t="s">
        <v>4683</v>
      </c>
      <c r="G129" s="10" t="s">
        <v>4683</v>
      </c>
      <c r="H129" s="14">
        <v>0</v>
      </c>
      <c r="I129" s="10" t="s">
        <v>4684</v>
      </c>
      <c r="J129" s="10" t="str">
        <f t="shared" si="1"/>
        <v>normalweight</v>
      </c>
      <c r="L129" s="30" t="e">
        <v>#N/A</v>
      </c>
    </row>
    <row r="130" spans="1:12" ht="15.75" customHeight="1" x14ac:dyDescent="0.3">
      <c r="A130" s="10" t="s">
        <v>4414</v>
      </c>
      <c r="B130" s="10">
        <v>48.32</v>
      </c>
      <c r="C130" s="10">
        <v>5.77</v>
      </c>
      <c r="D130" s="10" t="s">
        <v>4685</v>
      </c>
      <c r="E130" s="10" t="s">
        <v>4683</v>
      </c>
      <c r="F130" s="10" t="s">
        <v>4683</v>
      </c>
      <c r="G130" s="10" t="s">
        <v>4683</v>
      </c>
      <c r="H130" s="14">
        <v>0</v>
      </c>
      <c r="I130" s="10" t="s">
        <v>4684</v>
      </c>
      <c r="J130" s="10" t="str">
        <f t="shared" si="1"/>
        <v>normalweight</v>
      </c>
      <c r="L130" s="30" t="e">
        <v>#N/A</v>
      </c>
    </row>
    <row r="131" spans="1:12" ht="15.75" customHeight="1" x14ac:dyDescent="0.3">
      <c r="A131" s="10" t="s">
        <v>4412</v>
      </c>
      <c r="B131" s="10">
        <v>44.86</v>
      </c>
      <c r="C131" s="10">
        <v>4.38</v>
      </c>
      <c r="D131" s="10" t="s">
        <v>4685</v>
      </c>
      <c r="E131" s="10" t="s">
        <v>4684</v>
      </c>
      <c r="F131" s="10" t="s">
        <v>4683</v>
      </c>
      <c r="G131" s="10" t="s">
        <v>4683</v>
      </c>
      <c r="H131" s="14">
        <v>0</v>
      </c>
      <c r="I131" s="10" t="s">
        <v>4684</v>
      </c>
      <c r="J131" s="10" t="str">
        <f t="shared" si="1"/>
        <v>normalweight</v>
      </c>
      <c r="L131" s="30" t="e">
        <v>#N/A</v>
      </c>
    </row>
    <row r="132" spans="1:12" ht="15.75" customHeight="1" x14ac:dyDescent="0.3">
      <c r="A132" s="10" t="s">
        <v>4410</v>
      </c>
      <c r="B132" s="10">
        <v>52.15</v>
      </c>
      <c r="C132" s="10">
        <v>5.65</v>
      </c>
      <c r="D132" s="10" t="s">
        <v>4685</v>
      </c>
      <c r="E132" s="10" t="s">
        <v>4683</v>
      </c>
      <c r="F132" s="10" t="s">
        <v>4683</v>
      </c>
      <c r="G132" s="10" t="s">
        <v>4683</v>
      </c>
      <c r="H132" s="14">
        <v>1</v>
      </c>
      <c r="I132" s="10" t="s">
        <v>4684</v>
      </c>
      <c r="J132" s="10" t="str">
        <f t="shared" si="1"/>
        <v>normalweight</v>
      </c>
      <c r="L132" s="30" t="e">
        <v>#N/A</v>
      </c>
    </row>
    <row r="133" spans="1:12" ht="15.75" customHeight="1" x14ac:dyDescent="0.3">
      <c r="A133" s="10" t="s">
        <v>4408</v>
      </c>
      <c r="B133" s="10">
        <v>41.12</v>
      </c>
      <c r="C133" s="10">
        <v>7.54</v>
      </c>
      <c r="D133" s="16" t="s">
        <v>4682</v>
      </c>
      <c r="E133" s="10" t="s">
        <v>4684</v>
      </c>
      <c r="F133" s="10" t="s">
        <v>4683</v>
      </c>
      <c r="G133" s="10" t="s">
        <v>4683</v>
      </c>
      <c r="H133" s="14">
        <v>0</v>
      </c>
      <c r="I133" s="10" t="s">
        <v>4684</v>
      </c>
      <c r="J133" s="10" t="str">
        <f t="shared" si="1"/>
        <v>normalweight</v>
      </c>
      <c r="L133" s="30" t="e">
        <v>#N/A</v>
      </c>
    </row>
    <row r="134" spans="1:12" ht="15.75" customHeight="1" x14ac:dyDescent="0.3">
      <c r="A134" s="10" t="s">
        <v>4406</v>
      </c>
      <c r="B134" s="10">
        <v>38.39</v>
      </c>
      <c r="C134" s="10">
        <v>5.1100000000000003</v>
      </c>
      <c r="D134" s="10" t="s">
        <v>4685</v>
      </c>
      <c r="E134" s="10" t="s">
        <v>4684</v>
      </c>
      <c r="F134" s="10" t="s">
        <v>4683</v>
      </c>
      <c r="G134" s="10" t="s">
        <v>4683</v>
      </c>
      <c r="H134" s="14">
        <v>1</v>
      </c>
      <c r="I134" s="10" t="s">
        <v>4684</v>
      </c>
      <c r="J134" s="10" t="str">
        <f t="shared" si="1"/>
        <v>normalweight</v>
      </c>
      <c r="L134" s="30" t="e">
        <v>#N/A</v>
      </c>
    </row>
    <row r="135" spans="1:12" ht="15.75" customHeight="1" x14ac:dyDescent="0.3">
      <c r="A135" s="10" t="s">
        <v>4404</v>
      </c>
      <c r="B135" s="10">
        <v>46.85</v>
      </c>
      <c r="C135" s="10">
        <v>4.25</v>
      </c>
      <c r="D135" s="10" t="s">
        <v>4685</v>
      </c>
      <c r="E135" s="10" t="s">
        <v>4683</v>
      </c>
      <c r="F135" s="10" t="s">
        <v>4683</v>
      </c>
      <c r="G135" s="10" t="s">
        <v>4686</v>
      </c>
      <c r="H135" s="14">
        <v>1</v>
      </c>
      <c r="I135" s="10" t="s">
        <v>4684</v>
      </c>
      <c r="J135" s="10" t="str">
        <f t="shared" si="1"/>
        <v>normalweight</v>
      </c>
      <c r="L135" s="30" t="e">
        <v>#N/A</v>
      </c>
    </row>
    <row r="136" spans="1:12" ht="15.75" customHeight="1" x14ac:dyDescent="0.3">
      <c r="A136" s="10" t="s">
        <v>4402</v>
      </c>
      <c r="B136" s="10">
        <v>42.24</v>
      </c>
      <c r="C136" s="10">
        <v>5.55</v>
      </c>
      <c r="D136" s="10" t="s">
        <v>4685</v>
      </c>
      <c r="E136" s="10" t="s">
        <v>4683</v>
      </c>
      <c r="F136" s="10" t="s">
        <v>4684</v>
      </c>
      <c r="G136" s="10" t="s">
        <v>4683</v>
      </c>
      <c r="H136" s="14">
        <v>1</v>
      </c>
      <c r="I136" s="10" t="s">
        <v>4684</v>
      </c>
      <c r="J136" s="10" t="str">
        <f t="shared" si="1"/>
        <v>normalweight</v>
      </c>
      <c r="L136" s="30" t="e">
        <v>#N/A</v>
      </c>
    </row>
    <row r="137" spans="1:12" ht="15.75" customHeight="1" x14ac:dyDescent="0.3">
      <c r="A137" s="10" t="s">
        <v>4400</v>
      </c>
      <c r="B137" s="10">
        <v>34.39</v>
      </c>
      <c r="C137" s="10">
        <v>5.78</v>
      </c>
      <c r="D137" s="10" t="s">
        <v>4685</v>
      </c>
      <c r="E137" s="10" t="s">
        <v>4683</v>
      </c>
      <c r="F137" s="10" t="s">
        <v>4683</v>
      </c>
      <c r="G137" s="10" t="s">
        <v>4683</v>
      </c>
      <c r="H137" s="14">
        <v>0</v>
      </c>
      <c r="I137" s="10" t="s">
        <v>4684</v>
      </c>
      <c r="J137" s="10" t="str">
        <f t="shared" si="1"/>
        <v>normalweight</v>
      </c>
      <c r="L137" s="30" t="e">
        <v>#N/A</v>
      </c>
    </row>
    <row r="138" spans="1:12" ht="15.75" customHeight="1" x14ac:dyDescent="0.3">
      <c r="A138" s="10" t="s">
        <v>4398</v>
      </c>
      <c r="B138" s="10">
        <v>42.89</v>
      </c>
      <c r="C138" s="10">
        <v>5.28</v>
      </c>
      <c r="D138" s="10" t="s">
        <v>4685</v>
      </c>
      <c r="E138" s="10" t="s">
        <v>4684</v>
      </c>
      <c r="F138" s="10" t="s">
        <v>4683</v>
      </c>
      <c r="G138" s="10" t="s">
        <v>4683</v>
      </c>
      <c r="H138" s="14">
        <v>0</v>
      </c>
      <c r="I138" s="10" t="s">
        <v>4684</v>
      </c>
      <c r="J138" s="10" t="str">
        <f t="shared" si="1"/>
        <v>normalweight</v>
      </c>
      <c r="L138" s="30" t="e">
        <v>#N/A</v>
      </c>
    </row>
    <row r="139" spans="1:12" ht="15.75" customHeight="1" x14ac:dyDescent="0.3">
      <c r="A139" s="10" t="s">
        <v>4396</v>
      </c>
      <c r="B139" s="10">
        <v>36.299999999999997</v>
      </c>
      <c r="C139" s="10">
        <v>5.39</v>
      </c>
      <c r="D139" s="10" t="s">
        <v>4685</v>
      </c>
      <c r="E139" s="10" t="s">
        <v>4683</v>
      </c>
      <c r="F139" s="10" t="s">
        <v>4683</v>
      </c>
      <c r="G139" s="10" t="s">
        <v>4683</v>
      </c>
      <c r="H139" s="14">
        <v>0</v>
      </c>
      <c r="I139" s="10" t="s">
        <v>4684</v>
      </c>
      <c r="J139" s="10" t="str">
        <f t="shared" si="1"/>
        <v>normalweight</v>
      </c>
      <c r="L139" s="30" t="e">
        <v>#N/A</v>
      </c>
    </row>
    <row r="140" spans="1:12" ht="15.75" customHeight="1" x14ac:dyDescent="0.3">
      <c r="A140" s="10" t="s">
        <v>4394</v>
      </c>
      <c r="B140" s="10">
        <v>35.200000000000003</v>
      </c>
      <c r="C140" s="10">
        <v>8.01</v>
      </c>
      <c r="D140" s="16" t="s">
        <v>4682</v>
      </c>
      <c r="E140" s="10" t="s">
        <v>4684</v>
      </c>
      <c r="F140" s="10" t="s">
        <v>4683</v>
      </c>
      <c r="G140" s="10" t="s">
        <v>4683</v>
      </c>
      <c r="H140" s="14">
        <v>1</v>
      </c>
      <c r="I140" s="10" t="s">
        <v>4684</v>
      </c>
      <c r="J140" s="10" t="str">
        <f t="shared" si="1"/>
        <v>normalweight</v>
      </c>
      <c r="L140" s="30" t="e">
        <v>#N/A</v>
      </c>
    </row>
    <row r="141" spans="1:12" ht="15.75" customHeight="1" x14ac:dyDescent="0.3">
      <c r="A141" s="10" t="s">
        <v>4392</v>
      </c>
      <c r="B141" s="10">
        <v>53.62</v>
      </c>
      <c r="C141" s="10">
        <v>5.21</v>
      </c>
      <c r="D141" s="10" t="s">
        <v>4685</v>
      </c>
      <c r="E141" s="10" t="s">
        <v>4683</v>
      </c>
      <c r="F141" s="10" t="s">
        <v>4683</v>
      </c>
      <c r="G141" s="10" t="s">
        <v>4683</v>
      </c>
      <c r="H141" s="14">
        <v>0</v>
      </c>
      <c r="I141" s="10" t="s">
        <v>4684</v>
      </c>
      <c r="J141" s="10" t="str">
        <f t="shared" si="1"/>
        <v>normalweight</v>
      </c>
      <c r="L141" s="30" t="e">
        <v>#N/A</v>
      </c>
    </row>
    <row r="142" spans="1:12" ht="15.75" customHeight="1" x14ac:dyDescent="0.3">
      <c r="A142" s="10" t="s">
        <v>4390</v>
      </c>
      <c r="B142" s="10">
        <v>36.67</v>
      </c>
      <c r="C142" s="10">
        <v>6.27</v>
      </c>
      <c r="D142" s="10" t="s">
        <v>4685</v>
      </c>
      <c r="E142" s="10" t="s">
        <v>4683</v>
      </c>
      <c r="F142" s="10" t="s">
        <v>4683</v>
      </c>
      <c r="G142" s="10" t="s">
        <v>4683</v>
      </c>
      <c r="H142" s="14">
        <v>0</v>
      </c>
      <c r="I142" s="10" t="s">
        <v>4684</v>
      </c>
      <c r="J142" s="10" t="str">
        <f t="shared" si="1"/>
        <v>normalweight</v>
      </c>
      <c r="L142" s="30" t="e">
        <v>#N/A</v>
      </c>
    </row>
    <row r="143" spans="1:12" ht="15.75" customHeight="1" x14ac:dyDescent="0.3">
      <c r="A143" s="10" t="s">
        <v>4388</v>
      </c>
      <c r="B143" s="10">
        <v>33.4</v>
      </c>
      <c r="C143" s="10">
        <v>10.73</v>
      </c>
      <c r="D143" s="16" t="s">
        <v>4682</v>
      </c>
      <c r="E143" s="10" t="s">
        <v>4684</v>
      </c>
      <c r="F143" s="10" t="s">
        <v>4683</v>
      </c>
      <c r="G143" s="10" t="s">
        <v>4683</v>
      </c>
      <c r="H143" s="14">
        <v>1</v>
      </c>
      <c r="I143" s="10" t="s">
        <v>4684</v>
      </c>
      <c r="J143" s="10" t="str">
        <f t="shared" si="1"/>
        <v>normalweight</v>
      </c>
      <c r="L143" s="30" t="e">
        <v>#N/A</v>
      </c>
    </row>
    <row r="144" spans="1:12" ht="15.75" customHeight="1" x14ac:dyDescent="0.3">
      <c r="A144" s="10" t="s">
        <v>4386</v>
      </c>
      <c r="B144" s="10">
        <v>42.71</v>
      </c>
      <c r="C144" s="10">
        <v>10.52</v>
      </c>
      <c r="D144" s="16" t="s">
        <v>4682</v>
      </c>
      <c r="E144" s="10" t="s">
        <v>4683</v>
      </c>
      <c r="F144" s="10" t="s">
        <v>4683</v>
      </c>
      <c r="G144" s="10" t="s">
        <v>4683</v>
      </c>
      <c r="H144" s="14">
        <v>0</v>
      </c>
      <c r="I144" s="10" t="s">
        <v>4684</v>
      </c>
      <c r="J144" s="10" t="str">
        <f t="shared" si="1"/>
        <v>normalweight</v>
      </c>
      <c r="L144" s="30" t="e">
        <v>#N/A</v>
      </c>
    </row>
    <row r="145" spans="1:12" ht="15.75" customHeight="1" x14ac:dyDescent="0.3">
      <c r="A145" s="10" t="s">
        <v>4384</v>
      </c>
      <c r="B145" s="10">
        <v>41.52</v>
      </c>
      <c r="C145" s="10">
        <v>11.82</v>
      </c>
      <c r="D145" s="16" t="s">
        <v>4682</v>
      </c>
      <c r="E145" s="10" t="s">
        <v>4684</v>
      </c>
      <c r="F145" s="10" t="s">
        <v>4683</v>
      </c>
      <c r="G145" s="10" t="s">
        <v>4683</v>
      </c>
      <c r="H145" s="14">
        <v>2</v>
      </c>
      <c r="I145" s="10" t="s">
        <v>4684</v>
      </c>
      <c r="J145" s="10" t="str">
        <f t="shared" si="1"/>
        <v>normalweight</v>
      </c>
      <c r="L145" s="30" t="e">
        <v>#N/A</v>
      </c>
    </row>
    <row r="146" spans="1:12" ht="15.75" customHeight="1" x14ac:dyDescent="0.3">
      <c r="A146" s="10" t="s">
        <v>4382</v>
      </c>
      <c r="B146" s="10">
        <v>39.4</v>
      </c>
      <c r="C146" s="10">
        <v>6.76</v>
      </c>
      <c r="D146" s="16" t="s">
        <v>4682</v>
      </c>
      <c r="E146" s="10" t="s">
        <v>4683</v>
      </c>
      <c r="F146" s="10" t="s">
        <v>4683</v>
      </c>
      <c r="G146" s="10" t="s">
        <v>4683</v>
      </c>
      <c r="H146" s="14">
        <v>0</v>
      </c>
      <c r="I146" s="10" t="s">
        <v>4684</v>
      </c>
      <c r="J146" s="10" t="str">
        <f t="shared" si="1"/>
        <v>normalweight</v>
      </c>
      <c r="L146" s="30" t="e">
        <v>#N/A</v>
      </c>
    </row>
    <row r="147" spans="1:12" ht="15.75" customHeight="1" x14ac:dyDescent="0.3">
      <c r="A147" s="10" t="s">
        <v>4380</v>
      </c>
      <c r="B147" s="10">
        <v>46.45</v>
      </c>
      <c r="C147" s="10">
        <v>5.62</v>
      </c>
      <c r="D147" s="10" t="s">
        <v>4685</v>
      </c>
      <c r="E147" s="10" t="s">
        <v>4683</v>
      </c>
      <c r="F147" s="10" t="s">
        <v>4683</v>
      </c>
      <c r="G147" s="10" t="s">
        <v>4683</v>
      </c>
      <c r="H147" s="14">
        <v>0</v>
      </c>
      <c r="I147" s="10" t="s">
        <v>4684</v>
      </c>
      <c r="J147" s="10" t="str">
        <f t="shared" si="1"/>
        <v>normalweight</v>
      </c>
      <c r="L147" s="30" t="e">
        <v>#N/A</v>
      </c>
    </row>
    <row r="148" spans="1:12" ht="15.75" customHeight="1" x14ac:dyDescent="0.3">
      <c r="A148" s="10" t="s">
        <v>4378</v>
      </c>
      <c r="B148" s="10">
        <v>35.75</v>
      </c>
      <c r="C148" s="10">
        <v>4.1900000000000004</v>
      </c>
      <c r="D148" s="10" t="s">
        <v>4685</v>
      </c>
      <c r="E148" s="10" t="s">
        <v>4683</v>
      </c>
      <c r="F148" s="10" t="s">
        <v>4683</v>
      </c>
      <c r="G148" s="10" t="s">
        <v>4683</v>
      </c>
      <c r="H148" s="14">
        <v>0</v>
      </c>
      <c r="I148" s="10" t="s">
        <v>4684</v>
      </c>
      <c r="J148" s="10" t="str">
        <f t="shared" si="1"/>
        <v>normalweight</v>
      </c>
      <c r="L148" s="30" t="e">
        <v>#N/A</v>
      </c>
    </row>
    <row r="149" spans="1:12" ht="15.75" customHeight="1" x14ac:dyDescent="0.3">
      <c r="A149" s="10" t="s">
        <v>4376</v>
      </c>
      <c r="B149" s="10">
        <v>26.07</v>
      </c>
      <c r="C149" s="10">
        <v>5.32</v>
      </c>
      <c r="D149" s="10" t="s">
        <v>4685</v>
      </c>
      <c r="E149" s="10" t="s">
        <v>4683</v>
      </c>
      <c r="F149" s="10" t="s">
        <v>4683</v>
      </c>
      <c r="G149" s="10" t="s">
        <v>4683</v>
      </c>
      <c r="H149" s="14">
        <v>0</v>
      </c>
      <c r="I149" s="10" t="s">
        <v>4684</v>
      </c>
      <c r="J149" s="10" t="str">
        <f t="shared" si="1"/>
        <v>normalweight</v>
      </c>
      <c r="L149" s="30" t="e">
        <v>#N/A</v>
      </c>
    </row>
    <row r="150" spans="1:12" ht="15.75" customHeight="1" x14ac:dyDescent="0.3">
      <c r="A150" s="10" t="s">
        <v>4374</v>
      </c>
      <c r="B150" s="10">
        <v>36.54</v>
      </c>
      <c r="C150" s="10">
        <v>4.46</v>
      </c>
      <c r="D150" s="10" t="s">
        <v>4685</v>
      </c>
      <c r="E150" s="10" t="s">
        <v>4684</v>
      </c>
      <c r="F150" s="10" t="s">
        <v>4683</v>
      </c>
      <c r="G150" s="10" t="s">
        <v>4683</v>
      </c>
      <c r="H150" s="14">
        <v>1</v>
      </c>
      <c r="I150" s="10" t="s">
        <v>4684</v>
      </c>
      <c r="J150" s="10" t="str">
        <f t="shared" si="1"/>
        <v>normalweight</v>
      </c>
      <c r="L150" s="30" t="e">
        <v>#N/A</v>
      </c>
    </row>
    <row r="151" spans="1:12" ht="15.75" customHeight="1" x14ac:dyDescent="0.3">
      <c r="A151" s="10" t="s">
        <v>4372</v>
      </c>
      <c r="B151" s="10">
        <v>51.64</v>
      </c>
      <c r="C151" s="10">
        <v>5.65</v>
      </c>
      <c r="D151" s="10" t="s">
        <v>4685</v>
      </c>
      <c r="E151" s="10" t="s">
        <v>4683</v>
      </c>
      <c r="F151" s="10" t="s">
        <v>4683</v>
      </c>
      <c r="G151" s="10" t="s">
        <v>4683</v>
      </c>
      <c r="H151" s="14">
        <v>0</v>
      </c>
      <c r="I151" s="10" t="s">
        <v>4684</v>
      </c>
      <c r="J151" s="10" t="str">
        <f t="shared" si="1"/>
        <v>normalweight</v>
      </c>
      <c r="L151" s="30" t="e">
        <v>#N/A</v>
      </c>
    </row>
    <row r="152" spans="1:12" ht="15.75" customHeight="1" x14ac:dyDescent="0.3">
      <c r="A152" s="10" t="s">
        <v>4370</v>
      </c>
      <c r="B152" s="10">
        <v>42.83</v>
      </c>
      <c r="C152" s="10">
        <v>6.04</v>
      </c>
      <c r="D152" s="10" t="s">
        <v>4685</v>
      </c>
      <c r="E152" s="10" t="s">
        <v>4683</v>
      </c>
      <c r="F152" s="10" t="s">
        <v>4683</v>
      </c>
      <c r="G152" s="10" t="s">
        <v>4683</v>
      </c>
      <c r="H152" s="14">
        <v>2</v>
      </c>
      <c r="I152" s="10" t="s">
        <v>4684</v>
      </c>
      <c r="J152" s="10" t="str">
        <f t="shared" si="1"/>
        <v>normalweight</v>
      </c>
      <c r="L152" s="30" t="e">
        <v>#N/A</v>
      </c>
    </row>
    <row r="153" spans="1:12" ht="15.75" customHeight="1" x14ac:dyDescent="0.3">
      <c r="A153" s="10" t="s">
        <v>4368</v>
      </c>
      <c r="B153" s="10">
        <v>40.15</v>
      </c>
      <c r="C153" s="10">
        <v>5.76</v>
      </c>
      <c r="D153" s="10" t="s">
        <v>4685</v>
      </c>
      <c r="E153" s="10" t="s">
        <v>4683</v>
      </c>
      <c r="F153" s="10" t="s">
        <v>4683</v>
      </c>
      <c r="G153" s="10" t="s">
        <v>4683</v>
      </c>
      <c r="H153" s="14">
        <v>1</v>
      </c>
      <c r="I153" s="10" t="s">
        <v>4684</v>
      </c>
      <c r="J153" s="10" t="str">
        <f t="shared" si="1"/>
        <v>normalweight</v>
      </c>
      <c r="L153" s="30" t="e">
        <v>#N/A</v>
      </c>
    </row>
    <row r="154" spans="1:12" ht="15.75" customHeight="1" x14ac:dyDescent="0.3">
      <c r="A154" s="10" t="s">
        <v>4366</v>
      </c>
      <c r="B154" s="10">
        <v>27.8</v>
      </c>
      <c r="C154" s="10">
        <v>4.3600000000000003</v>
      </c>
      <c r="D154" s="10" t="s">
        <v>4685</v>
      </c>
      <c r="E154" s="10" t="s">
        <v>4683</v>
      </c>
      <c r="F154" s="10" t="s">
        <v>4683</v>
      </c>
      <c r="G154" s="10" t="s">
        <v>4686</v>
      </c>
      <c r="H154" s="14">
        <v>1</v>
      </c>
      <c r="I154" s="10" t="s">
        <v>4684</v>
      </c>
      <c r="J154" s="10" t="str">
        <f t="shared" si="1"/>
        <v>normalweight</v>
      </c>
      <c r="L154" s="30" t="e">
        <v>#N/A</v>
      </c>
    </row>
    <row r="155" spans="1:12" ht="15.75" customHeight="1" x14ac:dyDescent="0.3">
      <c r="A155" s="10" t="s">
        <v>4364</v>
      </c>
      <c r="B155" s="10">
        <v>45.81</v>
      </c>
      <c r="C155" s="10">
        <v>4.76</v>
      </c>
      <c r="D155" s="10" t="s">
        <v>4685</v>
      </c>
      <c r="E155" s="10" t="s">
        <v>4684</v>
      </c>
      <c r="F155" s="10" t="s">
        <v>4683</v>
      </c>
      <c r="G155" s="10" t="s">
        <v>4686</v>
      </c>
      <c r="H155" s="14">
        <v>1</v>
      </c>
      <c r="I155" s="10" t="s">
        <v>4684</v>
      </c>
      <c r="J155" s="10" t="str">
        <f t="shared" si="1"/>
        <v>normalweight</v>
      </c>
      <c r="L155" s="30" t="e">
        <v>#N/A</v>
      </c>
    </row>
    <row r="156" spans="1:12" ht="15.75" customHeight="1" x14ac:dyDescent="0.3">
      <c r="A156" s="10" t="s">
        <v>4362</v>
      </c>
      <c r="B156" s="10">
        <v>34.43</v>
      </c>
      <c r="C156" s="10">
        <v>10.82</v>
      </c>
      <c r="D156" s="16" t="s">
        <v>4682</v>
      </c>
      <c r="E156" s="10" t="s">
        <v>4684</v>
      </c>
      <c r="F156" s="10" t="s">
        <v>4683</v>
      </c>
      <c r="G156" s="10" t="s">
        <v>4683</v>
      </c>
      <c r="H156" s="14">
        <v>1</v>
      </c>
      <c r="I156" s="10" t="s">
        <v>4684</v>
      </c>
      <c r="J156" s="10" t="str">
        <f t="shared" si="1"/>
        <v>normalweight</v>
      </c>
      <c r="L156" s="30" t="e">
        <v>#N/A</v>
      </c>
    </row>
    <row r="157" spans="1:12" ht="15.75" customHeight="1" x14ac:dyDescent="0.3">
      <c r="A157" s="10" t="s">
        <v>4360</v>
      </c>
      <c r="B157" s="10">
        <v>41.33</v>
      </c>
      <c r="C157" s="10">
        <v>4.01</v>
      </c>
      <c r="D157" s="10" t="s">
        <v>4685</v>
      </c>
      <c r="E157" s="10" t="s">
        <v>4684</v>
      </c>
      <c r="F157" s="10" t="s">
        <v>4683</v>
      </c>
      <c r="G157" s="10" t="s">
        <v>4683</v>
      </c>
      <c r="H157" s="14">
        <v>0</v>
      </c>
      <c r="I157" s="10" t="s">
        <v>4684</v>
      </c>
      <c r="J157" s="10" t="str">
        <f t="shared" si="1"/>
        <v>normalweight</v>
      </c>
      <c r="L157" s="30" t="e">
        <v>#N/A</v>
      </c>
    </row>
    <row r="158" spans="1:12" ht="15.75" customHeight="1" x14ac:dyDescent="0.3">
      <c r="A158" s="10" t="s">
        <v>4358</v>
      </c>
      <c r="B158" s="10">
        <v>31.92</v>
      </c>
      <c r="C158" s="10">
        <v>5.12</v>
      </c>
      <c r="D158" s="10" t="s">
        <v>4685</v>
      </c>
      <c r="E158" s="10" t="s">
        <v>4684</v>
      </c>
      <c r="F158" s="10" t="s">
        <v>4683</v>
      </c>
      <c r="G158" s="10" t="s">
        <v>4683</v>
      </c>
      <c r="H158" s="14">
        <v>1</v>
      </c>
      <c r="I158" s="10" t="s">
        <v>4684</v>
      </c>
      <c r="J158" s="10" t="str">
        <f t="shared" si="1"/>
        <v>normalweight</v>
      </c>
      <c r="L158" s="30" t="e">
        <v>#N/A</v>
      </c>
    </row>
    <row r="159" spans="1:12" ht="15.75" customHeight="1" x14ac:dyDescent="0.3">
      <c r="A159" s="10" t="s">
        <v>4356</v>
      </c>
      <c r="B159" s="10">
        <v>39.799999999999997</v>
      </c>
      <c r="C159" s="10">
        <v>10.54</v>
      </c>
      <c r="D159" s="16" t="s">
        <v>4682</v>
      </c>
      <c r="E159" s="10" t="s">
        <v>4684</v>
      </c>
      <c r="F159" s="10" t="s">
        <v>4683</v>
      </c>
      <c r="G159" s="10" t="s">
        <v>4683</v>
      </c>
      <c r="H159" s="14">
        <v>2</v>
      </c>
      <c r="I159" s="10" t="s">
        <v>4684</v>
      </c>
      <c r="J159" s="10" t="str">
        <f t="shared" si="1"/>
        <v>normalweight</v>
      </c>
      <c r="L159" s="30" t="e">
        <v>#N/A</v>
      </c>
    </row>
    <row r="160" spans="1:12" ht="15.75" customHeight="1" x14ac:dyDescent="0.3">
      <c r="A160" s="10" t="s">
        <v>4354</v>
      </c>
      <c r="B160" s="10">
        <v>42.82</v>
      </c>
      <c r="C160" s="10">
        <v>4.21</v>
      </c>
      <c r="D160" s="10" t="s">
        <v>4685</v>
      </c>
      <c r="E160" s="10" t="s">
        <v>4683</v>
      </c>
      <c r="F160" s="10" t="s">
        <v>4683</v>
      </c>
      <c r="G160" s="10" t="s">
        <v>4683</v>
      </c>
      <c r="H160" s="14">
        <v>0</v>
      </c>
      <c r="I160" s="10" t="s">
        <v>4684</v>
      </c>
      <c r="J160" s="10" t="str">
        <f t="shared" si="1"/>
        <v>normalweight</v>
      </c>
      <c r="L160" s="30" t="e">
        <v>#N/A</v>
      </c>
    </row>
    <row r="161" spans="1:12" ht="15.75" customHeight="1" x14ac:dyDescent="0.3">
      <c r="A161" s="10" t="s">
        <v>4352</v>
      </c>
      <c r="B161" s="10">
        <v>33.630000000000003</v>
      </c>
      <c r="C161" s="10">
        <v>5.42</v>
      </c>
      <c r="D161" s="10" t="s">
        <v>4685</v>
      </c>
      <c r="E161" s="10" t="s">
        <v>4683</v>
      </c>
      <c r="F161" s="10" t="s">
        <v>4683</v>
      </c>
      <c r="G161" s="10" t="s">
        <v>4683</v>
      </c>
      <c r="H161" s="14">
        <v>0</v>
      </c>
      <c r="I161" s="10" t="s">
        <v>4684</v>
      </c>
      <c r="J161" s="10" t="str">
        <f t="shared" si="1"/>
        <v>normalweight</v>
      </c>
      <c r="L161" s="30" t="e">
        <v>#N/A</v>
      </c>
    </row>
    <row r="162" spans="1:12" ht="15.75" customHeight="1" x14ac:dyDescent="0.3">
      <c r="A162" s="10" t="s">
        <v>4350</v>
      </c>
      <c r="B162" s="10">
        <v>37.07</v>
      </c>
      <c r="C162" s="10">
        <v>4.28</v>
      </c>
      <c r="D162" s="10" t="s">
        <v>4685</v>
      </c>
      <c r="E162" s="10" t="s">
        <v>4683</v>
      </c>
      <c r="F162" s="10" t="s">
        <v>4684</v>
      </c>
      <c r="G162" s="10" t="s">
        <v>4683</v>
      </c>
      <c r="H162" s="14">
        <v>1</v>
      </c>
      <c r="I162" s="10" t="s">
        <v>4684</v>
      </c>
      <c r="J162" s="10" t="str">
        <f t="shared" si="1"/>
        <v>normalweight</v>
      </c>
      <c r="L162" s="30" t="e">
        <v>#N/A</v>
      </c>
    </row>
    <row r="163" spans="1:12" ht="15.75" customHeight="1" x14ac:dyDescent="0.3">
      <c r="A163" s="10" t="s">
        <v>4348</v>
      </c>
      <c r="B163" s="10">
        <v>35.625</v>
      </c>
      <c r="C163" s="10">
        <v>8.9</v>
      </c>
      <c r="D163" s="16" t="s">
        <v>4682</v>
      </c>
      <c r="E163" s="10" t="s">
        <v>4683</v>
      </c>
      <c r="F163" s="10" t="s">
        <v>4683</v>
      </c>
      <c r="G163" s="10" t="s">
        <v>4683</v>
      </c>
      <c r="H163" s="14">
        <v>0</v>
      </c>
      <c r="I163" s="10" t="s">
        <v>4684</v>
      </c>
      <c r="J163" s="10" t="str">
        <f t="shared" si="1"/>
        <v>normalweight</v>
      </c>
      <c r="L163" s="30" t="e">
        <v>#N/A</v>
      </c>
    </row>
    <row r="164" spans="1:12" ht="15.75" customHeight="1" x14ac:dyDescent="0.3">
      <c r="A164" s="10" t="s">
        <v>4346</v>
      </c>
      <c r="B164" s="10">
        <v>42.69</v>
      </c>
      <c r="C164" s="10">
        <v>4.8899999999999997</v>
      </c>
      <c r="D164" s="10" t="s">
        <v>4685</v>
      </c>
      <c r="E164" s="10" t="s">
        <v>4683</v>
      </c>
      <c r="F164" s="10" t="s">
        <v>4683</v>
      </c>
      <c r="G164" s="10" t="s">
        <v>4686</v>
      </c>
      <c r="H164" s="14">
        <v>1</v>
      </c>
      <c r="I164" s="10" t="s">
        <v>4684</v>
      </c>
      <c r="J164" s="10" t="str">
        <f t="shared" si="1"/>
        <v>normalweight</v>
      </c>
      <c r="L164" s="30" t="e">
        <v>#N/A</v>
      </c>
    </row>
    <row r="165" spans="1:12" ht="15.75" customHeight="1" x14ac:dyDescent="0.3">
      <c r="A165" s="10" t="s">
        <v>4344</v>
      </c>
      <c r="B165" s="10">
        <v>37.869999999999997</v>
      </c>
      <c r="C165" s="10">
        <v>4.29</v>
      </c>
      <c r="D165" s="10" t="s">
        <v>4685</v>
      </c>
      <c r="E165" s="10" t="s">
        <v>4684</v>
      </c>
      <c r="F165" s="10" t="s">
        <v>4683</v>
      </c>
      <c r="G165" s="10" t="s">
        <v>4686</v>
      </c>
      <c r="H165" s="14">
        <v>1</v>
      </c>
      <c r="I165" s="10" t="s">
        <v>4684</v>
      </c>
      <c r="J165" s="10" t="str">
        <f t="shared" si="1"/>
        <v>normalweight</v>
      </c>
      <c r="L165" s="30" t="e">
        <v>#N/A</v>
      </c>
    </row>
    <row r="166" spans="1:12" ht="15.75" customHeight="1" x14ac:dyDescent="0.3">
      <c r="A166" s="10" t="s">
        <v>4342</v>
      </c>
      <c r="B166" s="10">
        <v>40.61</v>
      </c>
      <c r="C166" s="10">
        <v>8</v>
      </c>
      <c r="D166" s="16" t="s">
        <v>4682</v>
      </c>
      <c r="E166" s="10" t="s">
        <v>4684</v>
      </c>
      <c r="F166" s="10" t="s">
        <v>4683</v>
      </c>
      <c r="G166" s="10" t="s">
        <v>4683</v>
      </c>
      <c r="H166" s="14">
        <v>1</v>
      </c>
      <c r="I166" s="10" t="s">
        <v>4684</v>
      </c>
      <c r="J166" s="10" t="str">
        <f t="shared" si="1"/>
        <v>normalweight</v>
      </c>
      <c r="L166" s="30" t="e">
        <v>#N/A</v>
      </c>
    </row>
    <row r="167" spans="1:12" ht="15.75" customHeight="1" x14ac:dyDescent="0.3">
      <c r="A167" s="10" t="s">
        <v>4340</v>
      </c>
      <c r="B167" s="10">
        <v>30.78</v>
      </c>
      <c r="C167" s="10">
        <v>4.67</v>
      </c>
      <c r="D167" s="10" t="s">
        <v>4685</v>
      </c>
      <c r="E167" s="10" t="s">
        <v>4684</v>
      </c>
      <c r="F167" s="10" t="s">
        <v>4683</v>
      </c>
      <c r="G167" s="10" t="s">
        <v>4683</v>
      </c>
      <c r="H167" s="14">
        <v>0</v>
      </c>
      <c r="I167" s="10" t="s">
        <v>4684</v>
      </c>
      <c r="J167" s="10" t="str">
        <f t="shared" si="1"/>
        <v>normalweight</v>
      </c>
      <c r="L167" s="30" t="e">
        <v>#N/A</v>
      </c>
    </row>
    <row r="168" spans="1:12" ht="15.75" customHeight="1" x14ac:dyDescent="0.3">
      <c r="A168" s="10" t="s">
        <v>4338</v>
      </c>
      <c r="B168" s="10">
        <v>49.49</v>
      </c>
      <c r="C168" s="10">
        <v>4.5</v>
      </c>
      <c r="D168" s="10" t="s">
        <v>4685</v>
      </c>
      <c r="E168" s="10" t="s">
        <v>4683</v>
      </c>
      <c r="F168" s="10" t="s">
        <v>4683</v>
      </c>
      <c r="G168" s="10" t="s">
        <v>4683</v>
      </c>
      <c r="H168" s="14">
        <v>0</v>
      </c>
      <c r="I168" s="10" t="s">
        <v>4684</v>
      </c>
      <c r="J168" s="10" t="str">
        <f t="shared" si="1"/>
        <v>normalweight</v>
      </c>
      <c r="L168" s="30" t="e">
        <v>#N/A</v>
      </c>
    </row>
    <row r="169" spans="1:12" ht="15.75" customHeight="1" x14ac:dyDescent="0.3">
      <c r="A169" s="10" t="s">
        <v>4336</v>
      </c>
      <c r="B169" s="10">
        <v>37.619999999999997</v>
      </c>
      <c r="C169" s="10">
        <v>6.32</v>
      </c>
      <c r="D169" s="10" t="s">
        <v>4685</v>
      </c>
      <c r="E169" s="10" t="s">
        <v>4684</v>
      </c>
      <c r="F169" s="10" t="s">
        <v>4684</v>
      </c>
      <c r="G169" s="10" t="s">
        <v>4683</v>
      </c>
      <c r="H169" s="14">
        <v>2</v>
      </c>
      <c r="I169" s="10" t="s">
        <v>4684</v>
      </c>
      <c r="J169" s="10" t="str">
        <f t="shared" si="1"/>
        <v>normalweight</v>
      </c>
      <c r="L169" s="30" t="e">
        <v>#N/A</v>
      </c>
    </row>
    <row r="170" spans="1:12" ht="15.75" customHeight="1" x14ac:dyDescent="0.3">
      <c r="A170" s="10" t="s">
        <v>4334</v>
      </c>
      <c r="B170" s="10">
        <v>36.08</v>
      </c>
      <c r="C170" s="10">
        <v>6.1</v>
      </c>
      <c r="D170" s="10" t="s">
        <v>4685</v>
      </c>
      <c r="E170" s="10" t="s">
        <v>4684</v>
      </c>
      <c r="F170" s="10" t="s">
        <v>4683</v>
      </c>
      <c r="G170" s="10" t="s">
        <v>4683</v>
      </c>
      <c r="H170" s="14">
        <v>1</v>
      </c>
      <c r="I170" s="10" t="s">
        <v>4684</v>
      </c>
      <c r="J170" s="10" t="str">
        <f t="shared" si="1"/>
        <v>normalweight</v>
      </c>
      <c r="L170" s="30" t="e">
        <v>#N/A</v>
      </c>
    </row>
    <row r="171" spans="1:12" ht="15.75" customHeight="1" x14ac:dyDescent="0.3">
      <c r="A171" s="10" t="s">
        <v>4332</v>
      </c>
      <c r="B171" s="10">
        <v>33.5</v>
      </c>
      <c r="C171" s="10">
        <v>5.4</v>
      </c>
      <c r="D171" s="10" t="s">
        <v>4685</v>
      </c>
      <c r="E171" s="10" t="s">
        <v>4683</v>
      </c>
      <c r="F171" s="10" t="s">
        <v>4683</v>
      </c>
      <c r="G171" s="10" t="s">
        <v>4683</v>
      </c>
      <c r="H171" s="14">
        <v>0</v>
      </c>
      <c r="I171" s="10" t="s">
        <v>4684</v>
      </c>
      <c r="J171" s="10" t="str">
        <f t="shared" si="1"/>
        <v>normalweight</v>
      </c>
      <c r="L171" s="30" t="e">
        <v>#N/A</v>
      </c>
    </row>
    <row r="172" spans="1:12" ht="15.75" customHeight="1" x14ac:dyDescent="0.3">
      <c r="A172" s="10" t="s">
        <v>4330</v>
      </c>
      <c r="B172" s="10">
        <v>47.46</v>
      </c>
      <c r="C172" s="10">
        <v>6.24</v>
      </c>
      <c r="D172" s="10" t="s">
        <v>4685</v>
      </c>
      <c r="E172" s="10" t="s">
        <v>4684</v>
      </c>
      <c r="F172" s="10" t="s">
        <v>4683</v>
      </c>
      <c r="G172" s="10" t="s">
        <v>4683</v>
      </c>
      <c r="H172" s="14">
        <v>1</v>
      </c>
      <c r="I172" s="10" t="s">
        <v>4684</v>
      </c>
      <c r="J172" s="10" t="str">
        <f t="shared" si="1"/>
        <v>normalweight</v>
      </c>
      <c r="L172" s="30" t="e">
        <v>#N/A</v>
      </c>
    </row>
    <row r="173" spans="1:12" ht="15.75" customHeight="1" x14ac:dyDescent="0.3">
      <c r="A173" s="10" t="s">
        <v>4328</v>
      </c>
      <c r="B173" s="10">
        <v>49.24</v>
      </c>
      <c r="C173" s="10">
        <v>4.45</v>
      </c>
      <c r="D173" s="10" t="s">
        <v>4685</v>
      </c>
      <c r="E173" s="10" t="s">
        <v>4683</v>
      </c>
      <c r="F173" s="10" t="s">
        <v>4683</v>
      </c>
      <c r="G173" s="10" t="s">
        <v>4683</v>
      </c>
      <c r="H173" s="14">
        <v>0</v>
      </c>
      <c r="I173" s="10" t="s">
        <v>4684</v>
      </c>
      <c r="J173" s="10" t="str">
        <f t="shared" si="1"/>
        <v>normalweight</v>
      </c>
      <c r="L173" s="30" t="e">
        <v>#N/A</v>
      </c>
    </row>
    <row r="174" spans="1:12" ht="15.75" customHeight="1" x14ac:dyDescent="0.3">
      <c r="A174" s="10" t="s">
        <v>4326</v>
      </c>
      <c r="B174" s="10">
        <v>54.4</v>
      </c>
      <c r="C174" s="10">
        <v>5.22</v>
      </c>
      <c r="D174" s="10" t="s">
        <v>4685</v>
      </c>
      <c r="E174" s="10" t="s">
        <v>4683</v>
      </c>
      <c r="F174" s="10" t="s">
        <v>4683</v>
      </c>
      <c r="G174" s="10" t="s">
        <v>4683</v>
      </c>
      <c r="H174" s="14">
        <v>1</v>
      </c>
      <c r="I174" s="10" t="s">
        <v>4684</v>
      </c>
      <c r="J174" s="10" t="str">
        <f t="shared" si="1"/>
        <v>normalweight</v>
      </c>
      <c r="L174" s="30" t="e">
        <v>#N/A</v>
      </c>
    </row>
    <row r="175" spans="1:12" ht="15.75" customHeight="1" x14ac:dyDescent="0.3">
      <c r="A175" s="10" t="s">
        <v>4324</v>
      </c>
      <c r="B175" s="10">
        <v>35.53</v>
      </c>
      <c r="C175" s="10">
        <v>4.6100000000000003</v>
      </c>
      <c r="D175" s="10" t="s">
        <v>4685</v>
      </c>
      <c r="E175" s="10" t="s">
        <v>4683</v>
      </c>
      <c r="F175" s="10" t="s">
        <v>4683</v>
      </c>
      <c r="G175" s="10" t="s">
        <v>4683</v>
      </c>
      <c r="H175" s="14">
        <v>1</v>
      </c>
      <c r="I175" s="10" t="s">
        <v>4684</v>
      </c>
      <c r="J175" s="10" t="str">
        <f t="shared" si="1"/>
        <v>normalweight</v>
      </c>
      <c r="L175" s="30" t="e">
        <v>#N/A</v>
      </c>
    </row>
    <row r="176" spans="1:12" ht="15.75" customHeight="1" x14ac:dyDescent="0.3">
      <c r="A176" s="10" t="s">
        <v>4322</v>
      </c>
      <c r="B176" s="10">
        <v>39.729999999999997</v>
      </c>
      <c r="C176" s="10">
        <v>6.24</v>
      </c>
      <c r="D176" s="10" t="s">
        <v>4685</v>
      </c>
      <c r="E176" s="10" t="s">
        <v>4683</v>
      </c>
      <c r="F176" s="10" t="s">
        <v>4683</v>
      </c>
      <c r="G176" s="10" t="s">
        <v>4683</v>
      </c>
      <c r="H176" s="14">
        <v>0</v>
      </c>
      <c r="I176" s="10" t="s">
        <v>4684</v>
      </c>
      <c r="J176" s="10" t="str">
        <f t="shared" si="1"/>
        <v>normalweight</v>
      </c>
      <c r="L176" s="30" t="e">
        <v>#N/A</v>
      </c>
    </row>
    <row r="177" spans="1:12" ht="15.75" customHeight="1" x14ac:dyDescent="0.3">
      <c r="A177" s="10" t="s">
        <v>4320</v>
      </c>
      <c r="B177" s="10">
        <v>35.68</v>
      </c>
      <c r="C177" s="10">
        <v>10.039999999999999</v>
      </c>
      <c r="D177" s="16" t="s">
        <v>4682</v>
      </c>
      <c r="E177" s="10" t="s">
        <v>4683</v>
      </c>
      <c r="F177" s="10" t="s">
        <v>4683</v>
      </c>
      <c r="G177" s="10" t="s">
        <v>4683</v>
      </c>
      <c r="H177" s="14">
        <v>0</v>
      </c>
      <c r="I177" s="10" t="s">
        <v>4684</v>
      </c>
      <c r="J177" s="10" t="str">
        <f t="shared" si="1"/>
        <v>normalweight</v>
      </c>
      <c r="L177" s="30" t="e">
        <v>#N/A</v>
      </c>
    </row>
    <row r="178" spans="1:12" ht="15.75" customHeight="1" x14ac:dyDescent="0.3">
      <c r="A178" s="10" t="s">
        <v>4318</v>
      </c>
      <c r="B178" s="10">
        <v>48.86</v>
      </c>
      <c r="C178" s="10">
        <v>6.09</v>
      </c>
      <c r="D178" s="10" t="s">
        <v>4685</v>
      </c>
      <c r="E178" s="10" t="s">
        <v>4683</v>
      </c>
      <c r="F178" s="10" t="s">
        <v>4683</v>
      </c>
      <c r="G178" s="10" t="s">
        <v>4683</v>
      </c>
      <c r="H178" s="14">
        <v>0</v>
      </c>
      <c r="I178" s="10" t="s">
        <v>4684</v>
      </c>
      <c r="J178" s="10" t="str">
        <f t="shared" si="1"/>
        <v>normalweight</v>
      </c>
      <c r="L178" s="30" t="e">
        <v>#N/A</v>
      </c>
    </row>
    <row r="179" spans="1:12" ht="15.75" customHeight="1" x14ac:dyDescent="0.3">
      <c r="A179" s="10" t="s">
        <v>4316</v>
      </c>
      <c r="B179" s="10">
        <v>34.799999999999997</v>
      </c>
      <c r="C179" s="10">
        <v>11.4</v>
      </c>
      <c r="D179" s="16" t="s">
        <v>4682</v>
      </c>
      <c r="E179" s="10" t="s">
        <v>4684</v>
      </c>
      <c r="F179" s="10" t="s">
        <v>4683</v>
      </c>
      <c r="G179" s="10" t="s">
        <v>4686</v>
      </c>
      <c r="H179" s="14">
        <v>1</v>
      </c>
      <c r="I179" s="10" t="s">
        <v>4683</v>
      </c>
      <c r="J179" s="10" t="str">
        <f t="shared" si="1"/>
        <v>normalweight</v>
      </c>
      <c r="L179" s="30" t="e">
        <v>#N/A</v>
      </c>
    </row>
    <row r="180" spans="1:12" ht="15.75" customHeight="1" x14ac:dyDescent="0.3">
      <c r="A180" s="10" t="s">
        <v>4314</v>
      </c>
      <c r="B180" s="10">
        <v>32.49</v>
      </c>
      <c r="C180" s="10">
        <v>4.29</v>
      </c>
      <c r="D180" s="10" t="s">
        <v>4685</v>
      </c>
      <c r="E180" s="10" t="s">
        <v>4683</v>
      </c>
      <c r="F180" s="10" t="s">
        <v>4683</v>
      </c>
      <c r="G180" s="10" t="s">
        <v>4686</v>
      </c>
      <c r="H180" s="14">
        <v>1</v>
      </c>
      <c r="I180" s="10" t="s">
        <v>4684</v>
      </c>
      <c r="J180" s="10" t="str">
        <f t="shared" si="1"/>
        <v>normalweight</v>
      </c>
      <c r="L180" s="30" t="e">
        <v>#N/A</v>
      </c>
    </row>
    <row r="181" spans="1:12" ht="15.75" customHeight="1" x14ac:dyDescent="0.3">
      <c r="A181" s="10" t="s">
        <v>4312</v>
      </c>
      <c r="B181" s="10">
        <v>39</v>
      </c>
      <c r="C181" s="10">
        <v>5.7</v>
      </c>
      <c r="D181" s="10" t="s">
        <v>4685</v>
      </c>
      <c r="E181" s="10" t="s">
        <v>4683</v>
      </c>
      <c r="F181" s="10" t="s">
        <v>4683</v>
      </c>
      <c r="G181" s="10" t="s">
        <v>4683</v>
      </c>
      <c r="H181" s="14">
        <v>2</v>
      </c>
      <c r="I181" s="10" t="s">
        <v>4684</v>
      </c>
      <c r="J181" s="10" t="str">
        <f t="shared" si="1"/>
        <v>normalweight</v>
      </c>
      <c r="L181" s="30" t="e">
        <v>#N/A</v>
      </c>
    </row>
    <row r="182" spans="1:12" ht="15.75" customHeight="1" x14ac:dyDescent="0.3">
      <c r="A182" s="10" t="s">
        <v>4310</v>
      </c>
      <c r="B182" s="10">
        <v>35.299999999999997</v>
      </c>
      <c r="C182" s="10">
        <v>6.09</v>
      </c>
      <c r="D182" s="10" t="s">
        <v>4685</v>
      </c>
      <c r="E182" s="10" t="s">
        <v>4683</v>
      </c>
      <c r="F182" s="10" t="s">
        <v>4683</v>
      </c>
      <c r="G182" s="10" t="s">
        <v>4683</v>
      </c>
      <c r="H182" s="14">
        <v>1</v>
      </c>
      <c r="I182" s="10" t="s">
        <v>4684</v>
      </c>
      <c r="J182" s="10" t="str">
        <f t="shared" si="1"/>
        <v>normalweight</v>
      </c>
      <c r="L182" s="30" t="e">
        <v>#N/A</v>
      </c>
    </row>
    <row r="183" spans="1:12" ht="15.75" customHeight="1" x14ac:dyDescent="0.3">
      <c r="A183" s="10" t="s">
        <v>4308</v>
      </c>
      <c r="B183" s="10">
        <v>33.42</v>
      </c>
      <c r="C183" s="10">
        <v>10.67</v>
      </c>
      <c r="D183" s="16" t="s">
        <v>4682</v>
      </c>
      <c r="E183" s="10" t="s">
        <v>4683</v>
      </c>
      <c r="F183" s="10" t="s">
        <v>4683</v>
      </c>
      <c r="G183" s="10" t="s">
        <v>4683</v>
      </c>
      <c r="H183" s="14">
        <v>0</v>
      </c>
      <c r="I183" s="10" t="s">
        <v>4684</v>
      </c>
      <c r="J183" s="10" t="str">
        <f t="shared" si="1"/>
        <v>normalweight</v>
      </c>
      <c r="L183" s="30" t="e">
        <v>#N/A</v>
      </c>
    </row>
    <row r="184" spans="1:12" ht="15.75" customHeight="1" x14ac:dyDescent="0.3">
      <c r="A184" s="10" t="s">
        <v>4306</v>
      </c>
      <c r="B184" s="10">
        <v>37.18</v>
      </c>
      <c r="C184" s="10">
        <v>6.75</v>
      </c>
      <c r="D184" s="10" t="s">
        <v>4685</v>
      </c>
      <c r="E184" s="10" t="s">
        <v>4684</v>
      </c>
      <c r="F184" s="10" t="s">
        <v>4683</v>
      </c>
      <c r="G184" s="10" t="s">
        <v>4683</v>
      </c>
      <c r="H184" s="14">
        <v>2</v>
      </c>
      <c r="I184" s="10" t="s">
        <v>4684</v>
      </c>
      <c r="J184" s="10" t="str">
        <f t="shared" si="1"/>
        <v>normalweight</v>
      </c>
      <c r="L184" s="30" t="e">
        <v>#N/A</v>
      </c>
    </row>
    <row r="185" spans="1:12" ht="15.75" customHeight="1" x14ac:dyDescent="0.3">
      <c r="A185" s="10" t="s">
        <v>4304</v>
      </c>
      <c r="B185" s="10">
        <v>33.33</v>
      </c>
      <c r="C185" s="10">
        <v>9.26</v>
      </c>
      <c r="D185" s="16" t="s">
        <v>4682</v>
      </c>
      <c r="E185" s="10" t="s">
        <v>4684</v>
      </c>
      <c r="F185" s="10" t="s">
        <v>4683</v>
      </c>
      <c r="G185" s="10" t="s">
        <v>4683</v>
      </c>
      <c r="H185" s="14">
        <v>2</v>
      </c>
      <c r="I185" s="10" t="s">
        <v>4683</v>
      </c>
      <c r="J185" s="10" t="str">
        <f t="shared" si="1"/>
        <v>normalweight</v>
      </c>
      <c r="L185" s="30" t="e">
        <v>#N/A</v>
      </c>
    </row>
    <row r="186" spans="1:12" ht="15.75" customHeight="1" x14ac:dyDescent="0.3">
      <c r="A186" s="10" t="s">
        <v>4302</v>
      </c>
      <c r="B186" s="10">
        <v>53.21</v>
      </c>
      <c r="C186" s="10">
        <v>4.2699999999999996</v>
      </c>
      <c r="D186" s="10" t="s">
        <v>4685</v>
      </c>
      <c r="E186" s="10" t="s">
        <v>4683</v>
      </c>
      <c r="F186" s="10" t="s">
        <v>4683</v>
      </c>
      <c r="G186" s="10" t="s">
        <v>4683</v>
      </c>
      <c r="H186" s="14">
        <v>1</v>
      </c>
      <c r="I186" s="10" t="s">
        <v>4684</v>
      </c>
      <c r="J186" s="10" t="str">
        <f t="shared" si="1"/>
        <v>normalweight</v>
      </c>
      <c r="L186" s="30" t="e">
        <v>#N/A</v>
      </c>
    </row>
    <row r="187" spans="1:12" ht="15.75" customHeight="1" x14ac:dyDescent="0.3">
      <c r="A187" s="10" t="s">
        <v>4300</v>
      </c>
      <c r="B187" s="10">
        <v>38.729999999999997</v>
      </c>
      <c r="C187" s="10">
        <v>11.51</v>
      </c>
      <c r="D187" s="16" t="s">
        <v>4682</v>
      </c>
      <c r="E187" s="10" t="s">
        <v>4683</v>
      </c>
      <c r="F187" s="10" t="s">
        <v>4683</v>
      </c>
      <c r="G187" s="10" t="s">
        <v>4683</v>
      </c>
      <c r="H187" s="14">
        <v>2</v>
      </c>
      <c r="I187" s="10" t="s">
        <v>4684</v>
      </c>
      <c r="J187" s="10" t="str">
        <f t="shared" si="1"/>
        <v>normalweight</v>
      </c>
      <c r="L187" s="30" t="e">
        <v>#N/A</v>
      </c>
    </row>
    <row r="188" spans="1:12" ht="15.75" customHeight="1" x14ac:dyDescent="0.3">
      <c r="A188" s="10" t="s">
        <v>4298</v>
      </c>
      <c r="B188" s="10">
        <v>29.73</v>
      </c>
      <c r="C188" s="10">
        <v>7.22</v>
      </c>
      <c r="D188" s="16" t="s">
        <v>4682</v>
      </c>
      <c r="E188" s="10" t="s">
        <v>4683</v>
      </c>
      <c r="F188" s="10" t="s">
        <v>4683</v>
      </c>
      <c r="G188" s="10" t="s">
        <v>4683</v>
      </c>
      <c r="H188" s="14">
        <v>0</v>
      </c>
      <c r="I188" s="10" t="s">
        <v>4684</v>
      </c>
      <c r="J188" s="10" t="str">
        <f t="shared" si="1"/>
        <v>normalweight</v>
      </c>
      <c r="L188" s="30" t="e">
        <v>#N/A</v>
      </c>
    </row>
    <row r="189" spans="1:12" ht="15.75" customHeight="1" x14ac:dyDescent="0.3">
      <c r="A189" s="10" t="s">
        <v>4296</v>
      </c>
      <c r="B189" s="10">
        <v>34.700000000000003</v>
      </c>
      <c r="C189" s="10">
        <v>4.37</v>
      </c>
      <c r="D189" s="10" t="s">
        <v>4685</v>
      </c>
      <c r="E189" s="10" t="s">
        <v>4683</v>
      </c>
      <c r="F189" s="10" t="s">
        <v>4683</v>
      </c>
      <c r="G189" s="10" t="s">
        <v>4686</v>
      </c>
      <c r="H189" s="14">
        <v>1</v>
      </c>
      <c r="I189" s="10" t="s">
        <v>4684</v>
      </c>
      <c r="J189" s="10" t="str">
        <f t="shared" si="1"/>
        <v>normalweight</v>
      </c>
      <c r="L189" s="30" t="e">
        <v>#N/A</v>
      </c>
    </row>
    <row r="190" spans="1:12" ht="15.75" customHeight="1" x14ac:dyDescent="0.3">
      <c r="A190" s="10" t="s">
        <v>4294</v>
      </c>
      <c r="B190" s="10">
        <v>38.28</v>
      </c>
      <c r="C190" s="10">
        <v>11.56</v>
      </c>
      <c r="D190" s="16" t="s">
        <v>4682</v>
      </c>
      <c r="E190" s="10" t="s">
        <v>4684</v>
      </c>
      <c r="F190" s="10" t="s">
        <v>4683</v>
      </c>
      <c r="G190" s="10" t="s">
        <v>4683</v>
      </c>
      <c r="H190" s="14">
        <v>1</v>
      </c>
      <c r="I190" s="10" t="s">
        <v>4684</v>
      </c>
      <c r="J190" s="10" t="str">
        <f t="shared" si="1"/>
        <v>normalweight</v>
      </c>
      <c r="L190" s="30" t="e">
        <v>#N/A</v>
      </c>
    </row>
    <row r="191" spans="1:12" ht="15.75" customHeight="1" x14ac:dyDescent="0.3">
      <c r="A191" s="10" t="s">
        <v>4292</v>
      </c>
      <c r="B191" s="10">
        <v>33.57</v>
      </c>
      <c r="C191" s="10">
        <v>8.82</v>
      </c>
      <c r="D191" s="16" t="s">
        <v>4682</v>
      </c>
      <c r="E191" s="10" t="s">
        <v>4684</v>
      </c>
      <c r="F191" s="10" t="s">
        <v>4683</v>
      </c>
      <c r="G191" s="10" t="s">
        <v>4683</v>
      </c>
      <c r="H191" s="14">
        <v>0</v>
      </c>
      <c r="I191" s="10" t="s">
        <v>4684</v>
      </c>
      <c r="J191" s="10" t="str">
        <f t="shared" si="1"/>
        <v>normalweight</v>
      </c>
      <c r="L191" s="30" t="e">
        <v>#N/A</v>
      </c>
    </row>
    <row r="192" spans="1:12" ht="15.75" customHeight="1" x14ac:dyDescent="0.3">
      <c r="A192" s="10" t="s">
        <v>4290</v>
      </c>
      <c r="B192" s="10">
        <v>52.06</v>
      </c>
      <c r="C192" s="10">
        <v>4.6900000000000004</v>
      </c>
      <c r="D192" s="10" t="s">
        <v>4685</v>
      </c>
      <c r="E192" s="10" t="s">
        <v>4683</v>
      </c>
      <c r="F192" s="10" t="s">
        <v>4683</v>
      </c>
      <c r="G192" s="10" t="s">
        <v>4683</v>
      </c>
      <c r="H192" s="14">
        <v>1</v>
      </c>
      <c r="I192" s="10" t="s">
        <v>4684</v>
      </c>
      <c r="J192" s="10" t="str">
        <f t="shared" si="1"/>
        <v>normalweight</v>
      </c>
      <c r="L192" s="30" t="e">
        <v>#N/A</v>
      </c>
    </row>
    <row r="193" spans="1:12" ht="15.75" customHeight="1" x14ac:dyDescent="0.3">
      <c r="A193" s="10" t="s">
        <v>4288</v>
      </c>
      <c r="B193" s="10">
        <v>38.17</v>
      </c>
      <c r="C193" s="10">
        <v>4.53</v>
      </c>
      <c r="D193" s="10" t="s">
        <v>4685</v>
      </c>
      <c r="E193" s="10" t="s">
        <v>4683</v>
      </c>
      <c r="F193" s="10" t="s">
        <v>4684</v>
      </c>
      <c r="G193" s="10" t="s">
        <v>4683</v>
      </c>
      <c r="H193" s="14">
        <v>1</v>
      </c>
      <c r="I193" s="10" t="s">
        <v>4684</v>
      </c>
      <c r="J193" s="10" t="str">
        <f t="shared" si="1"/>
        <v>normalweight</v>
      </c>
      <c r="L193" s="30" t="e">
        <v>#N/A</v>
      </c>
    </row>
    <row r="194" spans="1:12" ht="15.75" customHeight="1" x14ac:dyDescent="0.3">
      <c r="A194" s="10" t="s">
        <v>4286</v>
      </c>
      <c r="B194" s="10">
        <v>36.954999999999998</v>
      </c>
      <c r="C194" s="10">
        <v>5.84</v>
      </c>
      <c r="D194" s="10" t="s">
        <v>4685</v>
      </c>
      <c r="E194" s="10" t="s">
        <v>4683</v>
      </c>
      <c r="F194" s="10" t="s">
        <v>4683</v>
      </c>
      <c r="G194" s="10" t="s">
        <v>4686</v>
      </c>
      <c r="H194" s="14">
        <v>1</v>
      </c>
      <c r="I194" s="10" t="s">
        <v>4684</v>
      </c>
      <c r="J194" s="10" t="str">
        <f t="shared" si="1"/>
        <v>normalweight</v>
      </c>
      <c r="L194" s="30" t="e">
        <v>#N/A</v>
      </c>
    </row>
    <row r="195" spans="1:12" ht="15.75" customHeight="1" x14ac:dyDescent="0.3">
      <c r="A195" s="10" t="s">
        <v>4284</v>
      </c>
      <c r="B195" s="10">
        <v>34.4</v>
      </c>
      <c r="C195" s="10">
        <v>4.9000000000000004</v>
      </c>
      <c r="D195" s="10" t="s">
        <v>4685</v>
      </c>
      <c r="E195" s="10" t="s">
        <v>4683</v>
      </c>
      <c r="F195" s="10" t="s">
        <v>4683</v>
      </c>
      <c r="G195" s="10" t="s">
        <v>4686</v>
      </c>
      <c r="H195" s="14">
        <v>1</v>
      </c>
      <c r="I195" s="10" t="s">
        <v>4684</v>
      </c>
      <c r="J195" s="10" t="str">
        <f t="shared" si="1"/>
        <v>normalweight</v>
      </c>
      <c r="L195" s="30" t="e">
        <v>#N/A</v>
      </c>
    </row>
    <row r="196" spans="1:12" ht="15.75" customHeight="1" x14ac:dyDescent="0.3">
      <c r="A196" s="10" t="s">
        <v>4282</v>
      </c>
      <c r="B196" s="10">
        <v>31.73</v>
      </c>
      <c r="C196" s="10">
        <v>4.3</v>
      </c>
      <c r="D196" s="10" t="s">
        <v>4685</v>
      </c>
      <c r="E196" s="10" t="s">
        <v>4683</v>
      </c>
      <c r="F196" s="10" t="s">
        <v>4683</v>
      </c>
      <c r="G196" s="10" t="s">
        <v>4683</v>
      </c>
      <c r="H196" s="14">
        <v>0</v>
      </c>
      <c r="I196" s="10" t="s">
        <v>4684</v>
      </c>
      <c r="J196" s="10" t="str">
        <f t="shared" si="1"/>
        <v>normalweight</v>
      </c>
      <c r="L196" s="30" t="e">
        <v>#N/A</v>
      </c>
    </row>
    <row r="197" spans="1:12" ht="15.75" customHeight="1" x14ac:dyDescent="0.3">
      <c r="A197" s="10" t="s">
        <v>4280</v>
      </c>
      <c r="B197" s="10">
        <v>36.64</v>
      </c>
      <c r="C197" s="10">
        <v>11.34</v>
      </c>
      <c r="D197" s="16" t="s">
        <v>4682</v>
      </c>
      <c r="E197" s="10" t="s">
        <v>4683</v>
      </c>
      <c r="F197" s="10" t="s">
        <v>4683</v>
      </c>
      <c r="G197" s="10" t="s">
        <v>4683</v>
      </c>
      <c r="H197" s="14">
        <v>0</v>
      </c>
      <c r="I197" s="10" t="s">
        <v>4684</v>
      </c>
      <c r="J197" s="10" t="str">
        <f t="shared" si="1"/>
        <v>normalweight</v>
      </c>
      <c r="L197" s="30" t="e">
        <v>#N/A</v>
      </c>
    </row>
    <row r="198" spans="1:12" ht="15.75" customHeight="1" x14ac:dyDescent="0.3">
      <c r="A198" s="10" t="s">
        <v>4278</v>
      </c>
      <c r="B198" s="10">
        <v>36.85</v>
      </c>
      <c r="C198" s="10">
        <v>5.88</v>
      </c>
      <c r="D198" s="10" t="s">
        <v>4685</v>
      </c>
      <c r="E198" s="10" t="s">
        <v>4683</v>
      </c>
      <c r="F198" s="10" t="s">
        <v>4684</v>
      </c>
      <c r="G198" s="10" t="s">
        <v>4683</v>
      </c>
      <c r="H198" s="14">
        <v>1</v>
      </c>
      <c r="I198" s="10" t="s">
        <v>4684</v>
      </c>
      <c r="J198" s="10" t="str">
        <f t="shared" si="1"/>
        <v>normalweight</v>
      </c>
      <c r="L198" s="30" t="e">
        <v>#N/A</v>
      </c>
    </row>
    <row r="199" spans="1:12" ht="15.75" customHeight="1" x14ac:dyDescent="0.3">
      <c r="A199" s="10" t="s">
        <v>4276</v>
      </c>
      <c r="B199" s="10">
        <v>33.33</v>
      </c>
      <c r="C199" s="10">
        <v>5.01</v>
      </c>
      <c r="D199" s="10" t="s">
        <v>4685</v>
      </c>
      <c r="E199" s="10" t="s">
        <v>4684</v>
      </c>
      <c r="F199" s="10" t="s">
        <v>4683</v>
      </c>
      <c r="G199" s="10" t="s">
        <v>4686</v>
      </c>
      <c r="H199" s="14">
        <v>1</v>
      </c>
      <c r="I199" s="10" t="s">
        <v>4684</v>
      </c>
      <c r="J199" s="10" t="str">
        <f t="shared" si="1"/>
        <v>normalweight</v>
      </c>
      <c r="L199" s="30" t="e">
        <v>#N/A</v>
      </c>
    </row>
    <row r="200" spans="1:12" ht="15.75" customHeight="1" x14ac:dyDescent="0.3">
      <c r="A200" s="10" t="s">
        <v>4274</v>
      </c>
      <c r="B200" s="10">
        <v>39.14</v>
      </c>
      <c r="C200" s="10">
        <v>4.4000000000000004</v>
      </c>
      <c r="D200" s="10" t="s">
        <v>4685</v>
      </c>
      <c r="E200" s="10" t="s">
        <v>4683</v>
      </c>
      <c r="F200" s="10" t="s">
        <v>4683</v>
      </c>
      <c r="G200" s="10" t="s">
        <v>4686</v>
      </c>
      <c r="H200" s="14">
        <v>1</v>
      </c>
      <c r="I200" s="10" t="s">
        <v>4684</v>
      </c>
      <c r="J200" s="10" t="str">
        <f t="shared" si="1"/>
        <v>normalweight</v>
      </c>
      <c r="L200" s="30" t="e">
        <v>#N/A</v>
      </c>
    </row>
    <row r="201" spans="1:12" ht="15.75" customHeight="1" x14ac:dyDescent="0.3">
      <c r="A201" s="10" t="s">
        <v>4272</v>
      </c>
      <c r="B201" s="10">
        <v>32.9</v>
      </c>
      <c r="C201" s="10">
        <v>6.26</v>
      </c>
      <c r="D201" s="10" t="s">
        <v>4685</v>
      </c>
      <c r="E201" s="10" t="s">
        <v>4684</v>
      </c>
      <c r="F201" s="10" t="s">
        <v>4683</v>
      </c>
      <c r="G201" s="10" t="s">
        <v>4683</v>
      </c>
      <c r="H201" s="14">
        <v>0</v>
      </c>
      <c r="I201" s="10" t="s">
        <v>4684</v>
      </c>
      <c r="J201" s="10" t="str">
        <f t="shared" si="1"/>
        <v>normalweight</v>
      </c>
      <c r="L201" s="30" t="e">
        <v>#N/A</v>
      </c>
    </row>
    <row r="202" spans="1:12" ht="15.75" customHeight="1" x14ac:dyDescent="0.3">
      <c r="A202" s="10" t="s">
        <v>4270</v>
      </c>
      <c r="B202" s="10">
        <v>29.78</v>
      </c>
      <c r="C202" s="10">
        <v>10.27</v>
      </c>
      <c r="D202" s="16" t="s">
        <v>4682</v>
      </c>
      <c r="E202" s="10" t="s">
        <v>4684</v>
      </c>
      <c r="F202" s="10" t="s">
        <v>4683</v>
      </c>
      <c r="G202" s="10" t="s">
        <v>4686</v>
      </c>
      <c r="H202" s="14">
        <v>1</v>
      </c>
      <c r="I202" s="10" t="s">
        <v>4684</v>
      </c>
      <c r="J202" s="10" t="str">
        <f t="shared" si="1"/>
        <v>normalweight</v>
      </c>
      <c r="L202" s="30" t="e">
        <v>#N/A</v>
      </c>
    </row>
    <row r="203" spans="1:12" ht="15.75" customHeight="1" x14ac:dyDescent="0.3">
      <c r="A203" s="10" t="s">
        <v>4268</v>
      </c>
      <c r="B203" s="10">
        <v>32.78</v>
      </c>
      <c r="C203" s="10">
        <v>5.27</v>
      </c>
      <c r="D203" s="10" t="s">
        <v>4685</v>
      </c>
      <c r="E203" s="10" t="s">
        <v>4683</v>
      </c>
      <c r="F203" s="10" t="s">
        <v>4683</v>
      </c>
      <c r="G203" s="10" t="s">
        <v>4683</v>
      </c>
      <c r="H203" s="14">
        <v>0</v>
      </c>
      <c r="I203" s="10" t="s">
        <v>4684</v>
      </c>
      <c r="J203" s="10" t="str">
        <f t="shared" si="1"/>
        <v>normalweight</v>
      </c>
      <c r="L203" s="30" t="e">
        <v>#N/A</v>
      </c>
    </row>
    <row r="204" spans="1:12" ht="15.75" customHeight="1" x14ac:dyDescent="0.3">
      <c r="A204" s="10" t="s">
        <v>4266</v>
      </c>
      <c r="B204" s="10">
        <v>41.65</v>
      </c>
      <c r="C204" s="10">
        <v>10.73</v>
      </c>
      <c r="D204" s="16" t="s">
        <v>4682</v>
      </c>
      <c r="E204" s="10" t="s">
        <v>4684</v>
      </c>
      <c r="F204" s="10" t="s">
        <v>4683</v>
      </c>
      <c r="G204" s="10" t="s">
        <v>4683</v>
      </c>
      <c r="H204" s="14">
        <v>0</v>
      </c>
      <c r="I204" s="10" t="s">
        <v>4684</v>
      </c>
      <c r="J204" s="10" t="str">
        <f t="shared" si="1"/>
        <v>normalweight</v>
      </c>
      <c r="L204" s="30" t="e">
        <v>#N/A</v>
      </c>
    </row>
    <row r="205" spans="1:12" ht="15.75" customHeight="1" x14ac:dyDescent="0.3">
      <c r="A205" s="10" t="s">
        <v>4264</v>
      </c>
      <c r="B205" s="10">
        <v>50.79</v>
      </c>
      <c r="C205" s="10">
        <v>4.45</v>
      </c>
      <c r="D205" s="10" t="s">
        <v>4685</v>
      </c>
      <c r="E205" s="10" t="s">
        <v>4683</v>
      </c>
      <c r="F205" s="10" t="s">
        <v>4683</v>
      </c>
      <c r="G205" s="10" t="s">
        <v>4683</v>
      </c>
      <c r="H205" s="14">
        <v>1</v>
      </c>
      <c r="I205" s="10" t="s">
        <v>4684</v>
      </c>
      <c r="J205" s="10" t="str">
        <f t="shared" si="1"/>
        <v>normalweight</v>
      </c>
      <c r="L205" s="30" t="e">
        <v>#N/A</v>
      </c>
    </row>
    <row r="206" spans="1:12" ht="15.75" customHeight="1" x14ac:dyDescent="0.3">
      <c r="A206" s="10" t="s">
        <v>4262</v>
      </c>
      <c r="B206" s="10">
        <v>35.43</v>
      </c>
      <c r="C206" s="10">
        <v>5.25</v>
      </c>
      <c r="D206" s="10" t="s">
        <v>4685</v>
      </c>
      <c r="E206" s="10" t="s">
        <v>4684</v>
      </c>
      <c r="F206" s="10" t="s">
        <v>4683</v>
      </c>
      <c r="G206" s="10" t="s">
        <v>4683</v>
      </c>
      <c r="H206" s="14">
        <v>0</v>
      </c>
      <c r="I206" s="10" t="s">
        <v>4684</v>
      </c>
      <c r="J206" s="10" t="str">
        <f t="shared" si="1"/>
        <v>normalweight</v>
      </c>
      <c r="L206" s="30" t="e">
        <v>#N/A</v>
      </c>
    </row>
    <row r="207" spans="1:12" ht="15.75" customHeight="1" x14ac:dyDescent="0.3">
      <c r="A207" s="10" t="s">
        <v>4260</v>
      </c>
      <c r="B207" s="10">
        <v>35.25</v>
      </c>
      <c r="C207" s="10">
        <v>9.51</v>
      </c>
      <c r="D207" s="16" t="s">
        <v>4682</v>
      </c>
      <c r="E207" s="10" t="s">
        <v>4683</v>
      </c>
      <c r="F207" s="10" t="s">
        <v>4683</v>
      </c>
      <c r="G207" s="10" t="s">
        <v>4683</v>
      </c>
      <c r="H207" s="14">
        <v>0</v>
      </c>
      <c r="I207" s="10" t="s">
        <v>4684</v>
      </c>
      <c r="J207" s="10" t="str">
        <f t="shared" si="1"/>
        <v>normalweight</v>
      </c>
      <c r="L207" s="30" t="e">
        <v>#N/A</v>
      </c>
    </row>
    <row r="208" spans="1:12" ht="15.75" customHeight="1" x14ac:dyDescent="0.3">
      <c r="A208" s="10" t="s">
        <v>4258</v>
      </c>
      <c r="B208" s="10">
        <v>36.85</v>
      </c>
      <c r="C208" s="10">
        <v>11.12</v>
      </c>
      <c r="D208" s="16" t="s">
        <v>4682</v>
      </c>
      <c r="E208" s="10" t="s">
        <v>4683</v>
      </c>
      <c r="F208" s="10" t="s">
        <v>4683</v>
      </c>
      <c r="G208" s="10" t="s">
        <v>4683</v>
      </c>
      <c r="H208" s="14">
        <v>0</v>
      </c>
      <c r="I208" s="10" t="s">
        <v>4684</v>
      </c>
      <c r="J208" s="10" t="str">
        <f t="shared" si="1"/>
        <v>normalweight</v>
      </c>
      <c r="L208" s="30" t="e">
        <v>#N/A</v>
      </c>
    </row>
    <row r="209" spans="1:12" ht="15.75" customHeight="1" x14ac:dyDescent="0.3">
      <c r="A209" s="10" t="s">
        <v>4256</v>
      </c>
      <c r="B209" s="10">
        <v>31.02</v>
      </c>
      <c r="C209" s="10">
        <v>4.5599999999999996</v>
      </c>
      <c r="D209" s="10" t="s">
        <v>4685</v>
      </c>
      <c r="E209" s="10" t="s">
        <v>4683</v>
      </c>
      <c r="F209" s="10" t="s">
        <v>4684</v>
      </c>
      <c r="G209" s="10" t="s">
        <v>4683</v>
      </c>
      <c r="H209" s="14">
        <v>1</v>
      </c>
      <c r="I209" s="10" t="s">
        <v>4684</v>
      </c>
      <c r="J209" s="10" t="str">
        <f t="shared" si="1"/>
        <v>normalweight</v>
      </c>
      <c r="L209" s="30" t="e">
        <v>#N/A</v>
      </c>
    </row>
    <row r="210" spans="1:12" ht="15.75" customHeight="1" x14ac:dyDescent="0.3">
      <c r="A210" s="10" t="s">
        <v>4254</v>
      </c>
      <c r="B210" s="10">
        <v>35.6</v>
      </c>
      <c r="C210" s="10">
        <v>4.0199999999999996</v>
      </c>
      <c r="D210" s="10" t="s">
        <v>4685</v>
      </c>
      <c r="E210" s="10" t="s">
        <v>4684</v>
      </c>
      <c r="F210" s="10" t="s">
        <v>4684</v>
      </c>
      <c r="G210" s="10" t="s">
        <v>4683</v>
      </c>
      <c r="H210" s="14">
        <v>2</v>
      </c>
      <c r="I210" s="10" t="s">
        <v>4684</v>
      </c>
      <c r="J210" s="10" t="str">
        <f t="shared" si="1"/>
        <v>normalweight</v>
      </c>
      <c r="L210" s="30" t="e">
        <v>#N/A</v>
      </c>
    </row>
    <row r="211" spans="1:12" ht="15.75" customHeight="1" x14ac:dyDescent="0.3">
      <c r="A211" s="10" t="s">
        <v>4252</v>
      </c>
      <c r="B211" s="10">
        <v>34.39</v>
      </c>
      <c r="C211" s="10">
        <v>8.7200000000000006</v>
      </c>
      <c r="D211" s="16" t="s">
        <v>4682</v>
      </c>
      <c r="E211" s="10" t="s">
        <v>4683</v>
      </c>
      <c r="F211" s="10" t="s">
        <v>4683</v>
      </c>
      <c r="G211" s="10" t="s">
        <v>4683</v>
      </c>
      <c r="H211" s="14">
        <v>0</v>
      </c>
      <c r="I211" s="10" t="s">
        <v>4684</v>
      </c>
      <c r="J211" s="10" t="str">
        <f t="shared" si="1"/>
        <v>normalweight</v>
      </c>
      <c r="L211" s="30" t="e">
        <v>#N/A</v>
      </c>
    </row>
    <row r="212" spans="1:12" ht="15.75" customHeight="1" x14ac:dyDescent="0.3">
      <c r="A212" s="10" t="s">
        <v>4250</v>
      </c>
      <c r="B212" s="10">
        <v>29.06</v>
      </c>
      <c r="C212" s="10">
        <v>6.25</v>
      </c>
      <c r="D212" s="10" t="s">
        <v>4685</v>
      </c>
      <c r="E212" s="10" t="s">
        <v>4684</v>
      </c>
      <c r="F212" s="10" t="s">
        <v>4683</v>
      </c>
      <c r="G212" s="10" t="s">
        <v>4683</v>
      </c>
      <c r="H212" s="14">
        <v>1</v>
      </c>
      <c r="I212" s="10" t="s">
        <v>4684</v>
      </c>
      <c r="J212" s="10" t="str">
        <f t="shared" si="1"/>
        <v>normalweight</v>
      </c>
      <c r="L212" s="30" t="e">
        <v>#N/A</v>
      </c>
    </row>
    <row r="213" spans="1:12" ht="15.75" customHeight="1" x14ac:dyDescent="0.3">
      <c r="A213" s="10" t="s">
        <v>4248</v>
      </c>
      <c r="B213" s="10">
        <v>35.799999999999997</v>
      </c>
      <c r="C213" s="10">
        <v>7.32</v>
      </c>
      <c r="D213" s="16" t="s">
        <v>4682</v>
      </c>
      <c r="E213" s="10" t="s">
        <v>4683</v>
      </c>
      <c r="F213" s="10" t="s">
        <v>4683</v>
      </c>
      <c r="G213" s="10" t="s">
        <v>4683</v>
      </c>
      <c r="H213" s="14">
        <v>2</v>
      </c>
      <c r="I213" s="10" t="s">
        <v>4684</v>
      </c>
      <c r="J213" s="10" t="str">
        <f t="shared" si="1"/>
        <v>normalweight</v>
      </c>
      <c r="L213" s="30" t="e">
        <v>#N/A</v>
      </c>
    </row>
    <row r="214" spans="1:12" ht="15.75" customHeight="1" x14ac:dyDescent="0.3">
      <c r="A214" s="10" t="s">
        <v>4246</v>
      </c>
      <c r="B214" s="10">
        <v>49.8</v>
      </c>
      <c r="C214" s="10">
        <v>4.24</v>
      </c>
      <c r="D214" s="10" t="s">
        <v>4685</v>
      </c>
      <c r="E214" s="10" t="s">
        <v>4683</v>
      </c>
      <c r="F214" s="10" t="s">
        <v>4683</v>
      </c>
      <c r="G214" s="10" t="s">
        <v>4683</v>
      </c>
      <c r="H214" s="14">
        <v>1</v>
      </c>
      <c r="I214" s="10" t="s">
        <v>4684</v>
      </c>
      <c r="J214" s="10" t="str">
        <f t="shared" si="1"/>
        <v>normalweight</v>
      </c>
      <c r="L214" s="30" t="e">
        <v>#N/A</v>
      </c>
    </row>
    <row r="215" spans="1:12" ht="15.75" customHeight="1" x14ac:dyDescent="0.3">
      <c r="A215" s="10" t="s">
        <v>4244</v>
      </c>
      <c r="B215" s="10">
        <v>35.71</v>
      </c>
      <c r="C215" s="10">
        <v>6.84</v>
      </c>
      <c r="D215" s="16" t="s">
        <v>4682</v>
      </c>
      <c r="E215" s="10" t="s">
        <v>4683</v>
      </c>
      <c r="F215" s="10" t="s">
        <v>4683</v>
      </c>
      <c r="G215" s="10" t="s">
        <v>4683</v>
      </c>
      <c r="H215" s="14">
        <v>2</v>
      </c>
      <c r="I215" s="10" t="s">
        <v>4684</v>
      </c>
      <c r="J215" s="10" t="str">
        <f t="shared" si="1"/>
        <v>normalweight</v>
      </c>
      <c r="L215" s="30" t="e">
        <v>#N/A</v>
      </c>
    </row>
    <row r="216" spans="1:12" ht="15.75" customHeight="1" x14ac:dyDescent="0.3">
      <c r="A216" s="10" t="s">
        <v>4242</v>
      </c>
      <c r="B216" s="10">
        <v>30.8</v>
      </c>
      <c r="C216" s="10">
        <v>5.23</v>
      </c>
      <c r="D216" s="10" t="s">
        <v>4685</v>
      </c>
      <c r="E216" s="10" t="s">
        <v>4684</v>
      </c>
      <c r="F216" s="10" t="s">
        <v>4683</v>
      </c>
      <c r="G216" s="10" t="s">
        <v>4683</v>
      </c>
      <c r="H216" s="14">
        <v>1</v>
      </c>
      <c r="I216" s="10" t="s">
        <v>4684</v>
      </c>
      <c r="J216" s="10" t="str">
        <f t="shared" si="1"/>
        <v>normalweight</v>
      </c>
      <c r="L216" s="30" t="e">
        <v>#N/A</v>
      </c>
    </row>
    <row r="217" spans="1:12" ht="15.75" customHeight="1" x14ac:dyDescent="0.3">
      <c r="A217" s="10" t="s">
        <v>4240</v>
      </c>
      <c r="B217" s="10">
        <v>33.69</v>
      </c>
      <c r="C217" s="10">
        <v>9.68</v>
      </c>
      <c r="D217" s="16" t="s">
        <v>4682</v>
      </c>
      <c r="E217" s="10" t="s">
        <v>4683</v>
      </c>
      <c r="F217" s="10" t="s">
        <v>4683</v>
      </c>
      <c r="G217" s="10" t="s">
        <v>4683</v>
      </c>
      <c r="H217" s="14">
        <v>0</v>
      </c>
      <c r="I217" s="10" t="s">
        <v>4684</v>
      </c>
      <c r="J217" s="10" t="str">
        <f t="shared" si="1"/>
        <v>normalweight</v>
      </c>
      <c r="L217" s="30" t="e">
        <v>#N/A</v>
      </c>
    </row>
    <row r="218" spans="1:12" ht="15.75" customHeight="1" x14ac:dyDescent="0.3">
      <c r="A218" s="10" t="s">
        <v>4238</v>
      </c>
      <c r="B218" s="10">
        <v>42.27</v>
      </c>
      <c r="C218" s="10">
        <v>6.05</v>
      </c>
      <c r="D218" s="10" t="s">
        <v>4685</v>
      </c>
      <c r="E218" s="10" t="s">
        <v>4684</v>
      </c>
      <c r="F218" s="10" t="s">
        <v>4683</v>
      </c>
      <c r="G218" s="10" t="s">
        <v>4683</v>
      </c>
      <c r="H218" s="14">
        <v>1</v>
      </c>
      <c r="I218" s="10" t="s">
        <v>4684</v>
      </c>
      <c r="J218" s="10" t="str">
        <f t="shared" si="1"/>
        <v>normalweight</v>
      </c>
      <c r="L218" s="30" t="e">
        <v>#N/A</v>
      </c>
    </row>
    <row r="219" spans="1:12" ht="15.75" customHeight="1" x14ac:dyDescent="0.3">
      <c r="A219" s="10" t="s">
        <v>4236</v>
      </c>
      <c r="B219" s="10">
        <v>53.25</v>
      </c>
      <c r="C219" s="10">
        <v>6.11</v>
      </c>
      <c r="D219" s="10" t="s">
        <v>4685</v>
      </c>
      <c r="E219" s="10" t="s">
        <v>4684</v>
      </c>
      <c r="F219" s="10" t="s">
        <v>4683</v>
      </c>
      <c r="G219" s="10" t="s">
        <v>4686</v>
      </c>
      <c r="H219" s="14">
        <v>1</v>
      </c>
      <c r="I219" s="10" t="s">
        <v>4684</v>
      </c>
      <c r="J219" s="10" t="str">
        <f t="shared" si="1"/>
        <v>normalweight</v>
      </c>
      <c r="L219" s="30" t="e">
        <v>#N/A</v>
      </c>
    </row>
    <row r="220" spans="1:12" ht="15.75" customHeight="1" x14ac:dyDescent="0.3">
      <c r="A220" s="10" t="s">
        <v>4234</v>
      </c>
      <c r="B220" s="10">
        <v>26.8</v>
      </c>
      <c r="C220" s="10">
        <v>10.93</v>
      </c>
      <c r="D220" s="16" t="s">
        <v>4682</v>
      </c>
      <c r="E220" s="10" t="s">
        <v>4684</v>
      </c>
      <c r="F220" s="10" t="s">
        <v>4683</v>
      </c>
      <c r="G220" s="10" t="s">
        <v>4683</v>
      </c>
      <c r="H220" s="14">
        <v>0</v>
      </c>
      <c r="I220" s="10" t="s">
        <v>4683</v>
      </c>
      <c r="J220" s="10" t="str">
        <f t="shared" si="1"/>
        <v>normalweight</v>
      </c>
      <c r="L220" s="30" t="e">
        <v>#N/A</v>
      </c>
    </row>
    <row r="221" spans="1:12" ht="15.75" customHeight="1" x14ac:dyDescent="0.3">
      <c r="A221" s="10" t="s">
        <v>4232</v>
      </c>
      <c r="B221" s="10">
        <v>28.5</v>
      </c>
      <c r="C221" s="10">
        <v>5.12</v>
      </c>
      <c r="D221" s="10" t="s">
        <v>4685</v>
      </c>
      <c r="E221" s="10" t="s">
        <v>4683</v>
      </c>
      <c r="F221" s="10" t="s">
        <v>4683</v>
      </c>
      <c r="G221" s="10" t="s">
        <v>4683</v>
      </c>
      <c r="H221" s="14">
        <v>1</v>
      </c>
      <c r="I221" s="10" t="s">
        <v>4684</v>
      </c>
      <c r="J221" s="10" t="str">
        <f t="shared" si="1"/>
        <v>normalweight</v>
      </c>
      <c r="L221" s="30" t="e">
        <v>#N/A</v>
      </c>
    </row>
    <row r="222" spans="1:12" ht="15.75" customHeight="1" x14ac:dyDescent="0.3">
      <c r="A222" s="10" t="s">
        <v>4230</v>
      </c>
      <c r="B222" s="10">
        <v>22.895</v>
      </c>
      <c r="C222" s="10">
        <v>5.72</v>
      </c>
      <c r="D222" s="10" t="s">
        <v>4685</v>
      </c>
      <c r="E222" s="10" t="s">
        <v>4683</v>
      </c>
      <c r="F222" s="10" t="s">
        <v>4683</v>
      </c>
      <c r="G222" s="10" t="s">
        <v>4683</v>
      </c>
      <c r="H222" s="14">
        <v>0</v>
      </c>
      <c r="I222" s="10" t="s">
        <v>4684</v>
      </c>
      <c r="J222" s="10" t="str">
        <f t="shared" si="1"/>
        <v>normalweight</v>
      </c>
      <c r="L222" s="30" t="e">
        <v>#N/A</v>
      </c>
    </row>
    <row r="223" spans="1:12" ht="15.75" customHeight="1" x14ac:dyDescent="0.3">
      <c r="A223" s="10" t="s">
        <v>4228</v>
      </c>
      <c r="B223" s="10">
        <v>34.06</v>
      </c>
      <c r="C223" s="10">
        <v>11.83</v>
      </c>
      <c r="D223" s="16" t="s">
        <v>4682</v>
      </c>
      <c r="E223" s="10" t="s">
        <v>4684</v>
      </c>
      <c r="F223" s="10" t="s">
        <v>4683</v>
      </c>
      <c r="G223" s="10" t="s">
        <v>4683</v>
      </c>
      <c r="H223" s="14">
        <v>1</v>
      </c>
      <c r="I223" s="10" t="s">
        <v>4684</v>
      </c>
      <c r="J223" s="10" t="str">
        <f t="shared" si="1"/>
        <v>normalweight</v>
      </c>
      <c r="L223" s="30" t="e">
        <v>#N/A</v>
      </c>
    </row>
    <row r="224" spans="1:12" ht="15.75" customHeight="1" x14ac:dyDescent="0.3">
      <c r="A224" s="10" t="s">
        <v>4226</v>
      </c>
      <c r="B224" s="10">
        <v>36.409999999999997</v>
      </c>
      <c r="C224" s="10">
        <v>4.55</v>
      </c>
      <c r="D224" s="10" t="s">
        <v>4685</v>
      </c>
      <c r="E224" s="10" t="s">
        <v>4683</v>
      </c>
      <c r="F224" s="10" t="s">
        <v>4683</v>
      </c>
      <c r="G224" s="10" t="s">
        <v>4683</v>
      </c>
      <c r="H224" s="14">
        <v>0</v>
      </c>
      <c r="I224" s="10" t="s">
        <v>4684</v>
      </c>
      <c r="J224" s="10" t="str">
        <f t="shared" si="1"/>
        <v>normalweight</v>
      </c>
      <c r="L224" s="30" t="e">
        <v>#N/A</v>
      </c>
    </row>
    <row r="225" spans="1:12" ht="15.75" customHeight="1" x14ac:dyDescent="0.3">
      <c r="A225" s="10" t="s">
        <v>4224</v>
      </c>
      <c r="B225" s="10">
        <v>52.3</v>
      </c>
      <c r="C225" s="10">
        <v>4.87</v>
      </c>
      <c r="D225" s="10" t="s">
        <v>4685</v>
      </c>
      <c r="E225" s="10" t="s">
        <v>4684</v>
      </c>
      <c r="F225" s="10" t="s">
        <v>4683</v>
      </c>
      <c r="G225" s="10" t="s">
        <v>4686</v>
      </c>
      <c r="H225" s="14">
        <v>1</v>
      </c>
      <c r="I225" s="10" t="s">
        <v>4684</v>
      </c>
      <c r="J225" s="10" t="str">
        <f t="shared" si="1"/>
        <v>normalweight</v>
      </c>
      <c r="L225" s="30" t="e">
        <v>#N/A</v>
      </c>
    </row>
    <row r="226" spans="1:12" ht="15.75" customHeight="1" x14ac:dyDescent="0.3">
      <c r="A226" s="10" t="s">
        <v>4222</v>
      </c>
      <c r="B226" s="10">
        <v>52.66</v>
      </c>
      <c r="C226" s="10">
        <v>4.45</v>
      </c>
      <c r="D226" s="10" t="s">
        <v>4685</v>
      </c>
      <c r="E226" s="10" t="s">
        <v>4683</v>
      </c>
      <c r="F226" s="10" t="s">
        <v>4683</v>
      </c>
      <c r="G226" s="10" t="s">
        <v>4683</v>
      </c>
      <c r="H226" s="14">
        <v>1</v>
      </c>
      <c r="I226" s="10" t="s">
        <v>4684</v>
      </c>
      <c r="J226" s="10" t="str">
        <f t="shared" si="1"/>
        <v>normalweight</v>
      </c>
      <c r="L226" s="30" t="e">
        <v>#N/A</v>
      </c>
    </row>
    <row r="227" spans="1:12" ht="15.75" customHeight="1" x14ac:dyDescent="0.3">
      <c r="A227" s="10" t="s">
        <v>4220</v>
      </c>
      <c r="B227" s="10">
        <v>29.57</v>
      </c>
      <c r="C227" s="10">
        <v>9.42</v>
      </c>
      <c r="D227" s="16" t="s">
        <v>4682</v>
      </c>
      <c r="E227" s="10" t="s">
        <v>4684</v>
      </c>
      <c r="F227" s="10" t="s">
        <v>4683</v>
      </c>
      <c r="G227" s="10" t="s">
        <v>4683</v>
      </c>
      <c r="H227" s="14">
        <v>0</v>
      </c>
      <c r="I227" s="10" t="s">
        <v>4684</v>
      </c>
      <c r="J227" s="10" t="str">
        <f t="shared" si="1"/>
        <v>normalweight</v>
      </c>
      <c r="L227" s="30" t="e">
        <v>#N/A</v>
      </c>
    </row>
    <row r="228" spans="1:12" ht="15.75" customHeight="1" x14ac:dyDescent="0.3">
      <c r="A228" s="10" t="s">
        <v>4218</v>
      </c>
      <c r="B228" s="10">
        <v>36.99</v>
      </c>
      <c r="C228" s="10">
        <v>5.37</v>
      </c>
      <c r="D228" s="10" t="s">
        <v>4685</v>
      </c>
      <c r="E228" s="10" t="s">
        <v>4684</v>
      </c>
      <c r="F228" s="10" t="s">
        <v>4683</v>
      </c>
      <c r="G228" s="10" t="s">
        <v>4686</v>
      </c>
      <c r="H228" s="14">
        <v>1</v>
      </c>
      <c r="I228" s="10" t="s">
        <v>4684</v>
      </c>
      <c r="J228" s="10" t="str">
        <f t="shared" si="1"/>
        <v>normalweight</v>
      </c>
      <c r="L228" s="30" t="e">
        <v>#N/A</v>
      </c>
    </row>
    <row r="229" spans="1:12" ht="15.75" customHeight="1" x14ac:dyDescent="0.3">
      <c r="A229" s="10" t="s">
        <v>4216</v>
      </c>
      <c r="B229" s="10">
        <v>31.4</v>
      </c>
      <c r="C229" s="10">
        <v>4.5999999999999996</v>
      </c>
      <c r="D229" s="10" t="s">
        <v>4685</v>
      </c>
      <c r="E229" s="10" t="s">
        <v>4684</v>
      </c>
      <c r="F229" s="10" t="s">
        <v>4683</v>
      </c>
      <c r="G229" s="10" t="s">
        <v>4683</v>
      </c>
      <c r="H229" s="14">
        <v>1</v>
      </c>
      <c r="I229" s="10" t="s">
        <v>4684</v>
      </c>
      <c r="J229" s="10" t="str">
        <f t="shared" si="1"/>
        <v>normalweight</v>
      </c>
      <c r="L229" s="30" t="e">
        <v>#N/A</v>
      </c>
    </row>
    <row r="230" spans="1:12" ht="15.75" customHeight="1" x14ac:dyDescent="0.3">
      <c r="A230" s="10" t="s">
        <v>4214</v>
      </c>
      <c r="B230" s="10">
        <v>34.9</v>
      </c>
      <c r="C230" s="10">
        <v>6.22</v>
      </c>
      <c r="D230" s="10" t="s">
        <v>4685</v>
      </c>
      <c r="E230" s="10" t="s">
        <v>4683</v>
      </c>
      <c r="F230" s="10" t="s">
        <v>4683</v>
      </c>
      <c r="G230" s="10" t="s">
        <v>4686</v>
      </c>
      <c r="H230" s="14">
        <v>1</v>
      </c>
      <c r="I230" s="10" t="s">
        <v>4684</v>
      </c>
      <c r="J230" s="10" t="str">
        <f t="shared" si="1"/>
        <v>normalweight</v>
      </c>
      <c r="L230" s="30" t="e">
        <v>#N/A</v>
      </c>
    </row>
    <row r="231" spans="1:12" ht="15.75" customHeight="1" x14ac:dyDescent="0.3">
      <c r="A231" s="10" t="s">
        <v>4212</v>
      </c>
      <c r="B231" s="10">
        <v>31.13</v>
      </c>
      <c r="C231" s="10">
        <v>4.5199999999999996</v>
      </c>
      <c r="D231" s="10" t="s">
        <v>4685</v>
      </c>
      <c r="E231" s="10" t="s">
        <v>4684</v>
      </c>
      <c r="F231" s="10" t="s">
        <v>4683</v>
      </c>
      <c r="G231" s="10" t="s">
        <v>4683</v>
      </c>
      <c r="H231" s="14">
        <v>1</v>
      </c>
      <c r="I231" s="10" t="s">
        <v>4684</v>
      </c>
      <c r="J231" s="10" t="str">
        <f t="shared" si="1"/>
        <v>normalweight</v>
      </c>
      <c r="L231" s="30" t="e">
        <v>#N/A</v>
      </c>
    </row>
    <row r="232" spans="1:12" ht="15.75" customHeight="1" x14ac:dyDescent="0.3">
      <c r="A232" s="10" t="s">
        <v>4210</v>
      </c>
      <c r="B232" s="10">
        <v>34.799999999999997</v>
      </c>
      <c r="C232" s="10">
        <v>6.18</v>
      </c>
      <c r="D232" s="10" t="s">
        <v>4685</v>
      </c>
      <c r="E232" s="10" t="s">
        <v>4683</v>
      </c>
      <c r="F232" s="10" t="s">
        <v>4683</v>
      </c>
      <c r="G232" s="10" t="s">
        <v>4686</v>
      </c>
      <c r="H232" s="14">
        <v>1</v>
      </c>
      <c r="I232" s="10" t="s">
        <v>4684</v>
      </c>
      <c r="J232" s="10" t="str">
        <f t="shared" si="1"/>
        <v>normalweight</v>
      </c>
      <c r="L232" s="30" t="e">
        <v>#N/A</v>
      </c>
    </row>
    <row r="233" spans="1:12" ht="15.75" customHeight="1" x14ac:dyDescent="0.3">
      <c r="A233" s="10" t="s">
        <v>4208</v>
      </c>
      <c r="B233" s="10">
        <v>31.68</v>
      </c>
      <c r="C233" s="10">
        <v>4.4000000000000004</v>
      </c>
      <c r="D233" s="10" t="s">
        <v>4685</v>
      </c>
      <c r="E233" s="10" t="s">
        <v>4683</v>
      </c>
      <c r="F233" s="10" t="s">
        <v>4683</v>
      </c>
      <c r="G233" s="10" t="s">
        <v>4683</v>
      </c>
      <c r="H233" s="14">
        <v>0</v>
      </c>
      <c r="I233" s="10" t="s">
        <v>4684</v>
      </c>
      <c r="J233" s="10" t="str">
        <f t="shared" si="1"/>
        <v>normalweight</v>
      </c>
      <c r="L233" s="30" t="e">
        <v>#N/A</v>
      </c>
    </row>
    <row r="234" spans="1:12" ht="15.75" customHeight="1" x14ac:dyDescent="0.3">
      <c r="A234" s="10" t="s">
        <v>4206</v>
      </c>
      <c r="B234" s="10">
        <v>33.534999999999997</v>
      </c>
      <c r="C234" s="10">
        <v>6.23</v>
      </c>
      <c r="D234" s="10" t="s">
        <v>4685</v>
      </c>
      <c r="E234" s="10" t="s">
        <v>4683</v>
      </c>
      <c r="F234" s="10" t="s">
        <v>4684</v>
      </c>
      <c r="G234" s="10" t="s">
        <v>4683</v>
      </c>
      <c r="H234" s="14">
        <v>1</v>
      </c>
      <c r="I234" s="10" t="s">
        <v>4684</v>
      </c>
      <c r="J234" s="10" t="str">
        <f t="shared" si="1"/>
        <v>normalweight</v>
      </c>
      <c r="L234" s="30" t="e">
        <v>#N/A</v>
      </c>
    </row>
    <row r="235" spans="1:12" ht="15.75" customHeight="1" x14ac:dyDescent="0.3">
      <c r="A235" s="10" t="s">
        <v>4204</v>
      </c>
      <c r="B235" s="10">
        <v>31.92</v>
      </c>
      <c r="C235" s="10">
        <v>5.33</v>
      </c>
      <c r="D235" s="10" t="s">
        <v>4685</v>
      </c>
      <c r="E235" s="10" t="s">
        <v>4684</v>
      </c>
      <c r="F235" s="10" t="s">
        <v>4683</v>
      </c>
      <c r="G235" s="10" t="s">
        <v>4683</v>
      </c>
      <c r="H235" s="14">
        <v>0</v>
      </c>
      <c r="I235" s="10" t="s">
        <v>4684</v>
      </c>
      <c r="J235" s="10" t="str">
        <f t="shared" si="1"/>
        <v>normalweight</v>
      </c>
      <c r="L235" s="30" t="e">
        <v>#N/A</v>
      </c>
    </row>
    <row r="236" spans="1:12" ht="15.75" customHeight="1" x14ac:dyDescent="0.3">
      <c r="A236" s="10" t="s">
        <v>4202</v>
      </c>
      <c r="B236" s="10">
        <v>32.700000000000003</v>
      </c>
      <c r="C236" s="10">
        <v>4.09</v>
      </c>
      <c r="D236" s="10" t="s">
        <v>4685</v>
      </c>
      <c r="E236" s="10" t="s">
        <v>4683</v>
      </c>
      <c r="F236" s="10" t="s">
        <v>4683</v>
      </c>
      <c r="G236" s="10" t="s">
        <v>4683</v>
      </c>
      <c r="H236" s="14">
        <v>1</v>
      </c>
      <c r="I236" s="10" t="s">
        <v>4684</v>
      </c>
      <c r="J236" s="10" t="str">
        <f t="shared" si="1"/>
        <v>normalweight</v>
      </c>
      <c r="L236" s="30" t="e">
        <v>#N/A</v>
      </c>
    </row>
    <row r="237" spans="1:12" ht="15.75" customHeight="1" x14ac:dyDescent="0.3">
      <c r="A237" s="10" t="s">
        <v>4200</v>
      </c>
      <c r="B237" s="10">
        <v>41.25</v>
      </c>
      <c r="C237" s="10">
        <v>5.19</v>
      </c>
      <c r="D237" s="10" t="s">
        <v>4685</v>
      </c>
      <c r="E237" s="10" t="s">
        <v>4683</v>
      </c>
      <c r="F237" s="10" t="s">
        <v>4683</v>
      </c>
      <c r="G237" s="10" t="s">
        <v>4683</v>
      </c>
      <c r="H237" s="14">
        <v>0</v>
      </c>
      <c r="I237" s="10" t="s">
        <v>4684</v>
      </c>
      <c r="J237" s="10" t="str">
        <f t="shared" si="1"/>
        <v>normalweight</v>
      </c>
      <c r="L237" s="30" t="e">
        <v>#N/A</v>
      </c>
    </row>
    <row r="238" spans="1:12" ht="15.75" customHeight="1" x14ac:dyDescent="0.3">
      <c r="A238" s="10" t="s">
        <v>4198</v>
      </c>
      <c r="B238" s="10">
        <v>33.11</v>
      </c>
      <c r="C238" s="10">
        <v>4.12</v>
      </c>
      <c r="D238" s="10" t="s">
        <v>4685</v>
      </c>
      <c r="E238" s="10" t="s">
        <v>4683</v>
      </c>
      <c r="F238" s="10" t="s">
        <v>4683</v>
      </c>
      <c r="G238" s="10" t="s">
        <v>4686</v>
      </c>
      <c r="H238" s="14">
        <v>1</v>
      </c>
      <c r="I238" s="10" t="s">
        <v>4684</v>
      </c>
      <c r="J238" s="10" t="str">
        <f t="shared" si="1"/>
        <v>normalweight</v>
      </c>
      <c r="L238" s="30" t="e">
        <v>#N/A</v>
      </c>
    </row>
    <row r="239" spans="1:12" ht="15.75" customHeight="1" x14ac:dyDescent="0.3">
      <c r="A239" s="10" t="s">
        <v>4196</v>
      </c>
      <c r="B239" s="10">
        <v>36.159999999999997</v>
      </c>
      <c r="C239" s="10">
        <v>5.0999999999999996</v>
      </c>
      <c r="D239" s="10" t="s">
        <v>4685</v>
      </c>
      <c r="E239" s="10" t="s">
        <v>4683</v>
      </c>
      <c r="F239" s="10" t="s">
        <v>4683</v>
      </c>
      <c r="G239" s="10" t="s">
        <v>4683</v>
      </c>
      <c r="H239" s="14">
        <v>1</v>
      </c>
      <c r="I239" s="10" t="s">
        <v>4684</v>
      </c>
      <c r="J239" s="10" t="str">
        <f t="shared" si="1"/>
        <v>normalweight</v>
      </c>
      <c r="L239" s="30" t="e">
        <v>#N/A</v>
      </c>
    </row>
    <row r="240" spans="1:12" ht="15.75" customHeight="1" x14ac:dyDescent="0.3">
      <c r="A240" s="10" t="s">
        <v>4194</v>
      </c>
      <c r="B240" s="10">
        <v>33.72</v>
      </c>
      <c r="C240" s="10">
        <v>6.21</v>
      </c>
      <c r="D240" s="10" t="s">
        <v>4685</v>
      </c>
      <c r="E240" s="10" t="s">
        <v>4684</v>
      </c>
      <c r="F240" s="10" t="s">
        <v>4683</v>
      </c>
      <c r="G240" s="10" t="s">
        <v>4686</v>
      </c>
      <c r="H240" s="14">
        <v>1</v>
      </c>
      <c r="I240" s="10" t="s">
        <v>4684</v>
      </c>
      <c r="J240" s="10" t="str">
        <f t="shared" si="1"/>
        <v>normalweight</v>
      </c>
      <c r="L240" s="30" t="e">
        <v>#N/A</v>
      </c>
    </row>
    <row r="241" spans="1:12" ht="15.75" customHeight="1" x14ac:dyDescent="0.3">
      <c r="A241" s="10" t="s">
        <v>4192</v>
      </c>
      <c r="B241" s="10">
        <v>37.74</v>
      </c>
      <c r="C241" s="10">
        <v>9.5299999999999994</v>
      </c>
      <c r="D241" s="16" t="s">
        <v>4682</v>
      </c>
      <c r="E241" s="10" t="s">
        <v>4684</v>
      </c>
      <c r="F241" s="10" t="s">
        <v>4683</v>
      </c>
      <c r="G241" s="10" t="s">
        <v>4683</v>
      </c>
      <c r="H241" s="14">
        <v>1</v>
      </c>
      <c r="I241" s="10" t="s">
        <v>4684</v>
      </c>
      <c r="J241" s="10" t="str">
        <f t="shared" si="1"/>
        <v>normalweight</v>
      </c>
      <c r="L241" s="30" t="e">
        <v>#N/A</v>
      </c>
    </row>
    <row r="242" spans="1:12" ht="15.75" customHeight="1" x14ac:dyDescent="0.3">
      <c r="A242" s="10" t="s">
        <v>4190</v>
      </c>
      <c r="B242" s="10">
        <v>48.75</v>
      </c>
      <c r="C242" s="10">
        <v>4.6399999999999997</v>
      </c>
      <c r="D242" s="10" t="s">
        <v>4685</v>
      </c>
      <c r="E242" s="10" t="s">
        <v>4684</v>
      </c>
      <c r="F242" s="10" t="s">
        <v>4683</v>
      </c>
      <c r="G242" s="10" t="s">
        <v>4683</v>
      </c>
      <c r="H242" s="14">
        <v>1</v>
      </c>
      <c r="I242" s="10" t="s">
        <v>4684</v>
      </c>
      <c r="J242" s="10" t="str">
        <f t="shared" si="1"/>
        <v>normalweight</v>
      </c>
      <c r="L242" s="30" t="e">
        <v>#N/A</v>
      </c>
    </row>
    <row r="243" spans="1:12" ht="15.75" customHeight="1" x14ac:dyDescent="0.3">
      <c r="A243" s="10" t="s">
        <v>4188</v>
      </c>
      <c r="B243" s="10">
        <v>31.065000000000001</v>
      </c>
      <c r="C243" s="10">
        <v>5.05</v>
      </c>
      <c r="D243" s="10" t="s">
        <v>4685</v>
      </c>
      <c r="E243" s="10" t="s">
        <v>4683</v>
      </c>
      <c r="F243" s="10" t="s">
        <v>4683</v>
      </c>
      <c r="G243" s="10" t="s">
        <v>4683</v>
      </c>
      <c r="H243" s="14">
        <v>1</v>
      </c>
      <c r="I243" s="10" t="s">
        <v>4684</v>
      </c>
      <c r="J243" s="10" t="str">
        <f t="shared" si="1"/>
        <v>normalweight</v>
      </c>
      <c r="L243" s="30" t="e">
        <v>#N/A</v>
      </c>
    </row>
    <row r="244" spans="1:12" ht="15.75" customHeight="1" x14ac:dyDescent="0.3">
      <c r="A244" s="10" t="s">
        <v>4186</v>
      </c>
      <c r="B244" s="10">
        <v>23.55</v>
      </c>
      <c r="C244" s="10">
        <v>10.38</v>
      </c>
      <c r="D244" s="16" t="s">
        <v>4682</v>
      </c>
      <c r="E244" s="10" t="s">
        <v>4683</v>
      </c>
      <c r="F244" s="10" t="s">
        <v>4683</v>
      </c>
      <c r="G244" s="10" t="s">
        <v>4683</v>
      </c>
      <c r="H244" s="14">
        <v>0</v>
      </c>
      <c r="I244" s="10" t="s">
        <v>4684</v>
      </c>
      <c r="J244" s="10" t="str">
        <f t="shared" si="1"/>
        <v>normalweight</v>
      </c>
      <c r="L244" s="30" t="e">
        <v>#N/A</v>
      </c>
    </row>
    <row r="245" spans="1:12" ht="15.75" customHeight="1" x14ac:dyDescent="0.3">
      <c r="A245" s="10" t="s">
        <v>4184</v>
      </c>
      <c r="B245" s="10">
        <v>30.18</v>
      </c>
      <c r="C245" s="10">
        <v>8.31</v>
      </c>
      <c r="D245" s="16" t="s">
        <v>4682</v>
      </c>
      <c r="E245" s="10" t="s">
        <v>4684</v>
      </c>
      <c r="F245" s="10" t="s">
        <v>4683</v>
      </c>
      <c r="G245" s="10" t="s">
        <v>4683</v>
      </c>
      <c r="H245" s="14">
        <v>1</v>
      </c>
      <c r="I245" s="10" t="s">
        <v>4684</v>
      </c>
      <c r="J245" s="10" t="str">
        <f t="shared" si="1"/>
        <v>normalweight</v>
      </c>
      <c r="L245" s="30" t="e">
        <v>#N/A</v>
      </c>
    </row>
    <row r="246" spans="1:12" ht="15.75" customHeight="1" x14ac:dyDescent="0.3">
      <c r="A246" s="10" t="s">
        <v>4182</v>
      </c>
      <c r="B246" s="10">
        <v>29.94</v>
      </c>
      <c r="C246" s="10">
        <v>7.59</v>
      </c>
      <c r="D246" s="16" t="s">
        <v>4682</v>
      </c>
      <c r="E246" s="10" t="s">
        <v>4683</v>
      </c>
      <c r="F246" s="10" t="s">
        <v>4683</v>
      </c>
      <c r="G246" s="10" t="s">
        <v>4683</v>
      </c>
      <c r="H246" s="14">
        <v>0</v>
      </c>
      <c r="I246" s="10" t="s">
        <v>4684</v>
      </c>
      <c r="J246" s="10" t="str">
        <f t="shared" si="1"/>
        <v>normalweight</v>
      </c>
      <c r="L246" s="30" t="e">
        <v>#N/A</v>
      </c>
    </row>
    <row r="247" spans="1:12" ht="15.75" customHeight="1" x14ac:dyDescent="0.3">
      <c r="A247" s="10" t="s">
        <v>4180</v>
      </c>
      <c r="B247" s="10">
        <v>31.4</v>
      </c>
      <c r="C247" s="10">
        <v>5.49</v>
      </c>
      <c r="D247" s="10" t="s">
        <v>4685</v>
      </c>
      <c r="E247" s="10" t="s">
        <v>4683</v>
      </c>
      <c r="F247" s="10" t="s">
        <v>4683</v>
      </c>
      <c r="G247" s="10" t="s">
        <v>4683</v>
      </c>
      <c r="H247" s="14">
        <v>0</v>
      </c>
      <c r="I247" s="10" t="s">
        <v>4684</v>
      </c>
      <c r="J247" s="10" t="str">
        <f t="shared" si="1"/>
        <v>normalweight</v>
      </c>
      <c r="L247" s="30" t="e">
        <v>#N/A</v>
      </c>
    </row>
    <row r="248" spans="1:12" ht="15.75" customHeight="1" x14ac:dyDescent="0.3">
      <c r="A248" s="10" t="s">
        <v>4178</v>
      </c>
      <c r="B248" s="10">
        <v>53.06</v>
      </c>
      <c r="C248" s="10">
        <v>11.68</v>
      </c>
      <c r="D248" s="16" t="s">
        <v>4682</v>
      </c>
      <c r="E248" s="10" t="s">
        <v>4683</v>
      </c>
      <c r="F248" s="10" t="s">
        <v>4683</v>
      </c>
      <c r="G248" s="10" t="s">
        <v>4683</v>
      </c>
      <c r="H248" s="14">
        <v>0</v>
      </c>
      <c r="I248" s="10" t="s">
        <v>4684</v>
      </c>
      <c r="J248" s="10" t="str">
        <f t="shared" si="1"/>
        <v>normalweight</v>
      </c>
      <c r="L248" s="30" t="e">
        <v>#N/A</v>
      </c>
    </row>
    <row r="249" spans="1:12" ht="15.75" customHeight="1" x14ac:dyDescent="0.3">
      <c r="A249" s="10" t="s">
        <v>4176</v>
      </c>
      <c r="B249" s="10">
        <v>30.25</v>
      </c>
      <c r="C249" s="10">
        <v>4.1900000000000004</v>
      </c>
      <c r="D249" s="10" t="s">
        <v>4685</v>
      </c>
      <c r="E249" s="10" t="s">
        <v>4683</v>
      </c>
      <c r="F249" s="10" t="s">
        <v>4683</v>
      </c>
      <c r="G249" s="10" t="s">
        <v>4683</v>
      </c>
      <c r="H249" s="14">
        <v>2</v>
      </c>
      <c r="I249" s="10" t="s">
        <v>4684</v>
      </c>
      <c r="J249" s="10" t="str">
        <f t="shared" si="1"/>
        <v>normalweight</v>
      </c>
      <c r="L249" s="30" t="e">
        <v>#N/A</v>
      </c>
    </row>
    <row r="250" spans="1:12" ht="15.75" customHeight="1" x14ac:dyDescent="0.3">
      <c r="A250" s="10" t="s">
        <v>4174</v>
      </c>
      <c r="B250" s="10">
        <v>46.68</v>
      </c>
      <c r="C250" s="10">
        <v>4.01</v>
      </c>
      <c r="D250" s="10" t="s">
        <v>4685</v>
      </c>
      <c r="E250" s="10" t="s">
        <v>4683</v>
      </c>
      <c r="F250" s="10" t="s">
        <v>4683</v>
      </c>
      <c r="G250" s="10" t="s">
        <v>4683</v>
      </c>
      <c r="H250" s="14">
        <v>0</v>
      </c>
      <c r="I250" s="10" t="s">
        <v>4684</v>
      </c>
      <c r="J250" s="10" t="str">
        <f t="shared" si="1"/>
        <v>normalweight</v>
      </c>
      <c r="L250" s="30" t="e">
        <v>#N/A</v>
      </c>
    </row>
    <row r="251" spans="1:12" ht="15.75" customHeight="1" x14ac:dyDescent="0.3">
      <c r="A251" s="10" t="s">
        <v>4172</v>
      </c>
      <c r="B251" s="10">
        <v>30.4</v>
      </c>
      <c r="C251" s="10">
        <v>5.91</v>
      </c>
      <c r="D251" s="10" t="s">
        <v>4685</v>
      </c>
      <c r="E251" s="10" t="s">
        <v>4683</v>
      </c>
      <c r="F251" s="10" t="s">
        <v>4684</v>
      </c>
      <c r="G251" s="10" t="s">
        <v>4683</v>
      </c>
      <c r="H251" s="14">
        <v>2</v>
      </c>
      <c r="I251" s="10" t="s">
        <v>4684</v>
      </c>
      <c r="J251" s="10" t="str">
        <f t="shared" si="1"/>
        <v>normalweight</v>
      </c>
      <c r="L251" s="30" t="e">
        <v>#N/A</v>
      </c>
    </row>
    <row r="252" spans="1:12" ht="15.75" customHeight="1" x14ac:dyDescent="0.3">
      <c r="A252" s="10" t="s">
        <v>4170</v>
      </c>
      <c r="B252" s="10">
        <v>30.2</v>
      </c>
      <c r="C252" s="10">
        <v>4.47</v>
      </c>
      <c r="D252" s="10" t="s">
        <v>4685</v>
      </c>
      <c r="E252" s="10" t="s">
        <v>4684</v>
      </c>
      <c r="F252" s="10" t="s">
        <v>4683</v>
      </c>
      <c r="G252" s="10" t="s">
        <v>4686</v>
      </c>
      <c r="H252" s="14">
        <v>1</v>
      </c>
      <c r="I252" s="10" t="s">
        <v>4684</v>
      </c>
      <c r="J252" s="10" t="str">
        <f t="shared" si="1"/>
        <v>normalweight</v>
      </c>
      <c r="L252" s="30" t="e">
        <v>#N/A</v>
      </c>
    </row>
    <row r="253" spans="1:12" ht="15.75" customHeight="1" x14ac:dyDescent="0.3">
      <c r="A253" s="10" t="s">
        <v>4168</v>
      </c>
      <c r="B253" s="10">
        <v>51.18</v>
      </c>
      <c r="C253" s="10">
        <v>4.5599999999999996</v>
      </c>
      <c r="D253" s="10" t="s">
        <v>4685</v>
      </c>
      <c r="E253" s="10" t="s">
        <v>4684</v>
      </c>
      <c r="F253" s="10" t="s">
        <v>4684</v>
      </c>
      <c r="G253" s="10" t="s">
        <v>4683</v>
      </c>
      <c r="H253" s="14">
        <v>2</v>
      </c>
      <c r="I253" s="10" t="s">
        <v>4684</v>
      </c>
      <c r="J253" s="10" t="str">
        <f t="shared" si="1"/>
        <v>normalweight</v>
      </c>
      <c r="L253" s="30" t="e">
        <v>#N/A</v>
      </c>
    </row>
    <row r="254" spans="1:12" ht="15.75" customHeight="1" x14ac:dyDescent="0.3">
      <c r="A254" s="10" t="s">
        <v>4166</v>
      </c>
      <c r="B254" s="10">
        <v>22.18</v>
      </c>
      <c r="C254" s="10">
        <v>9.9</v>
      </c>
      <c r="D254" s="16" t="s">
        <v>4682</v>
      </c>
      <c r="E254" s="10" t="s">
        <v>4683</v>
      </c>
      <c r="F254" s="10" t="s">
        <v>4683</v>
      </c>
      <c r="G254" s="10" t="s">
        <v>4683</v>
      </c>
      <c r="H254" s="14">
        <v>0</v>
      </c>
      <c r="I254" s="10" t="s">
        <v>4684</v>
      </c>
      <c r="J254" s="10" t="str">
        <f t="shared" si="1"/>
        <v>normalweight</v>
      </c>
      <c r="L254" s="30" t="e">
        <v>#N/A</v>
      </c>
    </row>
    <row r="255" spans="1:12" ht="15.75" customHeight="1" x14ac:dyDescent="0.3">
      <c r="A255" s="10" t="s">
        <v>4164</v>
      </c>
      <c r="B255" s="10">
        <v>31.92</v>
      </c>
      <c r="C255" s="10">
        <v>5.1100000000000003</v>
      </c>
      <c r="D255" s="10" t="s">
        <v>4685</v>
      </c>
      <c r="E255" s="10" t="s">
        <v>4683</v>
      </c>
      <c r="F255" s="10" t="s">
        <v>4683</v>
      </c>
      <c r="G255" s="10" t="s">
        <v>4686</v>
      </c>
      <c r="H255" s="14">
        <v>1</v>
      </c>
      <c r="I255" s="10" t="s">
        <v>4684</v>
      </c>
      <c r="J255" s="10" t="str">
        <f t="shared" si="1"/>
        <v>normalweight</v>
      </c>
      <c r="L255" s="30" t="e">
        <v>#N/A</v>
      </c>
    </row>
    <row r="256" spans="1:12" ht="15.75" customHeight="1" x14ac:dyDescent="0.3">
      <c r="A256" s="10" t="s">
        <v>4162</v>
      </c>
      <c r="B256" s="10">
        <v>31.73</v>
      </c>
      <c r="C256" s="10">
        <v>5.73</v>
      </c>
      <c r="D256" s="10" t="s">
        <v>4685</v>
      </c>
      <c r="E256" s="10" t="s">
        <v>4683</v>
      </c>
      <c r="F256" s="10" t="s">
        <v>4684</v>
      </c>
      <c r="G256" s="10" t="s">
        <v>4683</v>
      </c>
      <c r="H256" s="14">
        <v>1</v>
      </c>
      <c r="I256" s="10" t="s">
        <v>4684</v>
      </c>
      <c r="J256" s="10" t="str">
        <f t="shared" si="1"/>
        <v>normalweight</v>
      </c>
      <c r="L256" s="30" t="e">
        <v>#N/A</v>
      </c>
    </row>
    <row r="257" spans="1:12" ht="15.75" customHeight="1" x14ac:dyDescent="0.3">
      <c r="A257" s="10" t="s">
        <v>4160</v>
      </c>
      <c r="B257" s="10">
        <v>45.52</v>
      </c>
      <c r="C257" s="10">
        <v>6.04</v>
      </c>
      <c r="D257" s="10" t="s">
        <v>4685</v>
      </c>
      <c r="E257" s="10" t="s">
        <v>4683</v>
      </c>
      <c r="F257" s="10" t="s">
        <v>4683</v>
      </c>
      <c r="G257" s="10" t="s">
        <v>4686</v>
      </c>
      <c r="H257" s="14">
        <v>1</v>
      </c>
      <c r="I257" s="10" t="s">
        <v>4684</v>
      </c>
      <c r="J257" s="10" t="str">
        <f t="shared" si="1"/>
        <v>normalweight</v>
      </c>
      <c r="L257" s="30" t="e">
        <v>#N/A</v>
      </c>
    </row>
    <row r="258" spans="1:12" ht="15.75" customHeight="1" x14ac:dyDescent="0.3">
      <c r="A258" s="10" t="s">
        <v>4158</v>
      </c>
      <c r="B258" s="10">
        <v>52.81</v>
      </c>
      <c r="C258" s="10">
        <v>5.19</v>
      </c>
      <c r="D258" s="10" t="s">
        <v>4685</v>
      </c>
      <c r="E258" s="10" t="s">
        <v>4683</v>
      </c>
      <c r="F258" s="10" t="s">
        <v>4683</v>
      </c>
      <c r="G258" s="10" t="s">
        <v>4686</v>
      </c>
      <c r="H258" s="14">
        <v>1</v>
      </c>
      <c r="I258" s="10" t="s">
        <v>4684</v>
      </c>
      <c r="J258" s="10" t="str">
        <f t="shared" si="1"/>
        <v>normalweight</v>
      </c>
      <c r="L258" s="30" t="e">
        <v>#N/A</v>
      </c>
    </row>
    <row r="259" spans="1:12" ht="15.75" customHeight="1" x14ac:dyDescent="0.3">
      <c r="A259" s="10" t="s">
        <v>4156</v>
      </c>
      <c r="B259" s="10">
        <v>33.58</v>
      </c>
      <c r="C259" s="10">
        <v>5.56</v>
      </c>
      <c r="D259" s="10" t="s">
        <v>4685</v>
      </c>
      <c r="E259" s="10" t="s">
        <v>4683</v>
      </c>
      <c r="F259" s="10" t="s">
        <v>4683</v>
      </c>
      <c r="G259" s="10" t="s">
        <v>4683</v>
      </c>
      <c r="H259" s="14">
        <v>1</v>
      </c>
      <c r="I259" s="10" t="s">
        <v>4684</v>
      </c>
      <c r="J259" s="10" t="str">
        <f t="shared" si="1"/>
        <v>normalweight</v>
      </c>
      <c r="L259" s="30" t="e">
        <v>#N/A</v>
      </c>
    </row>
    <row r="260" spans="1:12" ht="15.75" customHeight="1" x14ac:dyDescent="0.3">
      <c r="A260" s="10" t="s">
        <v>4154</v>
      </c>
      <c r="B260" s="10">
        <v>30.684999999999999</v>
      </c>
      <c r="C260" s="10">
        <v>8.23</v>
      </c>
      <c r="D260" s="16" t="s">
        <v>4682</v>
      </c>
      <c r="E260" s="10" t="s">
        <v>4683</v>
      </c>
      <c r="F260" s="10" t="s">
        <v>4683</v>
      </c>
      <c r="G260" s="10" t="s">
        <v>4683</v>
      </c>
      <c r="H260" s="14">
        <v>0</v>
      </c>
      <c r="I260" s="10" t="s">
        <v>4684</v>
      </c>
      <c r="J260" s="10" t="str">
        <f t="shared" si="1"/>
        <v>normalweight</v>
      </c>
      <c r="L260" s="30" t="e">
        <v>#N/A</v>
      </c>
    </row>
    <row r="261" spans="1:12" ht="15.75" customHeight="1" x14ac:dyDescent="0.3">
      <c r="A261" s="10" t="s">
        <v>4152</v>
      </c>
      <c r="B261" s="10">
        <v>37.524999999999999</v>
      </c>
      <c r="C261" s="10">
        <v>9.0299999999999994</v>
      </c>
      <c r="D261" s="16" t="s">
        <v>4682</v>
      </c>
      <c r="E261" s="10" t="s">
        <v>4684</v>
      </c>
      <c r="F261" s="10" t="s">
        <v>4683</v>
      </c>
      <c r="G261" s="10" t="s">
        <v>4683</v>
      </c>
      <c r="H261" s="14">
        <v>2</v>
      </c>
      <c r="I261" s="10" t="s">
        <v>4683</v>
      </c>
      <c r="J261" s="10" t="str">
        <f t="shared" si="1"/>
        <v>normalweight</v>
      </c>
      <c r="L261" s="30" t="e">
        <v>#N/A</v>
      </c>
    </row>
    <row r="262" spans="1:12" ht="15.75" customHeight="1" x14ac:dyDescent="0.3">
      <c r="A262" s="10" t="s">
        <v>4150</v>
      </c>
      <c r="B262" s="10">
        <v>34.5</v>
      </c>
      <c r="C262" s="10">
        <v>4.07</v>
      </c>
      <c r="D262" s="10" t="s">
        <v>4685</v>
      </c>
      <c r="E262" s="10" t="s">
        <v>4684</v>
      </c>
      <c r="F262" s="10" t="s">
        <v>4683</v>
      </c>
      <c r="G262" s="10" t="s">
        <v>4683</v>
      </c>
      <c r="H262" s="14">
        <v>0</v>
      </c>
      <c r="I262" s="10" t="s">
        <v>4684</v>
      </c>
      <c r="J262" s="10" t="str">
        <f t="shared" si="1"/>
        <v>normalweight</v>
      </c>
      <c r="L262" s="30" t="e">
        <v>#N/A</v>
      </c>
    </row>
    <row r="263" spans="1:12" ht="15.75" customHeight="1" x14ac:dyDescent="0.3">
      <c r="A263" s="10" t="s">
        <v>4148</v>
      </c>
      <c r="B263" s="10">
        <v>28.16</v>
      </c>
      <c r="C263" s="10">
        <v>5.77</v>
      </c>
      <c r="D263" s="10" t="s">
        <v>4685</v>
      </c>
      <c r="E263" s="10" t="s">
        <v>4683</v>
      </c>
      <c r="F263" s="10" t="s">
        <v>4683</v>
      </c>
      <c r="G263" s="10" t="s">
        <v>4683</v>
      </c>
      <c r="H263" s="14">
        <v>2</v>
      </c>
      <c r="I263" s="10" t="s">
        <v>4684</v>
      </c>
      <c r="J263" s="10" t="str">
        <f t="shared" si="1"/>
        <v>normalweight</v>
      </c>
      <c r="L263" s="30" t="e">
        <v>#N/A</v>
      </c>
    </row>
    <row r="264" spans="1:12" ht="15.75" customHeight="1" x14ac:dyDescent="0.3">
      <c r="A264" s="10" t="s">
        <v>4146</v>
      </c>
      <c r="B264" s="10">
        <v>30.02</v>
      </c>
      <c r="C264" s="10">
        <v>5.98</v>
      </c>
      <c r="D264" s="10" t="s">
        <v>4685</v>
      </c>
      <c r="E264" s="10" t="s">
        <v>4683</v>
      </c>
      <c r="F264" s="10" t="s">
        <v>4683</v>
      </c>
      <c r="G264" s="10" t="s">
        <v>4686</v>
      </c>
      <c r="H264" s="14">
        <v>1</v>
      </c>
      <c r="I264" s="10" t="s">
        <v>4684</v>
      </c>
      <c r="J264" s="10" t="str">
        <f t="shared" si="1"/>
        <v>normalweight</v>
      </c>
      <c r="L264" s="30" t="e">
        <v>#N/A</v>
      </c>
    </row>
    <row r="265" spans="1:12" ht="15.75" customHeight="1" x14ac:dyDescent="0.3">
      <c r="A265" s="10" t="s">
        <v>4144</v>
      </c>
      <c r="B265" s="10">
        <v>37.82</v>
      </c>
      <c r="C265" s="10">
        <v>6.01</v>
      </c>
      <c r="D265" s="10" t="s">
        <v>4685</v>
      </c>
      <c r="E265" s="10" t="s">
        <v>4683</v>
      </c>
      <c r="F265" s="10" t="s">
        <v>4683</v>
      </c>
      <c r="G265" s="10" t="s">
        <v>4683</v>
      </c>
      <c r="H265" s="14">
        <v>0</v>
      </c>
      <c r="I265" s="10" t="s">
        <v>4684</v>
      </c>
      <c r="J265" s="10" t="str">
        <f t="shared" si="1"/>
        <v>normalweight</v>
      </c>
      <c r="L265" s="30" t="e">
        <v>#N/A</v>
      </c>
    </row>
    <row r="266" spans="1:12" ht="15.75" customHeight="1" x14ac:dyDescent="0.3">
      <c r="A266" s="10" t="s">
        <v>4142</v>
      </c>
      <c r="B266" s="10">
        <v>33.14</v>
      </c>
      <c r="C266" s="10">
        <v>5.67</v>
      </c>
      <c r="D266" s="10" t="s">
        <v>4685</v>
      </c>
      <c r="E266" s="10" t="s">
        <v>4684</v>
      </c>
      <c r="F266" s="10" t="s">
        <v>4683</v>
      </c>
      <c r="G266" s="10" t="s">
        <v>4683</v>
      </c>
      <c r="H266" s="14">
        <v>0</v>
      </c>
      <c r="I266" s="10" t="s">
        <v>4684</v>
      </c>
      <c r="J266" s="10" t="str">
        <f t="shared" si="1"/>
        <v>normalweight</v>
      </c>
      <c r="L266" s="30" t="e">
        <v>#N/A</v>
      </c>
    </row>
    <row r="267" spans="1:12" ht="15.75" customHeight="1" x14ac:dyDescent="0.3">
      <c r="A267" s="10" t="s">
        <v>4140</v>
      </c>
      <c r="B267" s="10">
        <v>25.14</v>
      </c>
      <c r="C267" s="10">
        <v>6.02</v>
      </c>
      <c r="D267" s="10" t="s">
        <v>4685</v>
      </c>
      <c r="E267" s="10" t="s">
        <v>4684</v>
      </c>
      <c r="F267" s="10" t="s">
        <v>4683</v>
      </c>
      <c r="G267" s="10" t="s">
        <v>4686</v>
      </c>
      <c r="H267" s="14">
        <v>1</v>
      </c>
      <c r="I267" s="10" t="s">
        <v>4684</v>
      </c>
      <c r="J267" s="10" t="str">
        <f t="shared" si="1"/>
        <v>normalweight</v>
      </c>
      <c r="L267" s="30" t="e">
        <v>#N/A</v>
      </c>
    </row>
    <row r="268" spans="1:12" ht="15.75" customHeight="1" x14ac:dyDescent="0.3">
      <c r="A268" s="10" t="s">
        <v>4138</v>
      </c>
      <c r="B268" s="10">
        <v>20.18</v>
      </c>
      <c r="C268" s="10">
        <v>11.19</v>
      </c>
      <c r="D268" s="16" t="s">
        <v>4682</v>
      </c>
      <c r="E268" s="10" t="s">
        <v>4683</v>
      </c>
      <c r="F268" s="10" t="s">
        <v>4683</v>
      </c>
      <c r="G268" s="10" t="s">
        <v>4683</v>
      </c>
      <c r="H268" s="14">
        <v>0</v>
      </c>
      <c r="I268" s="10" t="s">
        <v>4684</v>
      </c>
      <c r="J268" s="10" t="str">
        <f t="shared" si="1"/>
        <v>normalweight</v>
      </c>
      <c r="L268" s="30" t="e">
        <v>#N/A</v>
      </c>
    </row>
    <row r="269" spans="1:12" ht="15.75" customHeight="1" x14ac:dyDescent="0.3">
      <c r="A269" s="10" t="s">
        <v>4136</v>
      </c>
      <c r="B269" s="10">
        <v>44.36</v>
      </c>
      <c r="C269" s="10">
        <v>5.1100000000000003</v>
      </c>
      <c r="D269" s="10" t="s">
        <v>4685</v>
      </c>
      <c r="E269" s="10" t="s">
        <v>4683</v>
      </c>
      <c r="F269" s="10" t="s">
        <v>4683</v>
      </c>
      <c r="G269" s="10" t="s">
        <v>4683</v>
      </c>
      <c r="H269" s="14">
        <v>0</v>
      </c>
      <c r="I269" s="10" t="s">
        <v>4684</v>
      </c>
      <c r="J269" s="10" t="str">
        <f t="shared" si="1"/>
        <v>normalweight</v>
      </c>
      <c r="L269" s="30" t="e">
        <v>#N/A</v>
      </c>
    </row>
    <row r="270" spans="1:12" ht="15.75" customHeight="1" x14ac:dyDescent="0.3">
      <c r="A270" s="10" t="s">
        <v>4134</v>
      </c>
      <c r="B270" s="10">
        <v>23.82</v>
      </c>
      <c r="C270" s="10">
        <v>10.85</v>
      </c>
      <c r="D270" s="16" t="s">
        <v>4682</v>
      </c>
      <c r="E270" s="10" t="s">
        <v>4684</v>
      </c>
      <c r="F270" s="10" t="s">
        <v>4683</v>
      </c>
      <c r="G270" s="10" t="s">
        <v>4683</v>
      </c>
      <c r="H270" s="14">
        <v>0</v>
      </c>
      <c r="I270" s="10" t="s">
        <v>4684</v>
      </c>
      <c r="J270" s="10" t="str">
        <f t="shared" si="1"/>
        <v>normalweight</v>
      </c>
      <c r="L270" s="30" t="e">
        <v>#N/A</v>
      </c>
    </row>
    <row r="271" spans="1:12" ht="15.75" customHeight="1" x14ac:dyDescent="0.3">
      <c r="A271" s="10" t="s">
        <v>4132</v>
      </c>
      <c r="B271" s="10">
        <v>45</v>
      </c>
      <c r="C271" s="10">
        <v>5.24</v>
      </c>
      <c r="D271" s="10" t="s">
        <v>4685</v>
      </c>
      <c r="E271" s="10" t="s">
        <v>4684</v>
      </c>
      <c r="F271" s="10" t="s">
        <v>4683</v>
      </c>
      <c r="G271" s="10" t="s">
        <v>4683</v>
      </c>
      <c r="H271" s="14">
        <v>1</v>
      </c>
      <c r="I271" s="10" t="s">
        <v>4684</v>
      </c>
      <c r="J271" s="10" t="str">
        <f t="shared" si="1"/>
        <v>normalweight</v>
      </c>
      <c r="L271" s="30" t="e">
        <v>#N/A</v>
      </c>
    </row>
    <row r="272" spans="1:12" ht="15.75" customHeight="1" x14ac:dyDescent="0.3">
      <c r="A272" s="10" t="s">
        <v>4130</v>
      </c>
      <c r="B272" s="10">
        <v>26.62</v>
      </c>
      <c r="C272" s="10">
        <v>10.08</v>
      </c>
      <c r="D272" s="16" t="s">
        <v>4682</v>
      </c>
      <c r="E272" s="10" t="s">
        <v>4683</v>
      </c>
      <c r="F272" s="10" t="s">
        <v>4683</v>
      </c>
      <c r="G272" s="10" t="s">
        <v>4683</v>
      </c>
      <c r="H272" s="14">
        <v>0</v>
      </c>
      <c r="I272" s="10" t="s">
        <v>4684</v>
      </c>
      <c r="J272" s="10" t="str">
        <f t="shared" si="1"/>
        <v>normalweight</v>
      </c>
      <c r="L272" s="30" t="e">
        <v>#N/A</v>
      </c>
    </row>
    <row r="273" spans="1:12" ht="15.75" customHeight="1" x14ac:dyDescent="0.3">
      <c r="A273" s="10" t="s">
        <v>4128</v>
      </c>
      <c r="B273" s="10">
        <v>32.67</v>
      </c>
      <c r="C273" s="10">
        <v>10.97</v>
      </c>
      <c r="D273" s="16" t="s">
        <v>4682</v>
      </c>
      <c r="E273" s="10" t="s">
        <v>4684</v>
      </c>
      <c r="F273" s="10" t="s">
        <v>4683</v>
      </c>
      <c r="G273" s="10" t="s">
        <v>4683</v>
      </c>
      <c r="H273" s="14">
        <v>0</v>
      </c>
      <c r="I273" s="10" t="s">
        <v>4684</v>
      </c>
      <c r="J273" s="10" t="str">
        <f t="shared" si="1"/>
        <v>normalweight</v>
      </c>
      <c r="L273" s="30" t="e">
        <v>#N/A</v>
      </c>
    </row>
    <row r="274" spans="1:12" ht="15.75" customHeight="1" x14ac:dyDescent="0.3">
      <c r="A274" s="10" t="s">
        <v>4126</v>
      </c>
      <c r="B274" s="10">
        <v>44.44</v>
      </c>
      <c r="C274" s="10">
        <v>4.9000000000000004</v>
      </c>
      <c r="D274" s="10" t="s">
        <v>4685</v>
      </c>
      <c r="E274" s="10" t="s">
        <v>4684</v>
      </c>
      <c r="F274" s="10" t="s">
        <v>4683</v>
      </c>
      <c r="G274" s="10" t="s">
        <v>4683</v>
      </c>
      <c r="H274" s="14">
        <v>1</v>
      </c>
      <c r="I274" s="10" t="s">
        <v>4684</v>
      </c>
      <c r="J274" s="10" t="str">
        <f t="shared" si="1"/>
        <v>normalweight</v>
      </c>
      <c r="L274" s="30" t="e">
        <v>#N/A</v>
      </c>
    </row>
    <row r="275" spans="1:12" ht="15.75" customHeight="1" x14ac:dyDescent="0.3">
      <c r="A275" s="10" t="s">
        <v>4124</v>
      </c>
      <c r="B275" s="10">
        <v>28.31</v>
      </c>
      <c r="C275" s="10">
        <v>5.33</v>
      </c>
      <c r="D275" s="10" t="s">
        <v>4685</v>
      </c>
      <c r="E275" s="10" t="s">
        <v>4683</v>
      </c>
      <c r="F275" s="10" t="s">
        <v>4683</v>
      </c>
      <c r="G275" s="10" t="s">
        <v>4683</v>
      </c>
      <c r="H275" s="14">
        <v>0</v>
      </c>
      <c r="I275" s="10" t="s">
        <v>4684</v>
      </c>
      <c r="J275" s="10" t="str">
        <f t="shared" ref="J275:J529" si="2">IF(B275&lt;=18.5,"underweight",IF(B275&gt;=18.5-24.9,"normalweight",IF(B275&gt;=25-29.9,"overweight","obesity")))</f>
        <v>normalweight</v>
      </c>
      <c r="L275" s="30" t="e">
        <v>#N/A</v>
      </c>
    </row>
    <row r="276" spans="1:12" ht="15.75" customHeight="1" x14ac:dyDescent="0.3">
      <c r="A276" s="10" t="s">
        <v>4122</v>
      </c>
      <c r="B276" s="10">
        <v>25.05</v>
      </c>
      <c r="C276" s="10">
        <v>4.6100000000000003</v>
      </c>
      <c r="D276" s="10" t="s">
        <v>4685</v>
      </c>
      <c r="E276" s="10" t="s">
        <v>4683</v>
      </c>
      <c r="F276" s="10" t="s">
        <v>4683</v>
      </c>
      <c r="G276" s="10" t="s">
        <v>4683</v>
      </c>
      <c r="H276" s="14">
        <v>2</v>
      </c>
      <c r="I276" s="10" t="s">
        <v>4684</v>
      </c>
      <c r="J276" s="10" t="str">
        <f t="shared" si="2"/>
        <v>normalweight</v>
      </c>
      <c r="L276" s="30" t="e">
        <v>#N/A</v>
      </c>
    </row>
    <row r="277" spans="1:12" ht="15.75" customHeight="1" x14ac:dyDescent="0.3">
      <c r="A277" s="10" t="s">
        <v>4120</v>
      </c>
      <c r="B277" s="10">
        <v>28.34</v>
      </c>
      <c r="C277" s="10">
        <v>8.18</v>
      </c>
      <c r="D277" s="16" t="s">
        <v>4682</v>
      </c>
      <c r="E277" s="10" t="s">
        <v>4683</v>
      </c>
      <c r="F277" s="10" t="s">
        <v>4683</v>
      </c>
      <c r="G277" s="10" t="s">
        <v>4683</v>
      </c>
      <c r="H277" s="14">
        <v>0</v>
      </c>
      <c r="I277" s="10" t="s">
        <v>4684</v>
      </c>
      <c r="J277" s="10" t="str">
        <f t="shared" si="2"/>
        <v>normalweight</v>
      </c>
      <c r="L277" s="30" t="e">
        <v>#N/A</v>
      </c>
    </row>
    <row r="278" spans="1:12" ht="15.75" customHeight="1" x14ac:dyDescent="0.3">
      <c r="A278" s="10" t="s">
        <v>4118</v>
      </c>
      <c r="B278" s="10">
        <v>17.765000000000001</v>
      </c>
      <c r="C278" s="10">
        <v>5.62</v>
      </c>
      <c r="D278" s="10" t="s">
        <v>4685</v>
      </c>
      <c r="E278" s="10" t="s">
        <v>4683</v>
      </c>
      <c r="F278" s="10" t="s">
        <v>4683</v>
      </c>
      <c r="G278" s="10" t="s">
        <v>4683</v>
      </c>
      <c r="H278" s="14">
        <v>0</v>
      </c>
      <c r="I278" s="10" t="s">
        <v>4684</v>
      </c>
      <c r="J278" s="10" t="str">
        <f t="shared" si="2"/>
        <v>underweight</v>
      </c>
      <c r="L278" s="30" t="e">
        <v>#N/A</v>
      </c>
    </row>
    <row r="279" spans="1:12" ht="15.75" customHeight="1" x14ac:dyDescent="0.3">
      <c r="A279" s="10" t="s">
        <v>4116</v>
      </c>
      <c r="B279" s="10">
        <v>36.119999999999997</v>
      </c>
      <c r="C279" s="10">
        <v>5.82</v>
      </c>
      <c r="D279" s="10" t="s">
        <v>4685</v>
      </c>
      <c r="E279" s="10" t="s">
        <v>4683</v>
      </c>
      <c r="F279" s="10" t="s">
        <v>4683</v>
      </c>
      <c r="G279" s="10" t="s">
        <v>4683</v>
      </c>
      <c r="H279" s="14">
        <v>0</v>
      </c>
      <c r="I279" s="10" t="s">
        <v>4684</v>
      </c>
      <c r="J279" s="10" t="str">
        <f t="shared" si="2"/>
        <v>normalweight</v>
      </c>
      <c r="L279" s="30" t="e">
        <v>#N/A</v>
      </c>
    </row>
    <row r="280" spans="1:12" ht="15.75" customHeight="1" x14ac:dyDescent="0.3">
      <c r="A280" s="10" t="s">
        <v>4114</v>
      </c>
      <c r="B280" s="10">
        <v>23.19</v>
      </c>
      <c r="C280" s="10">
        <v>7.66</v>
      </c>
      <c r="D280" s="16" t="s">
        <v>4682</v>
      </c>
      <c r="E280" s="10" t="s">
        <v>4683</v>
      </c>
      <c r="F280" s="10" t="s">
        <v>4683</v>
      </c>
      <c r="G280" s="10" t="s">
        <v>4683</v>
      </c>
      <c r="H280" s="14">
        <v>0</v>
      </c>
      <c r="I280" s="10" t="s">
        <v>4684</v>
      </c>
      <c r="J280" s="10" t="str">
        <f t="shared" si="2"/>
        <v>normalweight</v>
      </c>
      <c r="L280" s="30" t="e">
        <v>#N/A</v>
      </c>
    </row>
    <row r="281" spans="1:12" ht="15.75" customHeight="1" x14ac:dyDescent="0.3">
      <c r="A281" s="10" t="s">
        <v>4112</v>
      </c>
      <c r="B281" s="10">
        <v>35.99</v>
      </c>
      <c r="C281" s="10">
        <v>4.2300000000000004</v>
      </c>
      <c r="D281" s="10" t="s">
        <v>4685</v>
      </c>
      <c r="E281" s="10" t="s">
        <v>4683</v>
      </c>
      <c r="F281" s="10" t="s">
        <v>4683</v>
      </c>
      <c r="G281" s="10" t="s">
        <v>4683</v>
      </c>
      <c r="H281" s="14">
        <v>0</v>
      </c>
      <c r="I281" s="10" t="s">
        <v>4684</v>
      </c>
      <c r="J281" s="10" t="str">
        <f t="shared" si="2"/>
        <v>normalweight</v>
      </c>
      <c r="L281" s="30" t="e">
        <v>#N/A</v>
      </c>
    </row>
    <row r="282" spans="1:12" ht="15.75" customHeight="1" x14ac:dyDescent="0.3">
      <c r="A282" s="10" t="s">
        <v>4110</v>
      </c>
      <c r="B282" s="10">
        <v>30.25</v>
      </c>
      <c r="C282" s="10">
        <v>5.58</v>
      </c>
      <c r="D282" s="10" t="s">
        <v>4685</v>
      </c>
      <c r="E282" s="10" t="s">
        <v>4683</v>
      </c>
      <c r="F282" s="10" t="s">
        <v>4683</v>
      </c>
      <c r="G282" s="10" t="s">
        <v>4686</v>
      </c>
      <c r="H282" s="14">
        <v>1</v>
      </c>
      <c r="I282" s="10" t="s">
        <v>4684</v>
      </c>
      <c r="J282" s="10" t="str">
        <f t="shared" si="2"/>
        <v>normalweight</v>
      </c>
      <c r="L282" s="30" t="e">
        <v>#N/A</v>
      </c>
    </row>
    <row r="283" spans="1:12" ht="15.75" customHeight="1" x14ac:dyDescent="0.3">
      <c r="A283" s="10" t="s">
        <v>4108</v>
      </c>
      <c r="B283" s="10">
        <v>26.24</v>
      </c>
      <c r="C283" s="10">
        <v>6.26</v>
      </c>
      <c r="D283" s="16" t="s">
        <v>4682</v>
      </c>
      <c r="E283" s="10" t="s">
        <v>4684</v>
      </c>
      <c r="F283" s="10" t="s">
        <v>4683</v>
      </c>
      <c r="G283" s="10" t="s">
        <v>4683</v>
      </c>
      <c r="H283" s="14">
        <v>0</v>
      </c>
      <c r="I283" s="10" t="s">
        <v>4684</v>
      </c>
      <c r="J283" s="10" t="str">
        <f t="shared" si="2"/>
        <v>normalweight</v>
      </c>
      <c r="L283" s="30" t="e">
        <v>#N/A</v>
      </c>
    </row>
    <row r="284" spans="1:12" ht="15.75" customHeight="1" x14ac:dyDescent="0.3">
      <c r="A284" s="10" t="s">
        <v>4106</v>
      </c>
      <c r="B284" s="10">
        <v>31.36</v>
      </c>
      <c r="C284" s="10">
        <v>10.6</v>
      </c>
      <c r="D284" s="16" t="s">
        <v>4682</v>
      </c>
      <c r="E284" s="10" t="s">
        <v>4684</v>
      </c>
      <c r="F284" s="10" t="s">
        <v>4683</v>
      </c>
      <c r="G284" s="10" t="s">
        <v>4683</v>
      </c>
      <c r="H284" s="14">
        <v>0</v>
      </c>
      <c r="I284" s="10" t="s">
        <v>4684</v>
      </c>
      <c r="J284" s="10" t="str">
        <f t="shared" si="2"/>
        <v>normalweight</v>
      </c>
      <c r="L284" s="30" t="e">
        <v>#N/A</v>
      </c>
    </row>
    <row r="285" spans="1:12" ht="15.75" customHeight="1" x14ac:dyDescent="0.3">
      <c r="A285" s="10" t="s">
        <v>4104</v>
      </c>
      <c r="B285" s="10">
        <v>25.69</v>
      </c>
      <c r="C285" s="10">
        <v>4.78</v>
      </c>
      <c r="D285" s="10" t="s">
        <v>4685</v>
      </c>
      <c r="E285" s="10" t="s">
        <v>4684</v>
      </c>
      <c r="F285" s="10" t="s">
        <v>4683</v>
      </c>
      <c r="G285" s="10" t="s">
        <v>4683</v>
      </c>
      <c r="H285" s="14">
        <v>0</v>
      </c>
      <c r="I285" s="10" t="s">
        <v>4684</v>
      </c>
      <c r="J285" s="10" t="str">
        <f t="shared" si="2"/>
        <v>normalweight</v>
      </c>
      <c r="L285" s="30" t="e">
        <v>#N/A</v>
      </c>
    </row>
    <row r="286" spans="1:12" ht="15.75" customHeight="1" x14ac:dyDescent="0.3">
      <c r="A286" s="10" t="s">
        <v>4102</v>
      </c>
      <c r="B286" s="10">
        <v>25.46</v>
      </c>
      <c r="C286" s="10">
        <v>6.03</v>
      </c>
      <c r="D286" s="10" t="s">
        <v>4685</v>
      </c>
      <c r="E286" s="10" t="s">
        <v>4683</v>
      </c>
      <c r="F286" s="10" t="s">
        <v>4683</v>
      </c>
      <c r="G286" s="10" t="s">
        <v>4683</v>
      </c>
      <c r="H286" s="14">
        <v>2</v>
      </c>
      <c r="I286" s="10" t="s">
        <v>4684</v>
      </c>
      <c r="J286" s="10" t="str">
        <f t="shared" si="2"/>
        <v>normalweight</v>
      </c>
      <c r="L286" s="30" t="e">
        <v>#N/A</v>
      </c>
    </row>
    <row r="287" spans="1:12" ht="15.75" customHeight="1" x14ac:dyDescent="0.3">
      <c r="A287" s="10" t="s">
        <v>4100</v>
      </c>
      <c r="B287" s="10">
        <v>31.83</v>
      </c>
      <c r="C287" s="10">
        <v>11.55</v>
      </c>
      <c r="D287" s="16" t="s">
        <v>4682</v>
      </c>
      <c r="E287" s="10" t="s">
        <v>4684</v>
      </c>
      <c r="F287" s="10" t="s">
        <v>4683</v>
      </c>
      <c r="G287" s="10" t="s">
        <v>4683</v>
      </c>
      <c r="H287" s="14">
        <v>1</v>
      </c>
      <c r="I287" s="10" t="s">
        <v>4684</v>
      </c>
      <c r="J287" s="10" t="str">
        <f t="shared" si="2"/>
        <v>normalweight</v>
      </c>
      <c r="L287" s="30" t="e">
        <v>#N/A</v>
      </c>
    </row>
    <row r="288" spans="1:12" ht="15.75" customHeight="1" x14ac:dyDescent="0.3">
      <c r="A288" s="10" t="s">
        <v>4098</v>
      </c>
      <c r="B288" s="10">
        <v>24.43</v>
      </c>
      <c r="C288" s="10">
        <v>7.59</v>
      </c>
      <c r="D288" s="16" t="s">
        <v>4682</v>
      </c>
      <c r="E288" s="10" t="s">
        <v>4684</v>
      </c>
      <c r="F288" s="10" t="s">
        <v>4683</v>
      </c>
      <c r="G288" s="10" t="s">
        <v>4683</v>
      </c>
      <c r="H288" s="14">
        <v>1</v>
      </c>
      <c r="I288" s="10" t="s">
        <v>4684</v>
      </c>
      <c r="J288" s="10" t="str">
        <f t="shared" si="2"/>
        <v>normalweight</v>
      </c>
      <c r="L288" s="30" t="e">
        <v>#N/A</v>
      </c>
    </row>
    <row r="289" spans="1:12" ht="15.75" customHeight="1" x14ac:dyDescent="0.3">
      <c r="A289" s="10" t="s">
        <v>4096</v>
      </c>
      <c r="B289" s="10">
        <v>41.9</v>
      </c>
      <c r="C289" s="10">
        <v>4.26</v>
      </c>
      <c r="D289" s="10" t="s">
        <v>4685</v>
      </c>
      <c r="E289" s="10" t="s">
        <v>4683</v>
      </c>
      <c r="F289" s="10" t="s">
        <v>4683</v>
      </c>
      <c r="G289" s="10" t="s">
        <v>4683</v>
      </c>
      <c r="H289" s="14">
        <v>0</v>
      </c>
      <c r="I289" s="10" t="s">
        <v>4684</v>
      </c>
      <c r="J289" s="10" t="str">
        <f t="shared" si="2"/>
        <v>normalweight</v>
      </c>
      <c r="L289" s="30" t="e">
        <v>#N/A</v>
      </c>
    </row>
    <row r="290" spans="1:12" ht="15.75" customHeight="1" x14ac:dyDescent="0.3">
      <c r="A290" s="10" t="s">
        <v>4094</v>
      </c>
      <c r="B290" s="10">
        <v>22.88</v>
      </c>
      <c r="C290" s="10">
        <v>5.9</v>
      </c>
      <c r="D290" s="10" t="s">
        <v>4685</v>
      </c>
      <c r="E290" s="10" t="s">
        <v>4684</v>
      </c>
      <c r="F290" s="10" t="s">
        <v>4683</v>
      </c>
      <c r="G290" s="10" t="s">
        <v>4686</v>
      </c>
      <c r="H290" s="14">
        <v>1</v>
      </c>
      <c r="I290" s="10" t="s">
        <v>4684</v>
      </c>
      <c r="J290" s="10" t="str">
        <f t="shared" si="2"/>
        <v>normalweight</v>
      </c>
      <c r="L290" s="30" t="e">
        <v>#N/A</v>
      </c>
    </row>
    <row r="291" spans="1:12" ht="15.75" customHeight="1" x14ac:dyDescent="0.3">
      <c r="A291" s="10" t="s">
        <v>4092</v>
      </c>
      <c r="B291" s="10">
        <v>29.734999999999999</v>
      </c>
      <c r="C291" s="10">
        <v>7.79</v>
      </c>
      <c r="D291" s="16" t="s">
        <v>4682</v>
      </c>
      <c r="E291" s="10" t="s">
        <v>4683</v>
      </c>
      <c r="F291" s="10" t="s">
        <v>4683</v>
      </c>
      <c r="G291" s="10" t="s">
        <v>4683</v>
      </c>
      <c r="H291" s="14">
        <v>0</v>
      </c>
      <c r="I291" s="10" t="s">
        <v>4683</v>
      </c>
      <c r="J291" s="10" t="str">
        <f t="shared" si="2"/>
        <v>normalweight</v>
      </c>
      <c r="L291" s="30" t="e">
        <v>#N/A</v>
      </c>
    </row>
    <row r="292" spans="1:12" ht="15.75" customHeight="1" x14ac:dyDescent="0.3">
      <c r="A292" s="10" t="s">
        <v>4090</v>
      </c>
      <c r="B292" s="10">
        <v>40.74</v>
      </c>
      <c r="C292" s="10">
        <v>5.28</v>
      </c>
      <c r="D292" s="10" t="s">
        <v>4685</v>
      </c>
      <c r="E292" s="10" t="s">
        <v>4683</v>
      </c>
      <c r="F292" s="10" t="s">
        <v>4683</v>
      </c>
      <c r="G292" s="10" t="s">
        <v>4686</v>
      </c>
      <c r="H292" s="14">
        <v>1</v>
      </c>
      <c r="I292" s="10" t="s">
        <v>4684</v>
      </c>
      <c r="J292" s="10" t="str">
        <f t="shared" si="2"/>
        <v>normalweight</v>
      </c>
      <c r="L292" s="30" t="e">
        <v>#N/A</v>
      </c>
    </row>
    <row r="293" spans="1:12" ht="15.75" customHeight="1" x14ac:dyDescent="0.3">
      <c r="A293" s="10" t="s">
        <v>4088</v>
      </c>
      <c r="B293" s="10">
        <v>24.14</v>
      </c>
      <c r="C293" s="10">
        <v>5.87</v>
      </c>
      <c r="D293" s="10" t="s">
        <v>4685</v>
      </c>
      <c r="E293" s="10" t="s">
        <v>4683</v>
      </c>
      <c r="F293" s="10" t="s">
        <v>4683</v>
      </c>
      <c r="G293" s="10" t="s">
        <v>4683</v>
      </c>
      <c r="H293" s="14">
        <v>2</v>
      </c>
      <c r="I293" s="10" t="s">
        <v>4684</v>
      </c>
      <c r="J293" s="10" t="str">
        <f t="shared" si="2"/>
        <v>normalweight</v>
      </c>
      <c r="L293" s="30" t="e">
        <v>#N/A</v>
      </c>
    </row>
    <row r="294" spans="1:12" ht="15.75" customHeight="1" x14ac:dyDescent="0.3">
      <c r="A294" s="10" t="s">
        <v>4434</v>
      </c>
      <c r="B294" s="10">
        <v>25.15</v>
      </c>
      <c r="C294" s="10">
        <v>9.08</v>
      </c>
      <c r="D294" s="16" t="s">
        <v>4682</v>
      </c>
      <c r="E294" s="10" t="s">
        <v>4684</v>
      </c>
      <c r="F294" s="10" t="s">
        <v>4683</v>
      </c>
      <c r="G294" s="10" t="s">
        <v>4683</v>
      </c>
      <c r="H294" s="14">
        <v>1</v>
      </c>
      <c r="I294" s="10" t="s">
        <v>4684</v>
      </c>
      <c r="J294" s="10" t="str">
        <f t="shared" si="2"/>
        <v>normalweight</v>
      </c>
      <c r="L294" s="30" t="e">
        <v>#N/A</v>
      </c>
    </row>
    <row r="295" spans="1:12" ht="15.75" customHeight="1" x14ac:dyDescent="0.3">
      <c r="A295" s="10" t="s">
        <v>4086</v>
      </c>
      <c r="B295" s="10">
        <v>28.71</v>
      </c>
      <c r="C295" s="10">
        <v>5.2</v>
      </c>
      <c r="D295" s="10" t="s">
        <v>4685</v>
      </c>
      <c r="E295" s="10" t="s">
        <v>4683</v>
      </c>
      <c r="F295" s="10" t="s">
        <v>4683</v>
      </c>
      <c r="G295" s="10" t="s">
        <v>4683</v>
      </c>
      <c r="H295" s="14">
        <v>1</v>
      </c>
      <c r="I295" s="10" t="s">
        <v>4684</v>
      </c>
      <c r="J295" s="10" t="str">
        <f t="shared" si="2"/>
        <v>normalweight</v>
      </c>
      <c r="L295" s="30" t="e">
        <v>#N/A</v>
      </c>
    </row>
    <row r="296" spans="1:12" ht="15.75" customHeight="1" x14ac:dyDescent="0.3">
      <c r="A296" s="10" t="s">
        <v>4084</v>
      </c>
      <c r="B296" s="10">
        <v>23</v>
      </c>
      <c r="C296" s="10">
        <v>5.48</v>
      </c>
      <c r="D296" s="10" t="s">
        <v>4685</v>
      </c>
      <c r="E296" s="10" t="s">
        <v>4683</v>
      </c>
      <c r="F296" s="10" t="s">
        <v>4683</v>
      </c>
      <c r="G296" s="10" t="s">
        <v>4683</v>
      </c>
      <c r="H296" s="14">
        <v>0</v>
      </c>
      <c r="I296" s="10" t="s">
        <v>4684</v>
      </c>
      <c r="J296" s="10" t="str">
        <f t="shared" si="2"/>
        <v>normalweight</v>
      </c>
      <c r="L296" s="30" t="e">
        <v>#N/A</v>
      </c>
    </row>
    <row r="297" spans="1:12" ht="15.75" customHeight="1" x14ac:dyDescent="0.3">
      <c r="A297" s="10" t="s">
        <v>4082</v>
      </c>
      <c r="B297" s="10">
        <v>36.86</v>
      </c>
      <c r="C297" s="10">
        <v>11.95</v>
      </c>
      <c r="D297" s="16" t="s">
        <v>4682</v>
      </c>
      <c r="E297" s="10" t="s">
        <v>4683</v>
      </c>
      <c r="F297" s="10" t="s">
        <v>4683</v>
      </c>
      <c r="G297" s="10" t="s">
        <v>4683</v>
      </c>
      <c r="H297" s="14">
        <v>0</v>
      </c>
      <c r="I297" s="10" t="s">
        <v>4683</v>
      </c>
      <c r="J297" s="10" t="str">
        <f t="shared" si="2"/>
        <v>normalweight</v>
      </c>
      <c r="L297" s="30" t="e">
        <v>#N/A</v>
      </c>
    </row>
    <row r="298" spans="1:12" ht="15.75" customHeight="1" x14ac:dyDescent="0.3">
      <c r="A298" s="10" t="s">
        <v>4080</v>
      </c>
      <c r="B298" s="10">
        <v>24.25</v>
      </c>
      <c r="C298" s="10">
        <v>8.6999999999999993</v>
      </c>
      <c r="D298" s="16" t="s">
        <v>4682</v>
      </c>
      <c r="E298" s="10" t="s">
        <v>4684</v>
      </c>
      <c r="F298" s="10" t="s">
        <v>4683</v>
      </c>
      <c r="G298" s="10" t="s">
        <v>4683</v>
      </c>
      <c r="H298" s="14">
        <v>1</v>
      </c>
      <c r="I298" s="10" t="s">
        <v>4684</v>
      </c>
      <c r="J298" s="10" t="str">
        <f t="shared" si="2"/>
        <v>normalweight</v>
      </c>
      <c r="L298" s="30" t="e">
        <v>#N/A</v>
      </c>
    </row>
    <row r="299" spans="1:12" ht="15.75" customHeight="1" x14ac:dyDescent="0.3">
      <c r="A299" s="10" t="s">
        <v>4078</v>
      </c>
      <c r="B299" s="10">
        <v>23.85</v>
      </c>
      <c r="C299" s="10">
        <v>7.84</v>
      </c>
      <c r="D299" s="16" t="s">
        <v>4682</v>
      </c>
      <c r="E299" s="10" t="s">
        <v>4683</v>
      </c>
      <c r="F299" s="10" t="s">
        <v>4683</v>
      </c>
      <c r="G299" s="10" t="s">
        <v>4683</v>
      </c>
      <c r="H299" s="14">
        <v>0</v>
      </c>
      <c r="I299" s="10" t="s">
        <v>4684</v>
      </c>
      <c r="J299" s="10" t="str">
        <f t="shared" si="2"/>
        <v>normalweight</v>
      </c>
      <c r="L299" s="30" t="e">
        <v>#N/A</v>
      </c>
    </row>
    <row r="300" spans="1:12" ht="15.75" customHeight="1" x14ac:dyDescent="0.3">
      <c r="A300" s="10" t="s">
        <v>4076</v>
      </c>
      <c r="B300" s="10">
        <v>40.020000000000003</v>
      </c>
      <c r="C300" s="10">
        <v>5.19</v>
      </c>
      <c r="D300" s="10" t="s">
        <v>4685</v>
      </c>
      <c r="E300" s="10" t="s">
        <v>4684</v>
      </c>
      <c r="F300" s="10" t="s">
        <v>4683</v>
      </c>
      <c r="G300" s="10" t="s">
        <v>4683</v>
      </c>
      <c r="H300" s="14">
        <v>1</v>
      </c>
      <c r="I300" s="10" t="s">
        <v>4684</v>
      </c>
      <c r="J300" s="10" t="str">
        <f t="shared" si="2"/>
        <v>normalweight</v>
      </c>
      <c r="L300" s="30" t="e">
        <v>#N/A</v>
      </c>
    </row>
    <row r="301" spans="1:12" ht="15.75" customHeight="1" x14ac:dyDescent="0.3">
      <c r="A301" s="10" t="s">
        <v>4074</v>
      </c>
      <c r="B301" s="10">
        <v>19.170000000000002</v>
      </c>
      <c r="C301" s="10">
        <v>8.41</v>
      </c>
      <c r="D301" s="16" t="s">
        <v>4682</v>
      </c>
      <c r="E301" s="10" t="s">
        <v>4683</v>
      </c>
      <c r="F301" s="10" t="s">
        <v>4683</v>
      </c>
      <c r="G301" s="10" t="s">
        <v>4683</v>
      </c>
      <c r="H301" s="14">
        <v>0</v>
      </c>
      <c r="I301" s="10" t="s">
        <v>4684</v>
      </c>
      <c r="J301" s="10" t="str">
        <f t="shared" si="2"/>
        <v>normalweight</v>
      </c>
      <c r="L301" s="30" t="e">
        <v>#N/A</v>
      </c>
    </row>
    <row r="302" spans="1:12" ht="15.75" customHeight="1" x14ac:dyDescent="0.3">
      <c r="A302" s="10" t="s">
        <v>4072</v>
      </c>
      <c r="B302" s="10">
        <v>43.53</v>
      </c>
      <c r="C302" s="10">
        <v>5.86</v>
      </c>
      <c r="D302" s="10" t="s">
        <v>4685</v>
      </c>
      <c r="E302" s="10" t="s">
        <v>4684</v>
      </c>
      <c r="F302" s="10" t="s">
        <v>4684</v>
      </c>
      <c r="G302" s="10" t="s">
        <v>4683</v>
      </c>
      <c r="H302" s="14">
        <v>2</v>
      </c>
      <c r="I302" s="10" t="s">
        <v>4684</v>
      </c>
      <c r="J302" s="10" t="str">
        <f t="shared" si="2"/>
        <v>normalweight</v>
      </c>
      <c r="L302" s="30" t="e">
        <v>#N/A</v>
      </c>
    </row>
    <row r="303" spans="1:12" ht="15.75" customHeight="1" x14ac:dyDescent="0.3">
      <c r="A303" s="10" t="s">
        <v>4070</v>
      </c>
      <c r="B303" s="10">
        <v>46.06</v>
      </c>
      <c r="C303" s="10">
        <v>4.18</v>
      </c>
      <c r="D303" s="10" t="s">
        <v>4685</v>
      </c>
      <c r="E303" s="10" t="s">
        <v>4683</v>
      </c>
      <c r="F303" s="10" t="s">
        <v>4684</v>
      </c>
      <c r="G303" s="10" t="s">
        <v>4683</v>
      </c>
      <c r="H303" s="14">
        <v>1</v>
      </c>
      <c r="I303" s="10" t="s">
        <v>4684</v>
      </c>
      <c r="J303" s="10" t="str">
        <f t="shared" si="2"/>
        <v>normalweight</v>
      </c>
      <c r="L303" s="30" t="e">
        <v>#N/A</v>
      </c>
    </row>
    <row r="304" spans="1:12" ht="15.75" customHeight="1" x14ac:dyDescent="0.3">
      <c r="A304" s="10" t="s">
        <v>4068</v>
      </c>
      <c r="B304" s="10">
        <v>29.92</v>
      </c>
      <c r="C304" s="10">
        <v>11.99</v>
      </c>
      <c r="D304" s="16" t="s">
        <v>4682</v>
      </c>
      <c r="E304" s="10" t="s">
        <v>4684</v>
      </c>
      <c r="F304" s="10" t="s">
        <v>4683</v>
      </c>
      <c r="G304" s="10" t="s">
        <v>4683</v>
      </c>
      <c r="H304" s="14">
        <v>2</v>
      </c>
      <c r="I304" s="10" t="s">
        <v>4684</v>
      </c>
      <c r="J304" s="10" t="str">
        <f t="shared" si="2"/>
        <v>normalweight</v>
      </c>
      <c r="L304" s="30" t="e">
        <v>#N/A</v>
      </c>
    </row>
    <row r="305" spans="1:12" ht="15.75" customHeight="1" x14ac:dyDescent="0.3">
      <c r="A305" s="10" t="s">
        <v>4066</v>
      </c>
      <c r="B305" s="10">
        <v>28.46</v>
      </c>
      <c r="C305" s="10">
        <v>4.8499999999999996</v>
      </c>
      <c r="D305" s="10" t="s">
        <v>4685</v>
      </c>
      <c r="E305" s="10" t="s">
        <v>4684</v>
      </c>
      <c r="F305" s="10" t="s">
        <v>4683</v>
      </c>
      <c r="G305" s="10" t="s">
        <v>4683</v>
      </c>
      <c r="H305" s="14">
        <v>1</v>
      </c>
      <c r="I305" s="10" t="s">
        <v>4684</v>
      </c>
      <c r="J305" s="10" t="str">
        <f t="shared" si="2"/>
        <v>normalweight</v>
      </c>
      <c r="L305" s="30" t="e">
        <v>#N/A</v>
      </c>
    </row>
    <row r="306" spans="1:12" ht="15.75" customHeight="1" x14ac:dyDescent="0.3">
      <c r="A306" s="10" t="s">
        <v>4064</v>
      </c>
      <c r="B306" s="10">
        <v>24.56</v>
      </c>
      <c r="C306" s="10">
        <v>6.18</v>
      </c>
      <c r="D306" s="10" t="s">
        <v>4685</v>
      </c>
      <c r="E306" s="10" t="s">
        <v>4684</v>
      </c>
      <c r="F306" s="10" t="s">
        <v>4683</v>
      </c>
      <c r="G306" s="10" t="s">
        <v>4686</v>
      </c>
      <c r="H306" s="14">
        <v>1</v>
      </c>
      <c r="I306" s="10" t="s">
        <v>4684</v>
      </c>
      <c r="J306" s="10" t="str">
        <f t="shared" si="2"/>
        <v>normalweight</v>
      </c>
      <c r="L306" s="30" t="e">
        <v>#N/A</v>
      </c>
    </row>
    <row r="307" spans="1:12" ht="15.75" customHeight="1" x14ac:dyDescent="0.3">
      <c r="A307" s="10" t="s">
        <v>4062</v>
      </c>
      <c r="B307" s="10">
        <v>41.19</v>
      </c>
      <c r="C307" s="10">
        <v>6.37</v>
      </c>
      <c r="D307" s="10" t="s">
        <v>4685</v>
      </c>
      <c r="E307" s="10" t="s">
        <v>4683</v>
      </c>
      <c r="F307" s="10" t="s">
        <v>4683</v>
      </c>
      <c r="G307" s="10" t="s">
        <v>4683</v>
      </c>
      <c r="H307" s="14">
        <v>0</v>
      </c>
      <c r="I307" s="10" t="s">
        <v>4684</v>
      </c>
      <c r="J307" s="10" t="str">
        <f t="shared" si="2"/>
        <v>normalweight</v>
      </c>
      <c r="L307" s="30" t="e">
        <v>#N/A</v>
      </c>
    </row>
    <row r="308" spans="1:12" ht="15.75" customHeight="1" x14ac:dyDescent="0.3">
      <c r="A308" s="10" t="s">
        <v>4060</v>
      </c>
      <c r="B308" s="10">
        <v>18.63</v>
      </c>
      <c r="C308" s="10">
        <v>9.81</v>
      </c>
      <c r="D308" s="16" t="s">
        <v>4682</v>
      </c>
      <c r="E308" s="10" t="s">
        <v>4684</v>
      </c>
      <c r="F308" s="10" t="s">
        <v>4683</v>
      </c>
      <c r="G308" s="10" t="s">
        <v>4683</v>
      </c>
      <c r="H308" s="14">
        <v>2</v>
      </c>
      <c r="I308" s="10" t="s">
        <v>4684</v>
      </c>
      <c r="J308" s="10" t="str">
        <f t="shared" si="2"/>
        <v>normalweight</v>
      </c>
      <c r="L308" s="30" t="e">
        <v>#N/A</v>
      </c>
    </row>
    <row r="309" spans="1:12" ht="15.75" customHeight="1" x14ac:dyDescent="0.3">
      <c r="A309" s="10" t="s">
        <v>4058</v>
      </c>
      <c r="B309" s="10">
        <v>26.26</v>
      </c>
      <c r="C309" s="10">
        <v>11.8</v>
      </c>
      <c r="D309" s="16" t="s">
        <v>4682</v>
      </c>
      <c r="E309" s="10" t="s">
        <v>4684</v>
      </c>
      <c r="F309" s="10" t="s">
        <v>4683</v>
      </c>
      <c r="G309" s="10" t="s">
        <v>4683</v>
      </c>
      <c r="H309" s="14">
        <v>1</v>
      </c>
      <c r="I309" s="10" t="s">
        <v>4684</v>
      </c>
      <c r="J309" s="10" t="str">
        <f t="shared" si="2"/>
        <v>normalweight</v>
      </c>
      <c r="L309" s="30" t="e">
        <v>#N/A</v>
      </c>
    </row>
    <row r="310" spans="1:12" ht="15.75" customHeight="1" x14ac:dyDescent="0.3">
      <c r="A310" s="10" t="s">
        <v>4056</v>
      </c>
      <c r="B310" s="10">
        <v>22.37</v>
      </c>
      <c r="C310" s="10">
        <v>5.86</v>
      </c>
      <c r="D310" s="10" t="s">
        <v>4685</v>
      </c>
      <c r="E310" s="10" t="s">
        <v>4684</v>
      </c>
      <c r="F310" s="10" t="s">
        <v>4683</v>
      </c>
      <c r="G310" s="10" t="s">
        <v>4686</v>
      </c>
      <c r="H310" s="14">
        <v>1</v>
      </c>
      <c r="I310" s="10" t="s">
        <v>4684</v>
      </c>
      <c r="J310" s="10" t="str">
        <f t="shared" si="2"/>
        <v>normalweight</v>
      </c>
      <c r="L310" s="30" t="e">
        <v>#N/A</v>
      </c>
    </row>
    <row r="311" spans="1:12" ht="15.75" customHeight="1" x14ac:dyDescent="0.3">
      <c r="A311" s="10" t="s">
        <v>4054</v>
      </c>
      <c r="B311" s="10">
        <v>39.619999999999997</v>
      </c>
      <c r="C311" s="10">
        <v>4.28</v>
      </c>
      <c r="D311" s="10" t="s">
        <v>4685</v>
      </c>
      <c r="E311" s="10" t="s">
        <v>4683</v>
      </c>
      <c r="F311" s="10" t="s">
        <v>4683</v>
      </c>
      <c r="G311" s="10" t="s">
        <v>4683</v>
      </c>
      <c r="H311" s="14">
        <v>1</v>
      </c>
      <c r="I311" s="10" t="s">
        <v>4684</v>
      </c>
      <c r="J311" s="10" t="str">
        <f t="shared" si="2"/>
        <v>normalweight</v>
      </c>
      <c r="L311" s="30" t="e">
        <v>#N/A</v>
      </c>
    </row>
    <row r="312" spans="1:12" ht="15.75" customHeight="1" x14ac:dyDescent="0.3">
      <c r="A312" s="10" t="s">
        <v>4052</v>
      </c>
      <c r="B312" s="10">
        <v>18.329999999999998</v>
      </c>
      <c r="C312" s="10">
        <v>4.16</v>
      </c>
      <c r="D312" s="10" t="s">
        <v>4685</v>
      </c>
      <c r="E312" s="10" t="s">
        <v>4684</v>
      </c>
      <c r="F312" s="10" t="s">
        <v>4683</v>
      </c>
      <c r="G312" s="10" t="s">
        <v>4683</v>
      </c>
      <c r="H312" s="14">
        <v>0</v>
      </c>
      <c r="I312" s="10" t="s">
        <v>4684</v>
      </c>
      <c r="J312" s="10" t="str">
        <f t="shared" si="2"/>
        <v>underweight</v>
      </c>
      <c r="L312" s="30" t="e">
        <v>#N/A</v>
      </c>
    </row>
    <row r="313" spans="1:12" ht="15.75" customHeight="1" x14ac:dyDescent="0.3">
      <c r="A313" s="10" t="s">
        <v>4050</v>
      </c>
      <c r="B313" s="10">
        <v>17.11</v>
      </c>
      <c r="C313" s="10">
        <v>4.9800000000000004</v>
      </c>
      <c r="D313" s="10" t="s">
        <v>4685</v>
      </c>
      <c r="E313" s="10" t="s">
        <v>4684</v>
      </c>
      <c r="F313" s="10" t="s">
        <v>4683</v>
      </c>
      <c r="G313" s="10" t="s">
        <v>4686</v>
      </c>
      <c r="H313" s="14">
        <v>1</v>
      </c>
      <c r="I313" s="10" t="s">
        <v>4684</v>
      </c>
      <c r="J313" s="10" t="str">
        <f t="shared" si="2"/>
        <v>underweight</v>
      </c>
      <c r="L313" s="30" t="e">
        <v>#N/A</v>
      </c>
    </row>
    <row r="314" spans="1:12" ht="15.75" customHeight="1" x14ac:dyDescent="0.3">
      <c r="A314" s="10" t="s">
        <v>4048</v>
      </c>
      <c r="B314" s="10">
        <v>43.5</v>
      </c>
      <c r="C314" s="10">
        <v>6.38</v>
      </c>
      <c r="D314" s="10" t="s">
        <v>4685</v>
      </c>
      <c r="E314" s="10" t="s">
        <v>4683</v>
      </c>
      <c r="F314" s="10" t="s">
        <v>4684</v>
      </c>
      <c r="G314" s="10" t="s">
        <v>4683</v>
      </c>
      <c r="H314" s="14">
        <v>1</v>
      </c>
      <c r="I314" s="10" t="s">
        <v>4684</v>
      </c>
      <c r="J314" s="10" t="str">
        <f t="shared" si="2"/>
        <v>normalweight</v>
      </c>
      <c r="L314" s="30" t="e">
        <v>#N/A</v>
      </c>
    </row>
    <row r="315" spans="1:12" ht="15.75" customHeight="1" x14ac:dyDescent="0.3">
      <c r="A315" s="10" t="s">
        <v>4046</v>
      </c>
      <c r="B315" s="10">
        <v>25.364999999999998</v>
      </c>
      <c r="C315" s="10">
        <v>5.19</v>
      </c>
      <c r="D315" s="10" t="s">
        <v>4685</v>
      </c>
      <c r="E315" s="10" t="s">
        <v>4683</v>
      </c>
      <c r="F315" s="10" t="s">
        <v>4683</v>
      </c>
      <c r="G315" s="10" t="s">
        <v>4683</v>
      </c>
      <c r="H315" s="14">
        <v>2</v>
      </c>
      <c r="I315" s="10" t="s">
        <v>4683</v>
      </c>
      <c r="J315" s="10" t="str">
        <f t="shared" si="2"/>
        <v>normalweight</v>
      </c>
      <c r="L315" s="30" t="e">
        <v>#N/A</v>
      </c>
    </row>
    <row r="316" spans="1:12" ht="15.75" customHeight="1" x14ac:dyDescent="0.3">
      <c r="A316" s="10" t="s">
        <v>4044</v>
      </c>
      <c r="B316" s="10">
        <v>28.594999999999999</v>
      </c>
      <c r="C316" s="10">
        <v>10.210000000000001</v>
      </c>
      <c r="D316" s="16" t="s">
        <v>4682</v>
      </c>
      <c r="E316" s="10" t="s">
        <v>4683</v>
      </c>
      <c r="F316" s="10" t="s">
        <v>4683</v>
      </c>
      <c r="G316" s="10" t="s">
        <v>4683</v>
      </c>
      <c r="H316" s="14">
        <v>0</v>
      </c>
      <c r="I316" s="10" t="s">
        <v>4683</v>
      </c>
      <c r="J316" s="10" t="str">
        <f t="shared" si="2"/>
        <v>normalweight</v>
      </c>
      <c r="L316" s="30" t="e">
        <v>#N/A</v>
      </c>
    </row>
    <row r="317" spans="1:12" ht="15.75" customHeight="1" x14ac:dyDescent="0.3">
      <c r="A317" s="10" t="s">
        <v>4042</v>
      </c>
      <c r="B317" s="10">
        <v>29.83</v>
      </c>
      <c r="C317" s="10">
        <v>9.6999999999999993</v>
      </c>
      <c r="D317" s="16" t="s">
        <v>4682</v>
      </c>
      <c r="E317" s="10" t="s">
        <v>4684</v>
      </c>
      <c r="F317" s="10" t="s">
        <v>4683</v>
      </c>
      <c r="G317" s="10" t="s">
        <v>4686</v>
      </c>
      <c r="H317" s="14">
        <v>1</v>
      </c>
      <c r="I317" s="10" t="s">
        <v>4684</v>
      </c>
      <c r="J317" s="10" t="str">
        <f t="shared" si="2"/>
        <v>normalweight</v>
      </c>
      <c r="L317" s="30" t="e">
        <v>#N/A</v>
      </c>
    </row>
    <row r="318" spans="1:12" ht="15.75" customHeight="1" x14ac:dyDescent="0.3">
      <c r="A318" s="10" t="s">
        <v>4040</v>
      </c>
      <c r="B318" s="10">
        <v>24.7</v>
      </c>
      <c r="C318" s="10">
        <v>10.25</v>
      </c>
      <c r="D318" s="16" t="s">
        <v>4682</v>
      </c>
      <c r="E318" s="10" t="s">
        <v>4683</v>
      </c>
      <c r="F318" s="10" t="s">
        <v>4683</v>
      </c>
      <c r="G318" s="10" t="s">
        <v>4683</v>
      </c>
      <c r="H318" s="14">
        <v>3</v>
      </c>
      <c r="I318" s="10" t="s">
        <v>4683</v>
      </c>
      <c r="J318" s="10" t="str">
        <f t="shared" si="2"/>
        <v>normalweight</v>
      </c>
      <c r="L318" s="30" t="e">
        <v>#N/A</v>
      </c>
    </row>
    <row r="319" spans="1:12" ht="15.75" customHeight="1" x14ac:dyDescent="0.3">
      <c r="A319" s="10" t="s">
        <v>4038</v>
      </c>
      <c r="B319" s="10">
        <v>17.940000000000001</v>
      </c>
      <c r="C319" s="10">
        <v>9.77</v>
      </c>
      <c r="D319" s="16" t="s">
        <v>4682</v>
      </c>
      <c r="E319" s="10" t="s">
        <v>4683</v>
      </c>
      <c r="F319" s="10" t="s">
        <v>4683</v>
      </c>
      <c r="G319" s="10" t="s">
        <v>4683</v>
      </c>
      <c r="H319" s="14">
        <v>0</v>
      </c>
      <c r="I319" s="10" t="s">
        <v>4684</v>
      </c>
      <c r="J319" s="10" t="str">
        <f t="shared" si="2"/>
        <v>underweight</v>
      </c>
      <c r="L319" s="30" t="e">
        <v>#N/A</v>
      </c>
    </row>
    <row r="320" spans="1:12" ht="15.75" customHeight="1" x14ac:dyDescent="0.3">
      <c r="A320" s="10" t="s">
        <v>4036</v>
      </c>
      <c r="B320" s="10">
        <v>21.08</v>
      </c>
      <c r="C320" s="10">
        <v>4.83</v>
      </c>
      <c r="D320" s="10" t="s">
        <v>4685</v>
      </c>
      <c r="E320" s="10" t="s">
        <v>4683</v>
      </c>
      <c r="F320" s="10" t="s">
        <v>4683</v>
      </c>
      <c r="G320" s="10" t="s">
        <v>4686</v>
      </c>
      <c r="H320" s="14">
        <v>1</v>
      </c>
      <c r="I320" s="10" t="s">
        <v>4684</v>
      </c>
      <c r="J320" s="10" t="str">
        <f t="shared" si="2"/>
        <v>normalweight</v>
      </c>
      <c r="L320" s="30" t="e">
        <v>#N/A</v>
      </c>
    </row>
    <row r="321" spans="1:12" ht="15.75" customHeight="1" x14ac:dyDescent="0.3">
      <c r="A321" s="10" t="s">
        <v>4034</v>
      </c>
      <c r="B321" s="10">
        <v>37.715000000000003</v>
      </c>
      <c r="C321" s="10">
        <v>10.86</v>
      </c>
      <c r="D321" s="16" t="s">
        <v>4682</v>
      </c>
      <c r="E321" s="10" t="s">
        <v>4684</v>
      </c>
      <c r="F321" s="10" t="s">
        <v>4683</v>
      </c>
      <c r="G321" s="10" t="s">
        <v>4683</v>
      </c>
      <c r="H321" s="14">
        <v>0</v>
      </c>
      <c r="I321" s="10" t="s">
        <v>4683</v>
      </c>
      <c r="J321" s="10" t="str">
        <f t="shared" si="2"/>
        <v>normalweight</v>
      </c>
      <c r="L321" s="30" t="e">
        <v>#N/A</v>
      </c>
    </row>
    <row r="322" spans="1:12" ht="15.75" customHeight="1" x14ac:dyDescent="0.3">
      <c r="A322" s="10" t="s">
        <v>4032</v>
      </c>
      <c r="B322" s="10">
        <v>22.39</v>
      </c>
      <c r="C322" s="10">
        <v>9.5299999999999994</v>
      </c>
      <c r="D322" s="16" t="s">
        <v>4682</v>
      </c>
      <c r="E322" s="10" t="s">
        <v>4684</v>
      </c>
      <c r="F322" s="10" t="s">
        <v>4683</v>
      </c>
      <c r="G322" s="10" t="s">
        <v>4683</v>
      </c>
      <c r="H322" s="14">
        <v>0</v>
      </c>
      <c r="I322" s="10" t="s">
        <v>4684</v>
      </c>
      <c r="J322" s="10" t="str">
        <f t="shared" si="2"/>
        <v>normalweight</v>
      </c>
      <c r="L322" s="30" t="e">
        <v>#N/A</v>
      </c>
    </row>
    <row r="323" spans="1:12" ht="15.75" customHeight="1" x14ac:dyDescent="0.3">
      <c r="A323" s="10" t="s">
        <v>4030</v>
      </c>
      <c r="B323" s="10">
        <v>28.78</v>
      </c>
      <c r="C323" s="10">
        <v>5.68</v>
      </c>
      <c r="D323" s="10" t="s">
        <v>4685</v>
      </c>
      <c r="E323" s="10" t="s">
        <v>4683</v>
      </c>
      <c r="F323" s="10" t="s">
        <v>4683</v>
      </c>
      <c r="G323" s="10" t="s">
        <v>4683</v>
      </c>
      <c r="H323" s="14">
        <v>0</v>
      </c>
      <c r="I323" s="10" t="s">
        <v>4684</v>
      </c>
      <c r="J323" s="10" t="str">
        <f t="shared" si="2"/>
        <v>normalweight</v>
      </c>
      <c r="L323" s="30" t="e">
        <v>#N/A</v>
      </c>
    </row>
    <row r="324" spans="1:12" ht="15.75" customHeight="1" x14ac:dyDescent="0.3">
      <c r="A324" s="10" t="s">
        <v>4028</v>
      </c>
      <c r="B324" s="10">
        <v>18.329999999999998</v>
      </c>
      <c r="C324" s="10">
        <v>5.57</v>
      </c>
      <c r="D324" s="10" t="s">
        <v>4685</v>
      </c>
      <c r="E324" s="10" t="s">
        <v>4684</v>
      </c>
      <c r="F324" s="10" t="s">
        <v>4683</v>
      </c>
      <c r="G324" s="10" t="s">
        <v>4683</v>
      </c>
      <c r="H324" s="14">
        <v>0</v>
      </c>
      <c r="I324" s="10" t="s">
        <v>4684</v>
      </c>
      <c r="J324" s="10" t="str">
        <f t="shared" si="2"/>
        <v>underweight</v>
      </c>
      <c r="L324" s="30" t="e">
        <v>#N/A</v>
      </c>
    </row>
    <row r="325" spans="1:12" ht="15.75" customHeight="1" x14ac:dyDescent="0.3">
      <c r="A325" s="10" t="s">
        <v>4026</v>
      </c>
      <c r="B325" s="10">
        <v>26.39</v>
      </c>
      <c r="C325" s="10">
        <v>4.58</v>
      </c>
      <c r="D325" s="10" t="s">
        <v>4685</v>
      </c>
      <c r="E325" s="10" t="s">
        <v>4684</v>
      </c>
      <c r="F325" s="10" t="s">
        <v>4683</v>
      </c>
      <c r="G325" s="10" t="s">
        <v>4683</v>
      </c>
      <c r="H325" s="14">
        <v>1</v>
      </c>
      <c r="I325" s="10" t="s">
        <v>4684</v>
      </c>
      <c r="J325" s="10" t="str">
        <f t="shared" si="2"/>
        <v>normalweight</v>
      </c>
      <c r="L325" s="30" t="e">
        <v>#N/A</v>
      </c>
    </row>
    <row r="326" spans="1:12" ht="15.75" customHeight="1" x14ac:dyDescent="0.3">
      <c r="A326" s="10" t="s">
        <v>4024</v>
      </c>
      <c r="B326" s="10">
        <v>19.260000000000002</v>
      </c>
      <c r="C326" s="10">
        <v>8.9600000000000009</v>
      </c>
      <c r="D326" s="16" t="s">
        <v>4682</v>
      </c>
      <c r="E326" s="10" t="s">
        <v>4684</v>
      </c>
      <c r="F326" s="10" t="s">
        <v>4683</v>
      </c>
      <c r="G326" s="10" t="s">
        <v>4683</v>
      </c>
      <c r="H326" s="14">
        <v>1</v>
      </c>
      <c r="I326" s="10" t="s">
        <v>4684</v>
      </c>
      <c r="J326" s="10" t="str">
        <f t="shared" si="2"/>
        <v>normalweight</v>
      </c>
      <c r="L326" s="30" t="e">
        <v>#N/A</v>
      </c>
    </row>
    <row r="327" spans="1:12" ht="15.75" customHeight="1" x14ac:dyDescent="0.3">
      <c r="A327" s="10" t="s">
        <v>4022</v>
      </c>
      <c r="B327" s="10">
        <v>26.92</v>
      </c>
      <c r="C327" s="10">
        <v>6.09</v>
      </c>
      <c r="D327" s="10" t="s">
        <v>4685</v>
      </c>
      <c r="E327" s="10" t="s">
        <v>4683</v>
      </c>
      <c r="F327" s="10" t="s">
        <v>4683</v>
      </c>
      <c r="G327" s="10" t="s">
        <v>4683</v>
      </c>
      <c r="H327" s="14">
        <v>0</v>
      </c>
      <c r="I327" s="10" t="s">
        <v>4684</v>
      </c>
      <c r="J327" s="10" t="str">
        <f t="shared" si="2"/>
        <v>normalweight</v>
      </c>
      <c r="L327" s="30" t="e">
        <v>#N/A</v>
      </c>
    </row>
    <row r="328" spans="1:12" ht="15.75" customHeight="1" x14ac:dyDescent="0.3">
      <c r="A328" s="10" t="s">
        <v>4020</v>
      </c>
      <c r="B328" s="10">
        <v>19.73</v>
      </c>
      <c r="C328" s="10">
        <v>4.3600000000000003</v>
      </c>
      <c r="D328" s="10" t="s">
        <v>4685</v>
      </c>
      <c r="E328" s="10" t="s">
        <v>4683</v>
      </c>
      <c r="F328" s="10" t="s">
        <v>4683</v>
      </c>
      <c r="G328" s="10" t="s">
        <v>4683</v>
      </c>
      <c r="H328" s="14">
        <v>0</v>
      </c>
      <c r="I328" s="10" t="s">
        <v>4684</v>
      </c>
      <c r="J328" s="10" t="str">
        <f t="shared" si="2"/>
        <v>normalweight</v>
      </c>
      <c r="L328" s="30" t="e">
        <v>#N/A</v>
      </c>
    </row>
    <row r="329" spans="1:12" ht="15.75" customHeight="1" x14ac:dyDescent="0.3">
      <c r="A329" s="10" t="s">
        <v>4018</v>
      </c>
      <c r="B329" s="10">
        <v>23.56</v>
      </c>
      <c r="C329" s="10">
        <v>11.74</v>
      </c>
      <c r="D329" s="16" t="s">
        <v>4682</v>
      </c>
      <c r="E329" s="10" t="s">
        <v>4684</v>
      </c>
      <c r="F329" s="10" t="s">
        <v>4683</v>
      </c>
      <c r="G329" s="10" t="s">
        <v>4683</v>
      </c>
      <c r="H329" s="14">
        <v>0</v>
      </c>
      <c r="I329" s="10" t="s">
        <v>4684</v>
      </c>
      <c r="J329" s="10" t="str">
        <f t="shared" si="2"/>
        <v>normalweight</v>
      </c>
      <c r="L329" s="30" t="e">
        <v>#N/A</v>
      </c>
    </row>
    <row r="330" spans="1:12" ht="15.75" customHeight="1" x14ac:dyDescent="0.3">
      <c r="A330" s="10" t="s">
        <v>4016</v>
      </c>
      <c r="B330" s="10">
        <v>37.67</v>
      </c>
      <c r="C330" s="10">
        <v>5.89</v>
      </c>
      <c r="D330" s="10" t="s">
        <v>4685</v>
      </c>
      <c r="E330" s="10" t="s">
        <v>4683</v>
      </c>
      <c r="F330" s="10" t="s">
        <v>4683</v>
      </c>
      <c r="G330" s="10" t="s">
        <v>4683</v>
      </c>
      <c r="H330" s="14">
        <v>1</v>
      </c>
      <c r="I330" s="10" t="s">
        <v>4684</v>
      </c>
      <c r="J330" s="10" t="str">
        <f t="shared" si="2"/>
        <v>normalweight</v>
      </c>
      <c r="L330" s="30" t="e">
        <v>#N/A</v>
      </c>
    </row>
    <row r="331" spans="1:12" ht="15.75" customHeight="1" x14ac:dyDescent="0.3">
      <c r="A331" s="10" t="s">
        <v>4014</v>
      </c>
      <c r="B331" s="10">
        <v>18.73</v>
      </c>
      <c r="C331" s="10">
        <v>10.64</v>
      </c>
      <c r="D331" s="16" t="s">
        <v>4682</v>
      </c>
      <c r="E331" s="10" t="s">
        <v>4683</v>
      </c>
      <c r="F331" s="10" t="s">
        <v>4683</v>
      </c>
      <c r="G331" s="10" t="s">
        <v>4683</v>
      </c>
      <c r="H331" s="14">
        <v>2</v>
      </c>
      <c r="I331" s="10" t="s">
        <v>4684</v>
      </c>
      <c r="J331" s="10" t="str">
        <f t="shared" si="2"/>
        <v>normalweight</v>
      </c>
      <c r="L331" s="30" t="e">
        <v>#N/A</v>
      </c>
    </row>
    <row r="332" spans="1:12" ht="15.75" customHeight="1" x14ac:dyDescent="0.3">
      <c r="A332" s="10" t="s">
        <v>4012</v>
      </c>
      <c r="B332" s="10">
        <v>33.090000000000003</v>
      </c>
      <c r="C332" s="10">
        <v>6.06</v>
      </c>
      <c r="D332" s="10" t="s">
        <v>4685</v>
      </c>
      <c r="E332" s="10" t="s">
        <v>4683</v>
      </c>
      <c r="F332" s="10" t="s">
        <v>4683</v>
      </c>
      <c r="G332" s="10" t="s">
        <v>4686</v>
      </c>
      <c r="H332" s="14">
        <v>1</v>
      </c>
      <c r="I332" s="10" t="s">
        <v>4684</v>
      </c>
      <c r="J332" s="10" t="str">
        <f t="shared" si="2"/>
        <v>normalweight</v>
      </c>
      <c r="L332" s="30" t="e">
        <v>#N/A</v>
      </c>
    </row>
    <row r="333" spans="1:12" ht="15.75" customHeight="1" x14ac:dyDescent="0.3">
      <c r="A333" s="10" t="s">
        <v>4010</v>
      </c>
      <c r="B333" s="10">
        <v>18.329999999999998</v>
      </c>
      <c r="C333" s="10">
        <v>7.46</v>
      </c>
      <c r="D333" s="16" t="s">
        <v>4682</v>
      </c>
      <c r="E333" s="10" t="s">
        <v>4684</v>
      </c>
      <c r="F333" s="10" t="s">
        <v>4683</v>
      </c>
      <c r="G333" s="10" t="s">
        <v>4683</v>
      </c>
      <c r="H333" s="14">
        <v>1</v>
      </c>
      <c r="I333" s="10" t="s">
        <v>4684</v>
      </c>
      <c r="J333" s="10" t="str">
        <f t="shared" si="2"/>
        <v>underweight</v>
      </c>
      <c r="L333" s="30" t="e">
        <v>#N/A</v>
      </c>
    </row>
    <row r="334" spans="1:12" ht="15.75" customHeight="1" x14ac:dyDescent="0.3">
      <c r="A334" s="10" t="s">
        <v>4008</v>
      </c>
      <c r="B334" s="10">
        <v>27.74</v>
      </c>
      <c r="C334" s="10">
        <v>4.68</v>
      </c>
      <c r="D334" s="10" t="s">
        <v>4685</v>
      </c>
      <c r="E334" s="10" t="s">
        <v>4684</v>
      </c>
      <c r="F334" s="10" t="s">
        <v>4683</v>
      </c>
      <c r="G334" s="10" t="s">
        <v>4683</v>
      </c>
      <c r="H334" s="14">
        <v>2</v>
      </c>
      <c r="I334" s="10" t="s">
        <v>4684</v>
      </c>
      <c r="J334" s="10" t="str">
        <f t="shared" si="2"/>
        <v>normalweight</v>
      </c>
      <c r="L334" s="30" t="e">
        <v>#N/A</v>
      </c>
    </row>
    <row r="335" spans="1:12" ht="15.75" customHeight="1" x14ac:dyDescent="0.3">
      <c r="A335" s="10" t="s">
        <v>4006</v>
      </c>
      <c r="B335" s="10">
        <v>24.2</v>
      </c>
      <c r="C335" s="10">
        <v>6.15</v>
      </c>
      <c r="D335" s="10" t="s">
        <v>4685</v>
      </c>
      <c r="E335" s="10" t="s">
        <v>4683</v>
      </c>
      <c r="F335" s="10" t="s">
        <v>4683</v>
      </c>
      <c r="G335" s="10" t="s">
        <v>4683</v>
      </c>
      <c r="H335" s="14">
        <v>1</v>
      </c>
      <c r="I335" s="10" t="s">
        <v>4684</v>
      </c>
      <c r="J335" s="10" t="str">
        <f t="shared" si="2"/>
        <v>normalweight</v>
      </c>
      <c r="L335" s="30" t="e">
        <v>#N/A</v>
      </c>
    </row>
    <row r="336" spans="1:12" ht="15.75" customHeight="1" x14ac:dyDescent="0.3">
      <c r="A336" s="10" t="s">
        <v>4004</v>
      </c>
      <c r="B336" s="10">
        <v>22.03</v>
      </c>
      <c r="C336" s="10">
        <v>4.28</v>
      </c>
      <c r="D336" s="10" t="s">
        <v>4685</v>
      </c>
      <c r="E336" s="10" t="s">
        <v>4684</v>
      </c>
      <c r="F336" s="10" t="s">
        <v>4683</v>
      </c>
      <c r="G336" s="10" t="s">
        <v>4683</v>
      </c>
      <c r="H336" s="14">
        <v>0</v>
      </c>
      <c r="I336" s="10" t="s">
        <v>4684</v>
      </c>
      <c r="J336" s="10" t="str">
        <f t="shared" si="2"/>
        <v>normalweight</v>
      </c>
      <c r="L336" s="30" t="e">
        <v>#N/A</v>
      </c>
    </row>
    <row r="337" spans="1:12" ht="15.75" customHeight="1" x14ac:dyDescent="0.3">
      <c r="A337" s="10" t="s">
        <v>4002</v>
      </c>
      <c r="B337" s="10">
        <v>26.885000000000002</v>
      </c>
      <c r="C337" s="10">
        <v>9.86</v>
      </c>
      <c r="D337" s="16" t="s">
        <v>4682</v>
      </c>
      <c r="E337" s="10" t="s">
        <v>4683</v>
      </c>
      <c r="F337" s="10" t="s">
        <v>4683</v>
      </c>
      <c r="G337" s="10" t="s">
        <v>4683</v>
      </c>
      <c r="H337" s="14">
        <v>3</v>
      </c>
      <c r="I337" s="10" t="s">
        <v>4684</v>
      </c>
      <c r="J337" s="10" t="str">
        <f t="shared" si="2"/>
        <v>normalweight</v>
      </c>
      <c r="L337" s="30" t="e">
        <v>#N/A</v>
      </c>
    </row>
    <row r="338" spans="1:12" ht="15.75" customHeight="1" x14ac:dyDescent="0.3">
      <c r="A338" s="10" t="s">
        <v>4000</v>
      </c>
      <c r="B338" s="10">
        <v>16.36</v>
      </c>
      <c r="C338" s="10">
        <v>11.19</v>
      </c>
      <c r="D338" s="16" t="s">
        <v>4682</v>
      </c>
      <c r="E338" s="10" t="s">
        <v>4683</v>
      </c>
      <c r="F338" s="10" t="s">
        <v>4683</v>
      </c>
      <c r="G338" s="10" t="s">
        <v>4683</v>
      </c>
      <c r="H338" s="14">
        <v>0</v>
      </c>
      <c r="I338" s="10" t="s">
        <v>4684</v>
      </c>
      <c r="J338" s="10" t="str">
        <f t="shared" si="2"/>
        <v>underweight</v>
      </c>
      <c r="L338" s="30" t="e">
        <v>#N/A</v>
      </c>
    </row>
    <row r="339" spans="1:12" ht="15.75" customHeight="1" x14ac:dyDescent="0.3">
      <c r="A339" s="10" t="s">
        <v>3998</v>
      </c>
      <c r="B339" s="10">
        <v>32.299999999999997</v>
      </c>
      <c r="C339" s="10">
        <v>4.8899999999999997</v>
      </c>
      <c r="D339" s="10" t="s">
        <v>4685</v>
      </c>
      <c r="E339" s="10" t="s">
        <v>4684</v>
      </c>
      <c r="F339" s="10" t="s">
        <v>4683</v>
      </c>
      <c r="G339" s="10" t="s">
        <v>4686</v>
      </c>
      <c r="H339" s="14">
        <v>1</v>
      </c>
      <c r="I339" s="10" t="s">
        <v>4683</v>
      </c>
      <c r="J339" s="10" t="str">
        <f t="shared" si="2"/>
        <v>normalweight</v>
      </c>
      <c r="L339" s="30" t="e">
        <v>#N/A</v>
      </c>
    </row>
    <row r="340" spans="1:12" ht="15.75" customHeight="1" x14ac:dyDescent="0.3">
      <c r="A340" s="10" t="s">
        <v>3996</v>
      </c>
      <c r="B340" s="10">
        <v>16.05</v>
      </c>
      <c r="C340" s="10">
        <v>4.3499999999999996</v>
      </c>
      <c r="D340" s="10" t="s">
        <v>4685</v>
      </c>
      <c r="E340" s="10" t="s">
        <v>4684</v>
      </c>
      <c r="F340" s="10" t="s">
        <v>4683</v>
      </c>
      <c r="G340" s="10" t="s">
        <v>4683</v>
      </c>
      <c r="H340" s="14">
        <v>0</v>
      </c>
      <c r="I340" s="10" t="s">
        <v>4684</v>
      </c>
      <c r="J340" s="10" t="str">
        <f t="shared" si="2"/>
        <v>underweight</v>
      </c>
      <c r="L340" s="30" t="e">
        <v>#N/A</v>
      </c>
    </row>
    <row r="341" spans="1:12" ht="15.75" customHeight="1" x14ac:dyDescent="0.3">
      <c r="A341" s="10" t="s">
        <v>3994</v>
      </c>
      <c r="B341" s="10">
        <v>29.07</v>
      </c>
      <c r="C341" s="10">
        <v>8.66</v>
      </c>
      <c r="D341" s="16" t="s">
        <v>4682</v>
      </c>
      <c r="E341" s="10" t="s">
        <v>4684</v>
      </c>
      <c r="F341" s="10" t="s">
        <v>4683</v>
      </c>
      <c r="G341" s="10" t="s">
        <v>4683</v>
      </c>
      <c r="H341" s="14">
        <v>2</v>
      </c>
      <c r="I341" s="10" t="s">
        <v>4684</v>
      </c>
      <c r="J341" s="10" t="str">
        <f t="shared" si="2"/>
        <v>normalweight</v>
      </c>
      <c r="L341" s="30" t="e">
        <v>#N/A</v>
      </c>
    </row>
    <row r="342" spans="1:12" ht="15.75" customHeight="1" x14ac:dyDescent="0.3">
      <c r="A342" s="10" t="s">
        <v>3992</v>
      </c>
      <c r="B342" s="10">
        <v>17.43</v>
      </c>
      <c r="C342" s="10">
        <v>8.64</v>
      </c>
      <c r="D342" s="16" t="s">
        <v>4682</v>
      </c>
      <c r="E342" s="10" t="s">
        <v>4683</v>
      </c>
      <c r="F342" s="10" t="s">
        <v>4683</v>
      </c>
      <c r="G342" s="10" t="s">
        <v>4683</v>
      </c>
      <c r="H342" s="14">
        <v>0</v>
      </c>
      <c r="I342" s="10" t="s">
        <v>4684</v>
      </c>
      <c r="J342" s="10" t="str">
        <f t="shared" si="2"/>
        <v>underweight</v>
      </c>
      <c r="L342" s="30" t="e">
        <v>#N/A</v>
      </c>
    </row>
    <row r="343" spans="1:12" ht="15.75" customHeight="1" x14ac:dyDescent="0.3">
      <c r="A343" s="10" t="s">
        <v>3990</v>
      </c>
      <c r="B343" s="10">
        <v>19.329999999999998</v>
      </c>
      <c r="C343" s="10">
        <v>4.2699999999999996</v>
      </c>
      <c r="D343" s="10" t="s">
        <v>4685</v>
      </c>
      <c r="E343" s="10" t="s">
        <v>4683</v>
      </c>
      <c r="F343" s="10" t="s">
        <v>4683</v>
      </c>
      <c r="G343" s="10" t="s">
        <v>4683</v>
      </c>
      <c r="H343" s="14">
        <v>0</v>
      </c>
      <c r="I343" s="10" t="s">
        <v>4684</v>
      </c>
      <c r="J343" s="10" t="str">
        <f t="shared" si="2"/>
        <v>normalweight</v>
      </c>
      <c r="L343" s="30" t="e">
        <v>#N/A</v>
      </c>
    </row>
    <row r="344" spans="1:12" ht="15.75" customHeight="1" x14ac:dyDescent="0.3">
      <c r="A344" s="10" t="s">
        <v>3988</v>
      </c>
      <c r="B344" s="10">
        <v>30.52</v>
      </c>
      <c r="C344" s="10">
        <v>4.21</v>
      </c>
      <c r="D344" s="10" t="s">
        <v>4685</v>
      </c>
      <c r="E344" s="10" t="s">
        <v>4683</v>
      </c>
      <c r="F344" s="10" t="s">
        <v>4683</v>
      </c>
      <c r="G344" s="10" t="s">
        <v>4683</v>
      </c>
      <c r="H344" s="14">
        <v>1</v>
      </c>
      <c r="I344" s="10" t="s">
        <v>4684</v>
      </c>
      <c r="J344" s="10" t="str">
        <f t="shared" si="2"/>
        <v>normalweight</v>
      </c>
      <c r="L344" s="30" t="e">
        <v>#N/A</v>
      </c>
    </row>
    <row r="345" spans="1:12" ht="15.75" customHeight="1" x14ac:dyDescent="0.3">
      <c r="A345" s="10" t="s">
        <v>3986</v>
      </c>
      <c r="B345" s="10">
        <v>39.21</v>
      </c>
      <c r="C345" s="10">
        <v>5.04</v>
      </c>
      <c r="D345" s="10" t="s">
        <v>4685</v>
      </c>
      <c r="E345" s="10" t="s">
        <v>4683</v>
      </c>
      <c r="F345" s="10" t="s">
        <v>4683</v>
      </c>
      <c r="G345" s="10" t="s">
        <v>4686</v>
      </c>
      <c r="H345" s="14">
        <v>1</v>
      </c>
      <c r="I345" s="10" t="s">
        <v>4684</v>
      </c>
      <c r="J345" s="10" t="str">
        <f t="shared" si="2"/>
        <v>normalweight</v>
      </c>
      <c r="L345" s="30" t="e">
        <v>#N/A</v>
      </c>
    </row>
    <row r="346" spans="1:12" ht="15.75" customHeight="1" x14ac:dyDescent="0.3">
      <c r="A346" s="10" t="s">
        <v>3984</v>
      </c>
      <c r="B346" s="10">
        <v>26.98</v>
      </c>
      <c r="C346" s="10">
        <v>5.21</v>
      </c>
      <c r="D346" s="10" t="s">
        <v>4685</v>
      </c>
      <c r="E346" s="10" t="s">
        <v>4684</v>
      </c>
      <c r="F346" s="10" t="s">
        <v>4683</v>
      </c>
      <c r="G346" s="10" t="s">
        <v>4683</v>
      </c>
      <c r="H346" s="14">
        <v>2</v>
      </c>
      <c r="I346" s="10" t="s">
        <v>4684</v>
      </c>
      <c r="J346" s="10" t="str">
        <f t="shared" si="2"/>
        <v>normalweight</v>
      </c>
      <c r="L346" s="30" t="e">
        <v>#N/A</v>
      </c>
    </row>
    <row r="347" spans="1:12" ht="15.75" customHeight="1" x14ac:dyDescent="0.3">
      <c r="A347" s="10" t="s">
        <v>3982</v>
      </c>
      <c r="B347" s="10">
        <v>25.84</v>
      </c>
      <c r="C347" s="10">
        <v>8.83</v>
      </c>
      <c r="D347" s="16" t="s">
        <v>4682</v>
      </c>
      <c r="E347" s="10" t="s">
        <v>4683</v>
      </c>
      <c r="F347" s="10" t="s">
        <v>4683</v>
      </c>
      <c r="G347" s="10" t="s">
        <v>4683</v>
      </c>
      <c r="H347" s="14">
        <v>0</v>
      </c>
      <c r="I347" s="10" t="s">
        <v>4683</v>
      </c>
      <c r="J347" s="10" t="str">
        <f t="shared" si="2"/>
        <v>normalweight</v>
      </c>
      <c r="L347" s="30" t="e">
        <v>#N/A</v>
      </c>
    </row>
    <row r="348" spans="1:12" ht="15.75" customHeight="1" x14ac:dyDescent="0.3">
      <c r="A348" s="10" t="s">
        <v>3980</v>
      </c>
      <c r="B348" s="10">
        <v>28.31</v>
      </c>
      <c r="C348" s="10">
        <v>8.4700000000000006</v>
      </c>
      <c r="D348" s="16" t="s">
        <v>4682</v>
      </c>
      <c r="E348" s="10" t="s">
        <v>4684</v>
      </c>
      <c r="F348" s="10" t="s">
        <v>4683</v>
      </c>
      <c r="G348" s="10" t="s">
        <v>4683</v>
      </c>
      <c r="H348" s="14">
        <v>2</v>
      </c>
      <c r="I348" s="10" t="s">
        <v>4684</v>
      </c>
      <c r="J348" s="10" t="str">
        <f t="shared" si="2"/>
        <v>normalweight</v>
      </c>
      <c r="L348" s="30" t="e">
        <v>#N/A</v>
      </c>
    </row>
    <row r="349" spans="1:12" ht="15.75" customHeight="1" x14ac:dyDescent="0.3">
      <c r="A349" s="10" t="s">
        <v>3978</v>
      </c>
      <c r="B349" s="10">
        <v>23.94</v>
      </c>
      <c r="C349" s="10">
        <v>4.2</v>
      </c>
      <c r="D349" s="10" t="s">
        <v>4685</v>
      </c>
      <c r="E349" s="10" t="s">
        <v>4683</v>
      </c>
      <c r="F349" s="10" t="s">
        <v>4683</v>
      </c>
      <c r="G349" s="10" t="s">
        <v>4683</v>
      </c>
      <c r="H349" s="14">
        <v>0</v>
      </c>
      <c r="I349" s="10" t="s">
        <v>4684</v>
      </c>
      <c r="J349" s="10" t="str">
        <f t="shared" si="2"/>
        <v>normalweight</v>
      </c>
      <c r="L349" s="30" t="e">
        <v>#N/A</v>
      </c>
    </row>
    <row r="350" spans="1:12" ht="15.75" customHeight="1" x14ac:dyDescent="0.3">
      <c r="A350" s="10" t="s">
        <v>3976</v>
      </c>
      <c r="B350" s="10">
        <v>20.03</v>
      </c>
      <c r="C350" s="10">
        <v>6.14</v>
      </c>
      <c r="D350" s="10" t="s">
        <v>4685</v>
      </c>
      <c r="E350" s="10" t="s">
        <v>4684</v>
      </c>
      <c r="F350" s="10" t="s">
        <v>4683</v>
      </c>
      <c r="G350" s="10" t="s">
        <v>4683</v>
      </c>
      <c r="H350" s="14">
        <v>0</v>
      </c>
      <c r="I350" s="10" t="s">
        <v>4684</v>
      </c>
      <c r="J350" s="10" t="str">
        <f t="shared" si="2"/>
        <v>normalweight</v>
      </c>
      <c r="L350" s="30" t="e">
        <v>#N/A</v>
      </c>
    </row>
    <row r="351" spans="1:12" ht="15.75" customHeight="1" x14ac:dyDescent="0.3">
      <c r="A351" s="10" t="s">
        <v>3974</v>
      </c>
      <c r="B351" s="10">
        <v>41.42</v>
      </c>
      <c r="C351" s="10">
        <v>6.07</v>
      </c>
      <c r="D351" s="10" t="s">
        <v>4685</v>
      </c>
      <c r="E351" s="10" t="s">
        <v>4683</v>
      </c>
      <c r="F351" s="10" t="s">
        <v>4683</v>
      </c>
      <c r="G351" s="10" t="s">
        <v>4683</v>
      </c>
      <c r="H351" s="14">
        <v>0</v>
      </c>
      <c r="I351" s="10" t="s">
        <v>4683</v>
      </c>
      <c r="J351" s="10" t="str">
        <f t="shared" si="2"/>
        <v>normalweight</v>
      </c>
      <c r="L351" s="30" t="e">
        <v>#N/A</v>
      </c>
    </row>
    <row r="352" spans="1:12" ht="15.75" customHeight="1" x14ac:dyDescent="0.3">
      <c r="A352" s="10" t="s">
        <v>3972</v>
      </c>
      <c r="B352" s="10">
        <v>36.67</v>
      </c>
      <c r="C352" s="10">
        <v>10.210000000000001</v>
      </c>
      <c r="D352" s="16" t="s">
        <v>4682</v>
      </c>
      <c r="E352" s="10" t="s">
        <v>4683</v>
      </c>
      <c r="F352" s="10" t="s">
        <v>4683</v>
      </c>
      <c r="G352" s="10" t="s">
        <v>4683</v>
      </c>
      <c r="H352" s="14">
        <v>0</v>
      </c>
      <c r="I352" s="10" t="s">
        <v>4683</v>
      </c>
      <c r="J352" s="10" t="str">
        <f t="shared" si="2"/>
        <v>normalweight</v>
      </c>
      <c r="L352" s="30" t="e">
        <v>#N/A</v>
      </c>
    </row>
    <row r="353" spans="1:12" ht="15.75" customHeight="1" x14ac:dyDescent="0.3">
      <c r="A353" s="10" t="s">
        <v>3970</v>
      </c>
      <c r="B353" s="10">
        <v>27.645</v>
      </c>
      <c r="C353" s="10">
        <v>4.6900000000000004</v>
      </c>
      <c r="D353" s="10" t="s">
        <v>4685</v>
      </c>
      <c r="E353" s="10" t="s">
        <v>4683</v>
      </c>
      <c r="F353" s="10" t="s">
        <v>4683</v>
      </c>
      <c r="G353" s="10" t="s">
        <v>4683</v>
      </c>
      <c r="H353" s="14">
        <v>0</v>
      </c>
      <c r="I353" s="10" t="s">
        <v>4683</v>
      </c>
      <c r="J353" s="10" t="str">
        <f t="shared" si="2"/>
        <v>normalweight</v>
      </c>
      <c r="L353" s="30" t="e">
        <v>#N/A</v>
      </c>
    </row>
    <row r="354" spans="1:12" ht="15.75" customHeight="1" x14ac:dyDescent="0.3">
      <c r="A354" s="10" t="s">
        <v>3968</v>
      </c>
      <c r="B354" s="10">
        <v>22.72</v>
      </c>
      <c r="C354" s="10">
        <v>5.71</v>
      </c>
      <c r="D354" s="10" t="s">
        <v>4685</v>
      </c>
      <c r="E354" s="10" t="s">
        <v>4683</v>
      </c>
      <c r="F354" s="10" t="s">
        <v>4683</v>
      </c>
      <c r="G354" s="10" t="s">
        <v>4683</v>
      </c>
      <c r="H354" s="14">
        <v>0</v>
      </c>
      <c r="I354" s="10" t="s">
        <v>4684</v>
      </c>
      <c r="J354" s="10" t="str">
        <f t="shared" si="2"/>
        <v>normalweight</v>
      </c>
      <c r="L354" s="30" t="e">
        <v>#N/A</v>
      </c>
    </row>
    <row r="355" spans="1:12" ht="15.75" customHeight="1" x14ac:dyDescent="0.3">
      <c r="A355" s="10" t="s">
        <v>3966</v>
      </c>
      <c r="B355" s="10">
        <v>36.520000000000003</v>
      </c>
      <c r="C355" s="10">
        <v>9.07</v>
      </c>
      <c r="D355" s="16" t="s">
        <v>4682</v>
      </c>
      <c r="E355" s="10" t="s">
        <v>4684</v>
      </c>
      <c r="F355" s="10" t="s">
        <v>4683</v>
      </c>
      <c r="G355" s="10" t="s">
        <v>4686</v>
      </c>
      <c r="H355" s="14">
        <v>1</v>
      </c>
      <c r="I355" s="10" t="s">
        <v>4683</v>
      </c>
      <c r="J355" s="10" t="str">
        <f t="shared" si="2"/>
        <v>normalweight</v>
      </c>
      <c r="L355" s="30" t="e">
        <v>#N/A</v>
      </c>
    </row>
    <row r="356" spans="1:12" ht="15.75" customHeight="1" x14ac:dyDescent="0.3">
      <c r="A356" s="10" t="s">
        <v>3964</v>
      </c>
      <c r="B356" s="10">
        <v>33.96</v>
      </c>
      <c r="C356" s="10">
        <v>4.99</v>
      </c>
      <c r="D356" s="10" t="s">
        <v>4685</v>
      </c>
      <c r="E356" s="10" t="s">
        <v>4683</v>
      </c>
      <c r="F356" s="10" t="s">
        <v>4683</v>
      </c>
      <c r="G356" s="10" t="s">
        <v>4683</v>
      </c>
      <c r="H356" s="14">
        <v>0</v>
      </c>
      <c r="I356" s="10" t="s">
        <v>4684</v>
      </c>
      <c r="J356" s="10" t="str">
        <f t="shared" si="2"/>
        <v>normalweight</v>
      </c>
      <c r="L356" s="30" t="e">
        <v>#N/A</v>
      </c>
    </row>
    <row r="357" spans="1:12" ht="15.75" customHeight="1" x14ac:dyDescent="0.3">
      <c r="A357" s="10" t="s">
        <v>3962</v>
      </c>
      <c r="B357" s="10">
        <v>26.695</v>
      </c>
      <c r="C357" s="10">
        <v>8.31</v>
      </c>
      <c r="D357" s="16" t="s">
        <v>4682</v>
      </c>
      <c r="E357" s="10" t="s">
        <v>4683</v>
      </c>
      <c r="F357" s="10" t="s">
        <v>4683</v>
      </c>
      <c r="G357" s="10" t="s">
        <v>4683</v>
      </c>
      <c r="H357" s="14">
        <v>0</v>
      </c>
      <c r="I357" s="10" t="s">
        <v>4684</v>
      </c>
      <c r="J357" s="10" t="str">
        <f t="shared" si="2"/>
        <v>normalweight</v>
      </c>
      <c r="L357" s="30" t="e">
        <v>#N/A</v>
      </c>
    </row>
    <row r="358" spans="1:12" ht="15.75" customHeight="1" x14ac:dyDescent="0.3">
      <c r="A358" s="10" t="s">
        <v>3960</v>
      </c>
      <c r="B358" s="10">
        <v>18.45</v>
      </c>
      <c r="C358" s="10">
        <v>5.07</v>
      </c>
      <c r="D358" s="10" t="s">
        <v>4685</v>
      </c>
      <c r="E358" s="10" t="s">
        <v>4684</v>
      </c>
      <c r="F358" s="10" t="s">
        <v>4683</v>
      </c>
      <c r="G358" s="10" t="s">
        <v>4683</v>
      </c>
      <c r="H358" s="14">
        <v>0</v>
      </c>
      <c r="I358" s="10" t="s">
        <v>4684</v>
      </c>
      <c r="J358" s="10" t="str">
        <f t="shared" si="2"/>
        <v>underweight</v>
      </c>
      <c r="L358" s="30" t="e">
        <v>#N/A</v>
      </c>
    </row>
    <row r="359" spans="1:12" ht="15.75" customHeight="1" x14ac:dyDescent="0.3">
      <c r="A359" s="10" t="s">
        <v>3958</v>
      </c>
      <c r="B359" s="10">
        <v>33.18</v>
      </c>
      <c r="C359" s="10">
        <v>4.79</v>
      </c>
      <c r="D359" s="10" t="s">
        <v>4685</v>
      </c>
      <c r="E359" s="10" t="s">
        <v>4683</v>
      </c>
      <c r="F359" s="10" t="s">
        <v>4683</v>
      </c>
      <c r="G359" s="10" t="s">
        <v>4683</v>
      </c>
      <c r="H359" s="14">
        <v>0</v>
      </c>
      <c r="I359" s="10" t="s">
        <v>4684</v>
      </c>
      <c r="J359" s="10" t="str">
        <f t="shared" si="2"/>
        <v>normalweight</v>
      </c>
      <c r="L359" s="30" t="e">
        <v>#N/A</v>
      </c>
    </row>
    <row r="360" spans="1:12" ht="15.75" customHeight="1" x14ac:dyDescent="0.3">
      <c r="A360" s="10" t="s">
        <v>3956</v>
      </c>
      <c r="B360" s="10">
        <v>36.1</v>
      </c>
      <c r="C360" s="10">
        <v>11.39</v>
      </c>
      <c r="D360" s="16" t="s">
        <v>4682</v>
      </c>
      <c r="E360" s="10" t="s">
        <v>4684</v>
      </c>
      <c r="F360" s="10" t="s">
        <v>4683</v>
      </c>
      <c r="G360" s="10" t="s">
        <v>4683</v>
      </c>
      <c r="H360" s="14">
        <v>2</v>
      </c>
      <c r="I360" s="10" t="s">
        <v>4683</v>
      </c>
      <c r="J360" s="10" t="str">
        <f t="shared" si="2"/>
        <v>normalweight</v>
      </c>
      <c r="L360" s="30" t="e">
        <v>#N/A</v>
      </c>
    </row>
    <row r="361" spans="1:12" ht="15.75" customHeight="1" x14ac:dyDescent="0.3">
      <c r="A361" s="10" t="s">
        <v>3954</v>
      </c>
      <c r="B361" s="10">
        <v>22.77</v>
      </c>
      <c r="C361" s="10">
        <v>6</v>
      </c>
      <c r="D361" s="10" t="s">
        <v>4685</v>
      </c>
      <c r="E361" s="10" t="s">
        <v>4683</v>
      </c>
      <c r="F361" s="10" t="s">
        <v>4683</v>
      </c>
      <c r="G361" s="10" t="s">
        <v>4683</v>
      </c>
      <c r="H361" s="14">
        <v>0</v>
      </c>
      <c r="I361" s="10" t="s">
        <v>4684</v>
      </c>
      <c r="J361" s="10" t="str">
        <f t="shared" si="2"/>
        <v>normalweight</v>
      </c>
      <c r="L361" s="30" t="e">
        <v>#N/A</v>
      </c>
    </row>
    <row r="362" spans="1:12" ht="15.75" customHeight="1" x14ac:dyDescent="0.3">
      <c r="A362" s="10" t="s">
        <v>3952</v>
      </c>
      <c r="B362" s="10">
        <v>21.24</v>
      </c>
      <c r="C362" s="10">
        <v>5.13</v>
      </c>
      <c r="D362" s="10" t="s">
        <v>4685</v>
      </c>
      <c r="E362" s="10" t="s">
        <v>4683</v>
      </c>
      <c r="F362" s="10" t="s">
        <v>4683</v>
      </c>
      <c r="G362" s="10" t="s">
        <v>4683</v>
      </c>
      <c r="H362" s="14">
        <v>0</v>
      </c>
      <c r="I362" s="10" t="s">
        <v>4684</v>
      </c>
      <c r="J362" s="10" t="str">
        <f t="shared" si="2"/>
        <v>normalweight</v>
      </c>
      <c r="L362" s="30" t="e">
        <v>#N/A</v>
      </c>
    </row>
    <row r="363" spans="1:12" ht="15.75" customHeight="1" x14ac:dyDescent="0.3">
      <c r="A363" s="10" t="s">
        <v>3950</v>
      </c>
      <c r="B363" s="10">
        <v>17.600000000000001</v>
      </c>
      <c r="C363" s="10">
        <v>5.26</v>
      </c>
      <c r="D363" s="10" t="s">
        <v>4685</v>
      </c>
      <c r="E363" s="10" t="s">
        <v>4684</v>
      </c>
      <c r="F363" s="10" t="s">
        <v>4683</v>
      </c>
      <c r="G363" s="10" t="s">
        <v>4683</v>
      </c>
      <c r="H363" s="14">
        <v>0</v>
      </c>
      <c r="I363" s="10" t="s">
        <v>4684</v>
      </c>
      <c r="J363" s="10" t="str">
        <f t="shared" si="2"/>
        <v>underweight</v>
      </c>
      <c r="L363" s="30" t="e">
        <v>#N/A</v>
      </c>
    </row>
    <row r="364" spans="1:12" ht="15.75" customHeight="1" x14ac:dyDescent="0.3">
      <c r="A364" s="10" t="s">
        <v>3948</v>
      </c>
      <c r="B364" s="10">
        <v>26.29</v>
      </c>
      <c r="C364" s="10">
        <v>6.84</v>
      </c>
      <c r="D364" s="16" t="s">
        <v>4682</v>
      </c>
      <c r="E364" s="10" t="s">
        <v>4683</v>
      </c>
      <c r="F364" s="10" t="s">
        <v>4683</v>
      </c>
      <c r="G364" s="10" t="s">
        <v>4683</v>
      </c>
      <c r="H364" s="14">
        <v>0</v>
      </c>
      <c r="I364" s="10" t="s">
        <v>4684</v>
      </c>
      <c r="J364" s="10" t="str">
        <f t="shared" si="2"/>
        <v>normalweight</v>
      </c>
      <c r="L364" s="30" t="e">
        <v>#N/A</v>
      </c>
    </row>
    <row r="365" spans="1:12" ht="15.75" customHeight="1" x14ac:dyDescent="0.3">
      <c r="A365" s="10" t="s">
        <v>3946</v>
      </c>
      <c r="B365" s="10">
        <v>35.31</v>
      </c>
      <c r="C365" s="10">
        <v>9.0399999999999991</v>
      </c>
      <c r="D365" s="16" t="s">
        <v>4682</v>
      </c>
      <c r="E365" s="10" t="s">
        <v>4683</v>
      </c>
      <c r="F365" s="10" t="s">
        <v>4683</v>
      </c>
      <c r="G365" s="10" t="s">
        <v>4683</v>
      </c>
      <c r="H365" s="14">
        <v>0</v>
      </c>
      <c r="I365" s="10" t="s">
        <v>4683</v>
      </c>
      <c r="J365" s="10" t="str">
        <f t="shared" si="2"/>
        <v>normalweight</v>
      </c>
      <c r="L365" s="30" t="e">
        <v>#N/A</v>
      </c>
    </row>
    <row r="366" spans="1:12" ht="15.75" customHeight="1" x14ac:dyDescent="0.3">
      <c r="A366" s="10" t="s">
        <v>3944</v>
      </c>
      <c r="B366" s="10">
        <v>27.04</v>
      </c>
      <c r="C366" s="10">
        <v>4.0999999999999996</v>
      </c>
      <c r="D366" s="10" t="s">
        <v>4685</v>
      </c>
      <c r="E366" s="10" t="s">
        <v>4683</v>
      </c>
      <c r="F366" s="10" t="s">
        <v>4683</v>
      </c>
      <c r="G366" s="10" t="s">
        <v>4683</v>
      </c>
      <c r="H366" s="14">
        <v>1</v>
      </c>
      <c r="I366" s="10" t="s">
        <v>4684</v>
      </c>
      <c r="J366" s="10" t="str">
        <f t="shared" si="2"/>
        <v>normalweight</v>
      </c>
      <c r="L366" s="30" t="e">
        <v>#N/A</v>
      </c>
    </row>
    <row r="367" spans="1:12" ht="15.75" customHeight="1" x14ac:dyDescent="0.3">
      <c r="A367" s="10" t="s">
        <v>3942</v>
      </c>
      <c r="B367" s="10">
        <v>30.23</v>
      </c>
      <c r="C367" s="10">
        <v>4.2300000000000004</v>
      </c>
      <c r="D367" s="10" t="s">
        <v>4685</v>
      </c>
      <c r="E367" s="10" t="s">
        <v>4684</v>
      </c>
      <c r="F367" s="10" t="s">
        <v>4683</v>
      </c>
      <c r="G367" s="10" t="s">
        <v>4686</v>
      </c>
      <c r="H367" s="14">
        <v>1</v>
      </c>
      <c r="I367" s="10" t="s">
        <v>4684</v>
      </c>
      <c r="J367" s="10" t="str">
        <f t="shared" si="2"/>
        <v>normalweight</v>
      </c>
      <c r="L367" s="30" t="e">
        <v>#N/A</v>
      </c>
    </row>
    <row r="368" spans="1:12" ht="15.75" customHeight="1" x14ac:dyDescent="0.3">
      <c r="A368" s="10" t="s">
        <v>3940</v>
      </c>
      <c r="B368" s="10">
        <v>30.6</v>
      </c>
      <c r="C368" s="10">
        <v>6.48</v>
      </c>
      <c r="D368" s="10" t="s">
        <v>4685</v>
      </c>
      <c r="E368" s="10" t="s">
        <v>4684</v>
      </c>
      <c r="F368" s="10" t="s">
        <v>4683</v>
      </c>
      <c r="G368" s="10" t="s">
        <v>4686</v>
      </c>
      <c r="H368" s="14">
        <v>1</v>
      </c>
      <c r="I368" s="10" t="s">
        <v>4684</v>
      </c>
      <c r="J368" s="10" t="str">
        <f t="shared" si="2"/>
        <v>normalweight</v>
      </c>
      <c r="L368" s="30" t="e">
        <v>#N/A</v>
      </c>
    </row>
    <row r="369" spans="1:12" ht="15.75" customHeight="1" x14ac:dyDescent="0.3">
      <c r="A369" s="10" t="s">
        <v>3938</v>
      </c>
      <c r="B369" s="10">
        <v>26.8</v>
      </c>
      <c r="C369" s="10">
        <v>5.53</v>
      </c>
      <c r="D369" s="10" t="s">
        <v>4685</v>
      </c>
      <c r="E369" s="10" t="s">
        <v>4683</v>
      </c>
      <c r="F369" s="10" t="s">
        <v>4683</v>
      </c>
      <c r="G369" s="10" t="s">
        <v>4683</v>
      </c>
      <c r="H369" s="14">
        <v>1</v>
      </c>
      <c r="I369" s="10" t="s">
        <v>4684</v>
      </c>
      <c r="J369" s="10" t="str">
        <f t="shared" si="2"/>
        <v>normalweight</v>
      </c>
      <c r="L369" s="30" t="e">
        <v>#N/A</v>
      </c>
    </row>
    <row r="370" spans="1:12" ht="15.75" customHeight="1" x14ac:dyDescent="0.3">
      <c r="A370" s="10" t="s">
        <v>3936</v>
      </c>
      <c r="B370" s="10">
        <v>16.86</v>
      </c>
      <c r="C370" s="10">
        <v>4.07</v>
      </c>
      <c r="D370" s="10" t="s">
        <v>4685</v>
      </c>
      <c r="E370" s="10" t="s">
        <v>4684</v>
      </c>
      <c r="F370" s="10" t="s">
        <v>4683</v>
      </c>
      <c r="G370" s="10" t="s">
        <v>4683</v>
      </c>
      <c r="H370" s="14">
        <v>0</v>
      </c>
      <c r="I370" s="10" t="s">
        <v>4684</v>
      </c>
      <c r="J370" s="10" t="str">
        <f t="shared" si="2"/>
        <v>underweight</v>
      </c>
      <c r="L370" s="30" t="e">
        <v>#N/A</v>
      </c>
    </row>
    <row r="371" spans="1:12" ht="15.75" customHeight="1" x14ac:dyDescent="0.3">
      <c r="A371" s="10" t="s">
        <v>3934</v>
      </c>
      <c r="B371" s="10">
        <v>16.3</v>
      </c>
      <c r="C371" s="10">
        <v>5.51</v>
      </c>
      <c r="D371" s="10" t="s">
        <v>4685</v>
      </c>
      <c r="E371" s="10" t="s">
        <v>4683</v>
      </c>
      <c r="F371" s="10" t="s">
        <v>4683</v>
      </c>
      <c r="G371" s="10" t="s">
        <v>4683</v>
      </c>
      <c r="H371" s="14">
        <v>1</v>
      </c>
      <c r="I371" s="10" t="s">
        <v>4684</v>
      </c>
      <c r="J371" s="10" t="str">
        <f t="shared" si="2"/>
        <v>underweight</v>
      </c>
      <c r="L371" s="30" t="e">
        <v>#N/A</v>
      </c>
    </row>
    <row r="372" spans="1:12" ht="15.75" customHeight="1" x14ac:dyDescent="0.3">
      <c r="A372" s="10" t="s">
        <v>3932</v>
      </c>
      <c r="B372" s="10">
        <v>29.81</v>
      </c>
      <c r="C372" s="10">
        <v>11.66</v>
      </c>
      <c r="D372" s="16" t="s">
        <v>4682</v>
      </c>
      <c r="E372" s="10" t="s">
        <v>4683</v>
      </c>
      <c r="F372" s="10" t="s">
        <v>4683</v>
      </c>
      <c r="G372" s="10" t="s">
        <v>4683</v>
      </c>
      <c r="H372" s="14">
        <v>0</v>
      </c>
      <c r="I372" s="10" t="s">
        <v>4684</v>
      </c>
      <c r="J372" s="10" t="str">
        <f t="shared" si="2"/>
        <v>normalweight</v>
      </c>
      <c r="L372" s="30" t="e">
        <v>#N/A</v>
      </c>
    </row>
    <row r="373" spans="1:12" ht="15.75" customHeight="1" x14ac:dyDescent="0.3">
      <c r="A373" s="10" t="s">
        <v>3930</v>
      </c>
      <c r="B373" s="10">
        <v>16.329999999999998</v>
      </c>
      <c r="C373" s="10">
        <v>7.26</v>
      </c>
      <c r="D373" s="16" t="s">
        <v>4682</v>
      </c>
      <c r="E373" s="10" t="s">
        <v>4684</v>
      </c>
      <c r="F373" s="10" t="s">
        <v>4683</v>
      </c>
      <c r="G373" s="10" t="s">
        <v>4683</v>
      </c>
      <c r="H373" s="14">
        <v>0</v>
      </c>
      <c r="I373" s="10" t="s">
        <v>4684</v>
      </c>
      <c r="J373" s="10" t="str">
        <f t="shared" si="2"/>
        <v>underweight</v>
      </c>
      <c r="L373" s="30" t="e">
        <v>#N/A</v>
      </c>
    </row>
    <row r="374" spans="1:12" ht="15.75" customHeight="1" x14ac:dyDescent="0.3">
      <c r="A374" s="10" t="s">
        <v>3928</v>
      </c>
      <c r="B374" s="10">
        <v>16.37</v>
      </c>
      <c r="C374" s="10">
        <v>4.79</v>
      </c>
      <c r="D374" s="10" t="s">
        <v>4685</v>
      </c>
      <c r="E374" s="10" t="s">
        <v>4684</v>
      </c>
      <c r="F374" s="10" t="s">
        <v>4683</v>
      </c>
      <c r="G374" s="10" t="s">
        <v>4683</v>
      </c>
      <c r="H374" s="14">
        <v>0</v>
      </c>
      <c r="I374" s="10" t="s">
        <v>4684</v>
      </c>
      <c r="J374" s="10" t="str">
        <f t="shared" si="2"/>
        <v>underweight</v>
      </c>
      <c r="L374" s="30" t="e">
        <v>#N/A</v>
      </c>
    </row>
    <row r="375" spans="1:12" ht="15.75" customHeight="1" x14ac:dyDescent="0.3">
      <c r="A375" s="10" t="s">
        <v>3926</v>
      </c>
      <c r="B375" s="10">
        <v>22.42</v>
      </c>
      <c r="C375" s="10">
        <v>4.68</v>
      </c>
      <c r="D375" s="10" t="s">
        <v>4685</v>
      </c>
      <c r="E375" s="10" t="s">
        <v>4684</v>
      </c>
      <c r="F375" s="10" t="s">
        <v>4683</v>
      </c>
      <c r="G375" s="10" t="s">
        <v>4683</v>
      </c>
      <c r="H375" s="14">
        <v>1</v>
      </c>
      <c r="I375" s="10" t="s">
        <v>4683</v>
      </c>
      <c r="J375" s="10" t="str">
        <f t="shared" si="2"/>
        <v>normalweight</v>
      </c>
      <c r="L375" s="30" t="e">
        <v>#N/A</v>
      </c>
    </row>
    <row r="376" spans="1:12" ht="15.75" customHeight="1" x14ac:dyDescent="0.3">
      <c r="A376" s="10" t="s">
        <v>3924</v>
      </c>
      <c r="B376" s="10">
        <v>31.35</v>
      </c>
      <c r="C376" s="10">
        <v>4.33</v>
      </c>
      <c r="D376" s="10" t="s">
        <v>4685</v>
      </c>
      <c r="E376" s="10" t="s">
        <v>4684</v>
      </c>
      <c r="F376" s="10" t="s">
        <v>4683</v>
      </c>
      <c r="G376" s="10" t="s">
        <v>4686</v>
      </c>
      <c r="H376" s="14">
        <v>1</v>
      </c>
      <c r="I376" s="10" t="s">
        <v>4683</v>
      </c>
      <c r="J376" s="10" t="str">
        <f t="shared" si="2"/>
        <v>normalweight</v>
      </c>
      <c r="L376" s="30" t="e">
        <v>#N/A</v>
      </c>
    </row>
    <row r="377" spans="1:12" ht="15.75" customHeight="1" x14ac:dyDescent="0.3">
      <c r="A377" s="10" t="s">
        <v>3922</v>
      </c>
      <c r="B377" s="10">
        <v>31.9</v>
      </c>
      <c r="C377" s="10">
        <v>11.89</v>
      </c>
      <c r="D377" s="16" t="s">
        <v>4682</v>
      </c>
      <c r="E377" s="10" t="s">
        <v>4683</v>
      </c>
      <c r="F377" s="10" t="s">
        <v>4683</v>
      </c>
      <c r="G377" s="10" t="s">
        <v>4683</v>
      </c>
      <c r="H377" s="14">
        <v>0</v>
      </c>
      <c r="I377" s="10" t="s">
        <v>4683</v>
      </c>
      <c r="J377" s="10" t="str">
        <f t="shared" si="2"/>
        <v>normalweight</v>
      </c>
      <c r="L377" s="30" t="e">
        <v>#N/A</v>
      </c>
    </row>
    <row r="378" spans="1:12" ht="15.75" customHeight="1" x14ac:dyDescent="0.3">
      <c r="A378" s="10" t="s">
        <v>3920</v>
      </c>
      <c r="B378" s="10">
        <v>30.6</v>
      </c>
      <c r="C378" s="10">
        <v>5.24</v>
      </c>
      <c r="D378" s="10" t="s">
        <v>4685</v>
      </c>
      <c r="E378" s="10" t="s">
        <v>4683</v>
      </c>
      <c r="F378" s="10" t="s">
        <v>4683</v>
      </c>
      <c r="G378" s="10" t="s">
        <v>4683</v>
      </c>
      <c r="H378" s="14">
        <v>0</v>
      </c>
      <c r="I378" s="10" t="s">
        <v>4684</v>
      </c>
      <c r="J378" s="10" t="str">
        <f t="shared" si="2"/>
        <v>normalweight</v>
      </c>
      <c r="L378" s="30" t="e">
        <v>#N/A</v>
      </c>
    </row>
    <row r="379" spans="1:12" ht="15.75" customHeight="1" x14ac:dyDescent="0.3">
      <c r="A379" s="10" t="s">
        <v>3918</v>
      </c>
      <c r="B379" s="10">
        <v>28.975000000000001</v>
      </c>
      <c r="C379" s="10">
        <v>7.63</v>
      </c>
      <c r="D379" s="16" t="s">
        <v>4682</v>
      </c>
      <c r="E379" s="10" t="s">
        <v>4683</v>
      </c>
      <c r="F379" s="10" t="s">
        <v>4683</v>
      </c>
      <c r="G379" s="10" t="s">
        <v>4683</v>
      </c>
      <c r="H379" s="14">
        <v>0</v>
      </c>
      <c r="I379" s="10" t="s">
        <v>4684</v>
      </c>
      <c r="J379" s="10" t="str">
        <f t="shared" si="2"/>
        <v>normalweight</v>
      </c>
      <c r="L379" s="30" t="e">
        <v>#N/A</v>
      </c>
    </row>
    <row r="380" spans="1:12" ht="15.75" customHeight="1" x14ac:dyDescent="0.3">
      <c r="A380" s="10" t="s">
        <v>3916</v>
      </c>
      <c r="B380" s="10">
        <v>24.86</v>
      </c>
      <c r="C380" s="10">
        <v>8.92</v>
      </c>
      <c r="D380" s="16" t="s">
        <v>4682</v>
      </c>
      <c r="E380" s="10" t="s">
        <v>4684</v>
      </c>
      <c r="F380" s="10" t="s">
        <v>4683</v>
      </c>
      <c r="G380" s="10" t="s">
        <v>4683</v>
      </c>
      <c r="H380" s="14">
        <v>2</v>
      </c>
      <c r="I380" s="10" t="s">
        <v>4683</v>
      </c>
      <c r="J380" s="10" t="str">
        <f t="shared" si="2"/>
        <v>normalweight</v>
      </c>
      <c r="L380" s="30" t="e">
        <v>#N/A</v>
      </c>
    </row>
    <row r="381" spans="1:12" ht="15.75" customHeight="1" x14ac:dyDescent="0.3">
      <c r="A381" s="10" t="s">
        <v>3914</v>
      </c>
      <c r="B381" s="10">
        <v>19.54</v>
      </c>
      <c r="C381" s="10">
        <v>5.37</v>
      </c>
      <c r="D381" s="10" t="s">
        <v>4685</v>
      </c>
      <c r="E381" s="10" t="s">
        <v>4683</v>
      </c>
      <c r="F381" s="10" t="s">
        <v>4683</v>
      </c>
      <c r="G381" s="10" t="s">
        <v>4683</v>
      </c>
      <c r="H381" s="14">
        <v>0</v>
      </c>
      <c r="I381" s="10" t="s">
        <v>4684</v>
      </c>
      <c r="J381" s="10" t="str">
        <f t="shared" si="2"/>
        <v>normalweight</v>
      </c>
      <c r="L381" s="30" t="e">
        <v>#N/A</v>
      </c>
    </row>
    <row r="382" spans="1:12" ht="15.75" customHeight="1" x14ac:dyDescent="0.3">
      <c r="A382" s="10" t="s">
        <v>3912</v>
      </c>
      <c r="B382" s="10">
        <v>26.74</v>
      </c>
      <c r="C382" s="10">
        <v>4.3099999999999996</v>
      </c>
      <c r="D382" s="10" t="s">
        <v>4685</v>
      </c>
      <c r="E382" s="10" t="s">
        <v>4683</v>
      </c>
      <c r="F382" s="10" t="s">
        <v>4683</v>
      </c>
      <c r="G382" s="10" t="s">
        <v>4683</v>
      </c>
      <c r="H382" s="14">
        <v>0</v>
      </c>
      <c r="I382" s="10" t="s">
        <v>4684</v>
      </c>
      <c r="J382" s="10" t="str">
        <f t="shared" si="2"/>
        <v>normalweight</v>
      </c>
      <c r="L382" s="30" t="e">
        <v>#N/A</v>
      </c>
    </row>
    <row r="383" spans="1:12" ht="15.75" customHeight="1" x14ac:dyDescent="0.3">
      <c r="A383" s="10" t="s">
        <v>3910</v>
      </c>
      <c r="B383" s="10">
        <v>22.99</v>
      </c>
      <c r="C383" s="10">
        <v>10.46</v>
      </c>
      <c r="D383" s="16" t="s">
        <v>4682</v>
      </c>
      <c r="E383" s="10" t="s">
        <v>4683</v>
      </c>
      <c r="F383" s="10" t="s">
        <v>4683</v>
      </c>
      <c r="G383" s="10" t="s">
        <v>4683</v>
      </c>
      <c r="H383" s="14">
        <v>3</v>
      </c>
      <c r="I383" s="10" t="s">
        <v>4684</v>
      </c>
      <c r="J383" s="10" t="str">
        <f t="shared" si="2"/>
        <v>normalweight</v>
      </c>
      <c r="L383" s="30" t="e">
        <v>#N/A</v>
      </c>
    </row>
    <row r="384" spans="1:12" ht="15.75" customHeight="1" x14ac:dyDescent="0.3">
      <c r="A384" s="10" t="s">
        <v>3908</v>
      </c>
      <c r="B384" s="10">
        <v>31.46</v>
      </c>
      <c r="C384" s="10">
        <v>7.39</v>
      </c>
      <c r="D384" s="16" t="s">
        <v>4682</v>
      </c>
      <c r="E384" s="10" t="s">
        <v>4683</v>
      </c>
      <c r="F384" s="10" t="s">
        <v>4683</v>
      </c>
      <c r="G384" s="10" t="s">
        <v>4683</v>
      </c>
      <c r="H384" s="14">
        <v>0</v>
      </c>
      <c r="I384" s="10" t="s">
        <v>4683</v>
      </c>
      <c r="J384" s="10" t="str">
        <f t="shared" si="2"/>
        <v>normalweight</v>
      </c>
      <c r="L384" s="30" t="e">
        <v>#N/A</v>
      </c>
    </row>
    <row r="385" spans="1:12" ht="15.75" customHeight="1" x14ac:dyDescent="0.3">
      <c r="A385" s="10" t="s">
        <v>3906</v>
      </c>
      <c r="B385" s="10">
        <v>30.86</v>
      </c>
      <c r="C385" s="10">
        <v>6.18</v>
      </c>
      <c r="D385" s="10" t="s">
        <v>4685</v>
      </c>
      <c r="E385" s="10" t="s">
        <v>4683</v>
      </c>
      <c r="F385" s="10" t="s">
        <v>4684</v>
      </c>
      <c r="G385" s="10" t="s">
        <v>4683</v>
      </c>
      <c r="H385" s="14">
        <v>2</v>
      </c>
      <c r="I385" s="10" t="s">
        <v>4684</v>
      </c>
      <c r="J385" s="10" t="str">
        <f t="shared" si="2"/>
        <v>normalweight</v>
      </c>
      <c r="L385" s="30" t="e">
        <v>#N/A</v>
      </c>
    </row>
    <row r="386" spans="1:12" ht="15.75" customHeight="1" x14ac:dyDescent="0.3">
      <c r="A386" s="10" t="s">
        <v>3904</v>
      </c>
      <c r="B386" s="10">
        <v>31.96</v>
      </c>
      <c r="C386" s="10">
        <v>8.86</v>
      </c>
      <c r="D386" s="16" t="s">
        <v>4682</v>
      </c>
      <c r="E386" s="10" t="s">
        <v>4683</v>
      </c>
      <c r="F386" s="10" t="s">
        <v>4683</v>
      </c>
      <c r="G386" s="10" t="s">
        <v>4683</v>
      </c>
      <c r="H386" s="14">
        <v>0</v>
      </c>
      <c r="I386" s="10" t="s">
        <v>4684</v>
      </c>
      <c r="J386" s="10" t="str">
        <f t="shared" si="2"/>
        <v>normalweight</v>
      </c>
      <c r="L386" s="30" t="e">
        <v>#N/A</v>
      </c>
    </row>
    <row r="387" spans="1:12" ht="15.75" customHeight="1" x14ac:dyDescent="0.3">
      <c r="A387" s="10" t="s">
        <v>3902</v>
      </c>
      <c r="B387" s="10">
        <v>23.76</v>
      </c>
      <c r="C387" s="10">
        <v>10.96</v>
      </c>
      <c r="D387" s="16" t="s">
        <v>4682</v>
      </c>
      <c r="E387" s="10" t="s">
        <v>4683</v>
      </c>
      <c r="F387" s="10" t="s">
        <v>4683</v>
      </c>
      <c r="G387" s="10" t="s">
        <v>4683</v>
      </c>
      <c r="H387" s="14">
        <v>3</v>
      </c>
      <c r="I387" s="10" t="s">
        <v>4684</v>
      </c>
      <c r="J387" s="10" t="str">
        <f t="shared" si="2"/>
        <v>normalweight</v>
      </c>
      <c r="L387" s="30" t="e">
        <v>#N/A</v>
      </c>
    </row>
    <row r="388" spans="1:12" ht="15.75" customHeight="1" x14ac:dyDescent="0.3">
      <c r="A388" s="10" t="s">
        <v>3900</v>
      </c>
      <c r="B388" s="10">
        <v>19.38</v>
      </c>
      <c r="C388" s="10">
        <v>6.28</v>
      </c>
      <c r="D388" s="10" t="s">
        <v>4685</v>
      </c>
      <c r="E388" s="10" t="s">
        <v>4683</v>
      </c>
      <c r="F388" s="10" t="s">
        <v>4683</v>
      </c>
      <c r="G388" s="10" t="s">
        <v>4683</v>
      </c>
      <c r="H388" s="14">
        <v>0</v>
      </c>
      <c r="I388" s="10" t="s">
        <v>4684</v>
      </c>
      <c r="J388" s="10" t="str">
        <f t="shared" si="2"/>
        <v>normalweight</v>
      </c>
      <c r="L388" s="30" t="e">
        <v>#N/A</v>
      </c>
    </row>
    <row r="389" spans="1:12" ht="15.75" customHeight="1" x14ac:dyDescent="0.3">
      <c r="A389" s="10" t="s">
        <v>3898</v>
      </c>
      <c r="B389" s="10">
        <v>16.21</v>
      </c>
      <c r="C389" s="10">
        <v>6.29</v>
      </c>
      <c r="D389" s="10" t="s">
        <v>4685</v>
      </c>
      <c r="E389" s="10" t="s">
        <v>4684</v>
      </c>
      <c r="F389" s="10" t="s">
        <v>4683</v>
      </c>
      <c r="G389" s="10" t="s">
        <v>4683</v>
      </c>
      <c r="H389" s="14">
        <v>1</v>
      </c>
      <c r="I389" s="10" t="s">
        <v>4684</v>
      </c>
      <c r="J389" s="10" t="str">
        <f t="shared" si="2"/>
        <v>underweight</v>
      </c>
      <c r="L389" s="30" t="e">
        <v>#N/A</v>
      </c>
    </row>
    <row r="390" spans="1:12" ht="15.75" customHeight="1" x14ac:dyDescent="0.3">
      <c r="A390" s="10" t="s">
        <v>3896</v>
      </c>
      <c r="B390" s="10">
        <v>32.54</v>
      </c>
      <c r="C390" s="10">
        <v>4.0199999999999996</v>
      </c>
      <c r="D390" s="10" t="s">
        <v>4685</v>
      </c>
      <c r="E390" s="10" t="s">
        <v>4683</v>
      </c>
      <c r="F390" s="10" t="s">
        <v>4684</v>
      </c>
      <c r="G390" s="10" t="s">
        <v>4683</v>
      </c>
      <c r="H390" s="14">
        <v>1</v>
      </c>
      <c r="I390" s="10" t="s">
        <v>4684</v>
      </c>
      <c r="J390" s="10" t="str">
        <f t="shared" si="2"/>
        <v>normalweight</v>
      </c>
      <c r="L390" s="30" t="e">
        <v>#N/A</v>
      </c>
    </row>
    <row r="391" spans="1:12" ht="15.75" customHeight="1" x14ac:dyDescent="0.3">
      <c r="A391" s="10" t="s">
        <v>3894</v>
      </c>
      <c r="B391" s="10">
        <v>36.765000000000001</v>
      </c>
      <c r="C391" s="10">
        <v>11.95</v>
      </c>
      <c r="D391" s="16" t="s">
        <v>4682</v>
      </c>
      <c r="E391" s="10" t="s">
        <v>4684</v>
      </c>
      <c r="F391" s="10" t="s">
        <v>4683</v>
      </c>
      <c r="G391" s="10" t="s">
        <v>4683</v>
      </c>
      <c r="H391" s="14">
        <v>2</v>
      </c>
      <c r="I391" s="10" t="s">
        <v>4683</v>
      </c>
      <c r="J391" s="10" t="str">
        <f t="shared" si="2"/>
        <v>normalweight</v>
      </c>
      <c r="L391" s="30" t="e">
        <v>#N/A</v>
      </c>
    </row>
    <row r="392" spans="1:12" ht="15.75" customHeight="1" x14ac:dyDescent="0.3">
      <c r="A392" s="10" t="s">
        <v>3892</v>
      </c>
      <c r="B392" s="10">
        <v>35.909999999999997</v>
      </c>
      <c r="C392" s="10">
        <v>8.7100000000000009</v>
      </c>
      <c r="D392" s="16" t="s">
        <v>4682</v>
      </c>
      <c r="E392" s="10" t="s">
        <v>4683</v>
      </c>
      <c r="F392" s="10" t="s">
        <v>4683</v>
      </c>
      <c r="G392" s="10" t="s">
        <v>4683</v>
      </c>
      <c r="H392" s="14">
        <v>0</v>
      </c>
      <c r="I392" s="10" t="s">
        <v>4683</v>
      </c>
      <c r="J392" s="10" t="str">
        <f t="shared" si="2"/>
        <v>normalweight</v>
      </c>
      <c r="L392" s="30" t="e">
        <v>#N/A</v>
      </c>
    </row>
    <row r="393" spans="1:12" ht="15.75" customHeight="1" x14ac:dyDescent="0.3">
      <c r="A393" s="10" t="s">
        <v>3890</v>
      </c>
      <c r="B393" s="10">
        <v>32.06</v>
      </c>
      <c r="C393" s="10">
        <v>4.67</v>
      </c>
      <c r="D393" s="10" t="s">
        <v>4685</v>
      </c>
      <c r="E393" s="10" t="s">
        <v>4683</v>
      </c>
      <c r="F393" s="10" t="s">
        <v>4684</v>
      </c>
      <c r="G393" s="10" t="s">
        <v>4683</v>
      </c>
      <c r="H393" s="14">
        <v>1</v>
      </c>
      <c r="I393" s="10" t="s">
        <v>4684</v>
      </c>
      <c r="J393" s="10" t="str">
        <f t="shared" si="2"/>
        <v>normalweight</v>
      </c>
      <c r="L393" s="30" t="e">
        <v>#N/A</v>
      </c>
    </row>
    <row r="394" spans="1:12" ht="15.75" customHeight="1" x14ac:dyDescent="0.3">
      <c r="A394" s="10" t="s">
        <v>3888</v>
      </c>
      <c r="B394" s="10">
        <v>24.1</v>
      </c>
      <c r="C394" s="10">
        <v>11.14</v>
      </c>
      <c r="D394" s="16" t="s">
        <v>4682</v>
      </c>
      <c r="E394" s="10" t="s">
        <v>4684</v>
      </c>
      <c r="F394" s="10" t="s">
        <v>4683</v>
      </c>
      <c r="G394" s="10" t="s">
        <v>4683</v>
      </c>
      <c r="H394" s="14">
        <v>1</v>
      </c>
      <c r="I394" s="10" t="s">
        <v>4683</v>
      </c>
      <c r="J394" s="10" t="str">
        <f t="shared" si="2"/>
        <v>normalweight</v>
      </c>
      <c r="L394" s="30" t="e">
        <v>#N/A</v>
      </c>
    </row>
    <row r="395" spans="1:12" ht="15.75" customHeight="1" x14ac:dyDescent="0.3">
      <c r="A395" s="10" t="s">
        <v>3886</v>
      </c>
      <c r="B395" s="10">
        <v>27.1</v>
      </c>
      <c r="C395" s="10">
        <v>9.0500000000000007</v>
      </c>
      <c r="D395" s="16" t="s">
        <v>4682</v>
      </c>
      <c r="E395" s="10" t="s">
        <v>4683</v>
      </c>
      <c r="F395" s="10" t="s">
        <v>4683</v>
      </c>
      <c r="G395" s="10" t="s">
        <v>4683</v>
      </c>
      <c r="H395" s="14">
        <v>2</v>
      </c>
      <c r="I395" s="10" t="s">
        <v>4683</v>
      </c>
      <c r="J395" s="10" t="str">
        <f t="shared" si="2"/>
        <v>normalweight</v>
      </c>
      <c r="L395" s="30" t="e">
        <v>#N/A</v>
      </c>
    </row>
    <row r="396" spans="1:12" ht="15.75" customHeight="1" x14ac:dyDescent="0.3">
      <c r="A396" s="10" t="s">
        <v>3884</v>
      </c>
      <c r="B396" s="10">
        <v>24.42</v>
      </c>
      <c r="C396" s="10">
        <v>11.31</v>
      </c>
      <c r="D396" s="16" t="s">
        <v>4682</v>
      </c>
      <c r="E396" s="10" t="s">
        <v>4683</v>
      </c>
      <c r="F396" s="10" t="s">
        <v>4683</v>
      </c>
      <c r="G396" s="10" t="s">
        <v>4683</v>
      </c>
      <c r="H396" s="14">
        <v>0</v>
      </c>
      <c r="I396" s="10" t="s">
        <v>4684</v>
      </c>
      <c r="J396" s="10" t="str">
        <f t="shared" si="2"/>
        <v>normalweight</v>
      </c>
      <c r="L396" s="30" t="e">
        <v>#N/A</v>
      </c>
    </row>
    <row r="397" spans="1:12" ht="15.75" customHeight="1" x14ac:dyDescent="0.3">
      <c r="A397" s="10" t="s">
        <v>3882</v>
      </c>
      <c r="B397" s="10">
        <v>26.695</v>
      </c>
      <c r="C397" s="10">
        <v>4.68</v>
      </c>
      <c r="D397" s="10" t="s">
        <v>4685</v>
      </c>
      <c r="E397" s="10" t="s">
        <v>4684</v>
      </c>
      <c r="F397" s="10" t="s">
        <v>4683</v>
      </c>
      <c r="G397" s="10" t="s">
        <v>4683</v>
      </c>
      <c r="H397" s="14">
        <v>2</v>
      </c>
      <c r="I397" s="10" t="s">
        <v>4684</v>
      </c>
      <c r="J397" s="10" t="str">
        <f t="shared" si="2"/>
        <v>normalweight</v>
      </c>
      <c r="L397" s="30" t="e">
        <v>#N/A</v>
      </c>
    </row>
    <row r="398" spans="1:12" ht="15.75" customHeight="1" x14ac:dyDescent="0.3">
      <c r="A398" s="10" t="s">
        <v>3880</v>
      </c>
      <c r="B398" s="10">
        <v>27.79</v>
      </c>
      <c r="C398" s="10">
        <v>6.05</v>
      </c>
      <c r="D398" s="10" t="s">
        <v>4685</v>
      </c>
      <c r="E398" s="10" t="s">
        <v>4684</v>
      </c>
      <c r="F398" s="10" t="s">
        <v>4684</v>
      </c>
      <c r="G398" s="10" t="s">
        <v>4683</v>
      </c>
      <c r="H398" s="14">
        <v>1</v>
      </c>
      <c r="I398" s="10" t="s">
        <v>4684</v>
      </c>
      <c r="J398" s="10" t="str">
        <f t="shared" si="2"/>
        <v>normalweight</v>
      </c>
      <c r="L398" s="30" t="e">
        <v>#N/A</v>
      </c>
    </row>
    <row r="399" spans="1:12" ht="15.75" customHeight="1" x14ac:dyDescent="0.3">
      <c r="A399" s="10" t="s">
        <v>3878</v>
      </c>
      <c r="B399" s="10">
        <v>32.68</v>
      </c>
      <c r="C399" s="10">
        <v>4.68</v>
      </c>
      <c r="D399" s="10" t="s">
        <v>4685</v>
      </c>
      <c r="E399" s="10" t="s">
        <v>4684</v>
      </c>
      <c r="F399" s="10" t="s">
        <v>4683</v>
      </c>
      <c r="G399" s="10" t="s">
        <v>4683</v>
      </c>
      <c r="H399" s="14">
        <v>0</v>
      </c>
      <c r="I399" s="10" t="s">
        <v>4683</v>
      </c>
      <c r="J399" s="10" t="str">
        <f t="shared" si="2"/>
        <v>normalweight</v>
      </c>
      <c r="L399" s="30" t="e">
        <v>#N/A</v>
      </c>
    </row>
    <row r="400" spans="1:12" ht="15.75" customHeight="1" x14ac:dyDescent="0.3">
      <c r="A400" s="10" t="s">
        <v>3876</v>
      </c>
      <c r="B400" s="10">
        <v>26.4</v>
      </c>
      <c r="C400" s="10">
        <v>9.5</v>
      </c>
      <c r="D400" s="16" t="s">
        <v>4682</v>
      </c>
      <c r="E400" s="10" t="s">
        <v>4684</v>
      </c>
      <c r="F400" s="10" t="s">
        <v>4683</v>
      </c>
      <c r="G400" s="10" t="s">
        <v>4683</v>
      </c>
      <c r="H400" s="14">
        <v>2</v>
      </c>
      <c r="I400" s="10" t="s">
        <v>4683</v>
      </c>
      <c r="J400" s="10" t="str">
        <f t="shared" si="2"/>
        <v>normalweight</v>
      </c>
      <c r="L400" s="30" t="e">
        <v>#N/A</v>
      </c>
    </row>
    <row r="401" spans="1:12" ht="15.75" customHeight="1" x14ac:dyDescent="0.3">
      <c r="A401" s="10" t="s">
        <v>3874</v>
      </c>
      <c r="B401" s="10">
        <v>23.655000000000001</v>
      </c>
      <c r="C401" s="10">
        <v>10.84</v>
      </c>
      <c r="D401" s="16" t="s">
        <v>4682</v>
      </c>
      <c r="E401" s="10" t="s">
        <v>4684</v>
      </c>
      <c r="F401" s="10" t="s">
        <v>4683</v>
      </c>
      <c r="G401" s="10" t="s">
        <v>4686</v>
      </c>
      <c r="H401" s="14">
        <v>1</v>
      </c>
      <c r="I401" s="10" t="s">
        <v>4684</v>
      </c>
      <c r="J401" s="10" t="str">
        <f t="shared" si="2"/>
        <v>normalweight</v>
      </c>
      <c r="L401" s="30" t="e">
        <v>#N/A</v>
      </c>
    </row>
    <row r="402" spans="1:12" ht="15.75" customHeight="1" x14ac:dyDescent="0.3">
      <c r="A402" s="10" t="s">
        <v>3872</v>
      </c>
      <c r="B402" s="10">
        <v>27.36</v>
      </c>
      <c r="C402" s="10">
        <v>5.88</v>
      </c>
      <c r="D402" s="10" t="s">
        <v>4685</v>
      </c>
      <c r="E402" s="10" t="s">
        <v>4683</v>
      </c>
      <c r="F402" s="10" t="s">
        <v>4683</v>
      </c>
      <c r="G402" s="10" t="s">
        <v>4683</v>
      </c>
      <c r="H402" s="14">
        <v>2</v>
      </c>
      <c r="I402" s="10" t="s">
        <v>4683</v>
      </c>
      <c r="J402" s="10" t="str">
        <f t="shared" si="2"/>
        <v>normalweight</v>
      </c>
      <c r="L402" s="30" t="e">
        <v>#N/A</v>
      </c>
    </row>
    <row r="403" spans="1:12" ht="15.75" customHeight="1" x14ac:dyDescent="0.3">
      <c r="A403" s="10" t="s">
        <v>3870</v>
      </c>
      <c r="B403" s="10">
        <v>27.82</v>
      </c>
      <c r="C403" s="10">
        <v>5.24</v>
      </c>
      <c r="D403" s="10" t="s">
        <v>4685</v>
      </c>
      <c r="E403" s="10" t="s">
        <v>4684</v>
      </c>
      <c r="F403" s="10" t="s">
        <v>4683</v>
      </c>
      <c r="G403" s="10" t="s">
        <v>4683</v>
      </c>
      <c r="H403" s="14">
        <v>0</v>
      </c>
      <c r="I403" s="10" t="s">
        <v>4684</v>
      </c>
      <c r="J403" s="10" t="str">
        <f t="shared" si="2"/>
        <v>normalweight</v>
      </c>
      <c r="L403" s="30" t="e">
        <v>#N/A</v>
      </c>
    </row>
    <row r="404" spans="1:12" ht="15.75" customHeight="1" x14ac:dyDescent="0.3">
      <c r="A404" s="10" t="s">
        <v>3868</v>
      </c>
      <c r="B404" s="10">
        <v>25.46</v>
      </c>
      <c r="C404" s="10">
        <v>11.75</v>
      </c>
      <c r="D404" s="16" t="s">
        <v>4682</v>
      </c>
      <c r="E404" s="10" t="s">
        <v>4683</v>
      </c>
      <c r="F404" s="10" t="s">
        <v>4683</v>
      </c>
      <c r="G404" s="10" t="s">
        <v>4683</v>
      </c>
      <c r="H404" s="14">
        <v>0</v>
      </c>
      <c r="I404" s="10" t="s">
        <v>4683</v>
      </c>
      <c r="J404" s="10" t="str">
        <f t="shared" si="2"/>
        <v>normalweight</v>
      </c>
      <c r="L404" s="30" t="e">
        <v>#N/A</v>
      </c>
    </row>
    <row r="405" spans="1:12" ht="15.75" customHeight="1" x14ac:dyDescent="0.3">
      <c r="A405" s="10" t="s">
        <v>3866</v>
      </c>
      <c r="B405" s="10">
        <v>25.1</v>
      </c>
      <c r="C405" s="10">
        <v>6.97</v>
      </c>
      <c r="D405" s="16" t="s">
        <v>4682</v>
      </c>
      <c r="E405" s="10" t="s">
        <v>4683</v>
      </c>
      <c r="F405" s="10" t="s">
        <v>4683</v>
      </c>
      <c r="G405" s="10" t="s">
        <v>4683</v>
      </c>
      <c r="H405" s="14">
        <v>0</v>
      </c>
      <c r="I405" s="10" t="s">
        <v>4684</v>
      </c>
      <c r="J405" s="10" t="str">
        <f t="shared" si="2"/>
        <v>normalweight</v>
      </c>
      <c r="L405" s="30" t="e">
        <v>#N/A</v>
      </c>
    </row>
    <row r="406" spans="1:12" ht="15.75" customHeight="1" x14ac:dyDescent="0.3">
      <c r="A406" s="10" t="s">
        <v>3864</v>
      </c>
      <c r="B406" s="10">
        <v>32.11</v>
      </c>
      <c r="C406" s="10">
        <v>4.76</v>
      </c>
      <c r="D406" s="10" t="s">
        <v>4685</v>
      </c>
      <c r="E406" s="10" t="s">
        <v>4683</v>
      </c>
      <c r="F406" s="10" t="s">
        <v>4683</v>
      </c>
      <c r="G406" s="10" t="s">
        <v>4683</v>
      </c>
      <c r="H406" s="14">
        <v>2</v>
      </c>
      <c r="I406" s="10" t="s">
        <v>4683</v>
      </c>
      <c r="J406" s="10" t="str">
        <f t="shared" si="2"/>
        <v>normalweight</v>
      </c>
      <c r="L406" s="30" t="e">
        <v>#N/A</v>
      </c>
    </row>
    <row r="407" spans="1:12" ht="15.75" customHeight="1" x14ac:dyDescent="0.3">
      <c r="A407" s="10" t="s">
        <v>3862</v>
      </c>
      <c r="B407" s="10">
        <v>29.8</v>
      </c>
      <c r="C407" s="10">
        <v>8.24</v>
      </c>
      <c r="D407" s="16" t="s">
        <v>4682</v>
      </c>
      <c r="E407" s="10" t="s">
        <v>4684</v>
      </c>
      <c r="F407" s="10" t="s">
        <v>4683</v>
      </c>
      <c r="G407" s="10" t="s">
        <v>4683</v>
      </c>
      <c r="H407" s="14">
        <v>1</v>
      </c>
      <c r="I407" s="10" t="s">
        <v>4684</v>
      </c>
      <c r="J407" s="10" t="str">
        <f t="shared" si="2"/>
        <v>normalweight</v>
      </c>
      <c r="L407" s="30" t="e">
        <v>#N/A</v>
      </c>
    </row>
    <row r="408" spans="1:12" ht="15.75" customHeight="1" x14ac:dyDescent="0.3">
      <c r="A408" s="10" t="s">
        <v>3860</v>
      </c>
      <c r="B408" s="10">
        <v>24.01</v>
      </c>
      <c r="C408" s="10">
        <v>4.76</v>
      </c>
      <c r="D408" s="10" t="s">
        <v>4685</v>
      </c>
      <c r="E408" s="10" t="s">
        <v>4683</v>
      </c>
      <c r="F408" s="10" t="s">
        <v>4683</v>
      </c>
      <c r="G408" s="10" t="s">
        <v>4683</v>
      </c>
      <c r="H408" s="14">
        <v>1</v>
      </c>
      <c r="I408" s="10" t="s">
        <v>4684</v>
      </c>
      <c r="J408" s="10" t="str">
        <f t="shared" si="2"/>
        <v>normalweight</v>
      </c>
      <c r="L408" s="30" t="e">
        <v>#N/A</v>
      </c>
    </row>
    <row r="409" spans="1:12" ht="15.75" customHeight="1" x14ac:dyDescent="0.3">
      <c r="A409" s="10" t="s">
        <v>3858</v>
      </c>
      <c r="B409" s="10">
        <v>23.21</v>
      </c>
      <c r="C409" s="10">
        <v>6.03</v>
      </c>
      <c r="D409" s="10" t="s">
        <v>4685</v>
      </c>
      <c r="E409" s="10" t="s">
        <v>4683</v>
      </c>
      <c r="F409" s="10" t="s">
        <v>4683</v>
      </c>
      <c r="G409" s="10" t="s">
        <v>4683</v>
      </c>
      <c r="H409" s="14">
        <v>1</v>
      </c>
      <c r="I409" s="10" t="s">
        <v>4683</v>
      </c>
      <c r="J409" s="10" t="str">
        <f t="shared" si="2"/>
        <v>normalweight</v>
      </c>
      <c r="L409" s="30" t="e">
        <v>#N/A</v>
      </c>
    </row>
    <row r="410" spans="1:12" ht="15.75" customHeight="1" x14ac:dyDescent="0.3">
      <c r="A410" s="10" t="s">
        <v>3856</v>
      </c>
      <c r="B410" s="10">
        <v>21.2</v>
      </c>
      <c r="C410" s="10">
        <v>4.07</v>
      </c>
      <c r="D410" s="10" t="s">
        <v>4685</v>
      </c>
      <c r="E410" s="10" t="s">
        <v>4684</v>
      </c>
      <c r="F410" s="10" t="s">
        <v>4683</v>
      </c>
      <c r="G410" s="10" t="s">
        <v>4683</v>
      </c>
      <c r="H410" s="14">
        <v>1</v>
      </c>
      <c r="I410" s="10" t="s">
        <v>4684</v>
      </c>
      <c r="J410" s="10" t="str">
        <f t="shared" si="2"/>
        <v>normalweight</v>
      </c>
      <c r="L410" s="30" t="e">
        <v>#N/A</v>
      </c>
    </row>
    <row r="411" spans="1:12" ht="15.75" customHeight="1" x14ac:dyDescent="0.3">
      <c r="A411" s="10" t="s">
        <v>3854</v>
      </c>
      <c r="B411" s="10">
        <v>28.215</v>
      </c>
      <c r="C411" s="10">
        <v>8.26</v>
      </c>
      <c r="D411" s="16" t="s">
        <v>4682</v>
      </c>
      <c r="E411" s="10" t="s">
        <v>4684</v>
      </c>
      <c r="F411" s="10" t="s">
        <v>4683</v>
      </c>
      <c r="G411" s="10" t="s">
        <v>4683</v>
      </c>
      <c r="H411" s="14">
        <v>1</v>
      </c>
      <c r="I411" s="10" t="s">
        <v>4684</v>
      </c>
      <c r="J411" s="10" t="str">
        <f t="shared" si="2"/>
        <v>normalweight</v>
      </c>
      <c r="L411" s="30" t="e">
        <v>#N/A</v>
      </c>
    </row>
    <row r="412" spans="1:12" ht="15.75" customHeight="1" x14ac:dyDescent="0.3">
      <c r="A412" s="10" t="s">
        <v>3852</v>
      </c>
      <c r="B412" s="10">
        <v>38.094999999999999</v>
      </c>
      <c r="C412" s="10">
        <v>4.76</v>
      </c>
      <c r="D412" s="10" t="s">
        <v>4685</v>
      </c>
      <c r="E412" s="10" t="s">
        <v>4683</v>
      </c>
      <c r="F412" s="10" t="s">
        <v>4683</v>
      </c>
      <c r="G412" s="10" t="s">
        <v>4683</v>
      </c>
      <c r="H412" s="14">
        <v>1</v>
      </c>
      <c r="I412" s="10" t="s">
        <v>4683</v>
      </c>
      <c r="J412" s="10" t="str">
        <f t="shared" si="2"/>
        <v>normalweight</v>
      </c>
      <c r="L412" s="30" t="e">
        <v>#N/A</v>
      </c>
    </row>
    <row r="413" spans="1:12" ht="15.75" customHeight="1" x14ac:dyDescent="0.3">
      <c r="A413" s="10" t="s">
        <v>3850</v>
      </c>
      <c r="B413" s="10">
        <v>22.61</v>
      </c>
      <c r="C413" s="10">
        <v>6.13</v>
      </c>
      <c r="D413" s="10" t="s">
        <v>4685</v>
      </c>
      <c r="E413" s="10" t="s">
        <v>4684</v>
      </c>
      <c r="F413" s="10" t="s">
        <v>4683</v>
      </c>
      <c r="G413" s="10" t="s">
        <v>4686</v>
      </c>
      <c r="H413" s="14">
        <v>1</v>
      </c>
      <c r="I413" s="10" t="s">
        <v>4684</v>
      </c>
      <c r="J413" s="10" t="str">
        <f t="shared" si="2"/>
        <v>normalweight</v>
      </c>
      <c r="L413" s="30" t="e">
        <v>#N/A</v>
      </c>
    </row>
    <row r="414" spans="1:12" ht="15.75" customHeight="1" x14ac:dyDescent="0.3">
      <c r="A414" s="10" t="s">
        <v>3848</v>
      </c>
      <c r="B414" s="10">
        <v>24.32</v>
      </c>
      <c r="C414" s="10">
        <v>10.47</v>
      </c>
      <c r="D414" s="16" t="s">
        <v>4682</v>
      </c>
      <c r="E414" s="10" t="s">
        <v>4684</v>
      </c>
      <c r="F414" s="10" t="s">
        <v>4683</v>
      </c>
      <c r="G414" s="10" t="s">
        <v>4683</v>
      </c>
      <c r="H414" s="14">
        <v>2</v>
      </c>
      <c r="I414" s="10" t="s">
        <v>4684</v>
      </c>
      <c r="J414" s="10" t="str">
        <f t="shared" si="2"/>
        <v>normalweight</v>
      </c>
      <c r="L414" s="30" t="e">
        <v>#N/A</v>
      </c>
    </row>
    <row r="415" spans="1:12" ht="15.75" customHeight="1" x14ac:dyDescent="0.3">
      <c r="A415" s="10" t="s">
        <v>3846</v>
      </c>
      <c r="B415" s="10">
        <v>20.96</v>
      </c>
      <c r="C415" s="10">
        <v>4.04</v>
      </c>
      <c r="D415" s="10" t="s">
        <v>4685</v>
      </c>
      <c r="E415" s="10" t="s">
        <v>4684</v>
      </c>
      <c r="F415" s="10" t="s">
        <v>4683</v>
      </c>
      <c r="G415" s="10" t="s">
        <v>4683</v>
      </c>
      <c r="H415" s="14">
        <v>1</v>
      </c>
      <c r="I415" s="10" t="s">
        <v>4684</v>
      </c>
      <c r="J415" s="10" t="str">
        <f t="shared" si="2"/>
        <v>normalweight</v>
      </c>
      <c r="L415" s="30" t="e">
        <v>#N/A</v>
      </c>
    </row>
    <row r="416" spans="1:12" ht="15.75" customHeight="1" x14ac:dyDescent="0.3">
      <c r="A416" s="10" t="s">
        <v>3844</v>
      </c>
      <c r="B416" s="10">
        <v>19.68</v>
      </c>
      <c r="C416" s="10">
        <v>5.74</v>
      </c>
      <c r="D416" s="10" t="s">
        <v>4685</v>
      </c>
      <c r="E416" s="10" t="s">
        <v>4683</v>
      </c>
      <c r="F416" s="10" t="s">
        <v>4683</v>
      </c>
      <c r="G416" s="10" t="s">
        <v>4683</v>
      </c>
      <c r="H416" s="14">
        <v>0</v>
      </c>
      <c r="I416" s="10" t="s">
        <v>4684</v>
      </c>
      <c r="J416" s="10" t="str">
        <f t="shared" si="2"/>
        <v>normalweight</v>
      </c>
      <c r="L416" s="30" t="e">
        <v>#N/A</v>
      </c>
    </row>
    <row r="417" spans="1:12" ht="15.75" customHeight="1" x14ac:dyDescent="0.3">
      <c r="A417" s="10" t="s">
        <v>3842</v>
      </c>
      <c r="B417" s="10">
        <v>18.100000000000001</v>
      </c>
      <c r="C417" s="10">
        <v>6.33</v>
      </c>
      <c r="D417" s="10" t="s">
        <v>4685</v>
      </c>
      <c r="E417" s="10" t="s">
        <v>4683</v>
      </c>
      <c r="F417" s="10" t="s">
        <v>4683</v>
      </c>
      <c r="G417" s="10" t="s">
        <v>4683</v>
      </c>
      <c r="H417" s="14">
        <v>1</v>
      </c>
      <c r="I417" s="10" t="s">
        <v>4684</v>
      </c>
      <c r="J417" s="10" t="str">
        <f t="shared" si="2"/>
        <v>underweight</v>
      </c>
      <c r="L417" s="30" t="e">
        <v>#N/A</v>
      </c>
    </row>
    <row r="418" spans="1:12" ht="15.75" customHeight="1" x14ac:dyDescent="0.3">
      <c r="A418" s="10" t="s">
        <v>3840</v>
      </c>
      <c r="B418" s="10">
        <v>29.64</v>
      </c>
      <c r="C418" s="10">
        <v>4.28</v>
      </c>
      <c r="D418" s="10" t="s">
        <v>4685</v>
      </c>
      <c r="E418" s="10" t="s">
        <v>4684</v>
      </c>
      <c r="F418" s="10" t="s">
        <v>4683</v>
      </c>
      <c r="G418" s="10" t="s">
        <v>4683</v>
      </c>
      <c r="H418" s="14">
        <v>0</v>
      </c>
      <c r="I418" s="10" t="s">
        <v>4683</v>
      </c>
      <c r="J418" s="10" t="str">
        <f t="shared" si="2"/>
        <v>normalweight</v>
      </c>
      <c r="L418" s="30" t="e">
        <v>#N/A</v>
      </c>
    </row>
    <row r="419" spans="1:12" ht="15.75" customHeight="1" x14ac:dyDescent="0.3">
      <c r="A419" s="10" t="s">
        <v>3838</v>
      </c>
      <c r="B419" s="10">
        <v>25.3</v>
      </c>
      <c r="C419" s="10">
        <v>9.4700000000000006</v>
      </c>
      <c r="D419" s="16" t="s">
        <v>4682</v>
      </c>
      <c r="E419" s="10" t="s">
        <v>4684</v>
      </c>
      <c r="F419" s="10" t="s">
        <v>4683</v>
      </c>
      <c r="G419" s="10" t="s">
        <v>4683</v>
      </c>
      <c r="H419" s="14">
        <v>2</v>
      </c>
      <c r="I419" s="10" t="s">
        <v>4684</v>
      </c>
      <c r="J419" s="10" t="str">
        <f t="shared" si="2"/>
        <v>normalweight</v>
      </c>
      <c r="L419" s="30" t="e">
        <v>#N/A</v>
      </c>
    </row>
    <row r="420" spans="1:12" ht="15.75" customHeight="1" x14ac:dyDescent="0.3">
      <c r="A420" s="10" t="s">
        <v>3836</v>
      </c>
      <c r="B420" s="10">
        <v>27.6</v>
      </c>
      <c r="C420" s="10">
        <v>4.8499999999999996</v>
      </c>
      <c r="D420" s="10" t="s">
        <v>4685</v>
      </c>
      <c r="E420" s="10" t="s">
        <v>4684</v>
      </c>
      <c r="F420" s="10" t="s">
        <v>4683</v>
      </c>
      <c r="G420" s="10" t="s">
        <v>4683</v>
      </c>
      <c r="H420" s="14">
        <v>0</v>
      </c>
      <c r="I420" s="10" t="s">
        <v>4683</v>
      </c>
      <c r="J420" s="10" t="str">
        <f t="shared" si="2"/>
        <v>normalweight</v>
      </c>
      <c r="L420" s="30" t="e">
        <v>#N/A</v>
      </c>
    </row>
    <row r="421" spans="1:12" ht="15.75" customHeight="1" x14ac:dyDescent="0.3">
      <c r="A421" s="10" t="s">
        <v>3834</v>
      </c>
      <c r="B421" s="10">
        <v>27.645</v>
      </c>
      <c r="C421" s="10">
        <v>11.03</v>
      </c>
      <c r="D421" s="16" t="s">
        <v>4682</v>
      </c>
      <c r="E421" s="10" t="s">
        <v>4684</v>
      </c>
      <c r="F421" s="10" t="s">
        <v>4683</v>
      </c>
      <c r="G421" s="10" t="s">
        <v>4683</v>
      </c>
      <c r="H421" s="14">
        <v>1</v>
      </c>
      <c r="I421" s="10" t="s">
        <v>4684</v>
      </c>
      <c r="J421" s="10" t="str">
        <f t="shared" si="2"/>
        <v>normalweight</v>
      </c>
      <c r="L421" s="30" t="e">
        <v>#N/A</v>
      </c>
    </row>
    <row r="422" spans="1:12" ht="15.75" customHeight="1" x14ac:dyDescent="0.3">
      <c r="A422" s="10" t="s">
        <v>3832</v>
      </c>
      <c r="B422" s="10">
        <v>27.6</v>
      </c>
      <c r="C422" s="10">
        <v>5.22</v>
      </c>
      <c r="D422" s="10" t="s">
        <v>4685</v>
      </c>
      <c r="E422" s="10" t="s">
        <v>4683</v>
      </c>
      <c r="F422" s="10" t="s">
        <v>4683</v>
      </c>
      <c r="G422" s="10" t="s">
        <v>4683</v>
      </c>
      <c r="H422" s="14">
        <v>2</v>
      </c>
      <c r="I422" s="10" t="s">
        <v>4684</v>
      </c>
      <c r="J422" s="10" t="str">
        <f t="shared" si="2"/>
        <v>normalweight</v>
      </c>
      <c r="L422" s="30" t="e">
        <v>#N/A</v>
      </c>
    </row>
    <row r="423" spans="1:12" ht="15.75" customHeight="1" x14ac:dyDescent="0.3">
      <c r="A423" s="10" t="s">
        <v>3830</v>
      </c>
      <c r="B423" s="10">
        <v>25.08</v>
      </c>
      <c r="C423" s="10">
        <v>9.52</v>
      </c>
      <c r="D423" s="16" t="s">
        <v>4682</v>
      </c>
      <c r="E423" s="10" t="s">
        <v>4684</v>
      </c>
      <c r="F423" s="10" t="s">
        <v>4683</v>
      </c>
      <c r="G423" s="10" t="s">
        <v>4683</v>
      </c>
      <c r="H423" s="14">
        <v>2</v>
      </c>
      <c r="I423" s="10" t="s">
        <v>4683</v>
      </c>
      <c r="J423" s="10" t="str">
        <f t="shared" si="2"/>
        <v>normalweight</v>
      </c>
      <c r="L423" s="30" t="e">
        <v>#N/A</v>
      </c>
    </row>
    <row r="424" spans="1:12" ht="15.75" customHeight="1" x14ac:dyDescent="0.3">
      <c r="A424" s="10" t="s">
        <v>3828</v>
      </c>
      <c r="B424" s="10">
        <v>30.02</v>
      </c>
      <c r="C424" s="10">
        <v>11.09</v>
      </c>
      <c r="D424" s="16" t="s">
        <v>4682</v>
      </c>
      <c r="E424" s="10" t="s">
        <v>4683</v>
      </c>
      <c r="F424" s="10" t="s">
        <v>4683</v>
      </c>
      <c r="G424" s="10" t="s">
        <v>4683</v>
      </c>
      <c r="H424" s="14">
        <v>0</v>
      </c>
      <c r="I424" s="10" t="s">
        <v>4683</v>
      </c>
      <c r="J424" s="10" t="str">
        <f t="shared" si="2"/>
        <v>normalweight</v>
      </c>
      <c r="L424" s="30" t="e">
        <v>#N/A</v>
      </c>
    </row>
    <row r="425" spans="1:12" ht="15.75" customHeight="1" x14ac:dyDescent="0.3">
      <c r="A425" s="10" t="s">
        <v>3826</v>
      </c>
      <c r="B425" s="10">
        <v>27.36</v>
      </c>
      <c r="C425" s="10">
        <v>9.4499999999999993</v>
      </c>
      <c r="D425" s="16" t="s">
        <v>4682</v>
      </c>
      <c r="E425" s="10" t="s">
        <v>4684</v>
      </c>
      <c r="F425" s="10" t="s">
        <v>4683</v>
      </c>
      <c r="G425" s="10" t="s">
        <v>4683</v>
      </c>
      <c r="H425" s="14">
        <v>2</v>
      </c>
      <c r="I425" s="10" t="s">
        <v>4684</v>
      </c>
      <c r="J425" s="10" t="str">
        <f t="shared" si="2"/>
        <v>normalweight</v>
      </c>
      <c r="L425" s="30" t="e">
        <v>#N/A</v>
      </c>
    </row>
    <row r="426" spans="1:12" ht="15.75" customHeight="1" x14ac:dyDescent="0.3">
      <c r="A426" s="10" t="s">
        <v>3824</v>
      </c>
      <c r="B426" s="10">
        <v>22.2</v>
      </c>
      <c r="C426" s="10">
        <v>5.51</v>
      </c>
      <c r="D426" s="10" t="s">
        <v>4685</v>
      </c>
      <c r="E426" s="10" t="s">
        <v>4683</v>
      </c>
      <c r="F426" s="10" t="s">
        <v>4683</v>
      </c>
      <c r="G426" s="10" t="s">
        <v>4683</v>
      </c>
      <c r="H426" s="14">
        <v>0</v>
      </c>
      <c r="I426" s="10" t="s">
        <v>4684</v>
      </c>
      <c r="J426" s="10" t="str">
        <f t="shared" si="2"/>
        <v>normalweight</v>
      </c>
      <c r="L426" s="30" t="e">
        <v>#N/A</v>
      </c>
    </row>
    <row r="427" spans="1:12" ht="15.75" customHeight="1" x14ac:dyDescent="0.3">
      <c r="A427" s="10" t="s">
        <v>3822</v>
      </c>
      <c r="B427" s="10">
        <v>25.71</v>
      </c>
      <c r="C427" s="10">
        <v>4.18</v>
      </c>
      <c r="D427" s="10" t="s">
        <v>4685</v>
      </c>
      <c r="E427" s="10" t="s">
        <v>4683</v>
      </c>
      <c r="F427" s="10" t="s">
        <v>4684</v>
      </c>
      <c r="G427" s="10" t="s">
        <v>4683</v>
      </c>
      <c r="H427" s="14">
        <v>1</v>
      </c>
      <c r="I427" s="10" t="s">
        <v>4684</v>
      </c>
      <c r="J427" s="10" t="str">
        <f t="shared" si="2"/>
        <v>normalweight</v>
      </c>
      <c r="L427" s="30" t="e">
        <v>#N/A</v>
      </c>
    </row>
    <row r="428" spans="1:12" ht="15.75" customHeight="1" x14ac:dyDescent="0.3">
      <c r="A428" s="10" t="s">
        <v>3820</v>
      </c>
      <c r="B428" s="10">
        <v>41.91</v>
      </c>
      <c r="C428" s="10">
        <v>5.98</v>
      </c>
      <c r="D428" s="10" t="s">
        <v>4685</v>
      </c>
      <c r="E428" s="10" t="s">
        <v>4684</v>
      </c>
      <c r="F428" s="10" t="s">
        <v>4683</v>
      </c>
      <c r="G428" s="10" t="s">
        <v>4683</v>
      </c>
      <c r="H428" s="14">
        <v>1</v>
      </c>
      <c r="I428" s="10" t="s">
        <v>4683</v>
      </c>
      <c r="J428" s="10" t="str">
        <f t="shared" si="2"/>
        <v>normalweight</v>
      </c>
      <c r="L428" s="30" t="e">
        <v>#N/A</v>
      </c>
    </row>
    <row r="429" spans="1:12" ht="15.75" customHeight="1" x14ac:dyDescent="0.3">
      <c r="A429" s="10" t="s">
        <v>3818</v>
      </c>
      <c r="B429" s="10">
        <v>25.85</v>
      </c>
      <c r="C429" s="10">
        <v>10.16</v>
      </c>
      <c r="D429" s="16" t="s">
        <v>4682</v>
      </c>
      <c r="E429" s="10" t="s">
        <v>4683</v>
      </c>
      <c r="F429" s="10" t="s">
        <v>4683</v>
      </c>
      <c r="G429" s="10" t="s">
        <v>4683</v>
      </c>
      <c r="H429" s="14">
        <v>0</v>
      </c>
      <c r="I429" s="10" t="s">
        <v>4684</v>
      </c>
      <c r="J429" s="10" t="str">
        <f t="shared" si="2"/>
        <v>normalweight</v>
      </c>
      <c r="L429" s="30" t="e">
        <v>#N/A</v>
      </c>
    </row>
    <row r="430" spans="1:12" ht="15.75" customHeight="1" x14ac:dyDescent="0.3">
      <c r="A430" s="10" t="s">
        <v>3816</v>
      </c>
      <c r="B430" s="10">
        <v>23.844999999999999</v>
      </c>
      <c r="C430" s="10">
        <v>11.71</v>
      </c>
      <c r="D430" s="16" t="s">
        <v>4682</v>
      </c>
      <c r="E430" s="10" t="s">
        <v>4683</v>
      </c>
      <c r="F430" s="10" t="s">
        <v>4683</v>
      </c>
      <c r="G430" s="10" t="s">
        <v>4683</v>
      </c>
      <c r="H430" s="14">
        <v>2</v>
      </c>
      <c r="I430" s="10" t="s">
        <v>4684</v>
      </c>
      <c r="J430" s="10" t="str">
        <f t="shared" si="2"/>
        <v>normalweight</v>
      </c>
      <c r="L430" s="30" t="e">
        <v>#N/A</v>
      </c>
    </row>
    <row r="431" spans="1:12" ht="15.75" customHeight="1" x14ac:dyDescent="0.3">
      <c r="A431" s="10" t="s">
        <v>3814</v>
      </c>
      <c r="B431" s="10">
        <v>30.59</v>
      </c>
      <c r="C431" s="10">
        <v>5.23</v>
      </c>
      <c r="D431" s="10" t="s">
        <v>4685</v>
      </c>
      <c r="E431" s="10" t="s">
        <v>4683</v>
      </c>
      <c r="F431" s="10" t="s">
        <v>4683</v>
      </c>
      <c r="G431" s="10" t="s">
        <v>4686</v>
      </c>
      <c r="H431" s="14">
        <v>1</v>
      </c>
      <c r="I431" s="10" t="s">
        <v>4683</v>
      </c>
      <c r="J431" s="10" t="str">
        <f t="shared" si="2"/>
        <v>normalweight</v>
      </c>
      <c r="L431" s="30" t="e">
        <v>#N/A</v>
      </c>
    </row>
    <row r="432" spans="1:12" ht="15.75" customHeight="1" x14ac:dyDescent="0.3">
      <c r="A432" s="10" t="s">
        <v>3812</v>
      </c>
      <c r="B432" s="10">
        <v>24.795000000000002</v>
      </c>
      <c r="C432" s="10">
        <v>6.85</v>
      </c>
      <c r="D432" s="16" t="s">
        <v>4682</v>
      </c>
      <c r="E432" s="10" t="s">
        <v>4683</v>
      </c>
      <c r="F432" s="10" t="s">
        <v>4683</v>
      </c>
      <c r="G432" s="10" t="s">
        <v>4683</v>
      </c>
      <c r="H432" s="14">
        <v>0</v>
      </c>
      <c r="I432" s="10" t="s">
        <v>4684</v>
      </c>
      <c r="J432" s="10" t="str">
        <f t="shared" si="2"/>
        <v>normalweight</v>
      </c>
      <c r="L432" s="30" t="e">
        <v>#N/A</v>
      </c>
    </row>
    <row r="433" spans="1:12" ht="15.75" customHeight="1" x14ac:dyDescent="0.3">
      <c r="A433" s="10" t="s">
        <v>3810</v>
      </c>
      <c r="B433" s="10">
        <v>24.13</v>
      </c>
      <c r="C433" s="10">
        <v>7.05</v>
      </c>
      <c r="D433" s="16" t="s">
        <v>4682</v>
      </c>
      <c r="E433" s="10" t="s">
        <v>4684</v>
      </c>
      <c r="F433" s="10" t="s">
        <v>4683</v>
      </c>
      <c r="G433" s="10" t="s">
        <v>4683</v>
      </c>
      <c r="H433" s="14">
        <v>2</v>
      </c>
      <c r="I433" s="10" t="s">
        <v>4684</v>
      </c>
      <c r="J433" s="10" t="str">
        <f t="shared" si="2"/>
        <v>normalweight</v>
      </c>
      <c r="L433" s="30" t="e">
        <v>#N/A</v>
      </c>
    </row>
    <row r="434" spans="1:12" ht="15.75" customHeight="1" x14ac:dyDescent="0.3">
      <c r="A434" s="10" t="s">
        <v>3808</v>
      </c>
      <c r="B434" s="10">
        <v>25.84</v>
      </c>
      <c r="C434" s="10">
        <v>11.64</v>
      </c>
      <c r="D434" s="16" t="s">
        <v>4682</v>
      </c>
      <c r="E434" s="10" t="s">
        <v>4683</v>
      </c>
      <c r="F434" s="10" t="s">
        <v>4683</v>
      </c>
      <c r="G434" s="10" t="s">
        <v>4683</v>
      </c>
      <c r="H434" s="14">
        <v>2</v>
      </c>
      <c r="I434" s="10" t="s">
        <v>4684</v>
      </c>
      <c r="J434" s="10" t="str">
        <f t="shared" si="2"/>
        <v>normalweight</v>
      </c>
      <c r="L434" s="30" t="e">
        <v>#N/A</v>
      </c>
    </row>
    <row r="435" spans="1:12" ht="15.75" customHeight="1" x14ac:dyDescent="0.3">
      <c r="A435" s="10" t="s">
        <v>3806</v>
      </c>
      <c r="B435" s="10">
        <v>28</v>
      </c>
      <c r="C435" s="10">
        <v>10.52</v>
      </c>
      <c r="D435" s="16" t="s">
        <v>4682</v>
      </c>
      <c r="E435" s="10" t="s">
        <v>4683</v>
      </c>
      <c r="F435" s="10" t="s">
        <v>4683</v>
      </c>
      <c r="G435" s="10" t="s">
        <v>4683</v>
      </c>
      <c r="H435" s="14">
        <v>0</v>
      </c>
      <c r="I435" s="10" t="s">
        <v>4684</v>
      </c>
      <c r="J435" s="10" t="str">
        <f t="shared" si="2"/>
        <v>normalweight</v>
      </c>
      <c r="L435" s="30" t="e">
        <v>#N/A</v>
      </c>
    </row>
    <row r="436" spans="1:12" ht="15.75" customHeight="1" x14ac:dyDescent="0.3">
      <c r="A436" s="10" t="s">
        <v>3804</v>
      </c>
      <c r="B436" s="10">
        <v>34.1</v>
      </c>
      <c r="C436" s="10">
        <v>4.01</v>
      </c>
      <c r="D436" s="10" t="s">
        <v>4685</v>
      </c>
      <c r="E436" s="10" t="s">
        <v>4684</v>
      </c>
      <c r="F436" s="10" t="s">
        <v>4683</v>
      </c>
      <c r="G436" s="10" t="s">
        <v>4686</v>
      </c>
      <c r="H436" s="14">
        <v>1</v>
      </c>
      <c r="I436" s="10" t="s">
        <v>4683</v>
      </c>
      <c r="J436" s="10" t="str">
        <f t="shared" si="2"/>
        <v>normalweight</v>
      </c>
      <c r="L436" s="30" t="e">
        <v>#N/A</v>
      </c>
    </row>
    <row r="437" spans="1:12" ht="15.75" customHeight="1" x14ac:dyDescent="0.3">
      <c r="A437" s="10" t="s">
        <v>3802</v>
      </c>
      <c r="B437" s="10">
        <v>26.125</v>
      </c>
      <c r="C437" s="10">
        <v>8.56</v>
      </c>
      <c r="D437" s="16" t="s">
        <v>4682</v>
      </c>
      <c r="E437" s="10" t="s">
        <v>4684</v>
      </c>
      <c r="F437" s="10" t="s">
        <v>4683</v>
      </c>
      <c r="G437" s="10" t="s">
        <v>4683</v>
      </c>
      <c r="H437" s="14">
        <v>1</v>
      </c>
      <c r="I437" s="10" t="s">
        <v>4684</v>
      </c>
      <c r="J437" s="10" t="str">
        <f t="shared" si="2"/>
        <v>normalweight</v>
      </c>
      <c r="L437" s="30" t="e">
        <v>#N/A</v>
      </c>
    </row>
    <row r="438" spans="1:12" ht="15.75" customHeight="1" x14ac:dyDescent="0.3">
      <c r="A438" s="10" t="s">
        <v>3800</v>
      </c>
      <c r="B438" s="10">
        <v>25.6</v>
      </c>
      <c r="C438" s="10">
        <v>10.5</v>
      </c>
      <c r="D438" s="16" t="s">
        <v>4682</v>
      </c>
      <c r="E438" s="10" t="s">
        <v>4683</v>
      </c>
      <c r="F438" s="10" t="s">
        <v>4683</v>
      </c>
      <c r="G438" s="10" t="s">
        <v>4683</v>
      </c>
      <c r="H438" s="14">
        <v>2</v>
      </c>
      <c r="I438" s="10" t="s">
        <v>4684</v>
      </c>
      <c r="J438" s="10" t="str">
        <f t="shared" si="2"/>
        <v>normalweight</v>
      </c>
      <c r="L438" s="30" t="e">
        <v>#N/A</v>
      </c>
    </row>
    <row r="439" spans="1:12" ht="15.75" customHeight="1" x14ac:dyDescent="0.3">
      <c r="A439" s="10" t="s">
        <v>3798</v>
      </c>
      <c r="B439" s="10">
        <v>24.32</v>
      </c>
      <c r="C439" s="10">
        <v>6.39</v>
      </c>
      <c r="D439" s="16" t="s">
        <v>4682</v>
      </c>
      <c r="E439" s="10" t="s">
        <v>4683</v>
      </c>
      <c r="F439" s="10" t="s">
        <v>4683</v>
      </c>
      <c r="G439" s="10" t="s">
        <v>4683</v>
      </c>
      <c r="H439" s="14">
        <v>0</v>
      </c>
      <c r="I439" s="10" t="s">
        <v>4683</v>
      </c>
      <c r="J439" s="10" t="str">
        <f t="shared" si="2"/>
        <v>normalweight</v>
      </c>
      <c r="L439" s="30" t="e">
        <v>#N/A</v>
      </c>
    </row>
    <row r="440" spans="1:12" ht="15.75" customHeight="1" x14ac:dyDescent="0.3">
      <c r="A440" s="10" t="s">
        <v>3796</v>
      </c>
      <c r="B440" s="10">
        <v>22.88</v>
      </c>
      <c r="C440" s="10">
        <v>5.71</v>
      </c>
      <c r="D440" s="10" t="s">
        <v>4685</v>
      </c>
      <c r="E440" s="10" t="s">
        <v>4684</v>
      </c>
      <c r="F440" s="10" t="s">
        <v>4683</v>
      </c>
      <c r="G440" s="10" t="s">
        <v>4686</v>
      </c>
      <c r="H440" s="14">
        <v>1</v>
      </c>
      <c r="I440" s="10" t="s">
        <v>4684</v>
      </c>
      <c r="J440" s="10" t="str">
        <f t="shared" si="2"/>
        <v>normalweight</v>
      </c>
      <c r="L440" s="30" t="e">
        <v>#N/A</v>
      </c>
    </row>
    <row r="441" spans="1:12" ht="15.75" customHeight="1" x14ac:dyDescent="0.3">
      <c r="A441" s="10" t="s">
        <v>3794</v>
      </c>
      <c r="B441" s="10">
        <v>24.984999999999999</v>
      </c>
      <c r="C441" s="10">
        <v>4.43</v>
      </c>
      <c r="D441" s="10" t="s">
        <v>4685</v>
      </c>
      <c r="E441" s="10" t="s">
        <v>4684</v>
      </c>
      <c r="F441" s="10" t="s">
        <v>4683</v>
      </c>
      <c r="G441" s="10" t="s">
        <v>4686</v>
      </c>
      <c r="H441" s="14">
        <v>1</v>
      </c>
      <c r="I441" s="10" t="s">
        <v>4683</v>
      </c>
      <c r="J441" s="10" t="str">
        <f t="shared" si="2"/>
        <v>normalweight</v>
      </c>
      <c r="L441" s="30" t="e">
        <v>#N/A</v>
      </c>
    </row>
    <row r="442" spans="1:12" ht="15.75" customHeight="1" x14ac:dyDescent="0.3">
      <c r="A442" s="10" t="s">
        <v>3792</v>
      </c>
      <c r="B442" s="10">
        <v>33.1</v>
      </c>
      <c r="C442" s="10">
        <v>5.52</v>
      </c>
      <c r="D442" s="10" t="s">
        <v>4685</v>
      </c>
      <c r="E442" s="10" t="s">
        <v>4683</v>
      </c>
      <c r="F442" s="10" t="s">
        <v>4683</v>
      </c>
      <c r="G442" s="10" t="s">
        <v>4686</v>
      </c>
      <c r="H442" s="14">
        <v>1</v>
      </c>
      <c r="I442" s="10" t="s">
        <v>4683</v>
      </c>
      <c r="J442" s="10" t="str">
        <f t="shared" si="2"/>
        <v>normalweight</v>
      </c>
      <c r="L442" s="30" t="e">
        <v>#N/A</v>
      </c>
    </row>
    <row r="443" spans="1:12" ht="15.75" customHeight="1" x14ac:dyDescent="0.3">
      <c r="A443" s="10" t="s">
        <v>3790</v>
      </c>
      <c r="B443" s="10">
        <v>27.83</v>
      </c>
      <c r="C443" s="10">
        <v>9.1999999999999993</v>
      </c>
      <c r="D443" s="16" t="s">
        <v>4682</v>
      </c>
      <c r="E443" s="10" t="s">
        <v>4684</v>
      </c>
      <c r="F443" s="10" t="s">
        <v>4683</v>
      </c>
      <c r="G443" s="10" t="s">
        <v>4683</v>
      </c>
      <c r="H443" s="14">
        <v>1</v>
      </c>
      <c r="I443" s="10" t="s">
        <v>4684</v>
      </c>
      <c r="J443" s="10" t="str">
        <f t="shared" si="2"/>
        <v>normalweight</v>
      </c>
      <c r="L443" s="30" t="e">
        <v>#N/A</v>
      </c>
    </row>
    <row r="444" spans="1:12" ht="15.75" customHeight="1" x14ac:dyDescent="0.3">
      <c r="A444" s="10" t="s">
        <v>3788</v>
      </c>
      <c r="B444" s="10">
        <v>30.875</v>
      </c>
      <c r="C444" s="10">
        <v>10.97</v>
      </c>
      <c r="D444" s="16" t="s">
        <v>4682</v>
      </c>
      <c r="E444" s="10" t="s">
        <v>4684</v>
      </c>
      <c r="F444" s="10" t="s">
        <v>4683</v>
      </c>
      <c r="G444" s="10" t="s">
        <v>4683</v>
      </c>
      <c r="H444" s="14">
        <v>2</v>
      </c>
      <c r="I444" s="10" t="s">
        <v>4683</v>
      </c>
      <c r="J444" s="10" t="str">
        <f t="shared" si="2"/>
        <v>normalweight</v>
      </c>
      <c r="L444" s="30" t="e">
        <v>#N/A</v>
      </c>
    </row>
    <row r="445" spans="1:12" ht="15.75" customHeight="1" x14ac:dyDescent="0.3">
      <c r="A445" s="10" t="s">
        <v>3786</v>
      </c>
      <c r="B445" s="10">
        <v>27.265000000000001</v>
      </c>
      <c r="C445" s="10">
        <v>4.25</v>
      </c>
      <c r="D445" s="10" t="s">
        <v>4685</v>
      </c>
      <c r="E445" s="10" t="s">
        <v>4683</v>
      </c>
      <c r="F445" s="10" t="s">
        <v>4683</v>
      </c>
      <c r="G445" s="10" t="s">
        <v>4686</v>
      </c>
      <c r="H445" s="14">
        <v>1</v>
      </c>
      <c r="I445" s="10" t="s">
        <v>4683</v>
      </c>
      <c r="J445" s="10" t="str">
        <f t="shared" si="2"/>
        <v>normalweight</v>
      </c>
      <c r="L445" s="30" t="e">
        <v>#N/A</v>
      </c>
    </row>
    <row r="446" spans="1:12" ht="15.75" customHeight="1" x14ac:dyDescent="0.3">
      <c r="A446" s="10" t="s">
        <v>3784</v>
      </c>
      <c r="B446" s="10">
        <v>26.7</v>
      </c>
      <c r="C446" s="10">
        <v>5.23</v>
      </c>
      <c r="D446" s="10" t="s">
        <v>4685</v>
      </c>
      <c r="E446" s="10" t="s">
        <v>4683</v>
      </c>
      <c r="F446" s="10" t="s">
        <v>4683</v>
      </c>
      <c r="G446" s="10" t="s">
        <v>4686</v>
      </c>
      <c r="H446" s="14">
        <v>1</v>
      </c>
      <c r="I446" s="10" t="s">
        <v>4684</v>
      </c>
      <c r="J446" s="10" t="str">
        <f t="shared" si="2"/>
        <v>normalweight</v>
      </c>
      <c r="L446" s="30" t="e">
        <v>#N/A</v>
      </c>
    </row>
    <row r="447" spans="1:12" ht="15.75" customHeight="1" x14ac:dyDescent="0.3">
      <c r="A447" s="10" t="s">
        <v>3782</v>
      </c>
      <c r="B447" s="10">
        <v>29.925000000000001</v>
      </c>
      <c r="C447" s="10">
        <v>5.96</v>
      </c>
      <c r="D447" s="10" t="s">
        <v>4685</v>
      </c>
      <c r="E447" s="10" t="s">
        <v>4684</v>
      </c>
      <c r="F447" s="10" t="s">
        <v>4683</v>
      </c>
      <c r="G447" s="10" t="s">
        <v>4686</v>
      </c>
      <c r="H447" s="14">
        <v>1</v>
      </c>
      <c r="I447" s="10" t="s">
        <v>4684</v>
      </c>
      <c r="J447" s="10" t="str">
        <f t="shared" si="2"/>
        <v>normalweight</v>
      </c>
      <c r="L447" s="30" t="e">
        <v>#N/A</v>
      </c>
    </row>
    <row r="448" spans="1:12" ht="15.75" customHeight="1" x14ac:dyDescent="0.3">
      <c r="A448" s="10" t="s">
        <v>3780</v>
      </c>
      <c r="B448" s="10">
        <v>19.95</v>
      </c>
      <c r="C448" s="10">
        <v>4.29</v>
      </c>
      <c r="D448" s="10" t="s">
        <v>4685</v>
      </c>
      <c r="E448" s="10" t="s">
        <v>4684</v>
      </c>
      <c r="F448" s="10" t="s">
        <v>4683</v>
      </c>
      <c r="G448" s="10" t="s">
        <v>4683</v>
      </c>
      <c r="H448" s="14">
        <v>2</v>
      </c>
      <c r="I448" s="10" t="s">
        <v>4684</v>
      </c>
      <c r="J448" s="10" t="str">
        <f t="shared" si="2"/>
        <v>normalweight</v>
      </c>
      <c r="L448" s="30" t="e">
        <v>#N/A</v>
      </c>
    </row>
    <row r="449" spans="1:12" ht="15.75" customHeight="1" x14ac:dyDescent="0.3">
      <c r="A449" s="10" t="s">
        <v>3778</v>
      </c>
      <c r="B449" s="10">
        <v>24.225000000000001</v>
      </c>
      <c r="C449" s="10">
        <v>4.09</v>
      </c>
      <c r="D449" s="10" t="s">
        <v>4685</v>
      </c>
      <c r="E449" s="10" t="s">
        <v>4683</v>
      </c>
      <c r="F449" s="10" t="s">
        <v>4683</v>
      </c>
      <c r="G449" s="10" t="s">
        <v>4683</v>
      </c>
      <c r="H449" s="14">
        <v>0</v>
      </c>
      <c r="I449" s="10" t="s">
        <v>4683</v>
      </c>
      <c r="J449" s="10" t="str">
        <f t="shared" si="2"/>
        <v>normalweight</v>
      </c>
      <c r="L449" s="30" t="e">
        <v>#N/A</v>
      </c>
    </row>
    <row r="450" spans="1:12" ht="15.75" customHeight="1" x14ac:dyDescent="0.3">
      <c r="A450" s="10" t="s">
        <v>3776</v>
      </c>
      <c r="B450" s="10">
        <v>28.12</v>
      </c>
      <c r="C450" s="10">
        <v>4.88</v>
      </c>
      <c r="D450" s="10" t="s">
        <v>4685</v>
      </c>
      <c r="E450" s="10" t="s">
        <v>4683</v>
      </c>
      <c r="F450" s="10" t="s">
        <v>4683</v>
      </c>
      <c r="G450" s="10" t="s">
        <v>4683</v>
      </c>
      <c r="H450" s="14">
        <v>0</v>
      </c>
      <c r="I450" s="10" t="s">
        <v>4684</v>
      </c>
      <c r="J450" s="10" t="str">
        <f t="shared" si="2"/>
        <v>normalweight</v>
      </c>
      <c r="L450" s="30" t="e">
        <v>#N/A</v>
      </c>
    </row>
    <row r="451" spans="1:12" ht="15.75" customHeight="1" x14ac:dyDescent="0.3">
      <c r="A451" s="10" t="s">
        <v>3774</v>
      </c>
      <c r="B451" s="10">
        <v>23.21</v>
      </c>
      <c r="C451" s="10">
        <v>6.76</v>
      </c>
      <c r="D451" s="16" t="s">
        <v>4682</v>
      </c>
      <c r="E451" s="10" t="s">
        <v>4683</v>
      </c>
      <c r="F451" s="10" t="s">
        <v>4683</v>
      </c>
      <c r="G451" s="10" t="s">
        <v>4683</v>
      </c>
      <c r="H451" s="14">
        <v>0</v>
      </c>
      <c r="I451" s="10" t="s">
        <v>4684</v>
      </c>
      <c r="J451" s="10" t="str">
        <f t="shared" si="2"/>
        <v>normalweight</v>
      </c>
      <c r="L451" s="30" t="e">
        <v>#N/A</v>
      </c>
    </row>
    <row r="452" spans="1:12" ht="15.75" customHeight="1" x14ac:dyDescent="0.3">
      <c r="A452" s="10" t="s">
        <v>3772</v>
      </c>
      <c r="B452" s="10">
        <v>23.98</v>
      </c>
      <c r="C452" s="10">
        <v>10.67</v>
      </c>
      <c r="D452" s="16" t="s">
        <v>4682</v>
      </c>
      <c r="E452" s="10" t="s">
        <v>4683</v>
      </c>
      <c r="F452" s="10" t="s">
        <v>4683</v>
      </c>
      <c r="G452" s="10" t="s">
        <v>4683</v>
      </c>
      <c r="H452" s="14">
        <v>0</v>
      </c>
      <c r="I452" s="10" t="s">
        <v>4683</v>
      </c>
      <c r="J452" s="10" t="str">
        <f t="shared" si="2"/>
        <v>normalweight</v>
      </c>
      <c r="L452" s="30" t="e">
        <v>#N/A</v>
      </c>
    </row>
    <row r="453" spans="1:12" ht="15.75" customHeight="1" x14ac:dyDescent="0.3">
      <c r="A453" s="10" t="s">
        <v>3770</v>
      </c>
      <c r="B453" s="10">
        <v>30</v>
      </c>
      <c r="C453" s="10">
        <v>6.21</v>
      </c>
      <c r="D453" s="10" t="s">
        <v>4685</v>
      </c>
      <c r="E453" s="10" t="s">
        <v>4683</v>
      </c>
      <c r="F453" s="10" t="s">
        <v>4683</v>
      </c>
      <c r="G453" s="10" t="s">
        <v>4683</v>
      </c>
      <c r="H453" s="14">
        <v>0</v>
      </c>
      <c r="I453" s="10" t="s">
        <v>4684</v>
      </c>
      <c r="J453" s="10" t="str">
        <f t="shared" si="2"/>
        <v>normalweight</v>
      </c>
      <c r="L453" s="30" t="e">
        <v>#N/A</v>
      </c>
    </row>
    <row r="454" spans="1:12" ht="15.75" customHeight="1" x14ac:dyDescent="0.3">
      <c r="A454" s="10" t="s">
        <v>3768</v>
      </c>
      <c r="B454" s="10">
        <v>17.350000000000001</v>
      </c>
      <c r="C454" s="10">
        <v>5.03</v>
      </c>
      <c r="D454" s="10" t="s">
        <v>4685</v>
      </c>
      <c r="E454" s="10" t="s">
        <v>4684</v>
      </c>
      <c r="F454" s="10" t="s">
        <v>4683</v>
      </c>
      <c r="G454" s="10" t="s">
        <v>4683</v>
      </c>
      <c r="H454" s="14">
        <v>0</v>
      </c>
      <c r="I454" s="10" t="s">
        <v>4684</v>
      </c>
      <c r="J454" s="10" t="str">
        <f t="shared" si="2"/>
        <v>underweight</v>
      </c>
      <c r="L454" s="30" t="e">
        <v>#N/A</v>
      </c>
    </row>
    <row r="455" spans="1:12" ht="15.75" customHeight="1" x14ac:dyDescent="0.3">
      <c r="A455" s="10" t="s">
        <v>3766</v>
      </c>
      <c r="B455" s="10">
        <v>22.704999999999998</v>
      </c>
      <c r="C455" s="10">
        <v>5.27</v>
      </c>
      <c r="D455" s="10" t="s">
        <v>4685</v>
      </c>
      <c r="E455" s="10" t="s">
        <v>4683</v>
      </c>
      <c r="F455" s="10" t="s">
        <v>4683</v>
      </c>
      <c r="G455" s="10" t="s">
        <v>4683</v>
      </c>
      <c r="H455" s="14">
        <v>0</v>
      </c>
      <c r="I455" s="10" t="s">
        <v>4683</v>
      </c>
      <c r="J455" s="10" t="str">
        <f t="shared" si="2"/>
        <v>normalweight</v>
      </c>
      <c r="L455" s="30" t="e">
        <v>#N/A</v>
      </c>
    </row>
    <row r="456" spans="1:12" ht="15.75" customHeight="1" x14ac:dyDescent="0.3">
      <c r="A456" s="10" t="s">
        <v>3764</v>
      </c>
      <c r="B456" s="10">
        <v>25.41</v>
      </c>
      <c r="C456" s="10">
        <v>10.53</v>
      </c>
      <c r="D456" s="16" t="s">
        <v>4682</v>
      </c>
      <c r="E456" s="10" t="s">
        <v>4684</v>
      </c>
      <c r="F456" s="10" t="s">
        <v>4683</v>
      </c>
      <c r="G456" s="10" t="s">
        <v>4683</v>
      </c>
      <c r="H456" s="14">
        <v>1</v>
      </c>
      <c r="I456" s="10" t="s">
        <v>4684</v>
      </c>
      <c r="J456" s="10" t="str">
        <f t="shared" si="2"/>
        <v>normalweight</v>
      </c>
      <c r="L456" s="30" t="e">
        <v>#N/A</v>
      </c>
    </row>
    <row r="457" spans="1:12" ht="15.75" customHeight="1" x14ac:dyDescent="0.3">
      <c r="A457" s="10" t="s">
        <v>3762</v>
      </c>
      <c r="B457" s="10">
        <v>18.23</v>
      </c>
      <c r="C457" s="10">
        <v>5.78</v>
      </c>
      <c r="D457" s="10" t="s">
        <v>4685</v>
      </c>
      <c r="E457" s="10" t="s">
        <v>4683</v>
      </c>
      <c r="F457" s="10" t="s">
        <v>4683</v>
      </c>
      <c r="G457" s="10" t="s">
        <v>4686</v>
      </c>
      <c r="H457" s="14">
        <v>1</v>
      </c>
      <c r="I457" s="10" t="s">
        <v>4684</v>
      </c>
      <c r="J457" s="10" t="str">
        <f t="shared" si="2"/>
        <v>underweight</v>
      </c>
      <c r="L457" s="30" t="e">
        <v>#N/A</v>
      </c>
    </row>
    <row r="458" spans="1:12" ht="15.75" customHeight="1" x14ac:dyDescent="0.3">
      <c r="A458" s="10" t="s">
        <v>3760</v>
      </c>
      <c r="B458" s="10">
        <v>24.7</v>
      </c>
      <c r="C458" s="10">
        <v>4.3600000000000003</v>
      </c>
      <c r="D458" s="10" t="s">
        <v>4685</v>
      </c>
      <c r="E458" s="10" t="s">
        <v>4683</v>
      </c>
      <c r="F458" s="10" t="s">
        <v>4683</v>
      </c>
      <c r="G458" s="10" t="s">
        <v>4686</v>
      </c>
      <c r="H458" s="14">
        <v>1</v>
      </c>
      <c r="I458" s="10" t="s">
        <v>4684</v>
      </c>
      <c r="J458" s="10" t="str">
        <f t="shared" si="2"/>
        <v>normalweight</v>
      </c>
      <c r="L458" s="30" t="e">
        <v>#N/A</v>
      </c>
    </row>
    <row r="459" spans="1:12" ht="15.75" customHeight="1" x14ac:dyDescent="0.3">
      <c r="A459" s="10" t="s">
        <v>3758</v>
      </c>
      <c r="B459" s="10">
        <v>37.4</v>
      </c>
      <c r="C459" s="10">
        <v>9.7200000000000006</v>
      </c>
      <c r="D459" s="16" t="s">
        <v>4682</v>
      </c>
      <c r="E459" s="10" t="s">
        <v>4684</v>
      </c>
      <c r="F459" s="10" t="s">
        <v>4683</v>
      </c>
      <c r="G459" s="10" t="s">
        <v>4686</v>
      </c>
      <c r="H459" s="14">
        <v>1</v>
      </c>
      <c r="I459" s="10" t="s">
        <v>4683</v>
      </c>
      <c r="J459" s="10" t="str">
        <f t="shared" si="2"/>
        <v>normalweight</v>
      </c>
      <c r="L459" s="30" t="e">
        <v>#N/A</v>
      </c>
    </row>
    <row r="460" spans="1:12" ht="15.75" customHeight="1" x14ac:dyDescent="0.3">
      <c r="A460" s="10" t="s">
        <v>3756</v>
      </c>
      <c r="B460" s="10">
        <v>26.885000000000002</v>
      </c>
      <c r="C460" s="10">
        <v>5.18</v>
      </c>
      <c r="D460" s="10" t="s">
        <v>4685</v>
      </c>
      <c r="E460" s="10" t="s">
        <v>4683</v>
      </c>
      <c r="F460" s="10" t="s">
        <v>4683</v>
      </c>
      <c r="G460" s="10" t="s">
        <v>4686</v>
      </c>
      <c r="H460" s="14">
        <v>1</v>
      </c>
      <c r="I460" s="10" t="s">
        <v>4684</v>
      </c>
      <c r="J460" s="10" t="str">
        <f t="shared" si="2"/>
        <v>normalweight</v>
      </c>
      <c r="L460" s="30" t="e">
        <v>#N/A</v>
      </c>
    </row>
    <row r="461" spans="1:12" ht="15.75" customHeight="1" x14ac:dyDescent="0.3">
      <c r="A461" s="10" t="s">
        <v>3754</v>
      </c>
      <c r="B461" s="10">
        <v>25.27</v>
      </c>
      <c r="C461" s="10">
        <v>5.29</v>
      </c>
      <c r="D461" s="10" t="s">
        <v>4685</v>
      </c>
      <c r="E461" s="10" t="s">
        <v>4683</v>
      </c>
      <c r="F461" s="10" t="s">
        <v>4683</v>
      </c>
      <c r="G461" s="10" t="s">
        <v>4686</v>
      </c>
      <c r="H461" s="14">
        <v>1</v>
      </c>
      <c r="I461" s="10" t="s">
        <v>4684</v>
      </c>
      <c r="J461" s="10" t="str">
        <f t="shared" si="2"/>
        <v>normalweight</v>
      </c>
      <c r="L461" s="30" t="e">
        <v>#N/A</v>
      </c>
    </row>
    <row r="462" spans="1:12" ht="15.75" customHeight="1" x14ac:dyDescent="0.3">
      <c r="A462" s="10" t="s">
        <v>3752</v>
      </c>
      <c r="B462" s="10">
        <v>23.655000000000001</v>
      </c>
      <c r="C462" s="10">
        <v>4.8600000000000003</v>
      </c>
      <c r="D462" s="10" t="s">
        <v>4685</v>
      </c>
      <c r="E462" s="10" t="s">
        <v>4684</v>
      </c>
      <c r="F462" s="10" t="s">
        <v>4683</v>
      </c>
      <c r="G462" s="10" t="s">
        <v>4683</v>
      </c>
      <c r="H462" s="14">
        <v>0</v>
      </c>
      <c r="I462" s="10" t="s">
        <v>4684</v>
      </c>
      <c r="J462" s="10" t="str">
        <f t="shared" si="2"/>
        <v>normalweight</v>
      </c>
      <c r="L462" s="30" t="e">
        <v>#N/A</v>
      </c>
    </row>
    <row r="463" spans="1:12" ht="15.75" customHeight="1" x14ac:dyDescent="0.3">
      <c r="A463" s="10" t="s">
        <v>3750</v>
      </c>
      <c r="B463" s="10">
        <v>55.05</v>
      </c>
      <c r="C463" s="10">
        <v>7.66</v>
      </c>
      <c r="D463" s="16" t="s">
        <v>4682</v>
      </c>
      <c r="E463" s="10" t="s">
        <v>4683</v>
      </c>
      <c r="F463" s="10" t="s">
        <v>4683</v>
      </c>
      <c r="G463" s="10" t="s">
        <v>4683</v>
      </c>
      <c r="H463" s="14">
        <v>0</v>
      </c>
      <c r="I463" s="10" t="s">
        <v>4683</v>
      </c>
      <c r="J463" s="10" t="str">
        <f t="shared" si="2"/>
        <v>normalweight</v>
      </c>
      <c r="L463" s="30" t="e">
        <v>#N/A</v>
      </c>
    </row>
    <row r="464" spans="1:12" ht="15.75" customHeight="1" x14ac:dyDescent="0.3">
      <c r="A464" s="10" t="s">
        <v>3748</v>
      </c>
      <c r="B464" s="10">
        <v>24.89</v>
      </c>
      <c r="C464" s="10">
        <v>6.1</v>
      </c>
      <c r="D464" s="10" t="s">
        <v>4685</v>
      </c>
      <c r="E464" s="10" t="s">
        <v>4684</v>
      </c>
      <c r="F464" s="10" t="s">
        <v>4683</v>
      </c>
      <c r="G464" s="10" t="s">
        <v>4686</v>
      </c>
      <c r="H464" s="14">
        <v>1</v>
      </c>
      <c r="I464" s="10" t="s">
        <v>4684</v>
      </c>
      <c r="J464" s="10" t="str">
        <f t="shared" si="2"/>
        <v>normalweight</v>
      </c>
      <c r="L464" s="30" t="e">
        <v>#N/A</v>
      </c>
    </row>
    <row r="465" spans="1:12" ht="15.75" customHeight="1" x14ac:dyDescent="0.3">
      <c r="A465" s="10" t="s">
        <v>3746</v>
      </c>
      <c r="B465" s="10">
        <v>18.715</v>
      </c>
      <c r="C465" s="10">
        <v>4.4400000000000004</v>
      </c>
      <c r="D465" s="10" t="s">
        <v>4685</v>
      </c>
      <c r="E465" s="10" t="s">
        <v>4683</v>
      </c>
      <c r="F465" s="10" t="s">
        <v>4683</v>
      </c>
      <c r="G465" s="10" t="s">
        <v>4683</v>
      </c>
      <c r="H465" s="14">
        <v>0</v>
      </c>
      <c r="I465" s="10" t="s">
        <v>4683</v>
      </c>
      <c r="J465" s="10" t="str">
        <f t="shared" si="2"/>
        <v>normalweight</v>
      </c>
      <c r="L465" s="30" t="e">
        <v>#N/A</v>
      </c>
    </row>
    <row r="466" spans="1:12" ht="15.75" customHeight="1" x14ac:dyDescent="0.3">
      <c r="A466" s="10" t="s">
        <v>3744</v>
      </c>
      <c r="B466" s="10">
        <v>28.12</v>
      </c>
      <c r="C466" s="10">
        <v>6.15</v>
      </c>
      <c r="D466" s="10" t="s">
        <v>4685</v>
      </c>
      <c r="E466" s="10" t="s">
        <v>4683</v>
      </c>
      <c r="F466" s="10" t="s">
        <v>4683</v>
      </c>
      <c r="G466" s="10" t="s">
        <v>4683</v>
      </c>
      <c r="H466" s="14">
        <v>0</v>
      </c>
      <c r="I466" s="10" t="s">
        <v>4684</v>
      </c>
      <c r="J466" s="10" t="str">
        <f t="shared" si="2"/>
        <v>normalweight</v>
      </c>
      <c r="L466" s="30" t="e">
        <v>#N/A</v>
      </c>
    </row>
    <row r="467" spans="1:12" ht="15.75" customHeight="1" x14ac:dyDescent="0.3">
      <c r="A467" s="10" t="s">
        <v>3742</v>
      </c>
      <c r="B467" s="10">
        <v>26.6</v>
      </c>
      <c r="C467" s="10">
        <v>4.53</v>
      </c>
      <c r="D467" s="10" t="s">
        <v>4685</v>
      </c>
      <c r="E467" s="10" t="s">
        <v>4683</v>
      </c>
      <c r="F467" s="10" t="s">
        <v>4683</v>
      </c>
      <c r="G467" s="10" t="s">
        <v>4683</v>
      </c>
      <c r="H467" s="14">
        <v>0</v>
      </c>
      <c r="I467" s="10" t="s">
        <v>4684</v>
      </c>
      <c r="J467" s="10" t="str">
        <f t="shared" si="2"/>
        <v>normalweight</v>
      </c>
      <c r="L467" s="30" t="e">
        <v>#N/A</v>
      </c>
    </row>
    <row r="468" spans="1:12" ht="15.75" customHeight="1" x14ac:dyDescent="0.3">
      <c r="A468" s="10" t="s">
        <v>3740</v>
      </c>
      <c r="B468" s="10">
        <v>30.114999999999998</v>
      </c>
      <c r="C468" s="10">
        <v>5.48</v>
      </c>
      <c r="D468" s="10" t="s">
        <v>4685</v>
      </c>
      <c r="E468" s="10" t="s">
        <v>4683</v>
      </c>
      <c r="F468" s="10" t="s">
        <v>4684</v>
      </c>
      <c r="G468" s="10" t="s">
        <v>4683</v>
      </c>
      <c r="H468" s="14">
        <v>1</v>
      </c>
      <c r="I468" s="10" t="s">
        <v>4683</v>
      </c>
      <c r="J468" s="10" t="str">
        <f t="shared" si="2"/>
        <v>normalweight</v>
      </c>
      <c r="L468" s="30" t="e">
        <v>#N/A</v>
      </c>
    </row>
    <row r="469" spans="1:12" ht="15.75" customHeight="1" x14ac:dyDescent="0.3">
      <c r="A469" s="10" t="s">
        <v>3738</v>
      </c>
      <c r="B469" s="10">
        <v>24.605</v>
      </c>
      <c r="C469" s="10">
        <v>5.48</v>
      </c>
      <c r="D469" s="10" t="s">
        <v>4685</v>
      </c>
      <c r="E469" s="10" t="s">
        <v>4683</v>
      </c>
      <c r="F469" s="10" t="s">
        <v>4683</v>
      </c>
      <c r="G469" s="10" t="s">
        <v>4683</v>
      </c>
      <c r="H469" s="14">
        <v>0</v>
      </c>
      <c r="I469" s="10" t="s">
        <v>4684</v>
      </c>
      <c r="J469" s="10" t="str">
        <f t="shared" si="2"/>
        <v>normalweight</v>
      </c>
      <c r="L469" s="30" t="e">
        <v>#N/A</v>
      </c>
    </row>
    <row r="470" spans="1:12" ht="15.75" customHeight="1" x14ac:dyDescent="0.3">
      <c r="A470" s="10" t="s">
        <v>3736</v>
      </c>
      <c r="B470" s="10">
        <v>29.6</v>
      </c>
      <c r="C470" s="10">
        <v>8.1</v>
      </c>
      <c r="D470" s="16" t="s">
        <v>4682</v>
      </c>
      <c r="E470" s="10" t="s">
        <v>4683</v>
      </c>
      <c r="F470" s="10" t="s">
        <v>4683</v>
      </c>
      <c r="G470" s="10" t="s">
        <v>4683</v>
      </c>
      <c r="H470" s="14">
        <v>0</v>
      </c>
      <c r="I470" s="10" t="s">
        <v>4683</v>
      </c>
      <c r="J470" s="10" t="str">
        <f t="shared" si="2"/>
        <v>normalweight</v>
      </c>
      <c r="L470" s="30" t="e">
        <v>#N/A</v>
      </c>
    </row>
    <row r="471" spans="1:12" ht="15.75" customHeight="1" x14ac:dyDescent="0.3">
      <c r="A471" s="10" t="s">
        <v>3734</v>
      </c>
      <c r="B471" s="10">
        <v>24.42</v>
      </c>
      <c r="C471" s="10">
        <v>7.16</v>
      </c>
      <c r="D471" s="16" t="s">
        <v>4682</v>
      </c>
      <c r="E471" s="10" t="s">
        <v>4683</v>
      </c>
      <c r="F471" s="10" t="s">
        <v>4683</v>
      </c>
      <c r="G471" s="10" t="s">
        <v>4683</v>
      </c>
      <c r="H471" s="14">
        <v>0</v>
      </c>
      <c r="I471" s="10" t="s">
        <v>4684</v>
      </c>
      <c r="J471" s="10" t="str">
        <f t="shared" si="2"/>
        <v>normalweight</v>
      </c>
      <c r="L471" s="30" t="e">
        <v>#N/A</v>
      </c>
    </row>
    <row r="472" spans="1:12" ht="15.75" customHeight="1" x14ac:dyDescent="0.3">
      <c r="A472" s="10" t="s">
        <v>3732</v>
      </c>
      <c r="B472" s="10">
        <v>20.9</v>
      </c>
      <c r="C472" s="10">
        <v>4.55</v>
      </c>
      <c r="D472" s="10" t="s">
        <v>4685</v>
      </c>
      <c r="E472" s="10" t="s">
        <v>4684</v>
      </c>
      <c r="F472" s="10" t="s">
        <v>4683</v>
      </c>
      <c r="G472" s="10" t="s">
        <v>4686</v>
      </c>
      <c r="H472" s="14">
        <v>1</v>
      </c>
      <c r="I472" s="10" t="s">
        <v>4684</v>
      </c>
      <c r="J472" s="10" t="str">
        <f t="shared" si="2"/>
        <v>normalweight</v>
      </c>
      <c r="L472" s="30" t="e">
        <v>#N/A</v>
      </c>
    </row>
    <row r="473" spans="1:12" ht="15.75" customHeight="1" x14ac:dyDescent="0.3">
      <c r="A473" s="10" t="s">
        <v>3730</v>
      </c>
      <c r="B473" s="10">
        <v>22.895</v>
      </c>
      <c r="C473" s="10">
        <v>6.03</v>
      </c>
      <c r="D473" s="10" t="s">
        <v>4685</v>
      </c>
      <c r="E473" s="10" t="s">
        <v>4683</v>
      </c>
      <c r="F473" s="10" t="s">
        <v>4683</v>
      </c>
      <c r="G473" s="10" t="s">
        <v>4683</v>
      </c>
      <c r="H473" s="14">
        <v>0</v>
      </c>
      <c r="I473" s="10" t="s">
        <v>4684</v>
      </c>
      <c r="J473" s="10" t="str">
        <f t="shared" si="2"/>
        <v>normalweight</v>
      </c>
      <c r="L473" s="30" t="e">
        <v>#N/A</v>
      </c>
    </row>
    <row r="474" spans="1:12" ht="15.75" customHeight="1" x14ac:dyDescent="0.3">
      <c r="A474" s="10" t="s">
        <v>3728</v>
      </c>
      <c r="B474" s="10">
        <v>28.3</v>
      </c>
      <c r="C474" s="10">
        <v>5.47</v>
      </c>
      <c r="D474" s="10" t="s">
        <v>4685</v>
      </c>
      <c r="E474" s="10" t="s">
        <v>4684</v>
      </c>
      <c r="F474" s="10" t="s">
        <v>4683</v>
      </c>
      <c r="G474" s="10" t="s">
        <v>4686</v>
      </c>
      <c r="H474" s="14">
        <v>1</v>
      </c>
      <c r="I474" s="10" t="s">
        <v>4684</v>
      </c>
      <c r="J474" s="10" t="str">
        <f t="shared" si="2"/>
        <v>normalweight</v>
      </c>
      <c r="L474" s="30" t="e">
        <v>#N/A</v>
      </c>
    </row>
    <row r="475" spans="1:12" ht="15.75" customHeight="1" x14ac:dyDescent="0.3">
      <c r="A475" s="10" t="s">
        <v>3726</v>
      </c>
      <c r="B475" s="10">
        <v>54.3</v>
      </c>
      <c r="C475" s="10">
        <v>4.1500000000000004</v>
      </c>
      <c r="D475" s="10" t="s">
        <v>4685</v>
      </c>
      <c r="E475" s="10" t="s">
        <v>4684</v>
      </c>
      <c r="F475" s="10" t="s">
        <v>4683</v>
      </c>
      <c r="G475" s="10" t="s">
        <v>4683</v>
      </c>
      <c r="H475" s="14">
        <v>1</v>
      </c>
      <c r="I475" s="10" t="s">
        <v>4683</v>
      </c>
      <c r="J475" s="10" t="str">
        <f t="shared" si="2"/>
        <v>normalweight</v>
      </c>
      <c r="L475" s="30" t="e">
        <v>#N/A</v>
      </c>
    </row>
    <row r="476" spans="1:12" ht="15.75" customHeight="1" x14ac:dyDescent="0.3">
      <c r="A476" s="10" t="s">
        <v>3724</v>
      </c>
      <c r="B476" s="10">
        <v>33.344999999999999</v>
      </c>
      <c r="C476" s="10">
        <v>11.32</v>
      </c>
      <c r="D476" s="16" t="s">
        <v>4682</v>
      </c>
      <c r="E476" s="10" t="s">
        <v>4684</v>
      </c>
      <c r="F476" s="10" t="s">
        <v>4683</v>
      </c>
      <c r="G476" s="10" t="s">
        <v>4683</v>
      </c>
      <c r="H476" s="14">
        <v>1</v>
      </c>
      <c r="I476" s="10" t="s">
        <v>4683</v>
      </c>
      <c r="J476" s="10" t="str">
        <f t="shared" si="2"/>
        <v>normalweight</v>
      </c>
      <c r="L476" s="30" t="e">
        <v>#N/A</v>
      </c>
    </row>
    <row r="477" spans="1:12" ht="15.75" customHeight="1" x14ac:dyDescent="0.3">
      <c r="A477" s="10" t="s">
        <v>3722</v>
      </c>
      <c r="B477" s="10">
        <v>33</v>
      </c>
      <c r="C477" s="10">
        <v>9.51</v>
      </c>
      <c r="D477" s="16" t="s">
        <v>4682</v>
      </c>
      <c r="E477" s="10" t="s">
        <v>4684</v>
      </c>
      <c r="F477" s="10" t="s">
        <v>4683</v>
      </c>
      <c r="G477" s="10" t="s">
        <v>4683</v>
      </c>
      <c r="H477" s="14">
        <v>0</v>
      </c>
      <c r="I477" s="10" t="s">
        <v>4683</v>
      </c>
      <c r="J477" s="10" t="str">
        <f t="shared" si="2"/>
        <v>normalweight</v>
      </c>
      <c r="L477" s="30" t="e">
        <v>#N/A</v>
      </c>
    </row>
    <row r="478" spans="1:12" ht="15.75" customHeight="1" x14ac:dyDescent="0.3">
      <c r="A478" s="10" t="s">
        <v>3720</v>
      </c>
      <c r="B478" s="10">
        <v>28.024999999999999</v>
      </c>
      <c r="C478" s="10">
        <v>7.67</v>
      </c>
      <c r="D478" s="16" t="s">
        <v>4682</v>
      </c>
      <c r="E478" s="10" t="s">
        <v>4684</v>
      </c>
      <c r="F478" s="10" t="s">
        <v>4683</v>
      </c>
      <c r="G478" s="10" t="s">
        <v>4683</v>
      </c>
      <c r="H478" s="14">
        <v>1</v>
      </c>
      <c r="I478" s="10" t="s">
        <v>4684</v>
      </c>
      <c r="J478" s="10" t="str">
        <f t="shared" si="2"/>
        <v>normalweight</v>
      </c>
      <c r="L478" s="30" t="e">
        <v>#N/A</v>
      </c>
    </row>
    <row r="479" spans="1:12" ht="15.75" customHeight="1" x14ac:dyDescent="0.3">
      <c r="A479" s="10" t="s">
        <v>3718</v>
      </c>
      <c r="B479" s="10">
        <v>28.69</v>
      </c>
      <c r="C479" s="10">
        <v>6.23</v>
      </c>
      <c r="D479" s="10" t="s">
        <v>4685</v>
      </c>
      <c r="E479" s="10" t="s">
        <v>4683</v>
      </c>
      <c r="F479" s="10" t="s">
        <v>4683</v>
      </c>
      <c r="G479" s="10" t="s">
        <v>4683</v>
      </c>
      <c r="H479" s="14">
        <v>1</v>
      </c>
      <c r="I479" s="10" t="s">
        <v>4684</v>
      </c>
      <c r="J479" s="10" t="str">
        <f t="shared" si="2"/>
        <v>normalweight</v>
      </c>
      <c r="L479" s="30" t="e">
        <v>#N/A</v>
      </c>
    </row>
    <row r="480" spans="1:12" ht="15.75" customHeight="1" x14ac:dyDescent="0.3">
      <c r="A480" s="10" t="s">
        <v>3716</v>
      </c>
      <c r="B480" s="10">
        <v>40.28</v>
      </c>
      <c r="C480" s="10">
        <v>8.9</v>
      </c>
      <c r="D480" s="16" t="s">
        <v>4682</v>
      </c>
      <c r="E480" s="10" t="s">
        <v>4683</v>
      </c>
      <c r="F480" s="10" t="s">
        <v>4683</v>
      </c>
      <c r="G480" s="10" t="s">
        <v>4683</v>
      </c>
      <c r="H480" s="14">
        <v>0</v>
      </c>
      <c r="I480" s="10" t="s">
        <v>4683</v>
      </c>
      <c r="J480" s="10" t="str">
        <f t="shared" si="2"/>
        <v>normalweight</v>
      </c>
      <c r="L480" s="30" t="e">
        <v>#N/A</v>
      </c>
    </row>
    <row r="481" spans="1:12" ht="15.75" customHeight="1" x14ac:dyDescent="0.3">
      <c r="A481" s="10" t="s">
        <v>3714</v>
      </c>
      <c r="B481" s="10">
        <v>37.299999999999997</v>
      </c>
      <c r="C481" s="10">
        <v>7.79</v>
      </c>
      <c r="D481" s="16" t="s">
        <v>4682</v>
      </c>
      <c r="E481" s="10" t="s">
        <v>4684</v>
      </c>
      <c r="F481" s="10" t="s">
        <v>4683</v>
      </c>
      <c r="G481" s="10" t="s">
        <v>4683</v>
      </c>
      <c r="H481" s="14">
        <v>0</v>
      </c>
      <c r="I481" s="10" t="s">
        <v>4683</v>
      </c>
      <c r="J481" s="10" t="str">
        <f t="shared" si="2"/>
        <v>normalweight</v>
      </c>
      <c r="L481" s="30" t="e">
        <v>#N/A</v>
      </c>
    </row>
    <row r="482" spans="1:12" ht="15.75" customHeight="1" x14ac:dyDescent="0.3">
      <c r="A482" s="10" t="s">
        <v>3712</v>
      </c>
      <c r="B482" s="10">
        <v>54.47</v>
      </c>
      <c r="C482" s="10">
        <v>4.49</v>
      </c>
      <c r="D482" s="10" t="s">
        <v>4685</v>
      </c>
      <c r="E482" s="10" t="s">
        <v>4684</v>
      </c>
      <c r="F482" s="10" t="s">
        <v>4683</v>
      </c>
      <c r="G482" s="10" t="s">
        <v>4683</v>
      </c>
      <c r="H482" s="14">
        <v>2</v>
      </c>
      <c r="I482" s="10" t="s">
        <v>4683</v>
      </c>
      <c r="J482" s="10" t="str">
        <f t="shared" si="2"/>
        <v>normalweight</v>
      </c>
      <c r="L482" s="30" t="e">
        <v>#N/A</v>
      </c>
    </row>
    <row r="483" spans="1:12" ht="15.75" customHeight="1" x14ac:dyDescent="0.3">
      <c r="A483" s="10" t="s">
        <v>3710</v>
      </c>
      <c r="B483" s="10">
        <v>38.06</v>
      </c>
      <c r="C483" s="10">
        <v>5.24</v>
      </c>
      <c r="D483" s="10" t="s">
        <v>4685</v>
      </c>
      <c r="E483" s="10" t="s">
        <v>4684</v>
      </c>
      <c r="F483" s="10" t="s">
        <v>4683</v>
      </c>
      <c r="G483" s="10" t="s">
        <v>4686</v>
      </c>
      <c r="H483" s="14">
        <v>1</v>
      </c>
      <c r="I483" s="10" t="s">
        <v>4683</v>
      </c>
      <c r="J483" s="10" t="str">
        <f t="shared" si="2"/>
        <v>normalweight</v>
      </c>
      <c r="L483" s="30" t="e">
        <v>#N/A</v>
      </c>
    </row>
    <row r="484" spans="1:12" ht="15.75" customHeight="1" x14ac:dyDescent="0.3">
      <c r="A484" s="10" t="s">
        <v>3708</v>
      </c>
      <c r="B484" s="10">
        <v>51.47</v>
      </c>
      <c r="C484" s="10">
        <v>9.6</v>
      </c>
      <c r="D484" s="16" t="s">
        <v>4682</v>
      </c>
      <c r="E484" s="10" t="s">
        <v>4683</v>
      </c>
      <c r="F484" s="10" t="s">
        <v>4683</v>
      </c>
      <c r="G484" s="10" t="s">
        <v>4683</v>
      </c>
      <c r="H484" s="14">
        <v>0</v>
      </c>
      <c r="I484" s="10" t="s">
        <v>4683</v>
      </c>
      <c r="J484" s="10" t="str">
        <f t="shared" si="2"/>
        <v>normalweight</v>
      </c>
      <c r="L484" s="30" t="e">
        <v>#N/A</v>
      </c>
    </row>
    <row r="485" spans="1:12" ht="15.75" customHeight="1" x14ac:dyDescent="0.3">
      <c r="A485" s="10" t="s">
        <v>3706</v>
      </c>
      <c r="B485" s="10">
        <v>29.8</v>
      </c>
      <c r="C485" s="10">
        <v>5.78</v>
      </c>
      <c r="D485" s="10" t="s">
        <v>4685</v>
      </c>
      <c r="E485" s="10" t="s">
        <v>4684</v>
      </c>
      <c r="F485" s="10" t="s">
        <v>4683</v>
      </c>
      <c r="G485" s="10" t="s">
        <v>4683</v>
      </c>
      <c r="H485" s="14">
        <v>0</v>
      </c>
      <c r="I485" s="10" t="s">
        <v>4683</v>
      </c>
      <c r="J485" s="10" t="str">
        <f t="shared" si="2"/>
        <v>normalweight</v>
      </c>
      <c r="L485" s="30" t="e">
        <v>#N/A</v>
      </c>
    </row>
    <row r="486" spans="1:12" ht="15.75" customHeight="1" x14ac:dyDescent="0.3">
      <c r="A486" s="10" t="s">
        <v>3704</v>
      </c>
      <c r="B486" s="10">
        <v>49.77</v>
      </c>
      <c r="C486" s="10">
        <v>7.02</v>
      </c>
      <c r="D486" s="16" t="s">
        <v>4682</v>
      </c>
      <c r="E486" s="10" t="s">
        <v>4683</v>
      </c>
      <c r="F486" s="10" t="s">
        <v>4683</v>
      </c>
      <c r="G486" s="10" t="s">
        <v>4683</v>
      </c>
      <c r="H486" s="14">
        <v>0</v>
      </c>
      <c r="I486" s="10" t="s">
        <v>4683</v>
      </c>
      <c r="J486" s="10" t="str">
        <f t="shared" si="2"/>
        <v>normalweight</v>
      </c>
      <c r="L486" s="30" t="e">
        <v>#N/A</v>
      </c>
    </row>
    <row r="487" spans="1:12" ht="15.75" customHeight="1" x14ac:dyDescent="0.3">
      <c r="A487" s="10" t="s">
        <v>3702</v>
      </c>
      <c r="B487" s="10">
        <v>25.555</v>
      </c>
      <c r="C487" s="10">
        <v>4.09</v>
      </c>
      <c r="D487" s="10" t="s">
        <v>4685</v>
      </c>
      <c r="E487" s="10" t="s">
        <v>4684</v>
      </c>
      <c r="F487" s="10" t="s">
        <v>4683</v>
      </c>
      <c r="G487" s="10" t="s">
        <v>4683</v>
      </c>
      <c r="H487" s="14">
        <v>0</v>
      </c>
      <c r="I487" s="10" t="s">
        <v>4684</v>
      </c>
      <c r="J487" s="10" t="str">
        <f t="shared" si="2"/>
        <v>normalweight</v>
      </c>
      <c r="L487" s="30" t="e">
        <v>#N/A</v>
      </c>
    </row>
    <row r="488" spans="1:12" ht="15.75" customHeight="1" x14ac:dyDescent="0.3">
      <c r="A488" s="10" t="s">
        <v>3700</v>
      </c>
      <c r="B488" s="10">
        <v>29.64</v>
      </c>
      <c r="C488" s="10">
        <v>4.93</v>
      </c>
      <c r="D488" s="10" t="s">
        <v>4685</v>
      </c>
      <c r="E488" s="10" t="s">
        <v>4683</v>
      </c>
      <c r="F488" s="10" t="s">
        <v>4683</v>
      </c>
      <c r="G488" s="10" t="s">
        <v>4686</v>
      </c>
      <c r="H488" s="14">
        <v>1</v>
      </c>
      <c r="I488" s="10" t="s">
        <v>4683</v>
      </c>
      <c r="J488" s="10" t="str">
        <f t="shared" si="2"/>
        <v>normalweight</v>
      </c>
      <c r="L488" s="30" t="e">
        <v>#N/A</v>
      </c>
    </row>
    <row r="489" spans="1:12" ht="15.75" customHeight="1" x14ac:dyDescent="0.3">
      <c r="A489" s="10" t="s">
        <v>3698</v>
      </c>
      <c r="B489" s="10">
        <v>53.93</v>
      </c>
      <c r="C489" s="10">
        <v>5.34</v>
      </c>
      <c r="D489" s="10" t="s">
        <v>4685</v>
      </c>
      <c r="E489" s="10" t="s">
        <v>4684</v>
      </c>
      <c r="F489" s="10" t="s">
        <v>4683</v>
      </c>
      <c r="G489" s="10" t="s">
        <v>4683</v>
      </c>
      <c r="H489" s="14">
        <v>2</v>
      </c>
      <c r="I489" s="10" t="s">
        <v>4683</v>
      </c>
      <c r="J489" s="10" t="str">
        <f t="shared" si="2"/>
        <v>normalweight</v>
      </c>
      <c r="L489" s="30" t="e">
        <v>#N/A</v>
      </c>
    </row>
    <row r="490" spans="1:12" ht="15.75" customHeight="1" x14ac:dyDescent="0.3">
      <c r="A490" s="10" t="s">
        <v>3696</v>
      </c>
      <c r="B490" s="10">
        <v>28.024999999999999</v>
      </c>
      <c r="C490" s="10">
        <v>5.65</v>
      </c>
      <c r="D490" s="10" t="s">
        <v>4685</v>
      </c>
      <c r="E490" s="10" t="s">
        <v>4683</v>
      </c>
      <c r="F490" s="10" t="s">
        <v>4683</v>
      </c>
      <c r="G490" s="10" t="s">
        <v>4683</v>
      </c>
      <c r="H490" s="14">
        <v>1</v>
      </c>
      <c r="I490" s="10" t="s">
        <v>4684</v>
      </c>
      <c r="J490" s="10" t="str">
        <f t="shared" si="2"/>
        <v>normalweight</v>
      </c>
      <c r="L490" s="30" t="e">
        <v>#N/A</v>
      </c>
    </row>
    <row r="491" spans="1:12" ht="15.75" customHeight="1" x14ac:dyDescent="0.3">
      <c r="A491" s="10" t="s">
        <v>3694</v>
      </c>
      <c r="B491" s="10">
        <v>27.5</v>
      </c>
      <c r="C491" s="10">
        <v>4.49</v>
      </c>
      <c r="D491" s="10" t="s">
        <v>4685</v>
      </c>
      <c r="E491" s="10" t="s">
        <v>4683</v>
      </c>
      <c r="F491" s="10" t="s">
        <v>4683</v>
      </c>
      <c r="G491" s="10" t="s">
        <v>4683</v>
      </c>
      <c r="H491" s="14">
        <v>0</v>
      </c>
      <c r="I491" s="10" t="s">
        <v>4683</v>
      </c>
      <c r="J491" s="10" t="str">
        <f t="shared" si="2"/>
        <v>normalweight</v>
      </c>
      <c r="L491" s="30" t="e">
        <v>#N/A</v>
      </c>
    </row>
    <row r="492" spans="1:12" ht="15.75" customHeight="1" x14ac:dyDescent="0.3">
      <c r="A492" s="10" t="s">
        <v>3692</v>
      </c>
      <c r="B492" s="10">
        <v>21.8</v>
      </c>
      <c r="C492" s="10">
        <v>10.55</v>
      </c>
      <c r="D492" s="16" t="s">
        <v>4682</v>
      </c>
      <c r="E492" s="10" t="s">
        <v>4683</v>
      </c>
      <c r="F492" s="10" t="s">
        <v>4683</v>
      </c>
      <c r="G492" s="10" t="s">
        <v>4683</v>
      </c>
      <c r="H492" s="14">
        <v>0</v>
      </c>
      <c r="I492" s="10" t="s">
        <v>4684</v>
      </c>
      <c r="J492" s="10" t="str">
        <f t="shared" si="2"/>
        <v>normalweight</v>
      </c>
      <c r="L492" s="30" t="e">
        <v>#N/A</v>
      </c>
    </row>
    <row r="493" spans="1:12" ht="15.75" customHeight="1" x14ac:dyDescent="0.3">
      <c r="A493" s="10" t="s">
        <v>3690</v>
      </c>
      <c r="B493" s="10">
        <v>26.41</v>
      </c>
      <c r="C493" s="10">
        <v>4.92</v>
      </c>
      <c r="D493" s="10" t="s">
        <v>4685</v>
      </c>
      <c r="E493" s="10" t="s">
        <v>4684</v>
      </c>
      <c r="F493" s="10" t="s">
        <v>4683</v>
      </c>
      <c r="G493" s="10" t="s">
        <v>4686</v>
      </c>
      <c r="H493" s="14">
        <v>1</v>
      </c>
      <c r="I493" s="10" t="s">
        <v>4684</v>
      </c>
      <c r="J493" s="10" t="str">
        <f t="shared" si="2"/>
        <v>normalweight</v>
      </c>
      <c r="L493" s="30" t="e">
        <v>#N/A</v>
      </c>
    </row>
    <row r="494" spans="1:12" ht="15.75" customHeight="1" x14ac:dyDescent="0.3">
      <c r="A494" s="10" t="s">
        <v>3688</v>
      </c>
      <c r="B494" s="10">
        <v>27.835000000000001</v>
      </c>
      <c r="C494" s="10">
        <v>5.9</v>
      </c>
      <c r="D494" s="10" t="s">
        <v>4685</v>
      </c>
      <c r="E494" s="10" t="s">
        <v>4684</v>
      </c>
      <c r="F494" s="10" t="s">
        <v>4683</v>
      </c>
      <c r="G494" s="10" t="s">
        <v>4683</v>
      </c>
      <c r="H494" s="14">
        <v>1</v>
      </c>
      <c r="I494" s="10" t="s">
        <v>4684</v>
      </c>
      <c r="J494" s="10" t="str">
        <f t="shared" si="2"/>
        <v>normalweight</v>
      </c>
      <c r="L494" s="30" t="e">
        <v>#N/A</v>
      </c>
    </row>
    <row r="495" spans="1:12" ht="15.75" customHeight="1" x14ac:dyDescent="0.3">
      <c r="A495" s="10" t="s">
        <v>3686</v>
      </c>
      <c r="B495" s="10">
        <v>51.74</v>
      </c>
      <c r="C495" s="10">
        <v>4.9800000000000004</v>
      </c>
      <c r="D495" s="10" t="s">
        <v>4685</v>
      </c>
      <c r="E495" s="10" t="s">
        <v>4684</v>
      </c>
      <c r="F495" s="10" t="s">
        <v>4683</v>
      </c>
      <c r="G495" s="10" t="s">
        <v>4683</v>
      </c>
      <c r="H495" s="14">
        <v>2</v>
      </c>
      <c r="I495" s="10" t="s">
        <v>4683</v>
      </c>
      <c r="J495" s="10" t="str">
        <f t="shared" si="2"/>
        <v>normalweight</v>
      </c>
      <c r="L495" s="30" t="e">
        <v>#N/A</v>
      </c>
    </row>
    <row r="496" spans="1:12" ht="15.75" customHeight="1" x14ac:dyDescent="0.3">
      <c r="A496" s="10" t="s">
        <v>3684</v>
      </c>
      <c r="B496" s="10">
        <v>23.37</v>
      </c>
      <c r="C496" s="10">
        <v>5.8</v>
      </c>
      <c r="D496" s="10" t="s">
        <v>4685</v>
      </c>
      <c r="E496" s="10" t="s">
        <v>4683</v>
      </c>
      <c r="F496" s="10" t="s">
        <v>4683</v>
      </c>
      <c r="G496" s="10" t="s">
        <v>4683</v>
      </c>
      <c r="H496" s="14">
        <v>0</v>
      </c>
      <c r="I496" s="10" t="s">
        <v>4684</v>
      </c>
      <c r="J496" s="10" t="str">
        <f t="shared" si="2"/>
        <v>normalweight</v>
      </c>
      <c r="L496" s="30" t="e">
        <v>#N/A</v>
      </c>
    </row>
    <row r="497" spans="1:12" ht="15.75" customHeight="1" x14ac:dyDescent="0.3">
      <c r="A497" s="10" t="s">
        <v>3682</v>
      </c>
      <c r="B497" s="10">
        <v>29.7</v>
      </c>
      <c r="C497" s="10">
        <v>6.21</v>
      </c>
      <c r="D497" s="10" t="s">
        <v>4685</v>
      </c>
      <c r="E497" s="10" t="s">
        <v>4684</v>
      </c>
      <c r="F497" s="10" t="s">
        <v>4683</v>
      </c>
      <c r="G497" s="10" t="s">
        <v>4686</v>
      </c>
      <c r="H497" s="14">
        <v>1</v>
      </c>
      <c r="I497" s="10" t="s">
        <v>4684</v>
      </c>
      <c r="J497" s="10" t="str">
        <f t="shared" si="2"/>
        <v>normalweight</v>
      </c>
      <c r="L497" s="30" t="e">
        <v>#N/A</v>
      </c>
    </row>
    <row r="498" spans="1:12" ht="15.75" customHeight="1" x14ac:dyDescent="0.3">
      <c r="A498" s="10" t="s">
        <v>3680</v>
      </c>
      <c r="B498" s="10">
        <v>20.045000000000002</v>
      </c>
      <c r="C498" s="10">
        <v>6.17</v>
      </c>
      <c r="D498" s="10" t="s">
        <v>4685</v>
      </c>
      <c r="E498" s="10" t="s">
        <v>4683</v>
      </c>
      <c r="F498" s="10" t="s">
        <v>4683</v>
      </c>
      <c r="G498" s="10" t="s">
        <v>4686</v>
      </c>
      <c r="H498" s="14">
        <v>1</v>
      </c>
      <c r="I498" s="10" t="s">
        <v>4684</v>
      </c>
      <c r="J498" s="10" t="str">
        <f t="shared" si="2"/>
        <v>normalweight</v>
      </c>
      <c r="L498" s="30" t="e">
        <v>#N/A</v>
      </c>
    </row>
    <row r="499" spans="1:12" ht="15.75" customHeight="1" x14ac:dyDescent="0.3">
      <c r="A499" s="10" t="s">
        <v>3678</v>
      </c>
      <c r="B499" s="10">
        <v>27.83</v>
      </c>
      <c r="C499" s="10">
        <v>5.36</v>
      </c>
      <c r="D499" s="10" t="s">
        <v>4685</v>
      </c>
      <c r="E499" s="10" t="s">
        <v>4683</v>
      </c>
      <c r="F499" s="10" t="s">
        <v>4683</v>
      </c>
      <c r="G499" s="10" t="s">
        <v>4683</v>
      </c>
      <c r="H499" s="14">
        <v>2</v>
      </c>
      <c r="I499" s="10" t="s">
        <v>4683</v>
      </c>
      <c r="J499" s="10" t="str">
        <f t="shared" si="2"/>
        <v>normalweight</v>
      </c>
      <c r="L499" s="30" t="e">
        <v>#N/A</v>
      </c>
    </row>
    <row r="500" spans="1:12" ht="15.75" customHeight="1" x14ac:dyDescent="0.3">
      <c r="A500" s="10" t="s">
        <v>3676</v>
      </c>
      <c r="B500" s="10">
        <v>28.93</v>
      </c>
      <c r="C500" s="10">
        <v>5.2</v>
      </c>
      <c r="D500" s="10" t="s">
        <v>4685</v>
      </c>
      <c r="E500" s="10" t="s">
        <v>4683</v>
      </c>
      <c r="F500" s="10" t="s">
        <v>4683</v>
      </c>
      <c r="G500" s="10" t="s">
        <v>4683</v>
      </c>
      <c r="H500" s="14">
        <v>0</v>
      </c>
      <c r="I500" s="10" t="s">
        <v>4684</v>
      </c>
      <c r="J500" s="10" t="str">
        <f t="shared" si="2"/>
        <v>normalweight</v>
      </c>
      <c r="L500" s="30" t="e">
        <v>#N/A</v>
      </c>
    </row>
    <row r="501" spans="1:12" ht="15.75" customHeight="1" x14ac:dyDescent="0.3">
      <c r="A501" s="10" t="s">
        <v>3674</v>
      </c>
      <c r="B501" s="10">
        <v>33.82</v>
      </c>
      <c r="C501" s="10">
        <v>5.42</v>
      </c>
      <c r="D501" s="10" t="s">
        <v>4685</v>
      </c>
      <c r="E501" s="10" t="s">
        <v>4683</v>
      </c>
      <c r="F501" s="10" t="s">
        <v>4683</v>
      </c>
      <c r="G501" s="10" t="s">
        <v>4683</v>
      </c>
      <c r="H501" s="14">
        <v>0</v>
      </c>
      <c r="I501" s="10" t="s">
        <v>4683</v>
      </c>
      <c r="J501" s="10" t="str">
        <f t="shared" si="2"/>
        <v>normalweight</v>
      </c>
      <c r="L501" s="30" t="e">
        <v>#N/A</v>
      </c>
    </row>
    <row r="502" spans="1:12" ht="15.75" customHeight="1" x14ac:dyDescent="0.3">
      <c r="A502" s="10" t="s">
        <v>3672</v>
      </c>
      <c r="B502" s="10">
        <v>20.234999999999999</v>
      </c>
      <c r="C502" s="10">
        <v>6.84</v>
      </c>
      <c r="D502" s="16" t="s">
        <v>4682</v>
      </c>
      <c r="E502" s="10" t="s">
        <v>4683</v>
      </c>
      <c r="F502" s="10" t="s">
        <v>4683</v>
      </c>
      <c r="G502" s="10" t="s">
        <v>4683</v>
      </c>
      <c r="H502" s="14">
        <v>0</v>
      </c>
      <c r="I502" s="10" t="s">
        <v>4684</v>
      </c>
      <c r="J502" s="10" t="str">
        <f t="shared" si="2"/>
        <v>normalweight</v>
      </c>
      <c r="L502" s="30" t="e">
        <v>#N/A</v>
      </c>
    </row>
    <row r="503" spans="1:12" ht="15.75" customHeight="1" x14ac:dyDescent="0.3">
      <c r="A503" s="10" t="s">
        <v>3670</v>
      </c>
      <c r="B503" s="10">
        <v>49.2</v>
      </c>
      <c r="C503" s="10">
        <v>10.9</v>
      </c>
      <c r="D503" s="16" t="s">
        <v>4682</v>
      </c>
      <c r="E503" s="10" t="s">
        <v>4684</v>
      </c>
      <c r="F503" s="10" t="s">
        <v>4683</v>
      </c>
      <c r="G503" s="10" t="s">
        <v>4686</v>
      </c>
      <c r="H503" s="14">
        <v>1</v>
      </c>
      <c r="I503" s="10" t="s">
        <v>4683</v>
      </c>
      <c r="J503" s="10" t="str">
        <f t="shared" si="2"/>
        <v>normalweight</v>
      </c>
      <c r="L503" s="30" t="e">
        <v>#N/A</v>
      </c>
    </row>
    <row r="504" spans="1:12" ht="15.75" customHeight="1" x14ac:dyDescent="0.3">
      <c r="A504" s="10" t="s">
        <v>3668</v>
      </c>
      <c r="B504" s="10">
        <v>26.4</v>
      </c>
      <c r="C504" s="10">
        <v>4.87</v>
      </c>
      <c r="D504" s="10" t="s">
        <v>4685</v>
      </c>
      <c r="E504" s="10" t="s">
        <v>4684</v>
      </c>
      <c r="F504" s="10" t="s">
        <v>4683</v>
      </c>
      <c r="G504" s="10" t="s">
        <v>4683</v>
      </c>
      <c r="H504" s="14">
        <v>0</v>
      </c>
      <c r="I504" s="10" t="s">
        <v>4684</v>
      </c>
      <c r="J504" s="10" t="str">
        <f t="shared" si="2"/>
        <v>normalweight</v>
      </c>
      <c r="L504" s="30" t="e">
        <v>#N/A</v>
      </c>
    </row>
    <row r="505" spans="1:12" ht="15.75" customHeight="1" x14ac:dyDescent="0.3">
      <c r="A505" s="10" t="s">
        <v>3666</v>
      </c>
      <c r="B505" s="10">
        <v>28.38</v>
      </c>
      <c r="C505" s="10">
        <v>6.07</v>
      </c>
      <c r="D505" s="10" t="s">
        <v>4685</v>
      </c>
      <c r="E505" s="10" t="s">
        <v>4683</v>
      </c>
      <c r="F505" s="10" t="s">
        <v>4683</v>
      </c>
      <c r="G505" s="10" t="s">
        <v>4683</v>
      </c>
      <c r="H505" s="14">
        <v>1</v>
      </c>
      <c r="I505" s="10" t="s">
        <v>4684</v>
      </c>
      <c r="J505" s="10" t="str">
        <f t="shared" si="2"/>
        <v>normalweight</v>
      </c>
      <c r="L505" s="30" t="e">
        <v>#N/A</v>
      </c>
    </row>
    <row r="506" spans="1:12" ht="15.75" customHeight="1" x14ac:dyDescent="0.3">
      <c r="A506" s="10" t="s">
        <v>3664</v>
      </c>
      <c r="B506" s="10">
        <v>24.64</v>
      </c>
      <c r="C506" s="10">
        <v>4.33</v>
      </c>
      <c r="D506" s="10" t="s">
        <v>4685</v>
      </c>
      <c r="E506" s="10" t="s">
        <v>4683</v>
      </c>
      <c r="F506" s="10" t="s">
        <v>4683</v>
      </c>
      <c r="G506" s="10" t="s">
        <v>4683</v>
      </c>
      <c r="H506" s="14">
        <v>0</v>
      </c>
      <c r="I506" s="10" t="s">
        <v>4684</v>
      </c>
      <c r="J506" s="10" t="str">
        <f t="shared" si="2"/>
        <v>normalweight</v>
      </c>
      <c r="L506" s="30" t="e">
        <v>#N/A</v>
      </c>
    </row>
    <row r="507" spans="1:12" ht="15.75" customHeight="1" x14ac:dyDescent="0.3">
      <c r="A507" s="10" t="s">
        <v>3662</v>
      </c>
      <c r="B507" s="10">
        <v>39.71</v>
      </c>
      <c r="C507" s="10">
        <v>5.83</v>
      </c>
      <c r="D507" s="10" t="s">
        <v>4685</v>
      </c>
      <c r="E507" s="10" t="s">
        <v>4683</v>
      </c>
      <c r="F507" s="10" t="s">
        <v>4683</v>
      </c>
      <c r="G507" s="10" t="s">
        <v>4683</v>
      </c>
      <c r="H507" s="14">
        <v>1</v>
      </c>
      <c r="I507" s="10" t="s">
        <v>4683</v>
      </c>
      <c r="J507" s="10" t="str">
        <f t="shared" si="2"/>
        <v>normalweight</v>
      </c>
      <c r="L507" s="30" t="e">
        <v>#N/A</v>
      </c>
    </row>
    <row r="508" spans="1:12" ht="15.75" customHeight="1" x14ac:dyDescent="0.3">
      <c r="A508" s="10" t="s">
        <v>3660</v>
      </c>
      <c r="B508" s="10">
        <v>22.22</v>
      </c>
      <c r="C508" s="10">
        <v>5.5</v>
      </c>
      <c r="D508" s="10" t="s">
        <v>4685</v>
      </c>
      <c r="E508" s="10" t="s">
        <v>4683</v>
      </c>
      <c r="F508" s="10" t="s">
        <v>4683</v>
      </c>
      <c r="G508" s="10" t="s">
        <v>4683</v>
      </c>
      <c r="H508" s="14">
        <v>0</v>
      </c>
      <c r="I508" s="10" t="s">
        <v>4684</v>
      </c>
      <c r="J508" s="10" t="str">
        <f t="shared" si="2"/>
        <v>normalweight</v>
      </c>
      <c r="L508" s="30" t="e">
        <v>#N/A</v>
      </c>
    </row>
    <row r="509" spans="1:12" ht="15.75" customHeight="1" x14ac:dyDescent="0.3">
      <c r="A509" s="10" t="s">
        <v>3658</v>
      </c>
      <c r="B509" s="10">
        <v>33.344999999999999</v>
      </c>
      <c r="C509" s="10">
        <v>4.79</v>
      </c>
      <c r="D509" s="10" t="s">
        <v>4685</v>
      </c>
      <c r="E509" s="10" t="s">
        <v>4683</v>
      </c>
      <c r="F509" s="10" t="s">
        <v>4683</v>
      </c>
      <c r="G509" s="10" t="s">
        <v>4686</v>
      </c>
      <c r="H509" s="14">
        <v>1</v>
      </c>
      <c r="I509" s="10" t="s">
        <v>4683</v>
      </c>
      <c r="J509" s="10" t="str">
        <f t="shared" si="2"/>
        <v>normalweight</v>
      </c>
      <c r="L509" s="30" t="e">
        <v>#N/A</v>
      </c>
    </row>
    <row r="510" spans="1:12" ht="15.75" customHeight="1" x14ac:dyDescent="0.3">
      <c r="A510" s="10" t="s">
        <v>3656</v>
      </c>
      <c r="B510" s="10">
        <v>24.42</v>
      </c>
      <c r="C510" s="10">
        <v>5.81</v>
      </c>
      <c r="D510" s="10" t="s">
        <v>4685</v>
      </c>
      <c r="E510" s="10" t="s">
        <v>4683</v>
      </c>
      <c r="F510" s="10" t="s">
        <v>4683</v>
      </c>
      <c r="G510" s="10" t="s">
        <v>4683</v>
      </c>
      <c r="H510" s="14">
        <v>1</v>
      </c>
      <c r="I510" s="10" t="s">
        <v>4684</v>
      </c>
      <c r="J510" s="10" t="str">
        <f t="shared" si="2"/>
        <v>normalweight</v>
      </c>
      <c r="L510" s="30" t="e">
        <v>#N/A</v>
      </c>
    </row>
    <row r="511" spans="1:12" ht="15.75" customHeight="1" x14ac:dyDescent="0.3">
      <c r="A511" s="10" t="s">
        <v>3654</v>
      </c>
      <c r="B511" s="10">
        <v>29.81</v>
      </c>
      <c r="C511" s="10">
        <v>5.58</v>
      </c>
      <c r="D511" s="10" t="s">
        <v>4685</v>
      </c>
      <c r="E511" s="10" t="s">
        <v>4683</v>
      </c>
      <c r="F511" s="10" t="s">
        <v>4683</v>
      </c>
      <c r="G511" s="10" t="s">
        <v>4683</v>
      </c>
      <c r="H511" s="14">
        <v>0</v>
      </c>
      <c r="I511" s="10" t="s">
        <v>4684</v>
      </c>
      <c r="J511" s="10" t="str">
        <f t="shared" si="2"/>
        <v>normalweight</v>
      </c>
      <c r="L511" s="30" t="e">
        <v>#N/A</v>
      </c>
    </row>
    <row r="512" spans="1:12" ht="15.75" customHeight="1" x14ac:dyDescent="0.3">
      <c r="A512" s="10" t="s">
        <v>3652</v>
      </c>
      <c r="B512" s="10">
        <v>51.18</v>
      </c>
      <c r="C512" s="10">
        <v>4.4000000000000004</v>
      </c>
      <c r="D512" s="10" t="s">
        <v>4685</v>
      </c>
      <c r="E512" s="10" t="s">
        <v>4684</v>
      </c>
      <c r="F512" s="10" t="s">
        <v>4683</v>
      </c>
      <c r="G512" s="10" t="s">
        <v>4683</v>
      </c>
      <c r="H512" s="14">
        <v>2</v>
      </c>
      <c r="I512" s="10" t="s">
        <v>4683</v>
      </c>
      <c r="J512" s="10" t="str">
        <f t="shared" si="2"/>
        <v>normalweight</v>
      </c>
      <c r="L512" s="30" t="e">
        <v>#N/A</v>
      </c>
    </row>
    <row r="513" spans="1:12" ht="15.75" customHeight="1" x14ac:dyDescent="0.3">
      <c r="A513" s="10" t="s">
        <v>3650</v>
      </c>
      <c r="B513" s="10">
        <v>51.37</v>
      </c>
      <c r="C513" s="10">
        <v>8.18</v>
      </c>
      <c r="D513" s="10" t="s">
        <v>4685</v>
      </c>
      <c r="E513" s="10" t="s">
        <v>4684</v>
      </c>
      <c r="F513" s="10" t="s">
        <v>4683</v>
      </c>
      <c r="G513" s="10" t="s">
        <v>4683</v>
      </c>
      <c r="H513" s="14">
        <v>0</v>
      </c>
      <c r="I513" s="10" t="s">
        <v>4683</v>
      </c>
      <c r="J513" s="10" t="str">
        <f t="shared" si="2"/>
        <v>normalweight</v>
      </c>
      <c r="L513" s="30" t="e">
        <v>#N/A</v>
      </c>
    </row>
    <row r="514" spans="1:12" ht="15.75" customHeight="1" x14ac:dyDescent="0.3">
      <c r="A514" s="10" t="s">
        <v>3648</v>
      </c>
      <c r="B514" s="10">
        <v>36.19</v>
      </c>
      <c r="C514" s="10">
        <v>5.52</v>
      </c>
      <c r="D514" s="10" t="s">
        <v>4685</v>
      </c>
      <c r="E514" s="10" t="s">
        <v>4684</v>
      </c>
      <c r="F514" s="10" t="s">
        <v>4683</v>
      </c>
      <c r="G514" s="10" t="s">
        <v>4683</v>
      </c>
      <c r="H514" s="14">
        <v>0</v>
      </c>
      <c r="I514" s="10" t="s">
        <v>4683</v>
      </c>
      <c r="J514" s="10" t="str">
        <f t="shared" si="2"/>
        <v>normalweight</v>
      </c>
      <c r="L514" s="30" t="e">
        <v>#N/A</v>
      </c>
    </row>
    <row r="515" spans="1:12" ht="15.75" customHeight="1" x14ac:dyDescent="0.3">
      <c r="A515" s="10" t="s">
        <v>3646</v>
      </c>
      <c r="B515" s="10">
        <v>25.9</v>
      </c>
      <c r="C515" s="10">
        <v>4.84</v>
      </c>
      <c r="D515" s="10" t="s">
        <v>4685</v>
      </c>
      <c r="E515" s="10" t="s">
        <v>4683</v>
      </c>
      <c r="F515" s="10" t="s">
        <v>4683</v>
      </c>
      <c r="G515" s="10" t="s">
        <v>4683</v>
      </c>
      <c r="H515" s="14">
        <v>0</v>
      </c>
      <c r="I515" s="10" t="s">
        <v>4684</v>
      </c>
      <c r="J515" s="10" t="str">
        <f t="shared" si="2"/>
        <v>normalweight</v>
      </c>
      <c r="L515" s="30" t="e">
        <v>#N/A</v>
      </c>
    </row>
    <row r="516" spans="1:12" ht="15.75" customHeight="1" x14ac:dyDescent="0.3">
      <c r="A516" s="10" t="s">
        <v>3644</v>
      </c>
      <c r="B516" s="10">
        <v>35.72</v>
      </c>
      <c r="C516" s="10">
        <v>4.08</v>
      </c>
      <c r="D516" s="10" t="s">
        <v>4685</v>
      </c>
      <c r="E516" s="10" t="s">
        <v>4683</v>
      </c>
      <c r="F516" s="10" t="s">
        <v>4683</v>
      </c>
      <c r="G516" s="10" t="s">
        <v>4686</v>
      </c>
      <c r="H516" s="14">
        <v>1</v>
      </c>
      <c r="I516" s="10" t="s">
        <v>4683</v>
      </c>
      <c r="J516" s="10" t="str">
        <f t="shared" si="2"/>
        <v>normalweight</v>
      </c>
      <c r="L516" s="30" t="e">
        <v>#N/A</v>
      </c>
    </row>
    <row r="517" spans="1:12" ht="15.75" customHeight="1" x14ac:dyDescent="0.3">
      <c r="A517" s="10" t="s">
        <v>3642</v>
      </c>
      <c r="B517" s="10">
        <v>27.94</v>
      </c>
      <c r="C517" s="10">
        <v>4.4800000000000004</v>
      </c>
      <c r="D517" s="10" t="s">
        <v>4685</v>
      </c>
      <c r="E517" s="10" t="s">
        <v>4683</v>
      </c>
      <c r="F517" s="10" t="s">
        <v>4683</v>
      </c>
      <c r="G517" s="10" t="s">
        <v>4686</v>
      </c>
      <c r="H517" s="14">
        <v>1</v>
      </c>
      <c r="I517" s="10" t="s">
        <v>4684</v>
      </c>
      <c r="J517" s="10" t="str">
        <f t="shared" si="2"/>
        <v>normalweight</v>
      </c>
      <c r="L517" s="30" t="e">
        <v>#N/A</v>
      </c>
    </row>
    <row r="518" spans="1:12" ht="15.75" customHeight="1" x14ac:dyDescent="0.3">
      <c r="A518" s="10" t="s">
        <v>3640</v>
      </c>
      <c r="B518" s="10">
        <v>27.1</v>
      </c>
      <c r="C518" s="10">
        <v>5.73</v>
      </c>
      <c r="D518" s="10" t="s">
        <v>4685</v>
      </c>
      <c r="E518" s="10" t="s">
        <v>4683</v>
      </c>
      <c r="F518" s="10" t="s">
        <v>4683</v>
      </c>
      <c r="G518" s="10" t="s">
        <v>4683</v>
      </c>
      <c r="H518" s="14">
        <v>0</v>
      </c>
      <c r="I518" s="10" t="s">
        <v>4684</v>
      </c>
      <c r="J518" s="10" t="str">
        <f t="shared" si="2"/>
        <v>normalweight</v>
      </c>
      <c r="L518" s="30" t="e">
        <v>#N/A</v>
      </c>
    </row>
    <row r="519" spans="1:12" ht="15.75" customHeight="1" x14ac:dyDescent="0.3">
      <c r="A519" s="10" t="s">
        <v>3638</v>
      </c>
      <c r="B519" s="10">
        <v>18.3</v>
      </c>
      <c r="C519" s="10">
        <v>5.46</v>
      </c>
      <c r="D519" s="10" t="s">
        <v>4685</v>
      </c>
      <c r="E519" s="10" t="s">
        <v>4684</v>
      </c>
      <c r="F519" s="10" t="s">
        <v>4683</v>
      </c>
      <c r="G519" s="10" t="s">
        <v>4686</v>
      </c>
      <c r="H519" s="14">
        <v>1</v>
      </c>
      <c r="I519" s="10" t="s">
        <v>4684</v>
      </c>
      <c r="J519" s="10" t="str">
        <f t="shared" si="2"/>
        <v>underweight</v>
      </c>
      <c r="L519" s="30" t="e">
        <v>#N/A</v>
      </c>
    </row>
    <row r="520" spans="1:12" ht="15.75" customHeight="1" x14ac:dyDescent="0.3">
      <c r="A520" s="10" t="s">
        <v>3636</v>
      </c>
      <c r="B520" s="10">
        <v>25.3</v>
      </c>
      <c r="C520" s="10">
        <v>5.0199999999999996</v>
      </c>
      <c r="D520" s="10" t="s">
        <v>4685</v>
      </c>
      <c r="E520" s="10" t="s">
        <v>4684</v>
      </c>
      <c r="F520" s="10" t="s">
        <v>4683</v>
      </c>
      <c r="G520" s="10" t="s">
        <v>4683</v>
      </c>
      <c r="H520" s="14">
        <v>1</v>
      </c>
      <c r="I520" s="10" t="s">
        <v>4684</v>
      </c>
      <c r="J520" s="10" t="str">
        <f t="shared" si="2"/>
        <v>normalweight</v>
      </c>
      <c r="L520" s="30" t="e">
        <v>#N/A</v>
      </c>
    </row>
    <row r="521" spans="1:12" ht="15.75" customHeight="1" x14ac:dyDescent="0.3">
      <c r="A521" s="10" t="s">
        <v>3634</v>
      </c>
      <c r="B521" s="10">
        <v>38.83</v>
      </c>
      <c r="C521" s="10">
        <v>6.36</v>
      </c>
      <c r="D521" s="10" t="s">
        <v>4685</v>
      </c>
      <c r="E521" s="10" t="s">
        <v>4683</v>
      </c>
      <c r="F521" s="10" t="s">
        <v>4683</v>
      </c>
      <c r="G521" s="10" t="s">
        <v>4683</v>
      </c>
      <c r="H521" s="14">
        <v>1</v>
      </c>
      <c r="I521" s="10" t="s">
        <v>4683</v>
      </c>
      <c r="J521" s="10" t="str">
        <f t="shared" si="2"/>
        <v>normalweight</v>
      </c>
      <c r="L521" s="30" t="e">
        <v>#N/A</v>
      </c>
    </row>
    <row r="522" spans="1:12" ht="15.75" customHeight="1" x14ac:dyDescent="0.3">
      <c r="A522" s="10" t="s">
        <v>3632</v>
      </c>
      <c r="B522" s="10">
        <v>27.6</v>
      </c>
      <c r="C522" s="10">
        <v>5.36</v>
      </c>
      <c r="D522" s="10" t="s">
        <v>4685</v>
      </c>
      <c r="E522" s="10" t="s">
        <v>4683</v>
      </c>
      <c r="F522" s="10" t="s">
        <v>4683</v>
      </c>
      <c r="G522" s="10" t="s">
        <v>4683</v>
      </c>
      <c r="H522" s="14">
        <v>1</v>
      </c>
      <c r="I522" s="10" t="s">
        <v>4683</v>
      </c>
      <c r="J522" s="10" t="str">
        <f t="shared" si="2"/>
        <v>normalweight</v>
      </c>
      <c r="L522" s="30" t="e">
        <v>#N/A</v>
      </c>
    </row>
    <row r="523" spans="1:12" ht="15.75" customHeight="1" x14ac:dyDescent="0.3">
      <c r="A523" s="10" t="s">
        <v>3630</v>
      </c>
      <c r="B523" s="10">
        <v>46.4</v>
      </c>
      <c r="C523" s="10">
        <v>8.3699999999999992</v>
      </c>
      <c r="D523" s="16" t="s">
        <v>4682</v>
      </c>
      <c r="E523" s="10" t="s">
        <v>4684</v>
      </c>
      <c r="F523" s="10" t="s">
        <v>4683</v>
      </c>
      <c r="G523" s="10" t="s">
        <v>4686</v>
      </c>
      <c r="H523" s="14">
        <v>1</v>
      </c>
      <c r="I523" s="10" t="s">
        <v>4683</v>
      </c>
      <c r="J523" s="10" t="str">
        <f t="shared" si="2"/>
        <v>normalweight</v>
      </c>
      <c r="L523" s="30" t="e">
        <v>#N/A</v>
      </c>
    </row>
    <row r="524" spans="1:12" ht="15.75" customHeight="1" x14ac:dyDescent="0.3">
      <c r="A524" s="10" t="s">
        <v>3628</v>
      </c>
      <c r="B524" s="10">
        <v>51.92</v>
      </c>
      <c r="C524" s="10">
        <v>5.18</v>
      </c>
      <c r="D524" s="10" t="s">
        <v>4685</v>
      </c>
      <c r="E524" s="10" t="s">
        <v>4684</v>
      </c>
      <c r="F524" s="10" t="s">
        <v>4683</v>
      </c>
      <c r="G524" s="10" t="s">
        <v>4686</v>
      </c>
      <c r="H524" s="14">
        <v>1</v>
      </c>
      <c r="I524" s="10" t="s">
        <v>4683</v>
      </c>
      <c r="J524" s="10" t="str">
        <f t="shared" si="2"/>
        <v>normalweight</v>
      </c>
      <c r="L524" s="30" t="e">
        <v>#N/A</v>
      </c>
    </row>
    <row r="525" spans="1:12" ht="15.75" customHeight="1" x14ac:dyDescent="0.3">
      <c r="A525" s="10" t="s">
        <v>3626</v>
      </c>
      <c r="B525" s="10">
        <v>32.395000000000003</v>
      </c>
      <c r="C525" s="10">
        <v>5.68</v>
      </c>
      <c r="D525" s="10" t="s">
        <v>4685</v>
      </c>
      <c r="E525" s="10" t="s">
        <v>4684</v>
      </c>
      <c r="F525" s="10" t="s">
        <v>4683</v>
      </c>
      <c r="G525" s="10" t="s">
        <v>4683</v>
      </c>
      <c r="H525" s="14">
        <v>1</v>
      </c>
      <c r="I525" s="10" t="s">
        <v>4683</v>
      </c>
      <c r="J525" s="10" t="str">
        <f t="shared" si="2"/>
        <v>normalweight</v>
      </c>
      <c r="L525" s="30" t="e">
        <v>#N/A</v>
      </c>
    </row>
    <row r="526" spans="1:12" ht="15.75" customHeight="1" x14ac:dyDescent="0.3">
      <c r="A526" s="10" t="s">
        <v>3624</v>
      </c>
      <c r="B526" s="10">
        <v>46.19</v>
      </c>
      <c r="C526" s="10">
        <v>7.31</v>
      </c>
      <c r="D526" s="16" t="s">
        <v>4682</v>
      </c>
      <c r="E526" s="10" t="s">
        <v>4684</v>
      </c>
      <c r="F526" s="10" t="s">
        <v>4683</v>
      </c>
      <c r="G526" s="10" t="s">
        <v>4686</v>
      </c>
      <c r="H526" s="14">
        <v>1</v>
      </c>
      <c r="I526" s="10" t="s">
        <v>4683</v>
      </c>
      <c r="J526" s="10" t="str">
        <f t="shared" si="2"/>
        <v>normalweight</v>
      </c>
      <c r="L526" s="30" t="e">
        <v>#N/A</v>
      </c>
    </row>
    <row r="527" spans="1:12" ht="15.75" customHeight="1" x14ac:dyDescent="0.3">
      <c r="A527" s="10" t="s">
        <v>3622</v>
      </c>
      <c r="B527" s="10">
        <v>27.93</v>
      </c>
      <c r="C527" s="10">
        <v>4.67</v>
      </c>
      <c r="D527" s="10" t="s">
        <v>4685</v>
      </c>
      <c r="E527" s="10" t="s">
        <v>4683</v>
      </c>
      <c r="F527" s="10" t="s">
        <v>4683</v>
      </c>
      <c r="G527" s="10" t="s">
        <v>4686</v>
      </c>
      <c r="H527" s="14">
        <v>1</v>
      </c>
      <c r="I527" s="10" t="s">
        <v>4683</v>
      </c>
      <c r="J527" s="10" t="str">
        <f t="shared" si="2"/>
        <v>normalweight</v>
      </c>
      <c r="L527" s="30" t="e">
        <v>#N/A</v>
      </c>
    </row>
    <row r="528" spans="1:12" ht="15.75" customHeight="1" x14ac:dyDescent="0.3">
      <c r="A528" s="10" t="s">
        <v>3620</v>
      </c>
      <c r="B528" s="10">
        <v>45.62</v>
      </c>
      <c r="C528" s="10">
        <v>6.87</v>
      </c>
      <c r="D528" s="16" t="s">
        <v>4682</v>
      </c>
      <c r="E528" s="10" t="s">
        <v>4683</v>
      </c>
      <c r="F528" s="10" t="s">
        <v>4683</v>
      </c>
      <c r="G528" s="10" t="s">
        <v>4683</v>
      </c>
      <c r="H528" s="14">
        <v>0</v>
      </c>
      <c r="I528" s="10" t="s">
        <v>4683</v>
      </c>
      <c r="J528" s="10" t="str">
        <f t="shared" si="2"/>
        <v>normalweight</v>
      </c>
      <c r="L528" s="30" t="e">
        <v>#N/A</v>
      </c>
    </row>
    <row r="529" spans="1:12" ht="15.75" customHeight="1" x14ac:dyDescent="0.3">
      <c r="A529" s="10" t="s">
        <v>3618</v>
      </c>
      <c r="B529" s="10">
        <v>35.31</v>
      </c>
      <c r="C529" s="10">
        <v>5.87</v>
      </c>
      <c r="D529" s="10" t="s">
        <v>4685</v>
      </c>
      <c r="E529" s="10" t="s">
        <v>4683</v>
      </c>
      <c r="F529" s="10" t="s">
        <v>4683</v>
      </c>
      <c r="G529" s="10" t="s">
        <v>4686</v>
      </c>
      <c r="H529" s="14">
        <v>1</v>
      </c>
      <c r="I529" s="10" t="s">
        <v>4683</v>
      </c>
      <c r="J529" s="10" t="str">
        <f t="shared" si="2"/>
        <v>normalweight</v>
      </c>
      <c r="L529" s="30" t="e">
        <v>#N/A</v>
      </c>
    </row>
    <row r="530" spans="1:12" ht="15.75" customHeight="1" x14ac:dyDescent="0.3">
      <c r="A530" s="10" t="s">
        <v>3616</v>
      </c>
      <c r="B530" s="10">
        <v>30.4</v>
      </c>
      <c r="C530" s="10">
        <v>4.07</v>
      </c>
      <c r="D530" s="10" t="s">
        <v>4685</v>
      </c>
      <c r="E530" s="10" t="s">
        <v>4684</v>
      </c>
      <c r="F530" s="10" t="s">
        <v>4683</v>
      </c>
      <c r="G530" s="10" t="s">
        <v>4683</v>
      </c>
      <c r="H530" s="14">
        <v>1</v>
      </c>
      <c r="I530" s="10" t="s">
        <v>4683</v>
      </c>
      <c r="J530" s="10" t="str">
        <f t="shared" ref="J530:J784" si="3">IF(B530&lt;=18.5,"underweight",IF(B530&gt;=18.5-24.9,"normalweight",IF(B530&gt;=25-29.9,"overweight","obesity")))</f>
        <v>normalweight</v>
      </c>
      <c r="L530" s="30" t="e">
        <v>#N/A</v>
      </c>
    </row>
    <row r="531" spans="1:12" ht="15.75" customHeight="1" x14ac:dyDescent="0.3">
      <c r="A531" s="10" t="s">
        <v>3614</v>
      </c>
      <c r="B531" s="10">
        <v>20.13</v>
      </c>
      <c r="C531" s="10">
        <v>6.47</v>
      </c>
      <c r="D531" s="10" t="s">
        <v>4685</v>
      </c>
      <c r="E531" s="10" t="s">
        <v>4683</v>
      </c>
      <c r="F531" s="10" t="s">
        <v>4683</v>
      </c>
      <c r="G531" s="10" t="s">
        <v>4686</v>
      </c>
      <c r="H531" s="14">
        <v>1</v>
      </c>
      <c r="I531" s="10" t="s">
        <v>4684</v>
      </c>
      <c r="J531" s="10" t="str">
        <f t="shared" si="3"/>
        <v>normalweight</v>
      </c>
      <c r="L531" s="30" t="e">
        <v>#N/A</v>
      </c>
    </row>
    <row r="532" spans="1:12" ht="15.75" customHeight="1" x14ac:dyDescent="0.3">
      <c r="A532" s="10" t="s">
        <v>3612</v>
      </c>
      <c r="B532" s="10">
        <v>23.655000000000001</v>
      </c>
      <c r="C532" s="10">
        <v>5.14</v>
      </c>
      <c r="D532" s="10" t="s">
        <v>4685</v>
      </c>
      <c r="E532" s="10" t="s">
        <v>4683</v>
      </c>
      <c r="F532" s="10" t="s">
        <v>4683</v>
      </c>
      <c r="G532" s="10" t="s">
        <v>4683</v>
      </c>
      <c r="H532" s="14">
        <v>1</v>
      </c>
      <c r="I532" s="10" t="s">
        <v>4684</v>
      </c>
      <c r="J532" s="10" t="str">
        <f t="shared" si="3"/>
        <v>normalweight</v>
      </c>
      <c r="L532" s="30" t="e">
        <v>#N/A</v>
      </c>
    </row>
    <row r="533" spans="1:12" ht="15.75" customHeight="1" x14ac:dyDescent="0.3">
      <c r="A533" s="10" t="s">
        <v>3610</v>
      </c>
      <c r="B533" s="10">
        <v>49.05</v>
      </c>
      <c r="C533" s="10">
        <v>9.77</v>
      </c>
      <c r="D533" s="16" t="s">
        <v>4682</v>
      </c>
      <c r="E533" s="10" t="s">
        <v>4684</v>
      </c>
      <c r="F533" s="10" t="s">
        <v>4683</v>
      </c>
      <c r="G533" s="10" t="s">
        <v>4683</v>
      </c>
      <c r="H533" s="14">
        <v>0</v>
      </c>
      <c r="I533" s="10" t="s">
        <v>4683</v>
      </c>
      <c r="J533" s="10" t="str">
        <f t="shared" si="3"/>
        <v>normalweight</v>
      </c>
      <c r="L533" s="30" t="e">
        <v>#N/A</v>
      </c>
    </row>
    <row r="534" spans="1:12" ht="15.75" customHeight="1" x14ac:dyDescent="0.3">
      <c r="A534" s="10" t="s">
        <v>3608</v>
      </c>
      <c r="B534" s="10">
        <v>51.94</v>
      </c>
      <c r="C534" s="10">
        <v>8.8000000000000007</v>
      </c>
      <c r="D534" s="16" t="s">
        <v>4682</v>
      </c>
      <c r="E534" s="10" t="s">
        <v>4684</v>
      </c>
      <c r="F534" s="10" t="s">
        <v>4683</v>
      </c>
      <c r="G534" s="10" t="s">
        <v>4683</v>
      </c>
      <c r="H534" s="14">
        <v>2</v>
      </c>
      <c r="I534" s="10" t="s">
        <v>4683</v>
      </c>
      <c r="J534" s="10" t="str">
        <f t="shared" si="3"/>
        <v>normalweight</v>
      </c>
      <c r="L534" s="30" t="e">
        <v>#N/A</v>
      </c>
    </row>
    <row r="535" spans="1:12" ht="15.75" customHeight="1" x14ac:dyDescent="0.3">
      <c r="A535" s="10" t="s">
        <v>3606</v>
      </c>
      <c r="B535" s="10">
        <v>29.83</v>
      </c>
      <c r="C535" s="10">
        <v>5.84</v>
      </c>
      <c r="D535" s="10" t="s">
        <v>4685</v>
      </c>
      <c r="E535" s="10" t="s">
        <v>4683</v>
      </c>
      <c r="F535" s="10" t="s">
        <v>4683</v>
      </c>
      <c r="G535" s="10" t="s">
        <v>4683</v>
      </c>
      <c r="H535" s="14">
        <v>1</v>
      </c>
      <c r="I535" s="10" t="s">
        <v>4684</v>
      </c>
      <c r="J535" s="10" t="str">
        <f t="shared" si="3"/>
        <v>normalweight</v>
      </c>
      <c r="L535" s="30" t="e">
        <v>#N/A</v>
      </c>
    </row>
    <row r="536" spans="1:12" ht="15.75" customHeight="1" x14ac:dyDescent="0.3">
      <c r="A536" s="10" t="s">
        <v>3604</v>
      </c>
      <c r="B536" s="10">
        <v>22.6</v>
      </c>
      <c r="C536" s="10">
        <v>10.43</v>
      </c>
      <c r="D536" s="16" t="s">
        <v>4682</v>
      </c>
      <c r="E536" s="10" t="s">
        <v>4684</v>
      </c>
      <c r="F536" s="10" t="s">
        <v>4683</v>
      </c>
      <c r="G536" s="10" t="s">
        <v>4683</v>
      </c>
      <c r="H536" s="14">
        <v>1</v>
      </c>
      <c r="I536" s="10" t="s">
        <v>4684</v>
      </c>
      <c r="J536" s="10" t="str">
        <f t="shared" si="3"/>
        <v>normalweight</v>
      </c>
      <c r="L536" s="30" t="e">
        <v>#N/A</v>
      </c>
    </row>
    <row r="537" spans="1:12" ht="15.75" customHeight="1" x14ac:dyDescent="0.3">
      <c r="A537" s="10" t="s">
        <v>3602</v>
      </c>
      <c r="B537" s="10">
        <v>46.69</v>
      </c>
      <c r="C537" s="10">
        <v>4.25</v>
      </c>
      <c r="D537" s="10" t="s">
        <v>4685</v>
      </c>
      <c r="E537" s="10" t="s">
        <v>4684</v>
      </c>
      <c r="F537" s="10" t="s">
        <v>4683</v>
      </c>
      <c r="G537" s="10" t="s">
        <v>4683</v>
      </c>
      <c r="H537" s="14">
        <v>1</v>
      </c>
      <c r="I537" s="10" t="s">
        <v>4683</v>
      </c>
      <c r="J537" s="10" t="str">
        <f t="shared" si="3"/>
        <v>normalweight</v>
      </c>
      <c r="L537" s="30" t="e">
        <v>#N/A</v>
      </c>
    </row>
    <row r="538" spans="1:12" ht="15.75" customHeight="1" x14ac:dyDescent="0.3">
      <c r="A538" s="10" t="s">
        <v>3600</v>
      </c>
      <c r="B538" s="10">
        <v>28.49</v>
      </c>
      <c r="C538" s="10">
        <v>4.8899999999999997</v>
      </c>
      <c r="D538" s="10" t="s">
        <v>4685</v>
      </c>
      <c r="E538" s="10" t="s">
        <v>4683</v>
      </c>
      <c r="F538" s="10" t="s">
        <v>4683</v>
      </c>
      <c r="G538" s="10" t="s">
        <v>4683</v>
      </c>
      <c r="H538" s="14">
        <v>0</v>
      </c>
      <c r="I538" s="10" t="s">
        <v>4684</v>
      </c>
      <c r="J538" s="10" t="str">
        <f t="shared" si="3"/>
        <v>normalweight</v>
      </c>
      <c r="L538" s="30" t="e">
        <v>#N/A</v>
      </c>
    </row>
    <row r="539" spans="1:12" ht="15.75" customHeight="1" x14ac:dyDescent="0.3">
      <c r="A539" s="10" t="s">
        <v>3598</v>
      </c>
      <c r="B539" s="10">
        <v>28.5</v>
      </c>
      <c r="C539" s="10">
        <v>5.55</v>
      </c>
      <c r="D539" s="10" t="s">
        <v>4685</v>
      </c>
      <c r="E539" s="10" t="s">
        <v>4684</v>
      </c>
      <c r="F539" s="10" t="s">
        <v>4683</v>
      </c>
      <c r="G539" s="10" t="s">
        <v>4683</v>
      </c>
      <c r="H539" s="14">
        <v>1</v>
      </c>
      <c r="I539" s="10" t="s">
        <v>4684</v>
      </c>
      <c r="J539" s="10" t="str">
        <f t="shared" si="3"/>
        <v>normalweight</v>
      </c>
      <c r="L539" s="30" t="e">
        <v>#N/A</v>
      </c>
    </row>
    <row r="540" spans="1:12" ht="15.75" customHeight="1" x14ac:dyDescent="0.3">
      <c r="A540" s="10" t="s">
        <v>3596</v>
      </c>
      <c r="B540" s="10">
        <v>24.4</v>
      </c>
      <c r="C540" s="10">
        <v>4.5199999999999996</v>
      </c>
      <c r="D540" s="10" t="s">
        <v>4685</v>
      </c>
      <c r="E540" s="10" t="s">
        <v>4683</v>
      </c>
      <c r="F540" s="10" t="s">
        <v>4683</v>
      </c>
      <c r="G540" s="10" t="s">
        <v>4683</v>
      </c>
      <c r="H540" s="14">
        <v>1</v>
      </c>
      <c r="I540" s="10" t="s">
        <v>4684</v>
      </c>
      <c r="J540" s="10" t="str">
        <f t="shared" si="3"/>
        <v>normalweight</v>
      </c>
      <c r="L540" s="30" t="e">
        <v>#N/A</v>
      </c>
    </row>
    <row r="541" spans="1:12" ht="15.75" customHeight="1" x14ac:dyDescent="0.3">
      <c r="A541" s="10" t="s">
        <v>3594</v>
      </c>
      <c r="B541" s="10">
        <v>29.15</v>
      </c>
      <c r="C541" s="10">
        <v>4.45</v>
      </c>
      <c r="D541" s="10" t="s">
        <v>4685</v>
      </c>
      <c r="E541" s="10" t="s">
        <v>4684</v>
      </c>
      <c r="F541" s="10" t="s">
        <v>4683</v>
      </c>
      <c r="G541" s="10" t="s">
        <v>4683</v>
      </c>
      <c r="H541" s="14">
        <v>1</v>
      </c>
      <c r="I541" s="10" t="s">
        <v>4684</v>
      </c>
      <c r="J541" s="10" t="str">
        <f t="shared" si="3"/>
        <v>normalweight</v>
      </c>
      <c r="L541" s="30" t="e">
        <v>#N/A</v>
      </c>
    </row>
    <row r="542" spans="1:12" ht="15.75" customHeight="1" x14ac:dyDescent="0.3">
      <c r="A542" s="10" t="s">
        <v>3592</v>
      </c>
      <c r="B542" s="10">
        <v>27.28</v>
      </c>
      <c r="C542" s="10">
        <v>4.72</v>
      </c>
      <c r="D542" s="10" t="s">
        <v>4685</v>
      </c>
      <c r="E542" s="10" t="s">
        <v>4683</v>
      </c>
      <c r="F542" s="10" t="s">
        <v>4684</v>
      </c>
      <c r="G542" s="10" t="s">
        <v>4683</v>
      </c>
      <c r="H542" s="14">
        <v>1</v>
      </c>
      <c r="I542" s="10" t="s">
        <v>4684</v>
      </c>
      <c r="J542" s="10" t="str">
        <f t="shared" si="3"/>
        <v>normalweight</v>
      </c>
      <c r="L542" s="30" t="e">
        <v>#N/A</v>
      </c>
    </row>
    <row r="543" spans="1:12" ht="15.75" customHeight="1" x14ac:dyDescent="0.3">
      <c r="A543" s="10" t="s">
        <v>3590</v>
      </c>
      <c r="B543" s="10">
        <v>32.229999999999997</v>
      </c>
      <c r="C543" s="10">
        <v>4.6500000000000004</v>
      </c>
      <c r="D543" s="10" t="s">
        <v>4685</v>
      </c>
      <c r="E543" s="10" t="s">
        <v>4684</v>
      </c>
      <c r="F543" s="10" t="s">
        <v>4683</v>
      </c>
      <c r="G543" s="10" t="s">
        <v>4686</v>
      </c>
      <c r="H543" s="14">
        <v>1</v>
      </c>
      <c r="I543" s="10" t="s">
        <v>4683</v>
      </c>
      <c r="J543" s="10" t="str">
        <f t="shared" si="3"/>
        <v>normalweight</v>
      </c>
      <c r="L543" s="30" t="e">
        <v>#N/A</v>
      </c>
    </row>
    <row r="544" spans="1:12" ht="15.75" customHeight="1" x14ac:dyDescent="0.3">
      <c r="A544" s="10" t="s">
        <v>3588</v>
      </c>
      <c r="B544" s="10">
        <v>44.2</v>
      </c>
      <c r="C544" s="10">
        <v>11.34</v>
      </c>
      <c r="D544" s="16" t="s">
        <v>4682</v>
      </c>
      <c r="E544" s="10" t="s">
        <v>4684</v>
      </c>
      <c r="F544" s="10" t="s">
        <v>4683</v>
      </c>
      <c r="G544" s="10" t="s">
        <v>4686</v>
      </c>
      <c r="H544" s="14">
        <v>1</v>
      </c>
      <c r="I544" s="10" t="s">
        <v>4683</v>
      </c>
      <c r="J544" s="10" t="str">
        <f t="shared" si="3"/>
        <v>normalweight</v>
      </c>
      <c r="L544" s="30" t="e">
        <v>#N/A</v>
      </c>
    </row>
    <row r="545" spans="1:12" ht="15.75" customHeight="1" x14ac:dyDescent="0.3">
      <c r="A545" s="10" t="s">
        <v>3586</v>
      </c>
      <c r="B545" s="10">
        <v>29.734999999999999</v>
      </c>
      <c r="C545" s="10">
        <v>4.53</v>
      </c>
      <c r="D545" s="10" t="s">
        <v>4685</v>
      </c>
      <c r="E545" s="10" t="s">
        <v>4683</v>
      </c>
      <c r="F545" s="10" t="s">
        <v>4683</v>
      </c>
      <c r="G545" s="10" t="s">
        <v>4686</v>
      </c>
      <c r="H545" s="14">
        <v>1</v>
      </c>
      <c r="I545" s="10" t="s">
        <v>4683</v>
      </c>
      <c r="J545" s="10" t="str">
        <f t="shared" si="3"/>
        <v>normalweight</v>
      </c>
      <c r="L545" s="30" t="e">
        <v>#N/A</v>
      </c>
    </row>
    <row r="546" spans="1:12" ht="15.75" customHeight="1" x14ac:dyDescent="0.3">
      <c r="A546" s="10" t="s">
        <v>3584</v>
      </c>
      <c r="B546" s="10">
        <v>28.31</v>
      </c>
      <c r="C546" s="10">
        <v>6.35</v>
      </c>
      <c r="D546" s="10" t="s">
        <v>4685</v>
      </c>
      <c r="E546" s="10" t="s">
        <v>4683</v>
      </c>
      <c r="F546" s="10" t="s">
        <v>4683</v>
      </c>
      <c r="G546" s="10" t="s">
        <v>4683</v>
      </c>
      <c r="H546" s="14">
        <v>0</v>
      </c>
      <c r="I546" s="10" t="s">
        <v>4684</v>
      </c>
      <c r="J546" s="10" t="str">
        <f t="shared" si="3"/>
        <v>normalweight</v>
      </c>
      <c r="L546" s="30" t="e">
        <v>#N/A</v>
      </c>
    </row>
    <row r="547" spans="1:12" ht="15.75" customHeight="1" x14ac:dyDescent="0.3">
      <c r="A547" s="10" t="s">
        <v>3582</v>
      </c>
      <c r="B547" s="10">
        <v>46.62</v>
      </c>
      <c r="C547" s="10">
        <v>8.51</v>
      </c>
      <c r="D547" s="16" t="s">
        <v>4682</v>
      </c>
      <c r="E547" s="10" t="s">
        <v>4683</v>
      </c>
      <c r="F547" s="10" t="s">
        <v>4683</v>
      </c>
      <c r="G547" s="10" t="s">
        <v>4683</v>
      </c>
      <c r="H547" s="14">
        <v>0</v>
      </c>
      <c r="I547" s="10" t="s">
        <v>4683</v>
      </c>
      <c r="J547" s="10" t="str">
        <f t="shared" si="3"/>
        <v>normalweight</v>
      </c>
      <c r="L547" s="30" t="e">
        <v>#N/A</v>
      </c>
    </row>
    <row r="548" spans="1:12" ht="15.75" customHeight="1" x14ac:dyDescent="0.3">
      <c r="A548" s="10" t="s">
        <v>3580</v>
      </c>
      <c r="B548" s="10">
        <v>51.75</v>
      </c>
      <c r="C548" s="10">
        <v>8.59</v>
      </c>
      <c r="D548" s="16" t="s">
        <v>4682</v>
      </c>
      <c r="E548" s="10" t="s">
        <v>4684</v>
      </c>
      <c r="F548" s="10" t="s">
        <v>4683</v>
      </c>
      <c r="G548" s="10" t="s">
        <v>4683</v>
      </c>
      <c r="H548" s="14">
        <v>1</v>
      </c>
      <c r="I548" s="10" t="s">
        <v>4683</v>
      </c>
      <c r="J548" s="10" t="str">
        <f t="shared" si="3"/>
        <v>normalweight</v>
      </c>
      <c r="L548" s="30" t="e">
        <v>#N/A</v>
      </c>
    </row>
    <row r="549" spans="1:12" ht="15.75" customHeight="1" x14ac:dyDescent="0.3">
      <c r="A549" s="10" t="s">
        <v>3578</v>
      </c>
      <c r="B549" s="10">
        <v>25.7</v>
      </c>
      <c r="C549" s="10">
        <v>4.13</v>
      </c>
      <c r="D549" s="10" t="s">
        <v>4685</v>
      </c>
      <c r="E549" s="10" t="s">
        <v>4684</v>
      </c>
      <c r="F549" s="10" t="s">
        <v>4683</v>
      </c>
      <c r="G549" s="10" t="s">
        <v>4683</v>
      </c>
      <c r="H549" s="14">
        <v>0</v>
      </c>
      <c r="I549" s="10" t="s">
        <v>4684</v>
      </c>
      <c r="J549" s="10" t="str">
        <f t="shared" si="3"/>
        <v>normalweight</v>
      </c>
      <c r="L549" s="30" t="e">
        <v>#N/A</v>
      </c>
    </row>
    <row r="550" spans="1:12" ht="15.75" customHeight="1" x14ac:dyDescent="0.3">
      <c r="A550" s="10" t="s">
        <v>3576</v>
      </c>
      <c r="B550" s="10">
        <v>31.79</v>
      </c>
      <c r="C550" s="10">
        <v>4.55</v>
      </c>
      <c r="D550" s="10" t="s">
        <v>4685</v>
      </c>
      <c r="E550" s="10" t="s">
        <v>4683</v>
      </c>
      <c r="F550" s="10" t="s">
        <v>4683</v>
      </c>
      <c r="G550" s="10" t="s">
        <v>4683</v>
      </c>
      <c r="H550" s="14">
        <v>0</v>
      </c>
      <c r="I550" s="10" t="s">
        <v>4683</v>
      </c>
      <c r="J550" s="10" t="str">
        <f t="shared" si="3"/>
        <v>normalweight</v>
      </c>
      <c r="L550" s="30" t="e">
        <v>#N/A</v>
      </c>
    </row>
    <row r="551" spans="1:12" ht="15.75" customHeight="1" x14ac:dyDescent="0.3">
      <c r="A551" s="10" t="s">
        <v>3574</v>
      </c>
      <c r="B551" s="10">
        <v>24.795000000000002</v>
      </c>
      <c r="C551" s="10">
        <v>4.5199999999999996</v>
      </c>
      <c r="D551" s="10" t="s">
        <v>4685</v>
      </c>
      <c r="E551" s="10" t="s">
        <v>4683</v>
      </c>
      <c r="F551" s="10" t="s">
        <v>4683</v>
      </c>
      <c r="G551" s="10" t="s">
        <v>4683</v>
      </c>
      <c r="H551" s="14">
        <v>0</v>
      </c>
      <c r="I551" s="10" t="s">
        <v>4684</v>
      </c>
      <c r="J551" s="10" t="str">
        <f t="shared" si="3"/>
        <v>normalweight</v>
      </c>
      <c r="L551" s="30" t="e">
        <v>#N/A</v>
      </c>
    </row>
    <row r="552" spans="1:12" ht="15.75" customHeight="1" x14ac:dyDescent="0.3">
      <c r="A552" s="10" t="s">
        <v>3572</v>
      </c>
      <c r="B552" s="10">
        <v>53.98</v>
      </c>
      <c r="C552" s="10">
        <v>5.07</v>
      </c>
      <c r="D552" s="10" t="s">
        <v>4685</v>
      </c>
      <c r="E552" s="10" t="s">
        <v>4683</v>
      </c>
      <c r="F552" s="10" t="s">
        <v>4683</v>
      </c>
      <c r="G552" s="10" t="s">
        <v>4686</v>
      </c>
      <c r="H552" s="14">
        <v>1</v>
      </c>
      <c r="I552" s="10" t="s">
        <v>4683</v>
      </c>
      <c r="J552" s="10" t="str">
        <f t="shared" si="3"/>
        <v>normalweight</v>
      </c>
      <c r="L552" s="30" t="e">
        <v>#N/A</v>
      </c>
    </row>
    <row r="553" spans="1:12" ht="15.75" customHeight="1" x14ac:dyDescent="0.3">
      <c r="A553" s="10" t="s">
        <v>3570</v>
      </c>
      <c r="B553" s="10">
        <v>41.325000000000003</v>
      </c>
      <c r="C553" s="10">
        <v>4.04</v>
      </c>
      <c r="D553" s="10" t="s">
        <v>4685</v>
      </c>
      <c r="E553" s="10" t="s">
        <v>4684</v>
      </c>
      <c r="F553" s="10" t="s">
        <v>4683</v>
      </c>
      <c r="G553" s="10" t="s">
        <v>4686</v>
      </c>
      <c r="H553" s="14">
        <v>1</v>
      </c>
      <c r="I553" s="10" t="s">
        <v>4683</v>
      </c>
      <c r="J553" s="10" t="str">
        <f t="shared" si="3"/>
        <v>normalweight</v>
      </c>
      <c r="L553" s="30" t="e">
        <v>#N/A</v>
      </c>
    </row>
    <row r="554" spans="1:12" ht="15.75" customHeight="1" x14ac:dyDescent="0.3">
      <c r="A554" s="10" t="s">
        <v>3568</v>
      </c>
      <c r="B554" s="10">
        <v>51.65</v>
      </c>
      <c r="C554" s="10">
        <v>5.3</v>
      </c>
      <c r="D554" s="10" t="s">
        <v>4685</v>
      </c>
      <c r="E554" s="10" t="s">
        <v>4684</v>
      </c>
      <c r="F554" s="10" t="s">
        <v>4683</v>
      </c>
      <c r="G554" s="10" t="s">
        <v>4683</v>
      </c>
      <c r="H554" s="14">
        <v>0</v>
      </c>
      <c r="I554" s="10" t="s">
        <v>4683</v>
      </c>
      <c r="J554" s="10" t="str">
        <f t="shared" si="3"/>
        <v>normalweight</v>
      </c>
      <c r="L554" s="30" t="e">
        <v>#N/A</v>
      </c>
    </row>
    <row r="555" spans="1:12" ht="15.75" customHeight="1" x14ac:dyDescent="0.3">
      <c r="A555" s="10" t="s">
        <v>3566</v>
      </c>
      <c r="B555" s="10">
        <v>44.52</v>
      </c>
      <c r="C555" s="10">
        <v>8.64</v>
      </c>
      <c r="D555" s="16" t="s">
        <v>4682</v>
      </c>
      <c r="E555" s="10" t="s">
        <v>4684</v>
      </c>
      <c r="F555" s="10" t="s">
        <v>4683</v>
      </c>
      <c r="G555" s="10" t="s">
        <v>4686</v>
      </c>
      <c r="H555" s="14">
        <v>1</v>
      </c>
      <c r="I555" s="10" t="s">
        <v>4683</v>
      </c>
      <c r="J555" s="10" t="str">
        <f t="shared" si="3"/>
        <v>normalweight</v>
      </c>
      <c r="L555" s="30" t="e">
        <v>#N/A</v>
      </c>
    </row>
    <row r="556" spans="1:12" ht="15.75" customHeight="1" x14ac:dyDescent="0.3">
      <c r="A556" s="10" t="s">
        <v>3564</v>
      </c>
      <c r="B556" s="10">
        <v>53.29</v>
      </c>
      <c r="C556" s="10">
        <v>4.03</v>
      </c>
      <c r="D556" s="10" t="s">
        <v>4685</v>
      </c>
      <c r="E556" s="10" t="s">
        <v>4683</v>
      </c>
      <c r="F556" s="10" t="s">
        <v>4683</v>
      </c>
      <c r="G556" s="10" t="s">
        <v>4686</v>
      </c>
      <c r="H556" s="14">
        <v>1</v>
      </c>
      <c r="I556" s="10" t="s">
        <v>4683</v>
      </c>
      <c r="J556" s="10" t="str">
        <f t="shared" si="3"/>
        <v>normalweight</v>
      </c>
      <c r="L556" s="30" t="e">
        <v>#N/A</v>
      </c>
    </row>
    <row r="557" spans="1:12" ht="15.75" customHeight="1" x14ac:dyDescent="0.3">
      <c r="A557" s="10" t="s">
        <v>3562</v>
      </c>
      <c r="B557" s="10">
        <v>46.63</v>
      </c>
      <c r="C557" s="10">
        <v>4.26</v>
      </c>
      <c r="D557" s="10" t="s">
        <v>4685</v>
      </c>
      <c r="E557" s="10" t="s">
        <v>4684</v>
      </c>
      <c r="F557" s="10" t="s">
        <v>4683</v>
      </c>
      <c r="G557" s="10" t="s">
        <v>4683</v>
      </c>
      <c r="H557" s="14">
        <v>2</v>
      </c>
      <c r="I557" s="10" t="s">
        <v>4683</v>
      </c>
      <c r="J557" s="10" t="str">
        <f t="shared" si="3"/>
        <v>normalweight</v>
      </c>
      <c r="L557" s="30" t="e">
        <v>#N/A</v>
      </c>
    </row>
    <row r="558" spans="1:12" ht="15.75" customHeight="1" x14ac:dyDescent="0.3">
      <c r="A558" s="10" t="s">
        <v>3560</v>
      </c>
      <c r="B558" s="10">
        <v>28.88</v>
      </c>
      <c r="C558" s="10">
        <v>5.35</v>
      </c>
      <c r="D558" s="10" t="s">
        <v>4685</v>
      </c>
      <c r="E558" s="10" t="s">
        <v>4683</v>
      </c>
      <c r="F558" s="10" t="s">
        <v>4683</v>
      </c>
      <c r="G558" s="10" t="s">
        <v>4686</v>
      </c>
      <c r="H558" s="14">
        <v>1</v>
      </c>
      <c r="I558" s="10" t="s">
        <v>4684</v>
      </c>
      <c r="J558" s="10" t="str">
        <f t="shared" si="3"/>
        <v>normalweight</v>
      </c>
      <c r="L558" s="30" t="e">
        <v>#N/A</v>
      </c>
    </row>
    <row r="559" spans="1:12" ht="15.75" customHeight="1" x14ac:dyDescent="0.3">
      <c r="A559" s="10" t="s">
        <v>3558</v>
      </c>
      <c r="B559" s="10">
        <v>23.98</v>
      </c>
      <c r="C559" s="10">
        <v>4.9000000000000004</v>
      </c>
      <c r="D559" s="10" t="s">
        <v>4685</v>
      </c>
      <c r="E559" s="10" t="s">
        <v>4683</v>
      </c>
      <c r="F559" s="10" t="s">
        <v>4683</v>
      </c>
      <c r="G559" s="10" t="s">
        <v>4683</v>
      </c>
      <c r="H559" s="14">
        <v>0</v>
      </c>
      <c r="I559" s="10" t="s">
        <v>4683</v>
      </c>
      <c r="J559" s="10" t="str">
        <f t="shared" si="3"/>
        <v>normalweight</v>
      </c>
      <c r="L559" s="30" t="e">
        <v>#N/A</v>
      </c>
    </row>
    <row r="560" spans="1:12" ht="15.75" customHeight="1" x14ac:dyDescent="0.3">
      <c r="A560" s="10" t="s">
        <v>3556</v>
      </c>
      <c r="B560" s="10">
        <v>23.65</v>
      </c>
      <c r="C560" s="10">
        <v>4.5</v>
      </c>
      <c r="D560" s="10" t="s">
        <v>4685</v>
      </c>
      <c r="E560" s="10" t="s">
        <v>4683</v>
      </c>
      <c r="F560" s="10" t="s">
        <v>4683</v>
      </c>
      <c r="G560" s="10" t="s">
        <v>4683</v>
      </c>
      <c r="H560" s="14">
        <v>0</v>
      </c>
      <c r="I560" s="10" t="s">
        <v>4683</v>
      </c>
      <c r="J560" s="10" t="str">
        <f t="shared" si="3"/>
        <v>normalweight</v>
      </c>
      <c r="L560" s="30" t="e">
        <v>#N/A</v>
      </c>
    </row>
    <row r="561" spans="1:12" ht="15.75" customHeight="1" x14ac:dyDescent="0.3">
      <c r="A561" s="10" t="s">
        <v>3554</v>
      </c>
      <c r="B561" s="10">
        <v>49.09</v>
      </c>
      <c r="C561" s="10">
        <v>8.3800000000000008</v>
      </c>
      <c r="D561" s="16" t="s">
        <v>4682</v>
      </c>
      <c r="E561" s="10" t="s">
        <v>4684</v>
      </c>
      <c r="F561" s="10" t="s">
        <v>4683</v>
      </c>
      <c r="G561" s="10" t="s">
        <v>4683</v>
      </c>
      <c r="H561" s="14">
        <v>2</v>
      </c>
      <c r="I561" s="10" t="s">
        <v>4683</v>
      </c>
      <c r="J561" s="10" t="str">
        <f t="shared" si="3"/>
        <v>normalweight</v>
      </c>
      <c r="L561" s="30" t="e">
        <v>#N/A</v>
      </c>
    </row>
    <row r="562" spans="1:12" ht="15.75" customHeight="1" x14ac:dyDescent="0.3">
      <c r="A562" s="10" t="s">
        <v>3552</v>
      </c>
      <c r="B562" s="10">
        <v>28.024999999999999</v>
      </c>
      <c r="C562" s="10">
        <v>7.03</v>
      </c>
      <c r="D562" s="16" t="s">
        <v>4682</v>
      </c>
      <c r="E562" s="10" t="s">
        <v>4683</v>
      </c>
      <c r="F562" s="10" t="s">
        <v>4683</v>
      </c>
      <c r="G562" s="10" t="s">
        <v>4683</v>
      </c>
      <c r="H562" s="14">
        <v>0</v>
      </c>
      <c r="I562" s="10" t="s">
        <v>4684</v>
      </c>
      <c r="J562" s="10" t="str">
        <f t="shared" si="3"/>
        <v>normalweight</v>
      </c>
      <c r="L562" s="30" t="e">
        <v>#N/A</v>
      </c>
    </row>
    <row r="563" spans="1:12" ht="15.75" customHeight="1" x14ac:dyDescent="0.3">
      <c r="A563" s="10" t="s">
        <v>3550</v>
      </c>
      <c r="B563" s="10">
        <v>43.32</v>
      </c>
      <c r="C563" s="10">
        <v>8.75</v>
      </c>
      <c r="D563" s="16" t="s">
        <v>4682</v>
      </c>
      <c r="E563" s="10" t="s">
        <v>4684</v>
      </c>
      <c r="F563" s="10" t="s">
        <v>4683</v>
      </c>
      <c r="G563" s="10" t="s">
        <v>4686</v>
      </c>
      <c r="H563" s="14">
        <v>1</v>
      </c>
      <c r="I563" s="10" t="s">
        <v>4683</v>
      </c>
      <c r="J563" s="10" t="str">
        <f t="shared" si="3"/>
        <v>normalweight</v>
      </c>
      <c r="L563" s="30" t="e">
        <v>#N/A</v>
      </c>
    </row>
    <row r="564" spans="1:12" ht="15.75" customHeight="1" x14ac:dyDescent="0.3">
      <c r="A564" s="10" t="s">
        <v>3548</v>
      </c>
      <c r="B564" s="10">
        <v>45.92</v>
      </c>
      <c r="C564" s="10">
        <v>9.51</v>
      </c>
      <c r="D564" s="16" t="s">
        <v>4682</v>
      </c>
      <c r="E564" s="10" t="s">
        <v>4683</v>
      </c>
      <c r="F564" s="10" t="s">
        <v>4683</v>
      </c>
      <c r="G564" s="10" t="s">
        <v>4683</v>
      </c>
      <c r="H564" s="14">
        <v>0</v>
      </c>
      <c r="I564" s="10" t="s">
        <v>4683</v>
      </c>
      <c r="J564" s="10" t="str">
        <f t="shared" si="3"/>
        <v>normalweight</v>
      </c>
      <c r="L564" s="30" t="e">
        <v>#N/A</v>
      </c>
    </row>
    <row r="565" spans="1:12" ht="15.75" customHeight="1" x14ac:dyDescent="0.3">
      <c r="A565" s="10" t="s">
        <v>3546</v>
      </c>
      <c r="B565" s="10">
        <v>44.03</v>
      </c>
      <c r="C565" s="10">
        <v>9.36</v>
      </c>
      <c r="D565" s="16" t="s">
        <v>4682</v>
      </c>
      <c r="E565" s="10" t="s">
        <v>4683</v>
      </c>
      <c r="F565" s="10" t="s">
        <v>4683</v>
      </c>
      <c r="G565" s="10" t="s">
        <v>4683</v>
      </c>
      <c r="H565" s="14">
        <v>0</v>
      </c>
      <c r="I565" s="10" t="s">
        <v>4683</v>
      </c>
      <c r="J565" s="10" t="str">
        <f t="shared" si="3"/>
        <v>normalweight</v>
      </c>
      <c r="L565" s="30" t="e">
        <v>#N/A</v>
      </c>
    </row>
    <row r="566" spans="1:12" ht="15.75" customHeight="1" x14ac:dyDescent="0.3">
      <c r="A566" s="10" t="s">
        <v>3544</v>
      </c>
      <c r="B566" s="10">
        <v>24.6</v>
      </c>
      <c r="C566" s="10">
        <v>4.8099999999999996</v>
      </c>
      <c r="D566" s="10" t="s">
        <v>4685</v>
      </c>
      <c r="E566" s="10" t="s">
        <v>4683</v>
      </c>
      <c r="F566" s="10" t="s">
        <v>4683</v>
      </c>
      <c r="G566" s="10" t="s">
        <v>4683</v>
      </c>
      <c r="H566" s="14">
        <v>0</v>
      </c>
      <c r="I566" s="10" t="s">
        <v>4684</v>
      </c>
      <c r="J566" s="10" t="str">
        <f t="shared" si="3"/>
        <v>normalweight</v>
      </c>
      <c r="L566" s="30" t="e">
        <v>#N/A</v>
      </c>
    </row>
    <row r="567" spans="1:12" ht="15.75" customHeight="1" x14ac:dyDescent="0.3">
      <c r="A567" s="10" t="s">
        <v>3542</v>
      </c>
      <c r="B567" s="10">
        <v>49.15</v>
      </c>
      <c r="C567" s="10">
        <v>8.08</v>
      </c>
      <c r="D567" s="16" t="s">
        <v>4682</v>
      </c>
      <c r="E567" s="10" t="s">
        <v>4683</v>
      </c>
      <c r="F567" s="10" t="s">
        <v>4683</v>
      </c>
      <c r="G567" s="10" t="s">
        <v>4683</v>
      </c>
      <c r="H567" s="14">
        <v>0</v>
      </c>
      <c r="I567" s="10" t="s">
        <v>4683</v>
      </c>
      <c r="J567" s="10" t="str">
        <f t="shared" si="3"/>
        <v>normalweight</v>
      </c>
      <c r="L567" s="30" t="e">
        <v>#N/A</v>
      </c>
    </row>
    <row r="568" spans="1:12" ht="15.75" customHeight="1" x14ac:dyDescent="0.3">
      <c r="A568" s="10" t="s">
        <v>3540</v>
      </c>
      <c r="B568" s="10">
        <v>28.31</v>
      </c>
      <c r="C568" s="10">
        <v>6.29</v>
      </c>
      <c r="D568" s="10" t="s">
        <v>4685</v>
      </c>
      <c r="E568" s="10" t="s">
        <v>4683</v>
      </c>
      <c r="F568" s="10" t="s">
        <v>4683</v>
      </c>
      <c r="G568" s="10" t="s">
        <v>4686</v>
      </c>
      <c r="H568" s="14">
        <v>1</v>
      </c>
      <c r="I568" s="10" t="s">
        <v>4684</v>
      </c>
      <c r="J568" s="10" t="str">
        <f t="shared" si="3"/>
        <v>normalweight</v>
      </c>
      <c r="L568" s="30" t="e">
        <v>#N/A</v>
      </c>
    </row>
    <row r="569" spans="1:12" ht="15.75" customHeight="1" x14ac:dyDescent="0.3">
      <c r="A569" s="10" t="s">
        <v>3538</v>
      </c>
      <c r="B569" s="10">
        <v>22.99</v>
      </c>
      <c r="C569" s="10">
        <v>6.29</v>
      </c>
      <c r="D569" s="10" t="s">
        <v>4685</v>
      </c>
      <c r="E569" s="10" t="s">
        <v>4683</v>
      </c>
      <c r="F569" s="10" t="s">
        <v>4683</v>
      </c>
      <c r="G569" s="10" t="s">
        <v>4683</v>
      </c>
      <c r="H569" s="14">
        <v>1</v>
      </c>
      <c r="I569" s="10" t="s">
        <v>4684</v>
      </c>
      <c r="J569" s="10" t="str">
        <f t="shared" si="3"/>
        <v>normalweight</v>
      </c>
      <c r="L569" s="30" t="e">
        <v>#N/A</v>
      </c>
    </row>
    <row r="570" spans="1:12" ht="15.75" customHeight="1" x14ac:dyDescent="0.3">
      <c r="A570" s="10" t="s">
        <v>3536</v>
      </c>
      <c r="B570" s="10">
        <v>29.07</v>
      </c>
      <c r="C570" s="10">
        <v>5.12</v>
      </c>
      <c r="D570" s="10" t="s">
        <v>4685</v>
      </c>
      <c r="E570" s="10" t="s">
        <v>4683</v>
      </c>
      <c r="F570" s="10" t="s">
        <v>4683</v>
      </c>
      <c r="G570" s="10" t="s">
        <v>4686</v>
      </c>
      <c r="H570" s="14">
        <v>1</v>
      </c>
      <c r="I570" s="10" t="s">
        <v>4684</v>
      </c>
      <c r="J570" s="10" t="str">
        <f t="shared" si="3"/>
        <v>normalweight</v>
      </c>
      <c r="L570" s="30" t="e">
        <v>#N/A</v>
      </c>
    </row>
    <row r="571" spans="1:12" ht="15.75" customHeight="1" x14ac:dyDescent="0.3">
      <c r="A571" s="10" t="s">
        <v>3534</v>
      </c>
      <c r="B571" s="10">
        <v>42.02</v>
      </c>
      <c r="C571" s="10">
        <v>9.9499999999999993</v>
      </c>
      <c r="D571" s="16" t="s">
        <v>4682</v>
      </c>
      <c r="E571" s="10" t="s">
        <v>4684</v>
      </c>
      <c r="F571" s="10" t="s">
        <v>4683</v>
      </c>
      <c r="G571" s="10" t="s">
        <v>4686</v>
      </c>
      <c r="H571" s="14">
        <v>1</v>
      </c>
      <c r="I571" s="10" t="s">
        <v>4683</v>
      </c>
      <c r="J571" s="10" t="str">
        <f t="shared" si="3"/>
        <v>normalweight</v>
      </c>
      <c r="L571" s="30" t="e">
        <v>#N/A</v>
      </c>
    </row>
    <row r="572" spans="1:12" ht="15.75" customHeight="1" x14ac:dyDescent="0.3">
      <c r="A572" s="10" t="s">
        <v>3532</v>
      </c>
      <c r="B572" s="10">
        <v>49.07</v>
      </c>
      <c r="C572" s="10">
        <v>9.08</v>
      </c>
      <c r="D572" s="16" t="s">
        <v>4682</v>
      </c>
      <c r="E572" s="10" t="s">
        <v>4684</v>
      </c>
      <c r="F572" s="10" t="s">
        <v>4683</v>
      </c>
      <c r="G572" s="10" t="s">
        <v>4683</v>
      </c>
      <c r="H572" s="14">
        <v>1</v>
      </c>
      <c r="I572" s="10" t="s">
        <v>4683</v>
      </c>
      <c r="J572" s="10" t="str">
        <f t="shared" si="3"/>
        <v>normalweight</v>
      </c>
      <c r="L572" s="30" t="e">
        <v>#N/A</v>
      </c>
    </row>
    <row r="573" spans="1:12" ht="15.75" customHeight="1" x14ac:dyDescent="0.3">
      <c r="A573" s="10" t="s">
        <v>3530</v>
      </c>
      <c r="B573" s="10">
        <v>19.8</v>
      </c>
      <c r="C573" s="10">
        <v>4.82</v>
      </c>
      <c r="D573" s="10" t="s">
        <v>4685</v>
      </c>
      <c r="E573" s="10" t="s">
        <v>4683</v>
      </c>
      <c r="F573" s="10" t="s">
        <v>4683</v>
      </c>
      <c r="G573" s="10" t="s">
        <v>4683</v>
      </c>
      <c r="H573" s="14">
        <v>0</v>
      </c>
      <c r="I573" s="10" t="s">
        <v>4684</v>
      </c>
      <c r="J573" s="10" t="str">
        <f t="shared" si="3"/>
        <v>normalweight</v>
      </c>
      <c r="L573" s="30" t="e">
        <v>#N/A</v>
      </c>
    </row>
    <row r="574" spans="1:12" ht="15.75" customHeight="1" x14ac:dyDescent="0.3">
      <c r="A574" s="10" t="s">
        <v>3528</v>
      </c>
      <c r="B574" s="10">
        <v>27.36</v>
      </c>
      <c r="C574" s="10">
        <v>4.6500000000000004</v>
      </c>
      <c r="D574" s="10" t="s">
        <v>4685</v>
      </c>
      <c r="E574" s="10" t="s">
        <v>4683</v>
      </c>
      <c r="F574" s="10" t="s">
        <v>4684</v>
      </c>
      <c r="G574" s="10" t="s">
        <v>4683</v>
      </c>
      <c r="H574" s="14">
        <v>1</v>
      </c>
      <c r="I574" s="10" t="s">
        <v>4684</v>
      </c>
      <c r="J574" s="10" t="str">
        <f t="shared" si="3"/>
        <v>normalweight</v>
      </c>
      <c r="L574" s="30" t="e">
        <v>#N/A</v>
      </c>
    </row>
    <row r="575" spans="1:12" ht="15.75" customHeight="1" x14ac:dyDescent="0.3">
      <c r="A575" s="10" t="s">
        <v>3526</v>
      </c>
      <c r="B575" s="10">
        <v>42.95</v>
      </c>
      <c r="C575" s="10">
        <v>5.16</v>
      </c>
      <c r="D575" s="10" t="s">
        <v>4685</v>
      </c>
      <c r="E575" s="10" t="s">
        <v>4684</v>
      </c>
      <c r="F575" s="10" t="s">
        <v>4683</v>
      </c>
      <c r="G575" s="10" t="s">
        <v>4683</v>
      </c>
      <c r="H575" s="14">
        <v>1</v>
      </c>
      <c r="I575" s="10" t="s">
        <v>4683</v>
      </c>
      <c r="J575" s="10" t="str">
        <f t="shared" si="3"/>
        <v>normalweight</v>
      </c>
      <c r="L575" s="30" t="e">
        <v>#N/A</v>
      </c>
    </row>
    <row r="576" spans="1:12" ht="15.75" customHeight="1" x14ac:dyDescent="0.3">
      <c r="A576" s="10" t="s">
        <v>3524</v>
      </c>
      <c r="B576" s="10">
        <v>42.66</v>
      </c>
      <c r="C576" s="10">
        <v>10.44</v>
      </c>
      <c r="D576" s="16" t="s">
        <v>4682</v>
      </c>
      <c r="E576" s="10" t="s">
        <v>4683</v>
      </c>
      <c r="F576" s="10" t="s">
        <v>4683</v>
      </c>
      <c r="G576" s="10" t="s">
        <v>4683</v>
      </c>
      <c r="H576" s="14">
        <v>0</v>
      </c>
      <c r="I576" s="10" t="s">
        <v>4683</v>
      </c>
      <c r="J576" s="10" t="str">
        <f t="shared" si="3"/>
        <v>normalweight</v>
      </c>
      <c r="L576" s="30" t="e">
        <v>#N/A</v>
      </c>
    </row>
    <row r="577" spans="1:12" ht="15.75" customHeight="1" x14ac:dyDescent="0.3">
      <c r="A577" s="10" t="s">
        <v>3522</v>
      </c>
      <c r="B577" s="10">
        <v>33.630000000000003</v>
      </c>
      <c r="C577" s="10">
        <v>5.69</v>
      </c>
      <c r="D577" s="10" t="s">
        <v>4685</v>
      </c>
      <c r="E577" s="10" t="s">
        <v>4683</v>
      </c>
      <c r="F577" s="10" t="s">
        <v>4683</v>
      </c>
      <c r="G577" s="10" t="s">
        <v>4683</v>
      </c>
      <c r="H577" s="14">
        <v>1</v>
      </c>
      <c r="I577" s="10" t="s">
        <v>4683</v>
      </c>
      <c r="J577" s="10" t="str">
        <f t="shared" si="3"/>
        <v>normalweight</v>
      </c>
      <c r="L577" s="30" t="e">
        <v>#N/A</v>
      </c>
    </row>
    <row r="578" spans="1:12" ht="15.75" customHeight="1" x14ac:dyDescent="0.3">
      <c r="A578" s="10" t="s">
        <v>3520</v>
      </c>
      <c r="B578" s="10">
        <v>26.84</v>
      </c>
      <c r="C578" s="10">
        <v>6.5</v>
      </c>
      <c r="D578" s="10" t="s">
        <v>4685</v>
      </c>
      <c r="E578" s="10" t="s">
        <v>4683</v>
      </c>
      <c r="F578" s="10" t="s">
        <v>4683</v>
      </c>
      <c r="G578" s="10" t="s">
        <v>4683</v>
      </c>
      <c r="H578" s="14">
        <v>0</v>
      </c>
      <c r="I578" s="10" t="s">
        <v>4684</v>
      </c>
      <c r="J578" s="10" t="str">
        <f t="shared" si="3"/>
        <v>normalweight</v>
      </c>
      <c r="L578" s="30" t="e">
        <v>#N/A</v>
      </c>
    </row>
    <row r="579" spans="1:12" ht="15.75" customHeight="1" x14ac:dyDescent="0.3">
      <c r="A579" s="10" t="s">
        <v>3518</v>
      </c>
      <c r="B579" s="10">
        <v>28.3</v>
      </c>
      <c r="C579" s="10">
        <v>5.73</v>
      </c>
      <c r="D579" s="10" t="s">
        <v>4685</v>
      </c>
      <c r="E579" s="10" t="s">
        <v>4683</v>
      </c>
      <c r="F579" s="10" t="s">
        <v>4683</v>
      </c>
      <c r="G579" s="10" t="s">
        <v>4686</v>
      </c>
      <c r="H579" s="14">
        <v>1</v>
      </c>
      <c r="I579" s="10" t="s">
        <v>4684</v>
      </c>
      <c r="J579" s="10" t="str">
        <f t="shared" si="3"/>
        <v>normalweight</v>
      </c>
      <c r="L579" s="30" t="e">
        <v>#N/A</v>
      </c>
    </row>
    <row r="580" spans="1:12" ht="15.75" customHeight="1" x14ac:dyDescent="0.3">
      <c r="A580" s="10" t="s">
        <v>3516</v>
      </c>
      <c r="B580" s="10">
        <v>27.06</v>
      </c>
      <c r="C580" s="10">
        <v>5.74</v>
      </c>
      <c r="D580" s="10" t="s">
        <v>4685</v>
      </c>
      <c r="E580" s="10" t="s">
        <v>4684</v>
      </c>
      <c r="F580" s="10" t="s">
        <v>4683</v>
      </c>
      <c r="G580" s="10" t="s">
        <v>4683</v>
      </c>
      <c r="H580" s="14">
        <v>0</v>
      </c>
      <c r="I580" s="10" t="s">
        <v>4684</v>
      </c>
      <c r="J580" s="10" t="str">
        <f t="shared" si="3"/>
        <v>normalweight</v>
      </c>
      <c r="L580" s="30" t="e">
        <v>#N/A</v>
      </c>
    </row>
    <row r="581" spans="1:12" ht="15.75" customHeight="1" x14ac:dyDescent="0.3">
      <c r="A581" s="10" t="s">
        <v>3514</v>
      </c>
      <c r="B581" s="10">
        <v>47.13</v>
      </c>
      <c r="C581" s="10">
        <v>8.6999999999999993</v>
      </c>
      <c r="D581" s="16" t="s">
        <v>4682</v>
      </c>
      <c r="E581" s="10" t="s">
        <v>4683</v>
      </c>
      <c r="F581" s="10" t="s">
        <v>4683</v>
      </c>
      <c r="G581" s="10" t="s">
        <v>4683</v>
      </c>
      <c r="H581" s="14">
        <v>0</v>
      </c>
      <c r="I581" s="10" t="s">
        <v>4683</v>
      </c>
      <c r="J581" s="10" t="str">
        <f t="shared" si="3"/>
        <v>normalweight</v>
      </c>
      <c r="L581" s="30" t="e">
        <v>#N/A</v>
      </c>
    </row>
    <row r="582" spans="1:12" ht="15.75" customHeight="1" x14ac:dyDescent="0.3">
      <c r="A582" s="10" t="s">
        <v>3512</v>
      </c>
      <c r="B582" s="10">
        <v>51.72</v>
      </c>
      <c r="C582" s="10">
        <v>5.09</v>
      </c>
      <c r="D582" s="10" t="s">
        <v>4685</v>
      </c>
      <c r="E582" s="10" t="s">
        <v>4683</v>
      </c>
      <c r="F582" s="10" t="s">
        <v>4683</v>
      </c>
      <c r="G582" s="10" t="s">
        <v>4683</v>
      </c>
      <c r="H582" s="14">
        <v>0</v>
      </c>
      <c r="I582" s="10" t="s">
        <v>4683</v>
      </c>
      <c r="J582" s="10" t="str">
        <f t="shared" si="3"/>
        <v>normalweight</v>
      </c>
      <c r="L582" s="30" t="e">
        <v>#N/A</v>
      </c>
    </row>
    <row r="583" spans="1:12" ht="15.75" customHeight="1" x14ac:dyDescent="0.3">
      <c r="A583" s="10" t="s">
        <v>3510</v>
      </c>
      <c r="B583" s="10">
        <v>48.59</v>
      </c>
      <c r="C583" s="10">
        <v>5.57</v>
      </c>
      <c r="D583" s="10" t="s">
        <v>4685</v>
      </c>
      <c r="E583" s="10" t="s">
        <v>4683</v>
      </c>
      <c r="F583" s="10" t="s">
        <v>4683</v>
      </c>
      <c r="G583" s="10" t="s">
        <v>4683</v>
      </c>
      <c r="H583" s="14">
        <v>0</v>
      </c>
      <c r="I583" s="10" t="s">
        <v>4683</v>
      </c>
      <c r="J583" s="10" t="str">
        <f t="shared" si="3"/>
        <v>normalweight</v>
      </c>
      <c r="L583" s="30" t="e">
        <v>#N/A</v>
      </c>
    </row>
    <row r="584" spans="1:12" ht="15.75" customHeight="1" x14ac:dyDescent="0.3">
      <c r="A584" s="10" t="s">
        <v>3508</v>
      </c>
      <c r="B584" s="10">
        <v>45.18</v>
      </c>
      <c r="C584" s="10">
        <v>10.87</v>
      </c>
      <c r="D584" s="16" t="s">
        <v>4682</v>
      </c>
      <c r="E584" s="10" t="s">
        <v>4683</v>
      </c>
      <c r="F584" s="10" t="s">
        <v>4683</v>
      </c>
      <c r="G584" s="10" t="s">
        <v>4683</v>
      </c>
      <c r="H584" s="14">
        <v>0</v>
      </c>
      <c r="I584" s="10" t="s">
        <v>4683</v>
      </c>
      <c r="J584" s="10" t="str">
        <f t="shared" si="3"/>
        <v>normalweight</v>
      </c>
      <c r="L584" s="30" t="e">
        <v>#N/A</v>
      </c>
    </row>
    <row r="585" spans="1:12" ht="15.75" customHeight="1" x14ac:dyDescent="0.3">
      <c r="A585" s="10" t="s">
        <v>3506</v>
      </c>
      <c r="B585" s="10">
        <v>27.9</v>
      </c>
      <c r="C585" s="10">
        <v>6.02</v>
      </c>
      <c r="D585" s="10" t="s">
        <v>4685</v>
      </c>
      <c r="E585" s="10" t="s">
        <v>4683</v>
      </c>
      <c r="F585" s="10" t="s">
        <v>4683</v>
      </c>
      <c r="G585" s="10" t="s">
        <v>4686</v>
      </c>
      <c r="H585" s="14">
        <v>1</v>
      </c>
      <c r="I585" s="10" t="s">
        <v>4684</v>
      </c>
      <c r="J585" s="10" t="str">
        <f t="shared" si="3"/>
        <v>normalweight</v>
      </c>
      <c r="L585" s="30" t="e">
        <v>#N/A</v>
      </c>
    </row>
    <row r="586" spans="1:12" ht="15.75" customHeight="1" x14ac:dyDescent="0.3">
      <c r="A586" s="10" t="s">
        <v>3504</v>
      </c>
      <c r="B586" s="10">
        <v>51.33</v>
      </c>
      <c r="C586" s="10">
        <v>7</v>
      </c>
      <c r="D586" s="16" t="s">
        <v>4682</v>
      </c>
      <c r="E586" s="10" t="s">
        <v>4683</v>
      </c>
      <c r="F586" s="10" t="s">
        <v>4683</v>
      </c>
      <c r="G586" s="10" t="s">
        <v>4683</v>
      </c>
      <c r="H586" s="14">
        <v>0</v>
      </c>
      <c r="I586" s="10" t="s">
        <v>4683</v>
      </c>
      <c r="J586" s="10" t="str">
        <f t="shared" si="3"/>
        <v>normalweight</v>
      </c>
      <c r="L586" s="30" t="e">
        <v>#N/A</v>
      </c>
    </row>
    <row r="587" spans="1:12" ht="15.75" customHeight="1" x14ac:dyDescent="0.3">
      <c r="A587" s="10" t="s">
        <v>3502</v>
      </c>
      <c r="B587" s="10">
        <v>30.59</v>
      </c>
      <c r="C587" s="10">
        <v>5.56</v>
      </c>
      <c r="D587" s="10" t="s">
        <v>4685</v>
      </c>
      <c r="E587" s="10" t="s">
        <v>4684</v>
      </c>
      <c r="F587" s="10" t="s">
        <v>4683</v>
      </c>
      <c r="G587" s="10" t="s">
        <v>4683</v>
      </c>
      <c r="H587" s="14">
        <v>1</v>
      </c>
      <c r="I587" s="10" t="s">
        <v>4683</v>
      </c>
      <c r="J587" s="10" t="str">
        <f t="shared" si="3"/>
        <v>normalweight</v>
      </c>
      <c r="L587" s="30" t="e">
        <v>#N/A</v>
      </c>
    </row>
    <row r="588" spans="1:12" ht="15.75" customHeight="1" x14ac:dyDescent="0.3">
      <c r="A588" s="10" t="s">
        <v>3500</v>
      </c>
      <c r="B588" s="10">
        <v>39.229999999999997</v>
      </c>
      <c r="C588" s="10">
        <v>8.4499999999999993</v>
      </c>
      <c r="D588" s="16" t="s">
        <v>4682</v>
      </c>
      <c r="E588" s="10" t="s">
        <v>4683</v>
      </c>
      <c r="F588" s="10" t="s">
        <v>4683</v>
      </c>
      <c r="G588" s="10" t="s">
        <v>4683</v>
      </c>
      <c r="H588" s="14">
        <v>0</v>
      </c>
      <c r="I588" s="10" t="s">
        <v>4683</v>
      </c>
      <c r="J588" s="10" t="str">
        <f t="shared" si="3"/>
        <v>normalweight</v>
      </c>
      <c r="L588" s="30" t="e">
        <v>#N/A</v>
      </c>
    </row>
    <row r="589" spans="1:12" ht="15.75" customHeight="1" x14ac:dyDescent="0.3">
      <c r="A589" s="10" t="s">
        <v>3498</v>
      </c>
      <c r="B589" s="10">
        <v>19.094999999999999</v>
      </c>
      <c r="C589" s="10">
        <v>6.19</v>
      </c>
      <c r="D589" s="10" t="s">
        <v>4685</v>
      </c>
      <c r="E589" s="10" t="s">
        <v>4683</v>
      </c>
      <c r="F589" s="10" t="s">
        <v>4683</v>
      </c>
      <c r="G589" s="10" t="s">
        <v>4683</v>
      </c>
      <c r="H589" s="14">
        <v>0</v>
      </c>
      <c r="I589" s="10" t="s">
        <v>4684</v>
      </c>
      <c r="J589" s="10" t="str">
        <f t="shared" si="3"/>
        <v>normalweight</v>
      </c>
      <c r="L589" s="30" t="e">
        <v>#N/A</v>
      </c>
    </row>
    <row r="590" spans="1:12" ht="15.75" customHeight="1" x14ac:dyDescent="0.3">
      <c r="A590" s="10" t="s">
        <v>3496</v>
      </c>
      <c r="B590" s="10">
        <v>49.72</v>
      </c>
      <c r="C590" s="10">
        <v>7.71</v>
      </c>
      <c r="D590" s="16" t="s">
        <v>4682</v>
      </c>
      <c r="E590" s="10" t="s">
        <v>4683</v>
      </c>
      <c r="F590" s="10" t="s">
        <v>4683</v>
      </c>
      <c r="G590" s="10" t="s">
        <v>4683</v>
      </c>
      <c r="H590" s="14">
        <v>0</v>
      </c>
      <c r="I590" s="10" t="s">
        <v>4683</v>
      </c>
      <c r="J590" s="10" t="str">
        <f t="shared" si="3"/>
        <v>normalweight</v>
      </c>
      <c r="L590" s="30" t="e">
        <v>#N/A</v>
      </c>
    </row>
    <row r="591" spans="1:12" ht="15.75" customHeight="1" x14ac:dyDescent="0.3">
      <c r="A591" s="10" t="s">
        <v>3494</v>
      </c>
      <c r="B591" s="10">
        <v>21.754999999999999</v>
      </c>
      <c r="C591" s="10">
        <v>4.63</v>
      </c>
      <c r="D591" s="10" t="s">
        <v>4685</v>
      </c>
      <c r="E591" s="10" t="s">
        <v>4683</v>
      </c>
      <c r="F591" s="10" t="s">
        <v>4683</v>
      </c>
      <c r="G591" s="10" t="s">
        <v>4686</v>
      </c>
      <c r="H591" s="14">
        <v>1</v>
      </c>
      <c r="I591" s="10" t="s">
        <v>4684</v>
      </c>
      <c r="J591" s="10" t="str">
        <f t="shared" si="3"/>
        <v>normalweight</v>
      </c>
      <c r="L591" s="30" t="e">
        <v>#N/A</v>
      </c>
    </row>
    <row r="592" spans="1:12" ht="15.75" customHeight="1" x14ac:dyDescent="0.3">
      <c r="A592" s="10" t="s">
        <v>3492</v>
      </c>
      <c r="B592" s="10">
        <v>48.39</v>
      </c>
      <c r="C592" s="10">
        <v>4.6100000000000003</v>
      </c>
      <c r="D592" s="10" t="s">
        <v>4685</v>
      </c>
      <c r="E592" s="10" t="s">
        <v>4683</v>
      </c>
      <c r="F592" s="10" t="s">
        <v>4683</v>
      </c>
      <c r="G592" s="10" t="s">
        <v>4683</v>
      </c>
      <c r="H592" s="14">
        <v>0</v>
      </c>
      <c r="I592" s="10" t="s">
        <v>4683</v>
      </c>
      <c r="J592" s="10" t="str">
        <f t="shared" si="3"/>
        <v>normalweight</v>
      </c>
      <c r="L592" s="30" t="e">
        <v>#N/A</v>
      </c>
    </row>
    <row r="593" spans="1:12" ht="15.75" customHeight="1" x14ac:dyDescent="0.3">
      <c r="A593" s="10" t="s">
        <v>3490</v>
      </c>
      <c r="B593" s="10">
        <v>47.15</v>
      </c>
      <c r="C593" s="10">
        <v>9.5299999999999994</v>
      </c>
      <c r="D593" s="16" t="s">
        <v>4682</v>
      </c>
      <c r="E593" s="10" t="s">
        <v>4684</v>
      </c>
      <c r="F593" s="10" t="s">
        <v>4683</v>
      </c>
      <c r="G593" s="10" t="s">
        <v>4683</v>
      </c>
      <c r="H593" s="14">
        <v>1</v>
      </c>
      <c r="I593" s="10" t="s">
        <v>4683</v>
      </c>
      <c r="J593" s="10" t="str">
        <f t="shared" si="3"/>
        <v>normalweight</v>
      </c>
      <c r="L593" s="30" t="e">
        <v>#N/A</v>
      </c>
    </row>
    <row r="594" spans="1:12" ht="15.75" customHeight="1" x14ac:dyDescent="0.3">
      <c r="A594" s="10" t="s">
        <v>3488</v>
      </c>
      <c r="B594" s="10">
        <v>47.59</v>
      </c>
      <c r="C594" s="10">
        <v>11.43</v>
      </c>
      <c r="D594" s="16" t="s">
        <v>4682</v>
      </c>
      <c r="E594" s="10" t="s">
        <v>4684</v>
      </c>
      <c r="F594" s="10" t="s">
        <v>4683</v>
      </c>
      <c r="G594" s="10" t="s">
        <v>4683</v>
      </c>
      <c r="H594" s="14">
        <v>2</v>
      </c>
      <c r="I594" s="10" t="s">
        <v>4683</v>
      </c>
      <c r="J594" s="10" t="str">
        <f t="shared" si="3"/>
        <v>normalweight</v>
      </c>
      <c r="L594" s="30" t="e">
        <v>#N/A</v>
      </c>
    </row>
    <row r="595" spans="1:12" ht="15.75" customHeight="1" x14ac:dyDescent="0.3">
      <c r="A595" s="10" t="s">
        <v>3486</v>
      </c>
      <c r="B595" s="10">
        <v>39.81</v>
      </c>
      <c r="C595" s="10">
        <v>7.65</v>
      </c>
      <c r="D595" s="16" t="s">
        <v>4682</v>
      </c>
      <c r="E595" s="10" t="s">
        <v>4684</v>
      </c>
      <c r="F595" s="10" t="s">
        <v>4683</v>
      </c>
      <c r="G595" s="10" t="s">
        <v>4686</v>
      </c>
      <c r="H595" s="14">
        <v>1</v>
      </c>
      <c r="I595" s="10" t="s">
        <v>4683</v>
      </c>
      <c r="J595" s="10" t="str">
        <f t="shared" si="3"/>
        <v>normalweight</v>
      </c>
      <c r="L595" s="30" t="e">
        <v>#N/A</v>
      </c>
    </row>
    <row r="596" spans="1:12" ht="15.75" customHeight="1" x14ac:dyDescent="0.3">
      <c r="A596" s="10" t="s">
        <v>3484</v>
      </c>
      <c r="B596" s="10">
        <v>31.02</v>
      </c>
      <c r="C596" s="10">
        <v>5.87</v>
      </c>
      <c r="D596" s="10" t="s">
        <v>4685</v>
      </c>
      <c r="E596" s="10" t="s">
        <v>4684</v>
      </c>
      <c r="F596" s="10" t="s">
        <v>4683</v>
      </c>
      <c r="G596" s="10" t="s">
        <v>4683</v>
      </c>
      <c r="H596" s="14">
        <v>0</v>
      </c>
      <c r="I596" s="10" t="s">
        <v>4683</v>
      </c>
      <c r="J596" s="10" t="str">
        <f t="shared" si="3"/>
        <v>normalweight</v>
      </c>
      <c r="L596" s="30" t="e">
        <v>#N/A</v>
      </c>
    </row>
    <row r="597" spans="1:12" ht="15.75" customHeight="1" x14ac:dyDescent="0.3">
      <c r="A597" s="10" t="s">
        <v>3482</v>
      </c>
      <c r="B597" s="10">
        <v>24.75</v>
      </c>
      <c r="C597" s="10">
        <v>4.3600000000000003</v>
      </c>
      <c r="D597" s="10" t="s">
        <v>4685</v>
      </c>
      <c r="E597" s="10" t="s">
        <v>4684</v>
      </c>
      <c r="F597" s="10" t="s">
        <v>4683</v>
      </c>
      <c r="G597" s="10" t="s">
        <v>4683</v>
      </c>
      <c r="H597" s="14">
        <v>1</v>
      </c>
      <c r="I597" s="10" t="s">
        <v>4684</v>
      </c>
      <c r="J597" s="10" t="str">
        <f t="shared" si="3"/>
        <v>normalweight</v>
      </c>
      <c r="L597" s="30" t="e">
        <v>#N/A</v>
      </c>
    </row>
    <row r="598" spans="1:12" ht="15.75" customHeight="1" x14ac:dyDescent="0.3">
      <c r="A598" s="10" t="s">
        <v>3480</v>
      </c>
      <c r="B598" s="10">
        <v>30.114999999999998</v>
      </c>
      <c r="C598" s="10">
        <v>10.119999999999999</v>
      </c>
      <c r="D598" s="16" t="s">
        <v>4682</v>
      </c>
      <c r="E598" s="10" t="s">
        <v>4683</v>
      </c>
      <c r="F598" s="10" t="s">
        <v>4683</v>
      </c>
      <c r="G598" s="10" t="s">
        <v>4683</v>
      </c>
      <c r="H598" s="14">
        <v>3</v>
      </c>
      <c r="I598" s="10" t="s">
        <v>4683</v>
      </c>
      <c r="J598" s="10" t="str">
        <f t="shared" si="3"/>
        <v>normalweight</v>
      </c>
      <c r="L598" s="30" t="e">
        <v>#N/A</v>
      </c>
    </row>
    <row r="599" spans="1:12" ht="15.75" customHeight="1" x14ac:dyDescent="0.3">
      <c r="A599" s="10" t="s">
        <v>3478</v>
      </c>
      <c r="B599" s="10">
        <v>26.03</v>
      </c>
      <c r="C599" s="10">
        <v>4.01</v>
      </c>
      <c r="D599" s="10" t="s">
        <v>4685</v>
      </c>
      <c r="E599" s="10" t="s">
        <v>4683</v>
      </c>
      <c r="F599" s="10" t="s">
        <v>4683</v>
      </c>
      <c r="G599" s="10" t="s">
        <v>4686</v>
      </c>
      <c r="H599" s="14">
        <v>1</v>
      </c>
      <c r="I599" s="10" t="s">
        <v>4684</v>
      </c>
      <c r="J599" s="10" t="str">
        <f t="shared" si="3"/>
        <v>normalweight</v>
      </c>
      <c r="L599" s="30" t="e">
        <v>#N/A</v>
      </c>
    </row>
    <row r="600" spans="1:12" ht="15.75" customHeight="1" x14ac:dyDescent="0.3">
      <c r="A600" s="10" t="s">
        <v>3476</v>
      </c>
      <c r="B600" s="10">
        <v>20.045000000000002</v>
      </c>
      <c r="C600" s="10">
        <v>4.7699999999999996</v>
      </c>
      <c r="D600" s="10" t="s">
        <v>4685</v>
      </c>
      <c r="E600" s="10" t="s">
        <v>4684</v>
      </c>
      <c r="F600" s="10" t="s">
        <v>4683</v>
      </c>
      <c r="G600" s="10" t="s">
        <v>4683</v>
      </c>
      <c r="H600" s="14">
        <v>1</v>
      </c>
      <c r="I600" s="10" t="s">
        <v>4684</v>
      </c>
      <c r="J600" s="10" t="str">
        <f t="shared" si="3"/>
        <v>normalweight</v>
      </c>
      <c r="L600" s="30" t="e">
        <v>#N/A</v>
      </c>
    </row>
    <row r="601" spans="1:12" ht="15.75" customHeight="1" x14ac:dyDescent="0.3">
      <c r="A601" s="10" t="s">
        <v>3474</v>
      </c>
      <c r="B601" s="10">
        <v>40.24</v>
      </c>
      <c r="C601" s="10">
        <v>6.83</v>
      </c>
      <c r="D601" s="10" t="s">
        <v>4685</v>
      </c>
      <c r="E601" s="10" t="s">
        <v>4683</v>
      </c>
      <c r="F601" s="10" t="s">
        <v>4683</v>
      </c>
      <c r="G601" s="10" t="s">
        <v>4683</v>
      </c>
      <c r="H601" s="14">
        <v>0</v>
      </c>
      <c r="I601" s="10" t="s">
        <v>4683</v>
      </c>
      <c r="J601" s="10" t="str">
        <f t="shared" si="3"/>
        <v>normalweight</v>
      </c>
      <c r="L601" s="30" t="e">
        <v>#N/A</v>
      </c>
    </row>
    <row r="602" spans="1:12" ht="15.75" customHeight="1" x14ac:dyDescent="0.3">
      <c r="A602" s="10" t="s">
        <v>3472</v>
      </c>
      <c r="B602" s="10">
        <v>43.15</v>
      </c>
      <c r="C602" s="10">
        <v>6.14</v>
      </c>
      <c r="D602" s="10" t="s">
        <v>4685</v>
      </c>
      <c r="E602" s="10" t="s">
        <v>4684</v>
      </c>
      <c r="F602" s="10" t="s">
        <v>4683</v>
      </c>
      <c r="G602" s="10" t="s">
        <v>4686</v>
      </c>
      <c r="H602" s="14">
        <v>1</v>
      </c>
      <c r="I602" s="10" t="s">
        <v>4683</v>
      </c>
      <c r="J602" s="10" t="str">
        <f t="shared" si="3"/>
        <v>normalweight</v>
      </c>
      <c r="L602" s="30" t="e">
        <v>#N/A</v>
      </c>
    </row>
    <row r="603" spans="1:12" ht="15.75" customHeight="1" x14ac:dyDescent="0.3">
      <c r="A603" s="10" t="s">
        <v>3470</v>
      </c>
      <c r="B603" s="10">
        <v>27.7</v>
      </c>
      <c r="C603" s="10">
        <v>5.6</v>
      </c>
      <c r="D603" s="10" t="s">
        <v>4685</v>
      </c>
      <c r="E603" s="10" t="s">
        <v>4683</v>
      </c>
      <c r="F603" s="10" t="s">
        <v>4683</v>
      </c>
      <c r="G603" s="10" t="s">
        <v>4686</v>
      </c>
      <c r="H603" s="14">
        <v>1</v>
      </c>
      <c r="I603" s="10" t="s">
        <v>4684</v>
      </c>
      <c r="J603" s="10" t="str">
        <f t="shared" si="3"/>
        <v>normalweight</v>
      </c>
      <c r="L603" s="30" t="e">
        <v>#N/A</v>
      </c>
    </row>
    <row r="604" spans="1:12" ht="15.75" customHeight="1" x14ac:dyDescent="0.3">
      <c r="A604" s="10" t="s">
        <v>3468</v>
      </c>
      <c r="B604" s="10">
        <v>45.68</v>
      </c>
      <c r="C604" s="10">
        <v>4.8</v>
      </c>
      <c r="D604" s="10" t="s">
        <v>4685</v>
      </c>
      <c r="E604" s="10" t="s">
        <v>4683</v>
      </c>
      <c r="F604" s="10" t="s">
        <v>4683</v>
      </c>
      <c r="G604" s="10" t="s">
        <v>4683</v>
      </c>
      <c r="H604" s="14">
        <v>2</v>
      </c>
      <c r="I604" s="10" t="s">
        <v>4683</v>
      </c>
      <c r="J604" s="10" t="str">
        <f t="shared" si="3"/>
        <v>normalweight</v>
      </c>
      <c r="L604" s="30" t="e">
        <v>#N/A</v>
      </c>
    </row>
    <row r="605" spans="1:12" ht="15.75" customHeight="1" x14ac:dyDescent="0.3">
      <c r="A605" s="10" t="s">
        <v>3466</v>
      </c>
      <c r="B605" s="10">
        <v>27.3</v>
      </c>
      <c r="C605" s="10">
        <v>11.89</v>
      </c>
      <c r="D605" s="16" t="s">
        <v>4682</v>
      </c>
      <c r="E605" s="10" t="s">
        <v>4683</v>
      </c>
      <c r="F605" s="10" t="s">
        <v>4683</v>
      </c>
      <c r="G605" s="10" t="s">
        <v>4683</v>
      </c>
      <c r="H605" s="14">
        <v>0</v>
      </c>
      <c r="I605" s="10" t="s">
        <v>4684</v>
      </c>
      <c r="J605" s="10" t="str">
        <f t="shared" si="3"/>
        <v>normalweight</v>
      </c>
      <c r="L605" s="30" t="e">
        <v>#N/A</v>
      </c>
    </row>
    <row r="606" spans="1:12" ht="15.75" customHeight="1" x14ac:dyDescent="0.3">
      <c r="A606" s="10" t="s">
        <v>3464</v>
      </c>
      <c r="B606" s="10">
        <v>54.45</v>
      </c>
      <c r="C606" s="10">
        <v>4.7300000000000004</v>
      </c>
      <c r="D606" s="10" t="s">
        <v>4685</v>
      </c>
      <c r="E606" s="10" t="s">
        <v>4684</v>
      </c>
      <c r="F606" s="10" t="s">
        <v>4683</v>
      </c>
      <c r="G606" s="10" t="s">
        <v>4683</v>
      </c>
      <c r="H606" s="14">
        <v>1</v>
      </c>
      <c r="I606" s="10" t="s">
        <v>4683</v>
      </c>
      <c r="J606" s="10" t="str">
        <f t="shared" si="3"/>
        <v>normalweight</v>
      </c>
      <c r="L606" s="30" t="e">
        <v>#N/A</v>
      </c>
    </row>
    <row r="607" spans="1:12" ht="15.75" customHeight="1" x14ac:dyDescent="0.3">
      <c r="A607" s="10" t="s">
        <v>3462</v>
      </c>
      <c r="B607" s="10">
        <v>54.43</v>
      </c>
      <c r="C607" s="10">
        <v>4.6100000000000003</v>
      </c>
      <c r="D607" s="10" t="s">
        <v>4685</v>
      </c>
      <c r="E607" s="10" t="s">
        <v>4684</v>
      </c>
      <c r="F607" s="10" t="s">
        <v>4683</v>
      </c>
      <c r="G607" s="10" t="s">
        <v>4683</v>
      </c>
      <c r="H607" s="14">
        <v>1</v>
      </c>
      <c r="I607" s="10" t="s">
        <v>4683</v>
      </c>
      <c r="J607" s="10" t="str">
        <f t="shared" si="3"/>
        <v>normalweight</v>
      </c>
      <c r="L607" s="30" t="e">
        <v>#N/A</v>
      </c>
    </row>
    <row r="608" spans="1:12" ht="15.75" customHeight="1" x14ac:dyDescent="0.3">
      <c r="A608" s="10" t="s">
        <v>3460</v>
      </c>
      <c r="B608" s="10">
        <v>48.01</v>
      </c>
      <c r="C608" s="10">
        <v>7.3</v>
      </c>
      <c r="D608" s="16" t="s">
        <v>4682</v>
      </c>
      <c r="E608" s="10" t="s">
        <v>4683</v>
      </c>
      <c r="F608" s="10" t="s">
        <v>4683</v>
      </c>
      <c r="G608" s="10" t="s">
        <v>4683</v>
      </c>
      <c r="H608" s="14">
        <v>0</v>
      </c>
      <c r="I608" s="10" t="s">
        <v>4683</v>
      </c>
      <c r="J608" s="10" t="str">
        <f t="shared" si="3"/>
        <v>normalweight</v>
      </c>
      <c r="L608" s="30" t="e">
        <v>#N/A</v>
      </c>
    </row>
    <row r="609" spans="1:12" ht="15.75" customHeight="1" x14ac:dyDescent="0.3">
      <c r="A609" s="10" t="s">
        <v>3458</v>
      </c>
      <c r="B609" s="10">
        <v>48.32</v>
      </c>
      <c r="C609" s="10">
        <v>5.88</v>
      </c>
      <c r="D609" s="10" t="s">
        <v>4685</v>
      </c>
      <c r="E609" s="10" t="s">
        <v>4683</v>
      </c>
      <c r="F609" s="10" t="s">
        <v>4683</v>
      </c>
      <c r="G609" s="10" t="s">
        <v>4683</v>
      </c>
      <c r="H609" s="14">
        <v>0</v>
      </c>
      <c r="I609" s="10" t="s">
        <v>4683</v>
      </c>
      <c r="J609" s="10" t="str">
        <f t="shared" si="3"/>
        <v>normalweight</v>
      </c>
      <c r="L609" s="30" t="e">
        <v>#N/A</v>
      </c>
    </row>
    <row r="610" spans="1:12" ht="15.75" customHeight="1" x14ac:dyDescent="0.3">
      <c r="A610" s="10" t="s">
        <v>3456</v>
      </c>
      <c r="B610" s="10">
        <v>22.895</v>
      </c>
      <c r="C610" s="10">
        <v>4.0599999999999996</v>
      </c>
      <c r="D610" s="10" t="s">
        <v>4685</v>
      </c>
      <c r="E610" s="10" t="s">
        <v>4683</v>
      </c>
      <c r="F610" s="10" t="s">
        <v>4683</v>
      </c>
      <c r="G610" s="10" t="s">
        <v>4686</v>
      </c>
      <c r="H610" s="14">
        <v>1</v>
      </c>
      <c r="I610" s="10" t="s">
        <v>4684</v>
      </c>
      <c r="J610" s="10" t="str">
        <f t="shared" si="3"/>
        <v>normalweight</v>
      </c>
      <c r="L610" s="30" t="e">
        <v>#N/A</v>
      </c>
    </row>
    <row r="611" spans="1:12" ht="15.75" customHeight="1" x14ac:dyDescent="0.3">
      <c r="A611" s="10" t="s">
        <v>3454</v>
      </c>
      <c r="B611" s="10">
        <v>54.85</v>
      </c>
      <c r="C611" s="10">
        <v>4.9000000000000004</v>
      </c>
      <c r="D611" s="10" t="s">
        <v>4685</v>
      </c>
      <c r="E611" s="10" t="s">
        <v>4683</v>
      </c>
      <c r="F611" s="10" t="s">
        <v>4683</v>
      </c>
      <c r="G611" s="10" t="s">
        <v>4683</v>
      </c>
      <c r="H611" s="14">
        <v>1</v>
      </c>
      <c r="I611" s="10" t="s">
        <v>4683</v>
      </c>
      <c r="J611" s="10" t="str">
        <f t="shared" si="3"/>
        <v>normalweight</v>
      </c>
      <c r="L611" s="30" t="e">
        <v>#N/A</v>
      </c>
    </row>
    <row r="612" spans="1:12" ht="15.75" customHeight="1" x14ac:dyDescent="0.3">
      <c r="A612" s="10" t="s">
        <v>3452</v>
      </c>
      <c r="B612" s="10">
        <v>21.85</v>
      </c>
      <c r="C612" s="10">
        <v>5.52</v>
      </c>
      <c r="D612" s="10" t="s">
        <v>4685</v>
      </c>
      <c r="E612" s="10" t="s">
        <v>4683</v>
      </c>
      <c r="F612" s="10" t="s">
        <v>4683</v>
      </c>
      <c r="G612" s="10" t="s">
        <v>4686</v>
      </c>
      <c r="H612" s="14">
        <v>1</v>
      </c>
      <c r="I612" s="10" t="s">
        <v>4684</v>
      </c>
      <c r="J612" s="10" t="str">
        <f t="shared" si="3"/>
        <v>normalweight</v>
      </c>
      <c r="L612" s="30" t="e">
        <v>#N/A</v>
      </c>
    </row>
    <row r="613" spans="1:12" ht="15.75" customHeight="1" x14ac:dyDescent="0.3">
      <c r="A613" s="10" t="s">
        <v>3450</v>
      </c>
      <c r="B613" s="10">
        <v>51.86</v>
      </c>
      <c r="C613" s="10">
        <v>5.2</v>
      </c>
      <c r="D613" s="10" t="s">
        <v>4685</v>
      </c>
      <c r="E613" s="10" t="s">
        <v>4684</v>
      </c>
      <c r="F613" s="10" t="s">
        <v>4683</v>
      </c>
      <c r="G613" s="10" t="s">
        <v>4683</v>
      </c>
      <c r="H613" s="14">
        <v>0</v>
      </c>
      <c r="I613" s="10" t="s">
        <v>4683</v>
      </c>
      <c r="J613" s="10" t="str">
        <f t="shared" si="3"/>
        <v>normalweight</v>
      </c>
      <c r="L613" s="30" t="e">
        <v>#N/A</v>
      </c>
    </row>
    <row r="614" spans="1:12" ht="15.75" customHeight="1" x14ac:dyDescent="0.3">
      <c r="A614" s="10" t="s">
        <v>3448</v>
      </c>
      <c r="B614" s="10">
        <v>39.049999999999997</v>
      </c>
      <c r="C614" s="10">
        <v>7.59</v>
      </c>
      <c r="D614" s="16" t="s">
        <v>4682</v>
      </c>
      <c r="E614" s="10" t="s">
        <v>4683</v>
      </c>
      <c r="F614" s="10" t="s">
        <v>4683</v>
      </c>
      <c r="G614" s="10" t="s">
        <v>4683</v>
      </c>
      <c r="H614" s="14">
        <v>3</v>
      </c>
      <c r="I614" s="10" t="s">
        <v>4683</v>
      </c>
      <c r="J614" s="10" t="str">
        <f t="shared" si="3"/>
        <v>normalweight</v>
      </c>
      <c r="L614" s="30" t="e">
        <v>#N/A</v>
      </c>
    </row>
    <row r="615" spans="1:12" ht="15.75" customHeight="1" x14ac:dyDescent="0.3">
      <c r="A615" s="10" t="s">
        <v>3446</v>
      </c>
      <c r="B615" s="10">
        <v>31.824999999999999</v>
      </c>
      <c r="C615" s="10">
        <v>8.2799999999999994</v>
      </c>
      <c r="D615" s="16" t="s">
        <v>4682</v>
      </c>
      <c r="E615" s="10" t="s">
        <v>4683</v>
      </c>
      <c r="F615" s="10" t="s">
        <v>4683</v>
      </c>
      <c r="G615" s="10" t="s">
        <v>4683</v>
      </c>
      <c r="H615" s="14">
        <v>3</v>
      </c>
      <c r="I615" s="10" t="s">
        <v>4683</v>
      </c>
      <c r="J615" s="10" t="str">
        <f t="shared" si="3"/>
        <v>normalweight</v>
      </c>
      <c r="L615" s="30" t="e">
        <v>#N/A</v>
      </c>
    </row>
    <row r="616" spans="1:12" ht="15.75" customHeight="1" x14ac:dyDescent="0.3">
      <c r="A616" s="10" t="s">
        <v>3444</v>
      </c>
      <c r="B616" s="10">
        <v>46.43</v>
      </c>
      <c r="C616" s="10">
        <v>6.72</v>
      </c>
      <c r="D616" s="16" t="s">
        <v>4682</v>
      </c>
      <c r="E616" s="10" t="s">
        <v>4683</v>
      </c>
      <c r="F616" s="10" t="s">
        <v>4683</v>
      </c>
      <c r="G616" s="10" t="s">
        <v>4683</v>
      </c>
      <c r="H616" s="14">
        <v>0</v>
      </c>
      <c r="I616" s="10" t="s">
        <v>4683</v>
      </c>
      <c r="J616" s="10" t="str">
        <f t="shared" si="3"/>
        <v>normalweight</v>
      </c>
      <c r="L616" s="30" t="e">
        <v>#N/A</v>
      </c>
    </row>
    <row r="617" spans="1:12" ht="15.75" customHeight="1" x14ac:dyDescent="0.3">
      <c r="A617" s="10" t="s">
        <v>3442</v>
      </c>
      <c r="B617" s="10">
        <v>53.63</v>
      </c>
      <c r="C617" s="10">
        <v>5.47</v>
      </c>
      <c r="D617" s="10" t="s">
        <v>4685</v>
      </c>
      <c r="E617" s="10" t="s">
        <v>4684</v>
      </c>
      <c r="F617" s="10" t="s">
        <v>4683</v>
      </c>
      <c r="G617" s="10" t="s">
        <v>4683</v>
      </c>
      <c r="H617" s="14">
        <v>1</v>
      </c>
      <c r="I617" s="10" t="s">
        <v>4683</v>
      </c>
      <c r="J617" s="10" t="str">
        <f t="shared" si="3"/>
        <v>normalweight</v>
      </c>
      <c r="L617" s="30" t="e">
        <v>#N/A</v>
      </c>
    </row>
    <row r="618" spans="1:12" ht="15.75" customHeight="1" x14ac:dyDescent="0.3">
      <c r="A618" s="10" t="s">
        <v>3440</v>
      </c>
      <c r="B618" s="10">
        <v>48.7</v>
      </c>
      <c r="C618" s="10">
        <v>4.71</v>
      </c>
      <c r="D618" s="10" t="s">
        <v>4685</v>
      </c>
      <c r="E618" s="10" t="s">
        <v>4683</v>
      </c>
      <c r="F618" s="10" t="s">
        <v>4683</v>
      </c>
      <c r="G618" s="10" t="s">
        <v>4683</v>
      </c>
      <c r="H618" s="14">
        <v>0</v>
      </c>
      <c r="I618" s="10" t="s">
        <v>4683</v>
      </c>
      <c r="J618" s="10" t="str">
        <f t="shared" si="3"/>
        <v>normalweight</v>
      </c>
      <c r="L618" s="30" t="e">
        <v>#N/A</v>
      </c>
    </row>
    <row r="619" spans="1:12" ht="15.75" customHeight="1" x14ac:dyDescent="0.3">
      <c r="A619" s="10" t="s">
        <v>3438</v>
      </c>
      <c r="B619" s="10">
        <v>48.81</v>
      </c>
      <c r="C619" s="10">
        <v>5.49</v>
      </c>
      <c r="D619" s="10" t="s">
        <v>4685</v>
      </c>
      <c r="E619" s="10" t="s">
        <v>4683</v>
      </c>
      <c r="F619" s="10" t="s">
        <v>4683</v>
      </c>
      <c r="G619" s="10" t="s">
        <v>4683</v>
      </c>
      <c r="H619" s="14">
        <v>0</v>
      </c>
      <c r="I619" s="10" t="s">
        <v>4683</v>
      </c>
      <c r="J619" s="10" t="str">
        <f t="shared" si="3"/>
        <v>normalweight</v>
      </c>
      <c r="L619" s="30" t="e">
        <v>#N/A</v>
      </c>
    </row>
    <row r="620" spans="1:12" ht="15.75" customHeight="1" x14ac:dyDescent="0.3">
      <c r="A620" s="10" t="s">
        <v>3436</v>
      </c>
      <c r="B620" s="10">
        <v>47.53</v>
      </c>
      <c r="C620" s="10">
        <v>4.72</v>
      </c>
      <c r="D620" s="10" t="s">
        <v>4685</v>
      </c>
      <c r="E620" s="10" t="s">
        <v>4683</v>
      </c>
      <c r="F620" s="10" t="s">
        <v>4683</v>
      </c>
      <c r="G620" s="10" t="s">
        <v>4683</v>
      </c>
      <c r="H620" s="14">
        <v>0</v>
      </c>
      <c r="I620" s="10" t="s">
        <v>4683</v>
      </c>
      <c r="J620" s="10" t="str">
        <f t="shared" si="3"/>
        <v>normalweight</v>
      </c>
      <c r="L620" s="30" t="e">
        <v>#N/A</v>
      </c>
    </row>
    <row r="621" spans="1:12" ht="15.75" customHeight="1" x14ac:dyDescent="0.3">
      <c r="A621" s="10" t="s">
        <v>3434</v>
      </c>
      <c r="B621" s="10">
        <v>36.85</v>
      </c>
      <c r="C621" s="10">
        <v>6.7</v>
      </c>
      <c r="D621" s="16" t="s">
        <v>4682</v>
      </c>
      <c r="E621" s="10" t="s">
        <v>4683</v>
      </c>
      <c r="F621" s="10" t="s">
        <v>4683</v>
      </c>
      <c r="G621" s="10" t="s">
        <v>4683</v>
      </c>
      <c r="H621" s="14">
        <v>0</v>
      </c>
      <c r="I621" s="10" t="s">
        <v>4683</v>
      </c>
      <c r="J621" s="10" t="str">
        <f t="shared" si="3"/>
        <v>normalweight</v>
      </c>
      <c r="L621" s="30" t="e">
        <v>#N/A</v>
      </c>
    </row>
    <row r="622" spans="1:12" ht="15.75" customHeight="1" x14ac:dyDescent="0.3">
      <c r="A622" s="10" t="s">
        <v>3432</v>
      </c>
      <c r="B622" s="10">
        <v>29.3</v>
      </c>
      <c r="C622" s="10">
        <v>5.5</v>
      </c>
      <c r="D622" s="10" t="s">
        <v>4685</v>
      </c>
      <c r="E622" s="10" t="s">
        <v>4683</v>
      </c>
      <c r="F622" s="10" t="s">
        <v>4683</v>
      </c>
      <c r="G622" s="10" t="s">
        <v>4683</v>
      </c>
      <c r="H622" s="14">
        <v>0</v>
      </c>
      <c r="I622" s="10" t="s">
        <v>4683</v>
      </c>
      <c r="J622" s="10" t="str">
        <f t="shared" si="3"/>
        <v>normalweight</v>
      </c>
      <c r="L622" s="30" t="e">
        <v>#N/A</v>
      </c>
    </row>
    <row r="623" spans="1:12" ht="15.75" customHeight="1" x14ac:dyDescent="0.3">
      <c r="A623" s="10" t="s">
        <v>3430</v>
      </c>
      <c r="B623" s="10">
        <v>19.3</v>
      </c>
      <c r="C623" s="10">
        <v>4.46</v>
      </c>
      <c r="D623" s="10" t="s">
        <v>4685</v>
      </c>
      <c r="E623" s="10" t="s">
        <v>4683</v>
      </c>
      <c r="F623" s="10" t="s">
        <v>4683</v>
      </c>
      <c r="G623" s="10" t="s">
        <v>4683</v>
      </c>
      <c r="H623" s="14">
        <v>1</v>
      </c>
      <c r="I623" s="10" t="s">
        <v>4684</v>
      </c>
      <c r="J623" s="10" t="str">
        <f t="shared" si="3"/>
        <v>normalweight</v>
      </c>
      <c r="L623" s="30" t="e">
        <v>#N/A</v>
      </c>
    </row>
    <row r="624" spans="1:12" ht="15.75" customHeight="1" x14ac:dyDescent="0.3">
      <c r="A624" s="10" t="s">
        <v>3428</v>
      </c>
      <c r="B624" s="10">
        <v>24.13</v>
      </c>
      <c r="C624" s="10">
        <v>5.29</v>
      </c>
      <c r="D624" s="10" t="s">
        <v>4685</v>
      </c>
      <c r="E624" s="10" t="s">
        <v>4684</v>
      </c>
      <c r="F624" s="10" t="s">
        <v>4683</v>
      </c>
      <c r="G624" s="10" t="s">
        <v>4686</v>
      </c>
      <c r="H624" s="14">
        <v>1</v>
      </c>
      <c r="I624" s="10" t="s">
        <v>4684</v>
      </c>
      <c r="J624" s="10" t="str">
        <f t="shared" si="3"/>
        <v>normalweight</v>
      </c>
      <c r="L624" s="30" t="e">
        <v>#N/A</v>
      </c>
    </row>
    <row r="625" spans="1:12" ht="15.75" customHeight="1" x14ac:dyDescent="0.3">
      <c r="A625" s="10" t="s">
        <v>3426</v>
      </c>
      <c r="B625" s="10">
        <v>46.7</v>
      </c>
      <c r="C625" s="10">
        <v>10.99</v>
      </c>
      <c r="D625" s="16" t="s">
        <v>4682</v>
      </c>
      <c r="E625" s="10" t="s">
        <v>4683</v>
      </c>
      <c r="F625" s="10" t="s">
        <v>4683</v>
      </c>
      <c r="G625" s="10" t="s">
        <v>4683</v>
      </c>
      <c r="H625" s="14">
        <v>0</v>
      </c>
      <c r="I625" s="10" t="s">
        <v>4683</v>
      </c>
      <c r="J625" s="10" t="str">
        <f t="shared" si="3"/>
        <v>normalweight</v>
      </c>
      <c r="L625" s="30" t="e">
        <v>#N/A</v>
      </c>
    </row>
    <row r="626" spans="1:12" ht="15.75" customHeight="1" x14ac:dyDescent="0.3">
      <c r="A626" s="10" t="s">
        <v>3424</v>
      </c>
      <c r="B626" s="10">
        <v>45.27</v>
      </c>
      <c r="C626" s="10">
        <v>5.2</v>
      </c>
      <c r="D626" s="10" t="s">
        <v>4685</v>
      </c>
      <c r="E626" s="10" t="s">
        <v>4684</v>
      </c>
      <c r="F626" s="10" t="s">
        <v>4683</v>
      </c>
      <c r="G626" s="10" t="s">
        <v>4683</v>
      </c>
      <c r="H626" s="14">
        <v>0</v>
      </c>
      <c r="I626" s="10" t="s">
        <v>4683</v>
      </c>
      <c r="J626" s="10" t="str">
        <f t="shared" si="3"/>
        <v>normalweight</v>
      </c>
      <c r="L626" s="30" t="e">
        <v>#N/A</v>
      </c>
    </row>
    <row r="627" spans="1:12" ht="15.75" customHeight="1" x14ac:dyDescent="0.3">
      <c r="A627" s="10" t="s">
        <v>3422</v>
      </c>
      <c r="B627" s="10">
        <v>44.29</v>
      </c>
      <c r="C627" s="10">
        <v>9.66</v>
      </c>
      <c r="D627" s="16" t="s">
        <v>4682</v>
      </c>
      <c r="E627" s="10" t="s">
        <v>4683</v>
      </c>
      <c r="F627" s="10" t="s">
        <v>4683</v>
      </c>
      <c r="G627" s="10" t="s">
        <v>4683</v>
      </c>
      <c r="H627" s="14">
        <v>2</v>
      </c>
      <c r="I627" s="10" t="s">
        <v>4683</v>
      </c>
      <c r="J627" s="10" t="str">
        <f t="shared" si="3"/>
        <v>normalweight</v>
      </c>
      <c r="L627" s="30" t="e">
        <v>#N/A</v>
      </c>
    </row>
    <row r="628" spans="1:12" ht="15.75" customHeight="1" x14ac:dyDescent="0.3">
      <c r="A628" s="10" t="s">
        <v>3420</v>
      </c>
      <c r="B628" s="10">
        <v>54.59</v>
      </c>
      <c r="C628" s="10">
        <v>4.22</v>
      </c>
      <c r="D628" s="10" t="s">
        <v>4685</v>
      </c>
      <c r="E628" s="10" t="s">
        <v>4684</v>
      </c>
      <c r="F628" s="10" t="s">
        <v>4683</v>
      </c>
      <c r="G628" s="10" t="s">
        <v>4683</v>
      </c>
      <c r="H628" s="14">
        <v>1</v>
      </c>
      <c r="I628" s="10" t="s">
        <v>4683</v>
      </c>
      <c r="J628" s="10" t="str">
        <f t="shared" si="3"/>
        <v>normalweight</v>
      </c>
      <c r="L628" s="30" t="e">
        <v>#N/A</v>
      </c>
    </row>
    <row r="629" spans="1:12" ht="15.75" customHeight="1" x14ac:dyDescent="0.3">
      <c r="A629" s="10" t="s">
        <v>3418</v>
      </c>
      <c r="B629" s="10">
        <v>32.965000000000003</v>
      </c>
      <c r="C629" s="10">
        <v>11.78</v>
      </c>
      <c r="D629" s="16" t="s">
        <v>4682</v>
      </c>
      <c r="E629" s="10" t="s">
        <v>4683</v>
      </c>
      <c r="F629" s="10" t="s">
        <v>4683</v>
      </c>
      <c r="G629" s="10" t="s">
        <v>4683</v>
      </c>
      <c r="H629" s="14">
        <v>0</v>
      </c>
      <c r="I629" s="10" t="s">
        <v>4683</v>
      </c>
      <c r="J629" s="10" t="str">
        <f t="shared" si="3"/>
        <v>normalweight</v>
      </c>
      <c r="L629" s="30" t="e">
        <v>#N/A</v>
      </c>
    </row>
    <row r="630" spans="1:12" ht="15.75" customHeight="1" x14ac:dyDescent="0.3">
      <c r="A630" s="10" t="s">
        <v>3416</v>
      </c>
      <c r="B630" s="10">
        <v>38.049999999999997</v>
      </c>
      <c r="C630" s="10">
        <v>9.6199999999999992</v>
      </c>
      <c r="D630" s="16" t="s">
        <v>4682</v>
      </c>
      <c r="E630" s="10" t="s">
        <v>4683</v>
      </c>
      <c r="F630" s="10" t="s">
        <v>4683</v>
      </c>
      <c r="G630" s="10" t="s">
        <v>4683</v>
      </c>
      <c r="H630" s="14">
        <v>0</v>
      </c>
      <c r="I630" s="10" t="s">
        <v>4683</v>
      </c>
      <c r="J630" s="10" t="str">
        <f t="shared" si="3"/>
        <v>normalweight</v>
      </c>
      <c r="L630" s="30" t="e">
        <v>#N/A</v>
      </c>
    </row>
    <row r="631" spans="1:12" ht="15.75" customHeight="1" x14ac:dyDescent="0.3">
      <c r="A631" s="10" t="s">
        <v>3414</v>
      </c>
      <c r="B631" s="10">
        <v>46.14</v>
      </c>
      <c r="C631" s="10">
        <v>10.78</v>
      </c>
      <c r="D631" s="16" t="s">
        <v>4682</v>
      </c>
      <c r="E631" s="10" t="s">
        <v>4683</v>
      </c>
      <c r="F631" s="10" t="s">
        <v>4683</v>
      </c>
      <c r="G631" s="10" t="s">
        <v>4683</v>
      </c>
      <c r="H631" s="14">
        <v>0</v>
      </c>
      <c r="I631" s="10" t="s">
        <v>4683</v>
      </c>
      <c r="J631" s="10" t="str">
        <f t="shared" si="3"/>
        <v>normalweight</v>
      </c>
      <c r="L631" s="30" t="e">
        <v>#N/A</v>
      </c>
    </row>
    <row r="632" spans="1:12" ht="15.75" customHeight="1" x14ac:dyDescent="0.3">
      <c r="A632" s="10" t="s">
        <v>3412</v>
      </c>
      <c r="B632" s="10">
        <v>41.325000000000003</v>
      </c>
      <c r="C632" s="10">
        <v>5.1100000000000003</v>
      </c>
      <c r="D632" s="10" t="s">
        <v>4685</v>
      </c>
      <c r="E632" s="10" t="s">
        <v>4684</v>
      </c>
      <c r="F632" s="10" t="s">
        <v>4683</v>
      </c>
      <c r="G632" s="10" t="s">
        <v>4683</v>
      </c>
      <c r="H632" s="14">
        <v>2</v>
      </c>
      <c r="I632" s="10" t="s">
        <v>4683</v>
      </c>
      <c r="J632" s="10" t="str">
        <f t="shared" si="3"/>
        <v>normalweight</v>
      </c>
      <c r="L632" s="30" t="e">
        <v>#N/A</v>
      </c>
    </row>
    <row r="633" spans="1:12" ht="15.75" customHeight="1" x14ac:dyDescent="0.3">
      <c r="A633" s="10" t="s">
        <v>3410</v>
      </c>
      <c r="B633" s="10">
        <v>44.64</v>
      </c>
      <c r="C633" s="10">
        <v>7.18</v>
      </c>
      <c r="D633" s="16" t="s">
        <v>4682</v>
      </c>
      <c r="E633" s="10" t="s">
        <v>4683</v>
      </c>
      <c r="F633" s="10" t="s">
        <v>4683</v>
      </c>
      <c r="G633" s="10" t="s">
        <v>4683</v>
      </c>
      <c r="H633" s="14">
        <v>0</v>
      </c>
      <c r="I633" s="10" t="s">
        <v>4683</v>
      </c>
      <c r="J633" s="10" t="str">
        <f t="shared" si="3"/>
        <v>normalweight</v>
      </c>
      <c r="L633" s="30" t="e">
        <v>#N/A</v>
      </c>
    </row>
    <row r="634" spans="1:12" ht="15.75" customHeight="1" x14ac:dyDescent="0.3">
      <c r="A634" s="10" t="s">
        <v>3408</v>
      </c>
      <c r="B634" s="10">
        <v>25.175000000000001</v>
      </c>
      <c r="C634" s="10">
        <v>4.96</v>
      </c>
      <c r="D634" s="10" t="s">
        <v>4685</v>
      </c>
      <c r="E634" s="10" t="s">
        <v>4683</v>
      </c>
      <c r="F634" s="10" t="s">
        <v>4684</v>
      </c>
      <c r="G634" s="10" t="s">
        <v>4683</v>
      </c>
      <c r="H634" s="14">
        <v>1</v>
      </c>
      <c r="I634" s="10" t="s">
        <v>4683</v>
      </c>
      <c r="J634" s="10" t="str">
        <f t="shared" si="3"/>
        <v>normalweight</v>
      </c>
      <c r="L634" s="30" t="e">
        <v>#N/A</v>
      </c>
    </row>
    <row r="635" spans="1:12" ht="15.75" customHeight="1" x14ac:dyDescent="0.3">
      <c r="A635" s="10" t="s">
        <v>3406</v>
      </c>
      <c r="B635" s="10">
        <v>43.11</v>
      </c>
      <c r="C635" s="10">
        <v>4.67</v>
      </c>
      <c r="D635" s="10" t="s">
        <v>4685</v>
      </c>
      <c r="E635" s="10" t="s">
        <v>4684</v>
      </c>
      <c r="F635" s="10" t="s">
        <v>4683</v>
      </c>
      <c r="G635" s="10" t="s">
        <v>4683</v>
      </c>
      <c r="H635" s="14">
        <v>0</v>
      </c>
      <c r="I635" s="10" t="s">
        <v>4683</v>
      </c>
      <c r="J635" s="10" t="str">
        <f t="shared" si="3"/>
        <v>normalweight</v>
      </c>
      <c r="L635" s="30" t="e">
        <v>#N/A</v>
      </c>
    </row>
    <row r="636" spans="1:12" ht="15.75" customHeight="1" x14ac:dyDescent="0.3">
      <c r="A636" s="10" t="s">
        <v>3404</v>
      </c>
      <c r="B636" s="10">
        <v>53.32</v>
      </c>
      <c r="C636" s="10">
        <v>5.0599999999999996</v>
      </c>
      <c r="D636" s="10" t="s">
        <v>4685</v>
      </c>
      <c r="E636" s="10" t="s">
        <v>4683</v>
      </c>
      <c r="F636" s="10" t="s">
        <v>4683</v>
      </c>
      <c r="G636" s="10" t="s">
        <v>4683</v>
      </c>
      <c r="H636" s="14">
        <v>0</v>
      </c>
      <c r="I636" s="10" t="s">
        <v>4683</v>
      </c>
      <c r="J636" s="10" t="str">
        <f t="shared" si="3"/>
        <v>normalweight</v>
      </c>
      <c r="L636" s="30" t="e">
        <v>#N/A</v>
      </c>
    </row>
    <row r="637" spans="1:12" ht="15.75" customHeight="1" x14ac:dyDescent="0.3">
      <c r="A637" s="10" t="s">
        <v>3402</v>
      </c>
      <c r="B637" s="10">
        <v>38.04</v>
      </c>
      <c r="C637" s="10">
        <v>5.0199999999999996</v>
      </c>
      <c r="D637" s="10" t="s">
        <v>4685</v>
      </c>
      <c r="E637" s="10" t="s">
        <v>4684</v>
      </c>
      <c r="F637" s="10" t="s">
        <v>4683</v>
      </c>
      <c r="G637" s="10" t="s">
        <v>4683</v>
      </c>
      <c r="H637" s="14">
        <v>1</v>
      </c>
      <c r="I637" s="10" t="s">
        <v>4683</v>
      </c>
      <c r="J637" s="10" t="str">
        <f t="shared" si="3"/>
        <v>normalweight</v>
      </c>
      <c r="L637" s="30" t="e">
        <v>#N/A</v>
      </c>
    </row>
    <row r="638" spans="1:12" ht="15.75" customHeight="1" x14ac:dyDescent="0.3">
      <c r="A638" s="10" t="s">
        <v>3400</v>
      </c>
      <c r="B638" s="10">
        <v>37.9</v>
      </c>
      <c r="C638" s="10">
        <v>7.76</v>
      </c>
      <c r="D638" s="16" t="s">
        <v>4682</v>
      </c>
      <c r="E638" s="10" t="s">
        <v>4683</v>
      </c>
      <c r="F638" s="10" t="s">
        <v>4683</v>
      </c>
      <c r="G638" s="10" t="s">
        <v>4683</v>
      </c>
      <c r="H638" s="14">
        <v>0</v>
      </c>
      <c r="I638" s="10" t="s">
        <v>4683</v>
      </c>
      <c r="J638" s="10" t="str">
        <f t="shared" si="3"/>
        <v>normalweight</v>
      </c>
      <c r="L638" s="30" t="e">
        <v>#N/A</v>
      </c>
    </row>
    <row r="639" spans="1:12" ht="15.75" customHeight="1" x14ac:dyDescent="0.3">
      <c r="A639" s="10" t="s">
        <v>3398</v>
      </c>
      <c r="B639" s="10">
        <v>39.6</v>
      </c>
      <c r="C639" s="10">
        <v>9.32</v>
      </c>
      <c r="D639" s="16" t="s">
        <v>4682</v>
      </c>
      <c r="E639" s="10" t="s">
        <v>4683</v>
      </c>
      <c r="F639" s="10" t="s">
        <v>4683</v>
      </c>
      <c r="G639" s="10" t="s">
        <v>4683</v>
      </c>
      <c r="H639" s="14">
        <v>0</v>
      </c>
      <c r="I639" s="10" t="s">
        <v>4683</v>
      </c>
      <c r="J639" s="10" t="str">
        <f t="shared" si="3"/>
        <v>normalweight</v>
      </c>
      <c r="L639" s="30" t="e">
        <v>#N/A</v>
      </c>
    </row>
    <row r="640" spans="1:12" ht="15.75" customHeight="1" x14ac:dyDescent="0.3">
      <c r="A640" s="10" t="s">
        <v>3396</v>
      </c>
      <c r="B640" s="10">
        <v>50.92</v>
      </c>
      <c r="C640" s="10">
        <v>5.31</v>
      </c>
      <c r="D640" s="10" t="s">
        <v>4685</v>
      </c>
      <c r="E640" s="10" t="s">
        <v>4684</v>
      </c>
      <c r="F640" s="10" t="s">
        <v>4683</v>
      </c>
      <c r="G640" s="10" t="s">
        <v>4683</v>
      </c>
      <c r="H640" s="14">
        <v>1</v>
      </c>
      <c r="I640" s="10" t="s">
        <v>4683</v>
      </c>
      <c r="J640" s="10" t="str">
        <f t="shared" si="3"/>
        <v>normalweight</v>
      </c>
      <c r="L640" s="30" t="e">
        <v>#N/A</v>
      </c>
    </row>
    <row r="641" spans="1:12" ht="15.75" customHeight="1" x14ac:dyDescent="0.3">
      <c r="A641" s="10" t="s">
        <v>3394</v>
      </c>
      <c r="B641" s="10">
        <v>21.85</v>
      </c>
      <c r="C641" s="10">
        <v>5.56</v>
      </c>
      <c r="D641" s="10" t="s">
        <v>4685</v>
      </c>
      <c r="E641" s="10" t="s">
        <v>4684</v>
      </c>
      <c r="F641" s="10" t="s">
        <v>4683</v>
      </c>
      <c r="G641" s="10" t="s">
        <v>4683</v>
      </c>
      <c r="H641" s="14">
        <v>0</v>
      </c>
      <c r="I641" s="10" t="s">
        <v>4684</v>
      </c>
      <c r="J641" s="10" t="str">
        <f t="shared" si="3"/>
        <v>normalweight</v>
      </c>
      <c r="L641" s="30" t="e">
        <v>#N/A</v>
      </c>
    </row>
    <row r="642" spans="1:12" ht="15.75" customHeight="1" x14ac:dyDescent="0.3">
      <c r="A642" s="10" t="s">
        <v>3392</v>
      </c>
      <c r="B642" s="10">
        <v>36.08</v>
      </c>
      <c r="C642" s="10">
        <v>7.11</v>
      </c>
      <c r="D642" s="16" t="s">
        <v>4682</v>
      </c>
      <c r="E642" s="10" t="s">
        <v>4684</v>
      </c>
      <c r="F642" s="10" t="s">
        <v>4683</v>
      </c>
      <c r="G642" s="10" t="s">
        <v>4686</v>
      </c>
      <c r="H642" s="14">
        <v>1</v>
      </c>
      <c r="I642" s="10" t="s">
        <v>4683</v>
      </c>
      <c r="J642" s="10" t="str">
        <f t="shared" si="3"/>
        <v>normalweight</v>
      </c>
      <c r="L642" s="30" t="e">
        <v>#N/A</v>
      </c>
    </row>
    <row r="643" spans="1:12" ht="15.75" customHeight="1" x14ac:dyDescent="0.3">
      <c r="A643" s="10" t="s">
        <v>3390</v>
      </c>
      <c r="B643" s="10">
        <v>40.44</v>
      </c>
      <c r="C643" s="10">
        <v>5.13</v>
      </c>
      <c r="D643" s="10" t="s">
        <v>4685</v>
      </c>
      <c r="E643" s="10" t="s">
        <v>4684</v>
      </c>
      <c r="F643" s="10" t="s">
        <v>4683</v>
      </c>
      <c r="G643" s="10" t="s">
        <v>4686</v>
      </c>
      <c r="H643" s="14">
        <v>1</v>
      </c>
      <c r="I643" s="10" t="s">
        <v>4683</v>
      </c>
      <c r="J643" s="10" t="str">
        <f t="shared" si="3"/>
        <v>normalweight</v>
      </c>
      <c r="L643" s="30" t="e">
        <v>#N/A</v>
      </c>
    </row>
    <row r="644" spans="1:12" ht="15.75" customHeight="1" x14ac:dyDescent="0.3">
      <c r="A644" s="10" t="s">
        <v>3388</v>
      </c>
      <c r="B644" s="10">
        <v>38.094999999999999</v>
      </c>
      <c r="C644" s="10">
        <v>10.199999999999999</v>
      </c>
      <c r="D644" s="16" t="s">
        <v>4682</v>
      </c>
      <c r="E644" s="10" t="s">
        <v>4683</v>
      </c>
      <c r="F644" s="10" t="s">
        <v>4683</v>
      </c>
      <c r="G644" s="10" t="s">
        <v>4683</v>
      </c>
      <c r="H644" s="14">
        <v>0</v>
      </c>
      <c r="I644" s="10" t="s">
        <v>4683</v>
      </c>
      <c r="J644" s="10" t="str">
        <f t="shared" si="3"/>
        <v>normalweight</v>
      </c>
      <c r="L644" s="30" t="e">
        <v>#N/A</v>
      </c>
    </row>
    <row r="645" spans="1:12" ht="15.75" customHeight="1" x14ac:dyDescent="0.3">
      <c r="A645" s="10" t="s">
        <v>3386</v>
      </c>
      <c r="B645" s="10">
        <v>44.95</v>
      </c>
      <c r="C645" s="10">
        <v>10.4</v>
      </c>
      <c r="D645" s="16" t="s">
        <v>4682</v>
      </c>
      <c r="E645" s="10" t="s">
        <v>4683</v>
      </c>
      <c r="F645" s="10" t="s">
        <v>4683</v>
      </c>
      <c r="G645" s="10" t="s">
        <v>4683</v>
      </c>
      <c r="H645" s="14">
        <v>0</v>
      </c>
      <c r="I645" s="10" t="s">
        <v>4683</v>
      </c>
      <c r="J645" s="10" t="str">
        <f t="shared" si="3"/>
        <v>normalweight</v>
      </c>
      <c r="L645" s="30" t="e">
        <v>#N/A</v>
      </c>
    </row>
    <row r="646" spans="1:12" ht="15.75" customHeight="1" x14ac:dyDescent="0.3">
      <c r="A646" s="10" t="s">
        <v>3384</v>
      </c>
      <c r="B646" s="10">
        <v>35.54</v>
      </c>
      <c r="C646" s="10">
        <v>10.67</v>
      </c>
      <c r="D646" s="16" t="s">
        <v>4682</v>
      </c>
      <c r="E646" s="10" t="s">
        <v>4683</v>
      </c>
      <c r="F646" s="10" t="s">
        <v>4683</v>
      </c>
      <c r="G646" s="10" t="s">
        <v>4683</v>
      </c>
      <c r="H646" s="14">
        <v>0</v>
      </c>
      <c r="I646" s="10" t="s">
        <v>4683</v>
      </c>
      <c r="J646" s="10" t="str">
        <f t="shared" si="3"/>
        <v>normalweight</v>
      </c>
      <c r="L646" s="30" t="e">
        <v>#N/A</v>
      </c>
    </row>
    <row r="647" spans="1:12" ht="15.75" customHeight="1" x14ac:dyDescent="0.3">
      <c r="A647" s="10" t="s">
        <v>3382</v>
      </c>
      <c r="B647" s="10">
        <v>39.799999999999997</v>
      </c>
      <c r="C647" s="10">
        <v>4.6500000000000004</v>
      </c>
      <c r="D647" s="10" t="s">
        <v>4685</v>
      </c>
      <c r="E647" s="10" t="s">
        <v>4684</v>
      </c>
      <c r="F647" s="10" t="s">
        <v>4683</v>
      </c>
      <c r="G647" s="10" t="s">
        <v>4683</v>
      </c>
      <c r="H647" s="14">
        <v>2</v>
      </c>
      <c r="I647" s="10" t="s">
        <v>4683</v>
      </c>
      <c r="J647" s="10" t="str">
        <f t="shared" si="3"/>
        <v>normalweight</v>
      </c>
      <c r="L647" s="30" t="e">
        <v>#N/A</v>
      </c>
    </row>
    <row r="648" spans="1:12" ht="15.75" customHeight="1" x14ac:dyDescent="0.3">
      <c r="A648" s="10" t="s">
        <v>3380</v>
      </c>
      <c r="B648" s="10">
        <v>33.659999999999997</v>
      </c>
      <c r="C648" s="10">
        <v>5.65</v>
      </c>
      <c r="D648" s="10" t="s">
        <v>4685</v>
      </c>
      <c r="E648" s="10" t="s">
        <v>4684</v>
      </c>
      <c r="F648" s="10" t="s">
        <v>4683</v>
      </c>
      <c r="G648" s="10" t="s">
        <v>4683</v>
      </c>
      <c r="H648" s="14">
        <v>2</v>
      </c>
      <c r="I648" s="10" t="s">
        <v>4683</v>
      </c>
      <c r="J648" s="10" t="str">
        <f t="shared" si="3"/>
        <v>normalweight</v>
      </c>
      <c r="L648" s="30" t="e">
        <v>#N/A</v>
      </c>
    </row>
    <row r="649" spans="1:12" ht="15.75" customHeight="1" x14ac:dyDescent="0.3">
      <c r="A649" s="10" t="s">
        <v>3378</v>
      </c>
      <c r="B649" s="10">
        <v>35.5</v>
      </c>
      <c r="C649" s="10">
        <v>11.97</v>
      </c>
      <c r="D649" s="16" t="s">
        <v>4682</v>
      </c>
      <c r="E649" s="10" t="s">
        <v>4683</v>
      </c>
      <c r="F649" s="10" t="s">
        <v>4683</v>
      </c>
      <c r="G649" s="10" t="s">
        <v>4683</v>
      </c>
      <c r="H649" s="14">
        <v>0</v>
      </c>
      <c r="I649" s="10" t="s">
        <v>4683</v>
      </c>
      <c r="J649" s="10" t="str">
        <f t="shared" si="3"/>
        <v>normalweight</v>
      </c>
      <c r="L649" s="30" t="e">
        <v>#N/A</v>
      </c>
    </row>
    <row r="650" spans="1:12" ht="15.75" customHeight="1" x14ac:dyDescent="0.3">
      <c r="A650" s="10" t="s">
        <v>3376</v>
      </c>
      <c r="B650" s="10">
        <v>41.63</v>
      </c>
      <c r="C650" s="10">
        <v>6.71</v>
      </c>
      <c r="D650" s="10" t="s">
        <v>4685</v>
      </c>
      <c r="E650" s="10" t="s">
        <v>4683</v>
      </c>
      <c r="F650" s="10" t="s">
        <v>4683</v>
      </c>
      <c r="G650" s="10" t="s">
        <v>4683</v>
      </c>
      <c r="H650" s="14">
        <v>0</v>
      </c>
      <c r="I650" s="10" t="s">
        <v>4683</v>
      </c>
      <c r="J650" s="10" t="str">
        <f t="shared" si="3"/>
        <v>normalweight</v>
      </c>
      <c r="L650" s="30" t="e">
        <v>#N/A</v>
      </c>
    </row>
    <row r="651" spans="1:12" ht="15.75" customHeight="1" x14ac:dyDescent="0.3">
      <c r="A651" s="10" t="s">
        <v>3374</v>
      </c>
      <c r="B651" s="10">
        <v>46.49</v>
      </c>
      <c r="C651" s="10">
        <v>11.92</v>
      </c>
      <c r="D651" s="16" t="s">
        <v>4682</v>
      </c>
      <c r="E651" s="10" t="s">
        <v>4683</v>
      </c>
      <c r="F651" s="10" t="s">
        <v>4683</v>
      </c>
      <c r="G651" s="10" t="s">
        <v>4683</v>
      </c>
      <c r="H651" s="14">
        <v>0</v>
      </c>
      <c r="I651" s="10" t="s">
        <v>4683</v>
      </c>
      <c r="J651" s="10" t="str">
        <f t="shared" si="3"/>
        <v>normalweight</v>
      </c>
      <c r="L651" s="30" t="e">
        <v>#N/A</v>
      </c>
    </row>
    <row r="652" spans="1:12" ht="15.75" customHeight="1" x14ac:dyDescent="0.3">
      <c r="A652" s="10" t="s">
        <v>3372</v>
      </c>
      <c r="B652" s="10">
        <v>43.29</v>
      </c>
      <c r="C652" s="10">
        <v>5.35</v>
      </c>
      <c r="D652" s="10" t="s">
        <v>4685</v>
      </c>
      <c r="E652" s="10" t="s">
        <v>4683</v>
      </c>
      <c r="F652" s="10" t="s">
        <v>4683</v>
      </c>
      <c r="G652" s="10" t="s">
        <v>4683</v>
      </c>
      <c r="H652" s="14">
        <v>2</v>
      </c>
      <c r="I652" s="10" t="s">
        <v>4683</v>
      </c>
      <c r="J652" s="10" t="str">
        <f t="shared" si="3"/>
        <v>normalweight</v>
      </c>
      <c r="L652" s="30" t="e">
        <v>#N/A</v>
      </c>
    </row>
    <row r="653" spans="1:12" ht="15.75" customHeight="1" x14ac:dyDescent="0.3">
      <c r="A653" s="10" t="s">
        <v>3370</v>
      </c>
      <c r="B653" s="10">
        <v>43.08</v>
      </c>
      <c r="C653" s="10">
        <v>8.9600000000000009</v>
      </c>
      <c r="D653" s="16" t="s">
        <v>4682</v>
      </c>
      <c r="E653" s="10" t="s">
        <v>4684</v>
      </c>
      <c r="F653" s="10" t="s">
        <v>4683</v>
      </c>
      <c r="G653" s="10" t="s">
        <v>4683</v>
      </c>
      <c r="H653" s="14">
        <v>1</v>
      </c>
      <c r="I653" s="10" t="s">
        <v>4683</v>
      </c>
      <c r="J653" s="10" t="str">
        <f t="shared" si="3"/>
        <v>normalweight</v>
      </c>
      <c r="L653" s="30" t="e">
        <v>#N/A</v>
      </c>
    </row>
    <row r="654" spans="1:12" ht="15.75" customHeight="1" x14ac:dyDescent="0.3">
      <c r="A654" s="10" t="s">
        <v>3368</v>
      </c>
      <c r="B654" s="10">
        <v>39.07</v>
      </c>
      <c r="C654" s="10">
        <v>11.93</v>
      </c>
      <c r="D654" s="16" t="s">
        <v>4682</v>
      </c>
      <c r="E654" s="10" t="s">
        <v>4683</v>
      </c>
      <c r="F654" s="10" t="s">
        <v>4683</v>
      </c>
      <c r="G654" s="10" t="s">
        <v>4683</v>
      </c>
      <c r="H654" s="14">
        <v>0</v>
      </c>
      <c r="I654" s="10" t="s">
        <v>4683</v>
      </c>
      <c r="J654" s="10" t="str">
        <f t="shared" si="3"/>
        <v>normalweight</v>
      </c>
      <c r="L654" s="30" t="e">
        <v>#N/A</v>
      </c>
    </row>
    <row r="655" spans="1:12" ht="15.75" customHeight="1" x14ac:dyDescent="0.3">
      <c r="A655" s="10" t="s">
        <v>3366</v>
      </c>
      <c r="B655" s="10">
        <v>41.3</v>
      </c>
      <c r="C655" s="10">
        <v>9.59</v>
      </c>
      <c r="D655" s="16" t="s">
        <v>4682</v>
      </c>
      <c r="E655" s="10" t="s">
        <v>4683</v>
      </c>
      <c r="F655" s="10" t="s">
        <v>4683</v>
      </c>
      <c r="G655" s="10" t="s">
        <v>4683</v>
      </c>
      <c r="H655" s="14">
        <v>0</v>
      </c>
      <c r="I655" s="10" t="s">
        <v>4683</v>
      </c>
      <c r="J655" s="10" t="str">
        <f t="shared" si="3"/>
        <v>normalweight</v>
      </c>
      <c r="L655" s="30" t="e">
        <v>#N/A</v>
      </c>
    </row>
    <row r="656" spans="1:12" ht="15.75" customHeight="1" x14ac:dyDescent="0.3">
      <c r="A656" s="10" t="s">
        <v>3364</v>
      </c>
      <c r="B656" s="10">
        <v>42.95</v>
      </c>
      <c r="C656" s="10">
        <v>11.88</v>
      </c>
      <c r="D656" s="16" t="s">
        <v>4682</v>
      </c>
      <c r="E656" s="10" t="s">
        <v>4684</v>
      </c>
      <c r="F656" s="10" t="s">
        <v>4683</v>
      </c>
      <c r="G656" s="10" t="s">
        <v>4683</v>
      </c>
      <c r="H656" s="14">
        <v>2</v>
      </c>
      <c r="I656" s="10" t="s">
        <v>4683</v>
      </c>
      <c r="J656" s="10" t="str">
        <f t="shared" si="3"/>
        <v>normalweight</v>
      </c>
      <c r="L656" s="30" t="e">
        <v>#N/A</v>
      </c>
    </row>
    <row r="657" spans="1:12" ht="15.75" customHeight="1" x14ac:dyDescent="0.3">
      <c r="A657" s="10" t="s">
        <v>3362</v>
      </c>
      <c r="B657" s="10">
        <v>46.96</v>
      </c>
      <c r="C657" s="10">
        <v>4.6399999999999997</v>
      </c>
      <c r="D657" s="10" t="s">
        <v>4685</v>
      </c>
      <c r="E657" s="10" t="s">
        <v>4683</v>
      </c>
      <c r="F657" s="10" t="s">
        <v>4683</v>
      </c>
      <c r="G657" s="10" t="s">
        <v>4686</v>
      </c>
      <c r="H657" s="14">
        <v>1</v>
      </c>
      <c r="I657" s="10" t="s">
        <v>4683</v>
      </c>
      <c r="J657" s="10" t="str">
        <f t="shared" si="3"/>
        <v>normalweight</v>
      </c>
      <c r="L657" s="30" t="e">
        <v>#N/A</v>
      </c>
    </row>
    <row r="658" spans="1:12" ht="15.75" customHeight="1" x14ac:dyDescent="0.3">
      <c r="A658" s="10" t="s">
        <v>3360</v>
      </c>
      <c r="B658" s="10">
        <v>30.495000000000001</v>
      </c>
      <c r="C658" s="10">
        <v>9.5299999999999994</v>
      </c>
      <c r="D658" s="16" t="s">
        <v>4682</v>
      </c>
      <c r="E658" s="10" t="s">
        <v>4683</v>
      </c>
      <c r="F658" s="10" t="s">
        <v>4683</v>
      </c>
      <c r="G658" s="10" t="s">
        <v>4683</v>
      </c>
      <c r="H658" s="14">
        <v>0</v>
      </c>
      <c r="I658" s="10" t="s">
        <v>4683</v>
      </c>
      <c r="J658" s="10" t="str">
        <f t="shared" si="3"/>
        <v>normalweight</v>
      </c>
      <c r="L658" s="30" t="e">
        <v>#N/A</v>
      </c>
    </row>
    <row r="659" spans="1:12" ht="15.75" customHeight="1" x14ac:dyDescent="0.3">
      <c r="A659" s="10" t="s">
        <v>3358</v>
      </c>
      <c r="B659" s="10">
        <v>17.954999999999998</v>
      </c>
      <c r="C659" s="10">
        <v>5.29</v>
      </c>
      <c r="D659" s="10" t="s">
        <v>4685</v>
      </c>
      <c r="E659" s="10" t="s">
        <v>4684</v>
      </c>
      <c r="F659" s="10" t="s">
        <v>4683</v>
      </c>
      <c r="G659" s="10" t="s">
        <v>4683</v>
      </c>
      <c r="H659" s="14">
        <v>1</v>
      </c>
      <c r="I659" s="10" t="s">
        <v>4684</v>
      </c>
      <c r="J659" s="10" t="str">
        <f t="shared" si="3"/>
        <v>underweight</v>
      </c>
      <c r="L659" s="30" t="e">
        <v>#N/A</v>
      </c>
    </row>
    <row r="660" spans="1:12" ht="15.75" customHeight="1" x14ac:dyDescent="0.3">
      <c r="A660" s="10" t="s">
        <v>3356</v>
      </c>
      <c r="B660" s="10">
        <v>25.6</v>
      </c>
      <c r="C660" s="10">
        <v>10.95</v>
      </c>
      <c r="D660" s="16" t="s">
        <v>4682</v>
      </c>
      <c r="E660" s="10" t="s">
        <v>4683</v>
      </c>
      <c r="F660" s="10" t="s">
        <v>4683</v>
      </c>
      <c r="G660" s="10" t="s">
        <v>4683</v>
      </c>
      <c r="H660" s="14">
        <v>3</v>
      </c>
      <c r="I660" s="10" t="s">
        <v>4683</v>
      </c>
      <c r="J660" s="10" t="str">
        <f t="shared" si="3"/>
        <v>normalweight</v>
      </c>
      <c r="L660" s="30" t="e">
        <v>#N/A</v>
      </c>
    </row>
    <row r="661" spans="1:12" ht="15.75" customHeight="1" x14ac:dyDescent="0.3">
      <c r="A661" s="10" t="s">
        <v>3354</v>
      </c>
      <c r="B661" s="10">
        <v>34.21</v>
      </c>
      <c r="C661" s="10">
        <v>9.17</v>
      </c>
      <c r="D661" s="16" t="s">
        <v>4682</v>
      </c>
      <c r="E661" s="10" t="s">
        <v>4683</v>
      </c>
      <c r="F661" s="10" t="s">
        <v>4683</v>
      </c>
      <c r="G661" s="10" t="s">
        <v>4683</v>
      </c>
      <c r="H661" s="14">
        <v>0</v>
      </c>
      <c r="I661" s="10" t="s">
        <v>4683</v>
      </c>
      <c r="J661" s="10" t="str">
        <f t="shared" si="3"/>
        <v>normalweight</v>
      </c>
      <c r="L661" s="30" t="e">
        <v>#N/A</v>
      </c>
    </row>
    <row r="662" spans="1:12" ht="15.75" customHeight="1" x14ac:dyDescent="0.3">
      <c r="A662" s="10" t="s">
        <v>3352</v>
      </c>
      <c r="B662" s="10">
        <v>39.74</v>
      </c>
      <c r="C662" s="10">
        <v>7.39</v>
      </c>
      <c r="D662" s="16" t="s">
        <v>4682</v>
      </c>
      <c r="E662" s="10" t="s">
        <v>4683</v>
      </c>
      <c r="F662" s="10" t="s">
        <v>4683</v>
      </c>
      <c r="G662" s="10" t="s">
        <v>4683</v>
      </c>
      <c r="H662" s="14">
        <v>0</v>
      </c>
      <c r="I662" s="10" t="s">
        <v>4683</v>
      </c>
      <c r="J662" s="10" t="str">
        <f t="shared" si="3"/>
        <v>normalweight</v>
      </c>
      <c r="L662" s="30" t="e">
        <v>#N/A</v>
      </c>
    </row>
    <row r="663" spans="1:12" ht="15.75" customHeight="1" x14ac:dyDescent="0.3">
      <c r="A663" s="10" t="s">
        <v>3350</v>
      </c>
      <c r="B663" s="10">
        <v>49.53</v>
      </c>
      <c r="C663" s="10">
        <v>9.1300000000000008</v>
      </c>
      <c r="D663" s="16" t="s">
        <v>4682</v>
      </c>
      <c r="E663" s="10" t="s">
        <v>4684</v>
      </c>
      <c r="F663" s="10" t="s">
        <v>4683</v>
      </c>
      <c r="G663" s="10" t="s">
        <v>4683</v>
      </c>
      <c r="H663" s="14">
        <v>0</v>
      </c>
      <c r="I663" s="10" t="s">
        <v>4683</v>
      </c>
      <c r="J663" s="10" t="str">
        <f t="shared" si="3"/>
        <v>normalweight</v>
      </c>
      <c r="L663" s="30" t="e">
        <v>#N/A</v>
      </c>
    </row>
    <row r="664" spans="1:12" ht="15.75" customHeight="1" x14ac:dyDescent="0.3">
      <c r="A664" s="10" t="s">
        <v>3348</v>
      </c>
      <c r="B664" s="10">
        <v>39.33</v>
      </c>
      <c r="C664" s="10">
        <v>10.4</v>
      </c>
      <c r="D664" s="16" t="s">
        <v>4682</v>
      </c>
      <c r="E664" s="10" t="s">
        <v>4683</v>
      </c>
      <c r="F664" s="10" t="s">
        <v>4683</v>
      </c>
      <c r="G664" s="10" t="s">
        <v>4683</v>
      </c>
      <c r="H664" s="14">
        <v>3</v>
      </c>
      <c r="I664" s="10" t="s">
        <v>4683</v>
      </c>
      <c r="J664" s="10" t="str">
        <f t="shared" si="3"/>
        <v>normalweight</v>
      </c>
      <c r="L664" s="30" t="e">
        <v>#N/A</v>
      </c>
    </row>
    <row r="665" spans="1:12" ht="15.75" customHeight="1" x14ac:dyDescent="0.3">
      <c r="A665" s="10" t="s">
        <v>3346</v>
      </c>
      <c r="B665" s="10">
        <v>39.979999999999997</v>
      </c>
      <c r="C665" s="10">
        <v>9.4600000000000009</v>
      </c>
      <c r="D665" s="16" t="s">
        <v>4682</v>
      </c>
      <c r="E665" s="10" t="s">
        <v>4684</v>
      </c>
      <c r="F665" s="10" t="s">
        <v>4683</v>
      </c>
      <c r="G665" s="10" t="s">
        <v>4683</v>
      </c>
      <c r="H665" s="14">
        <v>2</v>
      </c>
      <c r="I665" s="10" t="s">
        <v>4683</v>
      </c>
      <c r="J665" s="10" t="str">
        <f t="shared" si="3"/>
        <v>normalweight</v>
      </c>
      <c r="L665" s="30" t="e">
        <v>#N/A</v>
      </c>
    </row>
    <row r="666" spans="1:12" ht="15.75" customHeight="1" x14ac:dyDescent="0.3">
      <c r="A666" s="10" t="s">
        <v>3344</v>
      </c>
      <c r="B666" s="10">
        <v>46.51</v>
      </c>
      <c r="C666" s="10">
        <v>8.69</v>
      </c>
      <c r="D666" s="16" t="s">
        <v>4682</v>
      </c>
      <c r="E666" s="10" t="s">
        <v>4684</v>
      </c>
      <c r="F666" s="10" t="s">
        <v>4683</v>
      </c>
      <c r="G666" s="10" t="s">
        <v>4683</v>
      </c>
      <c r="H666" s="14">
        <v>0</v>
      </c>
      <c r="I666" s="10" t="s">
        <v>4683</v>
      </c>
      <c r="J666" s="10" t="str">
        <f t="shared" si="3"/>
        <v>normalweight</v>
      </c>
      <c r="L666" s="30" t="e">
        <v>#N/A</v>
      </c>
    </row>
    <row r="667" spans="1:12" ht="15.75" customHeight="1" x14ac:dyDescent="0.3">
      <c r="A667" s="10" t="s">
        <v>3342</v>
      </c>
      <c r="B667" s="10">
        <v>43.58</v>
      </c>
      <c r="C667" s="10">
        <v>4.2300000000000004</v>
      </c>
      <c r="D667" s="10" t="s">
        <v>4685</v>
      </c>
      <c r="E667" s="10" t="s">
        <v>4683</v>
      </c>
      <c r="F667" s="10" t="s">
        <v>4683</v>
      </c>
      <c r="G667" s="10" t="s">
        <v>4686</v>
      </c>
      <c r="H667" s="14">
        <v>1</v>
      </c>
      <c r="I667" s="10" t="s">
        <v>4683</v>
      </c>
      <c r="J667" s="10" t="str">
        <f t="shared" si="3"/>
        <v>normalweight</v>
      </c>
      <c r="L667" s="30" t="e">
        <v>#N/A</v>
      </c>
    </row>
    <row r="668" spans="1:12" ht="15.75" customHeight="1" x14ac:dyDescent="0.3">
      <c r="A668" s="10" t="s">
        <v>3340</v>
      </c>
      <c r="B668" s="10">
        <v>42.28</v>
      </c>
      <c r="C668" s="10">
        <v>9.16</v>
      </c>
      <c r="D668" s="16" t="s">
        <v>4682</v>
      </c>
      <c r="E668" s="10" t="s">
        <v>4684</v>
      </c>
      <c r="F668" s="10" t="s">
        <v>4683</v>
      </c>
      <c r="G668" s="10" t="s">
        <v>4683</v>
      </c>
      <c r="H668" s="14">
        <v>1</v>
      </c>
      <c r="I668" s="10" t="s">
        <v>4683</v>
      </c>
      <c r="J668" s="10" t="str">
        <f t="shared" si="3"/>
        <v>normalweight</v>
      </c>
      <c r="L668" s="30" t="e">
        <v>#N/A</v>
      </c>
    </row>
    <row r="669" spans="1:12" ht="15.75" customHeight="1" x14ac:dyDescent="0.3">
      <c r="A669" s="10" t="s">
        <v>3338</v>
      </c>
      <c r="B669" s="10">
        <v>35.520000000000003</v>
      </c>
      <c r="C669" s="10">
        <v>8.26</v>
      </c>
      <c r="D669" s="16" t="s">
        <v>4682</v>
      </c>
      <c r="E669" s="10" t="s">
        <v>4683</v>
      </c>
      <c r="F669" s="10" t="s">
        <v>4683</v>
      </c>
      <c r="G669" s="10" t="s">
        <v>4683</v>
      </c>
      <c r="H669" s="14">
        <v>0</v>
      </c>
      <c r="I669" s="10" t="s">
        <v>4683</v>
      </c>
      <c r="J669" s="10" t="str">
        <f t="shared" si="3"/>
        <v>normalweight</v>
      </c>
      <c r="L669" s="30" t="e">
        <v>#N/A</v>
      </c>
    </row>
    <row r="670" spans="1:12" ht="15.75" customHeight="1" x14ac:dyDescent="0.3">
      <c r="A670" s="10" t="s">
        <v>3336</v>
      </c>
      <c r="B670" s="10">
        <v>33.6</v>
      </c>
      <c r="C670" s="10">
        <v>11.25</v>
      </c>
      <c r="D670" s="16" t="s">
        <v>4682</v>
      </c>
      <c r="E670" s="10" t="s">
        <v>4683</v>
      </c>
      <c r="F670" s="10" t="s">
        <v>4683</v>
      </c>
      <c r="G670" s="10" t="s">
        <v>4683</v>
      </c>
      <c r="H670" s="14">
        <v>0</v>
      </c>
      <c r="I670" s="10" t="s">
        <v>4683</v>
      </c>
      <c r="J670" s="10" t="str">
        <f t="shared" si="3"/>
        <v>normalweight</v>
      </c>
      <c r="L670" s="30" t="e">
        <v>#N/A</v>
      </c>
    </row>
    <row r="671" spans="1:12" ht="15.75" customHeight="1" x14ac:dyDescent="0.3">
      <c r="A671" s="10" t="s">
        <v>3334</v>
      </c>
      <c r="B671" s="10">
        <v>22.42</v>
      </c>
      <c r="C671" s="10">
        <v>6.74</v>
      </c>
      <c r="D671" s="16" t="s">
        <v>4682</v>
      </c>
      <c r="E671" s="10" t="s">
        <v>4683</v>
      </c>
      <c r="F671" s="10" t="s">
        <v>4683</v>
      </c>
      <c r="G671" s="10" t="s">
        <v>4683</v>
      </c>
      <c r="H671" s="14">
        <v>0</v>
      </c>
      <c r="I671" s="10" t="s">
        <v>4684</v>
      </c>
      <c r="J671" s="10" t="str">
        <f t="shared" si="3"/>
        <v>normalweight</v>
      </c>
      <c r="L671" s="30" t="e">
        <v>#N/A</v>
      </c>
    </row>
    <row r="672" spans="1:12" ht="15.75" customHeight="1" x14ac:dyDescent="0.3">
      <c r="A672" s="10" t="s">
        <v>3332</v>
      </c>
      <c r="B672" s="10">
        <v>46.86</v>
      </c>
      <c r="C672" s="10">
        <v>4.87</v>
      </c>
      <c r="D672" s="10" t="s">
        <v>4685</v>
      </c>
      <c r="E672" s="10" t="s">
        <v>4683</v>
      </c>
      <c r="F672" s="10" t="s">
        <v>4683</v>
      </c>
      <c r="G672" s="10" t="s">
        <v>4683</v>
      </c>
      <c r="H672" s="14">
        <v>0</v>
      </c>
      <c r="I672" s="10" t="s">
        <v>4683</v>
      </c>
      <c r="J672" s="10" t="str">
        <f t="shared" si="3"/>
        <v>normalweight</v>
      </c>
      <c r="L672" s="30" t="e">
        <v>#N/A</v>
      </c>
    </row>
    <row r="673" spans="1:12" ht="15.75" customHeight="1" x14ac:dyDescent="0.3">
      <c r="A673" s="10" t="s">
        <v>3330</v>
      </c>
      <c r="B673" s="10">
        <v>32.965000000000003</v>
      </c>
      <c r="C673" s="10">
        <v>6.68</v>
      </c>
      <c r="D673" s="16" t="s">
        <v>4682</v>
      </c>
      <c r="E673" s="10" t="s">
        <v>4683</v>
      </c>
      <c r="F673" s="10" t="s">
        <v>4683</v>
      </c>
      <c r="G673" s="10" t="s">
        <v>4683</v>
      </c>
      <c r="H673" s="14">
        <v>3</v>
      </c>
      <c r="I673" s="10" t="s">
        <v>4683</v>
      </c>
      <c r="J673" s="10" t="str">
        <f t="shared" si="3"/>
        <v>normalweight</v>
      </c>
      <c r="L673" s="30" t="e">
        <v>#N/A</v>
      </c>
    </row>
    <row r="674" spans="1:12" ht="15.75" customHeight="1" x14ac:dyDescent="0.3">
      <c r="A674" s="10" t="s">
        <v>3328</v>
      </c>
      <c r="B674" s="10">
        <v>39.340000000000003</v>
      </c>
      <c r="C674" s="10">
        <v>5.0199999999999996</v>
      </c>
      <c r="D674" s="10" t="s">
        <v>4685</v>
      </c>
      <c r="E674" s="10" t="s">
        <v>4684</v>
      </c>
      <c r="F674" s="10" t="s">
        <v>4683</v>
      </c>
      <c r="G674" s="10" t="s">
        <v>4686</v>
      </c>
      <c r="H674" s="14">
        <v>1</v>
      </c>
      <c r="I674" s="10" t="s">
        <v>4683</v>
      </c>
      <c r="J674" s="10" t="str">
        <f t="shared" si="3"/>
        <v>normalweight</v>
      </c>
      <c r="L674" s="30" t="e">
        <v>#N/A</v>
      </c>
    </row>
    <row r="675" spans="1:12" ht="15.75" customHeight="1" x14ac:dyDescent="0.3">
      <c r="A675" s="10" t="s">
        <v>3326</v>
      </c>
      <c r="B675" s="10">
        <v>47</v>
      </c>
      <c r="C675" s="10">
        <v>10.64</v>
      </c>
      <c r="D675" s="16" t="s">
        <v>4682</v>
      </c>
      <c r="E675" s="10" t="s">
        <v>4684</v>
      </c>
      <c r="F675" s="10" t="s">
        <v>4683</v>
      </c>
      <c r="G675" s="10" t="s">
        <v>4683</v>
      </c>
      <c r="H675" s="14">
        <v>0</v>
      </c>
      <c r="I675" s="10" t="s">
        <v>4683</v>
      </c>
      <c r="J675" s="10" t="str">
        <f t="shared" si="3"/>
        <v>normalweight</v>
      </c>
      <c r="L675" s="30" t="e">
        <v>#N/A</v>
      </c>
    </row>
    <row r="676" spans="1:12" ht="15.75" customHeight="1" x14ac:dyDescent="0.3">
      <c r="A676" s="10" t="s">
        <v>3324</v>
      </c>
      <c r="B676" s="10">
        <v>36.71</v>
      </c>
      <c r="C676" s="10">
        <v>8.74</v>
      </c>
      <c r="D676" s="16" t="s">
        <v>4682</v>
      </c>
      <c r="E676" s="10" t="s">
        <v>4684</v>
      </c>
      <c r="F676" s="10" t="s">
        <v>4683</v>
      </c>
      <c r="G676" s="10" t="s">
        <v>4683</v>
      </c>
      <c r="H676" s="14">
        <v>0</v>
      </c>
      <c r="I676" s="10" t="s">
        <v>4683</v>
      </c>
      <c r="J676" s="10" t="str">
        <f t="shared" si="3"/>
        <v>normalweight</v>
      </c>
      <c r="L676" s="30" t="e">
        <v>#N/A</v>
      </c>
    </row>
    <row r="677" spans="1:12" ht="15.75" customHeight="1" x14ac:dyDescent="0.3">
      <c r="A677" s="10" t="s">
        <v>3322</v>
      </c>
      <c r="B677" s="10">
        <v>53.48</v>
      </c>
      <c r="C677" s="10">
        <v>5.64</v>
      </c>
      <c r="D677" s="10" t="s">
        <v>4685</v>
      </c>
      <c r="E677" s="10" t="s">
        <v>4683</v>
      </c>
      <c r="F677" s="10" t="s">
        <v>4683</v>
      </c>
      <c r="G677" s="10" t="s">
        <v>4683</v>
      </c>
      <c r="H677" s="14">
        <v>0</v>
      </c>
      <c r="I677" s="10" t="s">
        <v>4683</v>
      </c>
      <c r="J677" s="10" t="str">
        <f t="shared" si="3"/>
        <v>normalweight</v>
      </c>
      <c r="L677" s="30" t="e">
        <v>#N/A</v>
      </c>
    </row>
    <row r="678" spans="1:12" ht="15.75" customHeight="1" x14ac:dyDescent="0.3">
      <c r="A678" s="10" t="s">
        <v>3320</v>
      </c>
      <c r="B678" s="10">
        <v>35.5</v>
      </c>
      <c r="C678" s="10">
        <v>10.37</v>
      </c>
      <c r="D678" s="16" t="s">
        <v>4682</v>
      </c>
      <c r="E678" s="10" t="s">
        <v>4683</v>
      </c>
      <c r="F678" s="10" t="s">
        <v>4683</v>
      </c>
      <c r="G678" s="10" t="s">
        <v>4683</v>
      </c>
      <c r="H678" s="14">
        <v>0</v>
      </c>
      <c r="I678" s="10" t="s">
        <v>4683</v>
      </c>
      <c r="J678" s="10" t="str">
        <f t="shared" si="3"/>
        <v>normalweight</v>
      </c>
      <c r="L678" s="30" t="e">
        <v>#N/A</v>
      </c>
    </row>
    <row r="679" spans="1:12" ht="15.75" customHeight="1" x14ac:dyDescent="0.3">
      <c r="A679" s="10" t="s">
        <v>3318</v>
      </c>
      <c r="B679" s="10">
        <v>36.979999999999997</v>
      </c>
      <c r="C679" s="10">
        <v>9.56</v>
      </c>
      <c r="D679" s="16" t="s">
        <v>4682</v>
      </c>
      <c r="E679" s="10" t="s">
        <v>4684</v>
      </c>
      <c r="F679" s="10" t="s">
        <v>4683</v>
      </c>
      <c r="G679" s="10" t="s">
        <v>4683</v>
      </c>
      <c r="H679" s="14">
        <v>0</v>
      </c>
      <c r="I679" s="10" t="s">
        <v>4683</v>
      </c>
      <c r="J679" s="10" t="str">
        <f t="shared" si="3"/>
        <v>normalweight</v>
      </c>
      <c r="L679" s="30" t="e">
        <v>#N/A</v>
      </c>
    </row>
    <row r="680" spans="1:12" ht="15.75" customHeight="1" x14ac:dyDescent="0.3">
      <c r="A680" s="10" t="s">
        <v>3316</v>
      </c>
      <c r="B680" s="10">
        <v>32.395000000000003</v>
      </c>
      <c r="C680" s="10">
        <v>8.23</v>
      </c>
      <c r="D680" s="16" t="s">
        <v>4682</v>
      </c>
      <c r="E680" s="10" t="s">
        <v>4684</v>
      </c>
      <c r="F680" s="10" t="s">
        <v>4683</v>
      </c>
      <c r="G680" s="10" t="s">
        <v>4686</v>
      </c>
      <c r="H680" s="14">
        <v>1</v>
      </c>
      <c r="I680" s="10" t="s">
        <v>4683</v>
      </c>
      <c r="J680" s="10" t="str">
        <f t="shared" si="3"/>
        <v>normalweight</v>
      </c>
      <c r="L680" s="30" t="e">
        <v>#N/A</v>
      </c>
    </row>
    <row r="681" spans="1:12" ht="15.75" customHeight="1" x14ac:dyDescent="0.3">
      <c r="A681" s="10" t="s">
        <v>3314</v>
      </c>
      <c r="B681" s="10">
        <v>32.729999999999997</v>
      </c>
      <c r="C681" s="10">
        <v>7.03</v>
      </c>
      <c r="D681" s="16" t="s">
        <v>4682</v>
      </c>
      <c r="E681" s="10" t="s">
        <v>4683</v>
      </c>
      <c r="F681" s="10" t="s">
        <v>4683</v>
      </c>
      <c r="G681" s="10" t="s">
        <v>4683</v>
      </c>
      <c r="H681" s="14">
        <v>0</v>
      </c>
      <c r="I681" s="10" t="s">
        <v>4683</v>
      </c>
      <c r="J681" s="10" t="str">
        <f t="shared" si="3"/>
        <v>normalweight</v>
      </c>
      <c r="L681" s="30" t="e">
        <v>#N/A</v>
      </c>
    </row>
    <row r="682" spans="1:12" ht="15.75" customHeight="1" x14ac:dyDescent="0.3">
      <c r="A682" s="10" t="s">
        <v>3312</v>
      </c>
      <c r="B682" s="10">
        <v>20.52</v>
      </c>
      <c r="C682" s="10">
        <v>5.45</v>
      </c>
      <c r="D682" s="10" t="s">
        <v>4685</v>
      </c>
      <c r="E682" s="10" t="s">
        <v>4683</v>
      </c>
      <c r="F682" s="10" t="s">
        <v>4683</v>
      </c>
      <c r="G682" s="10" t="s">
        <v>4683</v>
      </c>
      <c r="H682" s="14">
        <v>1</v>
      </c>
      <c r="I682" s="10" t="s">
        <v>4684</v>
      </c>
      <c r="J682" s="10" t="str">
        <f t="shared" si="3"/>
        <v>normalweight</v>
      </c>
      <c r="L682" s="30" t="e">
        <v>#N/A</v>
      </c>
    </row>
    <row r="683" spans="1:12" ht="15.75" customHeight="1" x14ac:dyDescent="0.3">
      <c r="A683" s="10" t="s">
        <v>3310</v>
      </c>
      <c r="B683" s="10">
        <v>51.72</v>
      </c>
      <c r="C683" s="10">
        <v>5.76</v>
      </c>
      <c r="D683" s="10" t="s">
        <v>4685</v>
      </c>
      <c r="E683" s="10" t="s">
        <v>4683</v>
      </c>
      <c r="F683" s="10" t="s">
        <v>4683</v>
      </c>
      <c r="G683" s="10" t="s">
        <v>4683</v>
      </c>
      <c r="H683" s="14">
        <v>0</v>
      </c>
      <c r="I683" s="10" t="s">
        <v>4683</v>
      </c>
      <c r="J683" s="10" t="str">
        <f t="shared" si="3"/>
        <v>normalweight</v>
      </c>
      <c r="L683" s="30" t="e">
        <v>#N/A</v>
      </c>
    </row>
    <row r="684" spans="1:12" ht="15.75" customHeight="1" x14ac:dyDescent="0.3">
      <c r="A684" s="10" t="s">
        <v>3308</v>
      </c>
      <c r="B684" s="10">
        <v>50.2</v>
      </c>
      <c r="C684" s="10">
        <v>5.4</v>
      </c>
      <c r="D684" s="10" t="s">
        <v>4685</v>
      </c>
      <c r="E684" s="10" t="s">
        <v>4683</v>
      </c>
      <c r="F684" s="10" t="s">
        <v>4683</v>
      </c>
      <c r="G684" s="10" t="s">
        <v>4683</v>
      </c>
      <c r="H684" s="14">
        <v>0</v>
      </c>
      <c r="I684" s="10" t="s">
        <v>4683</v>
      </c>
      <c r="J684" s="10" t="str">
        <f t="shared" si="3"/>
        <v>normalweight</v>
      </c>
      <c r="L684" s="30" t="e">
        <v>#N/A</v>
      </c>
    </row>
    <row r="685" spans="1:12" ht="15.75" customHeight="1" x14ac:dyDescent="0.3">
      <c r="A685" s="10" t="s">
        <v>3306</v>
      </c>
      <c r="B685" s="10">
        <v>25.52</v>
      </c>
      <c r="C685" s="10">
        <v>6.35</v>
      </c>
      <c r="D685" s="10" t="s">
        <v>4685</v>
      </c>
      <c r="E685" s="10" t="s">
        <v>4683</v>
      </c>
      <c r="F685" s="10" t="s">
        <v>4683</v>
      </c>
      <c r="G685" s="10" t="s">
        <v>4686</v>
      </c>
      <c r="H685" s="14">
        <v>1</v>
      </c>
      <c r="I685" s="10" t="s">
        <v>4683</v>
      </c>
      <c r="J685" s="10" t="str">
        <f t="shared" si="3"/>
        <v>normalweight</v>
      </c>
      <c r="L685" s="30" t="e">
        <v>#N/A</v>
      </c>
    </row>
    <row r="686" spans="1:12" ht="15.75" customHeight="1" x14ac:dyDescent="0.3">
      <c r="A686" s="10" t="s">
        <v>3304</v>
      </c>
      <c r="B686" s="10">
        <v>35.200000000000003</v>
      </c>
      <c r="C686" s="10">
        <v>6.26</v>
      </c>
      <c r="D686" s="10" t="s">
        <v>4685</v>
      </c>
      <c r="E686" s="10" t="s">
        <v>4684</v>
      </c>
      <c r="F686" s="10" t="s">
        <v>4683</v>
      </c>
      <c r="G686" s="10" t="s">
        <v>4683</v>
      </c>
      <c r="H686" s="14">
        <v>2</v>
      </c>
      <c r="I686" s="10" t="s">
        <v>4683</v>
      </c>
      <c r="J686" s="10" t="str">
        <f t="shared" si="3"/>
        <v>normalweight</v>
      </c>
      <c r="L686" s="30" t="e">
        <v>#N/A</v>
      </c>
    </row>
    <row r="687" spans="1:12" ht="15.75" customHeight="1" x14ac:dyDescent="0.3">
      <c r="A687" s="10" t="s">
        <v>3302</v>
      </c>
      <c r="B687" s="10">
        <v>41.26</v>
      </c>
      <c r="C687" s="10">
        <v>5.97</v>
      </c>
      <c r="D687" s="10" t="s">
        <v>4685</v>
      </c>
      <c r="E687" s="10" t="s">
        <v>4684</v>
      </c>
      <c r="F687" s="10" t="s">
        <v>4683</v>
      </c>
      <c r="G687" s="10" t="s">
        <v>4683</v>
      </c>
      <c r="H687" s="14">
        <v>0</v>
      </c>
      <c r="I687" s="10" t="s">
        <v>4683</v>
      </c>
      <c r="J687" s="10" t="str">
        <f t="shared" si="3"/>
        <v>normalweight</v>
      </c>
      <c r="L687" s="30" t="e">
        <v>#N/A</v>
      </c>
    </row>
    <row r="688" spans="1:12" ht="15.75" customHeight="1" x14ac:dyDescent="0.3">
      <c r="A688" s="10" t="s">
        <v>3300</v>
      </c>
      <c r="B688" s="10">
        <v>17.195</v>
      </c>
      <c r="C688" s="10">
        <v>5.29</v>
      </c>
      <c r="D688" s="10" t="s">
        <v>4685</v>
      </c>
      <c r="E688" s="10" t="s">
        <v>4684</v>
      </c>
      <c r="F688" s="10" t="s">
        <v>4683</v>
      </c>
      <c r="G688" s="10" t="s">
        <v>4683</v>
      </c>
      <c r="H688" s="14">
        <v>0</v>
      </c>
      <c r="I688" s="10" t="s">
        <v>4684</v>
      </c>
      <c r="J688" s="10" t="str">
        <f t="shared" si="3"/>
        <v>underweight</v>
      </c>
      <c r="L688" s="30" t="e">
        <v>#N/A</v>
      </c>
    </row>
    <row r="689" spans="1:12" ht="15.75" customHeight="1" x14ac:dyDescent="0.3">
      <c r="A689" s="10" t="s">
        <v>3298</v>
      </c>
      <c r="B689" s="10">
        <v>23.085000000000001</v>
      </c>
      <c r="C689" s="10">
        <v>4.2699999999999996</v>
      </c>
      <c r="D689" s="10" t="s">
        <v>4685</v>
      </c>
      <c r="E689" s="10" t="s">
        <v>4684</v>
      </c>
      <c r="F689" s="10" t="s">
        <v>4683</v>
      </c>
      <c r="G689" s="10" t="s">
        <v>4683</v>
      </c>
      <c r="H689" s="14">
        <v>2</v>
      </c>
      <c r="I689" s="10" t="s">
        <v>4683</v>
      </c>
      <c r="J689" s="10" t="str">
        <f t="shared" si="3"/>
        <v>normalweight</v>
      </c>
      <c r="L689" s="30" t="e">
        <v>#N/A</v>
      </c>
    </row>
    <row r="690" spans="1:12" ht="15.75" customHeight="1" x14ac:dyDescent="0.3">
      <c r="A690" s="10" t="s">
        <v>3296</v>
      </c>
      <c r="B690" s="10">
        <v>21.66</v>
      </c>
      <c r="C690" s="10">
        <v>5.2</v>
      </c>
      <c r="D690" s="10" t="s">
        <v>4685</v>
      </c>
      <c r="E690" s="10" t="s">
        <v>4684</v>
      </c>
      <c r="F690" s="10" t="s">
        <v>4683</v>
      </c>
      <c r="G690" s="10" t="s">
        <v>4683</v>
      </c>
      <c r="H690" s="14">
        <v>2</v>
      </c>
      <c r="I690" s="10" t="s">
        <v>4683</v>
      </c>
      <c r="J690" s="10" t="str">
        <f t="shared" si="3"/>
        <v>normalweight</v>
      </c>
      <c r="L690" s="30" t="e">
        <v>#N/A</v>
      </c>
    </row>
    <row r="691" spans="1:12" ht="15.75" customHeight="1" x14ac:dyDescent="0.3">
      <c r="A691" s="10" t="s">
        <v>3294</v>
      </c>
      <c r="B691" s="10">
        <v>36.47</v>
      </c>
      <c r="C691" s="10">
        <v>8.23</v>
      </c>
      <c r="D691" s="16" t="s">
        <v>4682</v>
      </c>
      <c r="E691" s="10" t="s">
        <v>4684</v>
      </c>
      <c r="F691" s="10" t="s">
        <v>4683</v>
      </c>
      <c r="G691" s="10" t="s">
        <v>4683</v>
      </c>
      <c r="H691" s="14">
        <v>0</v>
      </c>
      <c r="I691" s="10" t="s">
        <v>4683</v>
      </c>
      <c r="J691" s="10" t="str">
        <f t="shared" si="3"/>
        <v>normalweight</v>
      </c>
      <c r="L691" s="30" t="e">
        <v>#N/A</v>
      </c>
    </row>
    <row r="692" spans="1:12" ht="15.75" customHeight="1" x14ac:dyDescent="0.3">
      <c r="A692" s="10" t="s">
        <v>3292</v>
      </c>
      <c r="B692" s="10">
        <v>36.08</v>
      </c>
      <c r="C692" s="10">
        <v>10.33</v>
      </c>
      <c r="D692" s="16" t="s">
        <v>4682</v>
      </c>
      <c r="E692" s="10" t="s">
        <v>4684</v>
      </c>
      <c r="F692" s="10" t="s">
        <v>4683</v>
      </c>
      <c r="G692" s="10" t="s">
        <v>4683</v>
      </c>
      <c r="H692" s="14">
        <v>0</v>
      </c>
      <c r="I692" s="10" t="s">
        <v>4683</v>
      </c>
      <c r="J692" s="10" t="str">
        <f t="shared" si="3"/>
        <v>normalweight</v>
      </c>
      <c r="L692" s="30" t="e">
        <v>#N/A</v>
      </c>
    </row>
    <row r="693" spans="1:12" ht="15.75" customHeight="1" x14ac:dyDescent="0.3">
      <c r="A693" s="10" t="s">
        <v>3290</v>
      </c>
      <c r="B693" s="10">
        <v>23.18</v>
      </c>
      <c r="C693" s="10">
        <v>6.13</v>
      </c>
      <c r="D693" s="10" t="s">
        <v>4685</v>
      </c>
      <c r="E693" s="10" t="s">
        <v>4683</v>
      </c>
      <c r="F693" s="10" t="s">
        <v>4683</v>
      </c>
      <c r="G693" s="10" t="s">
        <v>4683</v>
      </c>
      <c r="H693" s="14">
        <v>0</v>
      </c>
      <c r="I693" s="10" t="s">
        <v>4683</v>
      </c>
      <c r="J693" s="10" t="str">
        <f t="shared" si="3"/>
        <v>normalweight</v>
      </c>
      <c r="L693" s="30" t="e">
        <v>#N/A</v>
      </c>
    </row>
    <row r="694" spans="1:12" ht="15.75" customHeight="1" x14ac:dyDescent="0.3">
      <c r="A694" s="10" t="s">
        <v>3288</v>
      </c>
      <c r="B694" s="10">
        <v>39.159999999999997</v>
      </c>
      <c r="C694" s="10">
        <v>8.08</v>
      </c>
      <c r="D694" s="16" t="s">
        <v>4682</v>
      </c>
      <c r="E694" s="10" t="s">
        <v>4683</v>
      </c>
      <c r="F694" s="10" t="s">
        <v>4683</v>
      </c>
      <c r="G694" s="10" t="s">
        <v>4683</v>
      </c>
      <c r="H694" s="14">
        <v>3</v>
      </c>
      <c r="I694" s="10" t="s">
        <v>4683</v>
      </c>
      <c r="J694" s="10" t="str">
        <f t="shared" si="3"/>
        <v>normalweight</v>
      </c>
      <c r="L694" s="30" t="e">
        <v>#N/A</v>
      </c>
    </row>
    <row r="695" spans="1:12" ht="15.75" customHeight="1" x14ac:dyDescent="0.3">
      <c r="A695" s="10" t="s">
        <v>3286</v>
      </c>
      <c r="B695" s="10">
        <v>38.19</v>
      </c>
      <c r="C695" s="10">
        <v>10.49</v>
      </c>
      <c r="D695" s="16" t="s">
        <v>4682</v>
      </c>
      <c r="E695" s="10" t="s">
        <v>4683</v>
      </c>
      <c r="F695" s="10" t="s">
        <v>4683</v>
      </c>
      <c r="G695" s="10" t="s">
        <v>4683</v>
      </c>
      <c r="H695" s="14">
        <v>3</v>
      </c>
      <c r="I695" s="10" t="s">
        <v>4683</v>
      </c>
      <c r="J695" s="10" t="str">
        <f t="shared" si="3"/>
        <v>normalweight</v>
      </c>
      <c r="L695" s="30" t="e">
        <v>#N/A</v>
      </c>
    </row>
    <row r="696" spans="1:12" ht="15.75" customHeight="1" x14ac:dyDescent="0.3">
      <c r="A696" s="10" t="s">
        <v>3284</v>
      </c>
      <c r="B696" s="10">
        <v>26.41</v>
      </c>
      <c r="C696" s="10">
        <v>8.11</v>
      </c>
      <c r="D696" s="16" t="s">
        <v>4682</v>
      </c>
      <c r="E696" s="10" t="s">
        <v>4683</v>
      </c>
      <c r="F696" s="10" t="s">
        <v>4683</v>
      </c>
      <c r="G696" s="10" t="s">
        <v>4683</v>
      </c>
      <c r="H696" s="14">
        <v>3</v>
      </c>
      <c r="I696" s="10" t="s">
        <v>4683</v>
      </c>
      <c r="J696" s="10" t="str">
        <f t="shared" si="3"/>
        <v>normalweight</v>
      </c>
      <c r="L696" s="30" t="e">
        <v>#N/A</v>
      </c>
    </row>
    <row r="697" spans="1:12" ht="15.75" customHeight="1" x14ac:dyDescent="0.3">
      <c r="A697" s="10" t="s">
        <v>3282</v>
      </c>
      <c r="B697" s="10">
        <v>28.785</v>
      </c>
      <c r="C697" s="10">
        <v>6.6</v>
      </c>
      <c r="D697" s="10" t="s">
        <v>4685</v>
      </c>
      <c r="E697" s="10" t="s">
        <v>4683</v>
      </c>
      <c r="F697" s="10" t="s">
        <v>4683</v>
      </c>
      <c r="G697" s="10" t="s">
        <v>4683</v>
      </c>
      <c r="H697" s="14">
        <v>0</v>
      </c>
      <c r="I697" s="10" t="s">
        <v>4683</v>
      </c>
      <c r="J697" s="10" t="str">
        <f t="shared" si="3"/>
        <v>normalweight</v>
      </c>
      <c r="L697" s="30" t="e">
        <v>#N/A</v>
      </c>
    </row>
    <row r="698" spans="1:12" ht="15.75" customHeight="1" x14ac:dyDescent="0.3">
      <c r="A698" s="10" t="s">
        <v>3280</v>
      </c>
      <c r="B698" s="10">
        <v>26.695</v>
      </c>
      <c r="C698" s="10">
        <v>10.14</v>
      </c>
      <c r="D698" s="16" t="s">
        <v>4682</v>
      </c>
      <c r="E698" s="10" t="s">
        <v>4684</v>
      </c>
      <c r="F698" s="10" t="s">
        <v>4683</v>
      </c>
      <c r="G698" s="10" t="s">
        <v>4686</v>
      </c>
      <c r="H698" s="14">
        <v>1</v>
      </c>
      <c r="I698" s="10" t="s">
        <v>4683</v>
      </c>
      <c r="J698" s="10" t="str">
        <f t="shared" si="3"/>
        <v>normalweight</v>
      </c>
      <c r="L698" s="30" t="e">
        <v>#N/A</v>
      </c>
    </row>
    <row r="699" spans="1:12" ht="15.75" customHeight="1" x14ac:dyDescent="0.3">
      <c r="A699" s="10" t="s">
        <v>3278</v>
      </c>
      <c r="B699" s="10">
        <v>32.799999999999997</v>
      </c>
      <c r="C699" s="10">
        <v>6.06</v>
      </c>
      <c r="D699" s="10" t="s">
        <v>4685</v>
      </c>
      <c r="E699" s="10" t="s">
        <v>4684</v>
      </c>
      <c r="F699" s="10" t="s">
        <v>4683</v>
      </c>
      <c r="G699" s="10" t="s">
        <v>4683</v>
      </c>
      <c r="H699" s="14">
        <v>1</v>
      </c>
      <c r="I699" s="10" t="s">
        <v>4683</v>
      </c>
      <c r="J699" s="10" t="str">
        <f t="shared" si="3"/>
        <v>normalweight</v>
      </c>
      <c r="L699" s="30" t="e">
        <v>#N/A</v>
      </c>
    </row>
    <row r="700" spans="1:12" ht="15.75" customHeight="1" x14ac:dyDescent="0.3">
      <c r="A700" s="10" t="s">
        <v>3276</v>
      </c>
      <c r="B700" s="10">
        <v>35.869999999999997</v>
      </c>
      <c r="C700" s="10">
        <v>9.91</v>
      </c>
      <c r="D700" s="16" t="s">
        <v>4682</v>
      </c>
      <c r="E700" s="10" t="s">
        <v>4684</v>
      </c>
      <c r="F700" s="10" t="s">
        <v>4683</v>
      </c>
      <c r="G700" s="10" t="s">
        <v>4683</v>
      </c>
      <c r="H700" s="14">
        <v>0</v>
      </c>
      <c r="I700" s="10" t="s">
        <v>4683</v>
      </c>
      <c r="J700" s="10" t="str">
        <f t="shared" si="3"/>
        <v>normalweight</v>
      </c>
      <c r="L700" s="30" t="e">
        <v>#N/A</v>
      </c>
    </row>
    <row r="701" spans="1:12" ht="15.75" customHeight="1" x14ac:dyDescent="0.3">
      <c r="A701" s="10" t="s">
        <v>3274</v>
      </c>
      <c r="B701" s="10">
        <v>21.66</v>
      </c>
      <c r="C701" s="10">
        <v>4.1399999999999997</v>
      </c>
      <c r="D701" s="10" t="s">
        <v>4685</v>
      </c>
      <c r="E701" s="10" t="s">
        <v>4684</v>
      </c>
      <c r="F701" s="10" t="s">
        <v>4683</v>
      </c>
      <c r="G701" s="10" t="s">
        <v>4683</v>
      </c>
      <c r="H701" s="14">
        <v>2</v>
      </c>
      <c r="I701" s="10" t="s">
        <v>4683</v>
      </c>
      <c r="J701" s="10" t="str">
        <f t="shared" si="3"/>
        <v>normalweight</v>
      </c>
      <c r="L701" s="30" t="e">
        <v>#N/A</v>
      </c>
    </row>
    <row r="702" spans="1:12" ht="15.75" customHeight="1" x14ac:dyDescent="0.3">
      <c r="A702" s="10" t="s">
        <v>3272</v>
      </c>
      <c r="B702" s="10">
        <v>37.72</v>
      </c>
      <c r="C702" s="10">
        <v>4.38</v>
      </c>
      <c r="D702" s="10" t="s">
        <v>4685</v>
      </c>
      <c r="E702" s="10" t="s">
        <v>4684</v>
      </c>
      <c r="F702" s="10" t="s">
        <v>4683</v>
      </c>
      <c r="G702" s="10" t="s">
        <v>4686</v>
      </c>
      <c r="H702" s="14">
        <v>1</v>
      </c>
      <c r="I702" s="10" t="s">
        <v>4683</v>
      </c>
      <c r="J702" s="10" t="str">
        <f t="shared" si="3"/>
        <v>normalweight</v>
      </c>
      <c r="L702" s="30" t="e">
        <v>#N/A</v>
      </c>
    </row>
    <row r="703" spans="1:12" ht="15.75" customHeight="1" x14ac:dyDescent="0.3">
      <c r="A703" s="10" t="s">
        <v>3270</v>
      </c>
      <c r="B703" s="10">
        <v>39.700000000000003</v>
      </c>
      <c r="C703" s="10">
        <v>9.83</v>
      </c>
      <c r="D703" s="16" t="s">
        <v>4682</v>
      </c>
      <c r="E703" s="10" t="s">
        <v>4683</v>
      </c>
      <c r="F703" s="10" t="s">
        <v>4683</v>
      </c>
      <c r="G703" s="10" t="s">
        <v>4683</v>
      </c>
      <c r="H703" s="14">
        <v>3</v>
      </c>
      <c r="I703" s="10" t="s">
        <v>4683</v>
      </c>
      <c r="J703" s="10" t="str">
        <f t="shared" si="3"/>
        <v>normalweight</v>
      </c>
      <c r="L703" s="30" t="e">
        <v>#N/A</v>
      </c>
    </row>
    <row r="704" spans="1:12" ht="15.75" customHeight="1" x14ac:dyDescent="0.3">
      <c r="A704" s="10" t="s">
        <v>3268</v>
      </c>
      <c r="B704" s="10">
        <v>35.97</v>
      </c>
      <c r="C704" s="10">
        <v>11.08</v>
      </c>
      <c r="D704" s="16" t="s">
        <v>4682</v>
      </c>
      <c r="E704" s="10" t="s">
        <v>4683</v>
      </c>
      <c r="F704" s="10" t="s">
        <v>4683</v>
      </c>
      <c r="G704" s="10" t="s">
        <v>4683</v>
      </c>
      <c r="H704" s="14">
        <v>3</v>
      </c>
      <c r="I704" s="10" t="s">
        <v>4683</v>
      </c>
      <c r="J704" s="10" t="str">
        <f t="shared" si="3"/>
        <v>normalweight</v>
      </c>
      <c r="L704" s="30" t="e">
        <v>#N/A</v>
      </c>
    </row>
    <row r="705" spans="1:12" ht="15.75" customHeight="1" x14ac:dyDescent="0.3">
      <c r="A705" s="10" t="s">
        <v>3266</v>
      </c>
      <c r="B705" s="10">
        <v>37.85</v>
      </c>
      <c r="C705" s="10">
        <v>11.01</v>
      </c>
      <c r="D705" s="16" t="s">
        <v>4682</v>
      </c>
      <c r="E705" s="10" t="s">
        <v>4683</v>
      </c>
      <c r="F705" s="10" t="s">
        <v>4683</v>
      </c>
      <c r="G705" s="10" t="s">
        <v>4683</v>
      </c>
      <c r="H705" s="14">
        <v>0</v>
      </c>
      <c r="I705" s="10" t="s">
        <v>4683</v>
      </c>
      <c r="J705" s="10" t="str">
        <f t="shared" si="3"/>
        <v>normalweight</v>
      </c>
      <c r="L705" s="30" t="e">
        <v>#N/A</v>
      </c>
    </row>
    <row r="706" spans="1:12" ht="15.75" customHeight="1" x14ac:dyDescent="0.3">
      <c r="A706" s="10" t="s">
        <v>3264</v>
      </c>
      <c r="B706" s="10">
        <v>21.66</v>
      </c>
      <c r="C706" s="10">
        <v>4.37</v>
      </c>
      <c r="D706" s="10" t="s">
        <v>4685</v>
      </c>
      <c r="E706" s="10" t="s">
        <v>4683</v>
      </c>
      <c r="F706" s="10" t="s">
        <v>4684</v>
      </c>
      <c r="G706" s="10" t="s">
        <v>4683</v>
      </c>
      <c r="H706" s="14">
        <v>1</v>
      </c>
      <c r="I706" s="10" t="s">
        <v>4684</v>
      </c>
      <c r="J706" s="10" t="str">
        <f t="shared" si="3"/>
        <v>normalweight</v>
      </c>
      <c r="L706" s="30" t="e">
        <v>#N/A</v>
      </c>
    </row>
    <row r="707" spans="1:12" ht="15.75" customHeight="1" x14ac:dyDescent="0.3">
      <c r="A707" s="10" t="s">
        <v>3262</v>
      </c>
      <c r="B707" s="10">
        <v>39.369999999999997</v>
      </c>
      <c r="C707" s="10">
        <v>5.91</v>
      </c>
      <c r="D707" s="10" t="s">
        <v>4685</v>
      </c>
      <c r="E707" s="10" t="s">
        <v>4683</v>
      </c>
      <c r="F707" s="10" t="s">
        <v>4683</v>
      </c>
      <c r="G707" s="10" t="s">
        <v>4683</v>
      </c>
      <c r="H707" s="14">
        <v>2</v>
      </c>
      <c r="I707" s="10" t="s">
        <v>4683</v>
      </c>
      <c r="J707" s="10" t="str">
        <f t="shared" si="3"/>
        <v>normalweight</v>
      </c>
      <c r="L707" s="30" t="e">
        <v>#N/A</v>
      </c>
    </row>
    <row r="708" spans="1:12" ht="15.75" customHeight="1" x14ac:dyDescent="0.3">
      <c r="A708" s="10" t="s">
        <v>3260</v>
      </c>
      <c r="B708" s="10">
        <v>40.880000000000003</v>
      </c>
      <c r="C708" s="10">
        <v>7.65</v>
      </c>
      <c r="D708" s="16" t="s">
        <v>4682</v>
      </c>
      <c r="E708" s="10" t="s">
        <v>4683</v>
      </c>
      <c r="F708" s="10" t="s">
        <v>4683</v>
      </c>
      <c r="G708" s="10" t="s">
        <v>4683</v>
      </c>
      <c r="H708" s="14">
        <v>0</v>
      </c>
      <c r="I708" s="10" t="s">
        <v>4683</v>
      </c>
      <c r="J708" s="10" t="str">
        <f t="shared" si="3"/>
        <v>normalweight</v>
      </c>
      <c r="L708" s="30" t="e">
        <v>#N/A</v>
      </c>
    </row>
    <row r="709" spans="1:12" ht="15.75" customHeight="1" x14ac:dyDescent="0.3">
      <c r="A709" s="10" t="s">
        <v>3258</v>
      </c>
      <c r="B709" s="10">
        <v>26.22</v>
      </c>
      <c r="C709" s="10">
        <v>5.37</v>
      </c>
      <c r="D709" s="10" t="s">
        <v>4685</v>
      </c>
      <c r="E709" s="10" t="s">
        <v>4684</v>
      </c>
      <c r="F709" s="10" t="s">
        <v>4683</v>
      </c>
      <c r="G709" s="10" t="s">
        <v>4683</v>
      </c>
      <c r="H709" s="14">
        <v>2</v>
      </c>
      <c r="I709" s="10" t="s">
        <v>4683</v>
      </c>
      <c r="J709" s="10" t="str">
        <f t="shared" si="3"/>
        <v>normalweight</v>
      </c>
      <c r="L709" s="30" t="e">
        <v>#N/A</v>
      </c>
    </row>
    <row r="710" spans="1:12" ht="15.75" customHeight="1" x14ac:dyDescent="0.3">
      <c r="A710" s="10" t="s">
        <v>3256</v>
      </c>
      <c r="B710" s="10">
        <v>25.08</v>
      </c>
      <c r="C710" s="10">
        <v>5.75</v>
      </c>
      <c r="D710" s="10" t="s">
        <v>4685</v>
      </c>
      <c r="E710" s="10" t="s">
        <v>4684</v>
      </c>
      <c r="F710" s="10" t="s">
        <v>4683</v>
      </c>
      <c r="G710" s="10" t="s">
        <v>4683</v>
      </c>
      <c r="H710" s="14">
        <v>2</v>
      </c>
      <c r="I710" s="10" t="s">
        <v>4683</v>
      </c>
      <c r="J710" s="10" t="str">
        <f t="shared" si="3"/>
        <v>normalweight</v>
      </c>
      <c r="L710" s="30" t="e">
        <v>#N/A</v>
      </c>
    </row>
    <row r="711" spans="1:12" ht="15.75" customHeight="1" x14ac:dyDescent="0.3">
      <c r="A711" s="10" t="s">
        <v>3254</v>
      </c>
      <c r="B711" s="10">
        <v>39.1</v>
      </c>
      <c r="C711" s="10">
        <v>6.79</v>
      </c>
      <c r="D711" s="16" t="s">
        <v>4682</v>
      </c>
      <c r="E711" s="10" t="s">
        <v>4684</v>
      </c>
      <c r="F711" s="10" t="s">
        <v>4683</v>
      </c>
      <c r="G711" s="10" t="s">
        <v>4683</v>
      </c>
      <c r="H711" s="14">
        <v>2</v>
      </c>
      <c r="I711" s="10" t="s">
        <v>4683</v>
      </c>
      <c r="J711" s="10" t="str">
        <f t="shared" si="3"/>
        <v>normalweight</v>
      </c>
      <c r="L711" s="30" t="e">
        <v>#N/A</v>
      </c>
    </row>
    <row r="712" spans="1:12" ht="15.75" customHeight="1" x14ac:dyDescent="0.3">
      <c r="A712" s="10" t="s">
        <v>3252</v>
      </c>
      <c r="B712" s="10">
        <v>37.905000000000001</v>
      </c>
      <c r="C712" s="10">
        <v>7.03</v>
      </c>
      <c r="D712" s="16" t="s">
        <v>4682</v>
      </c>
      <c r="E712" s="10" t="s">
        <v>4683</v>
      </c>
      <c r="F712" s="10" t="s">
        <v>4683</v>
      </c>
      <c r="G712" s="10" t="s">
        <v>4683</v>
      </c>
      <c r="H712" s="14">
        <v>3</v>
      </c>
      <c r="I712" s="10" t="s">
        <v>4683</v>
      </c>
      <c r="J712" s="10" t="str">
        <f t="shared" si="3"/>
        <v>normalweight</v>
      </c>
      <c r="L712" s="30" t="e">
        <v>#N/A</v>
      </c>
    </row>
    <row r="713" spans="1:12" ht="15.75" customHeight="1" x14ac:dyDescent="0.3">
      <c r="A713" s="10" t="s">
        <v>3250</v>
      </c>
      <c r="B713" s="10">
        <v>43.35</v>
      </c>
      <c r="C713" s="10">
        <v>5.41</v>
      </c>
      <c r="D713" s="10" t="s">
        <v>4685</v>
      </c>
      <c r="E713" s="10" t="s">
        <v>4684</v>
      </c>
      <c r="F713" s="10" t="s">
        <v>4683</v>
      </c>
      <c r="G713" s="10" t="s">
        <v>4686</v>
      </c>
      <c r="H713" s="14">
        <v>1</v>
      </c>
      <c r="I713" s="10" t="s">
        <v>4683</v>
      </c>
      <c r="J713" s="10" t="str">
        <f t="shared" si="3"/>
        <v>normalweight</v>
      </c>
      <c r="L713" s="30" t="e">
        <v>#N/A</v>
      </c>
    </row>
    <row r="714" spans="1:12" ht="15.75" customHeight="1" x14ac:dyDescent="0.3">
      <c r="A714" s="10" t="s">
        <v>3248</v>
      </c>
      <c r="B714" s="10">
        <v>36.15</v>
      </c>
      <c r="C714" s="10">
        <v>8.0500000000000007</v>
      </c>
      <c r="D714" s="16" t="s">
        <v>4682</v>
      </c>
      <c r="E714" s="10" t="s">
        <v>4683</v>
      </c>
      <c r="F714" s="10" t="s">
        <v>4683</v>
      </c>
      <c r="G714" s="10" t="s">
        <v>4683</v>
      </c>
      <c r="H714" s="14">
        <v>0</v>
      </c>
      <c r="I714" s="10" t="s">
        <v>4683</v>
      </c>
      <c r="J714" s="10" t="str">
        <f t="shared" si="3"/>
        <v>normalweight</v>
      </c>
      <c r="L714" s="30" t="e">
        <v>#N/A</v>
      </c>
    </row>
    <row r="715" spans="1:12" ht="15.75" customHeight="1" x14ac:dyDescent="0.3">
      <c r="A715" s="10" t="s">
        <v>3246</v>
      </c>
      <c r="B715" s="10">
        <v>44.98</v>
      </c>
      <c r="C715" s="10">
        <v>5.94</v>
      </c>
      <c r="D715" s="10" t="s">
        <v>4685</v>
      </c>
      <c r="E715" s="10" t="s">
        <v>4683</v>
      </c>
      <c r="F715" s="10" t="s">
        <v>4683</v>
      </c>
      <c r="G715" s="10" t="s">
        <v>4683</v>
      </c>
      <c r="H715" s="14">
        <v>1</v>
      </c>
      <c r="I715" s="10" t="s">
        <v>4683</v>
      </c>
      <c r="J715" s="10" t="str">
        <f t="shared" si="3"/>
        <v>normalweight</v>
      </c>
      <c r="L715" s="30" t="e">
        <v>#N/A</v>
      </c>
    </row>
    <row r="716" spans="1:12" ht="15.75" customHeight="1" x14ac:dyDescent="0.3">
      <c r="A716" s="10" t="s">
        <v>3244</v>
      </c>
      <c r="B716" s="10">
        <v>38.28</v>
      </c>
      <c r="C716" s="10">
        <v>5.51</v>
      </c>
      <c r="D716" s="10" t="s">
        <v>4685</v>
      </c>
      <c r="E716" s="10" t="s">
        <v>4683</v>
      </c>
      <c r="F716" s="10" t="s">
        <v>4684</v>
      </c>
      <c r="G716" s="10" t="s">
        <v>4683</v>
      </c>
      <c r="H716" s="14">
        <v>1</v>
      </c>
      <c r="I716" s="10" t="s">
        <v>4683</v>
      </c>
      <c r="J716" s="10" t="str">
        <f t="shared" si="3"/>
        <v>normalweight</v>
      </c>
      <c r="L716" s="30" t="e">
        <v>#N/A</v>
      </c>
    </row>
    <row r="717" spans="1:12" ht="15.75" customHeight="1" x14ac:dyDescent="0.3">
      <c r="A717" s="10" t="s">
        <v>3242</v>
      </c>
      <c r="B717" s="10">
        <v>32.299999999999997</v>
      </c>
      <c r="C717" s="10">
        <v>6.55</v>
      </c>
      <c r="D717" s="16" t="s">
        <v>4682</v>
      </c>
      <c r="E717" s="10" t="s">
        <v>4684</v>
      </c>
      <c r="F717" s="10" t="s">
        <v>4683</v>
      </c>
      <c r="G717" s="10" t="s">
        <v>4683</v>
      </c>
      <c r="H717" s="14">
        <v>2</v>
      </c>
      <c r="I717" s="10" t="s">
        <v>4683</v>
      </c>
      <c r="J717" s="10" t="str">
        <f t="shared" si="3"/>
        <v>normalweight</v>
      </c>
      <c r="L717" s="30" t="e">
        <v>#N/A</v>
      </c>
    </row>
    <row r="718" spans="1:12" ht="15.75" customHeight="1" x14ac:dyDescent="0.3">
      <c r="A718" s="10" t="s">
        <v>3240</v>
      </c>
      <c r="B718" s="10">
        <v>39.51</v>
      </c>
      <c r="C718" s="10">
        <v>5.79</v>
      </c>
      <c r="D718" s="10" t="s">
        <v>4685</v>
      </c>
      <c r="E718" s="10" t="s">
        <v>4684</v>
      </c>
      <c r="F718" s="10" t="s">
        <v>4683</v>
      </c>
      <c r="G718" s="10" t="s">
        <v>4683</v>
      </c>
      <c r="H718" s="14">
        <v>0</v>
      </c>
      <c r="I718" s="10" t="s">
        <v>4683</v>
      </c>
      <c r="J718" s="10" t="str">
        <f t="shared" si="3"/>
        <v>normalweight</v>
      </c>
      <c r="L718" s="30" t="e">
        <v>#N/A</v>
      </c>
    </row>
    <row r="719" spans="1:12" ht="15.75" customHeight="1" x14ac:dyDescent="0.3">
      <c r="A719" s="10" t="s">
        <v>3238</v>
      </c>
      <c r="B719" s="10">
        <v>50.46</v>
      </c>
      <c r="C719" s="10">
        <v>4.5599999999999996</v>
      </c>
      <c r="D719" s="10" t="s">
        <v>4685</v>
      </c>
      <c r="E719" s="10" t="s">
        <v>4683</v>
      </c>
      <c r="F719" s="10" t="s">
        <v>4683</v>
      </c>
      <c r="G719" s="10" t="s">
        <v>4683</v>
      </c>
      <c r="H719" s="14">
        <v>0</v>
      </c>
      <c r="I719" s="10" t="s">
        <v>4683</v>
      </c>
      <c r="J719" s="10" t="str">
        <f t="shared" si="3"/>
        <v>normalweight</v>
      </c>
      <c r="L719" s="30" t="e">
        <v>#N/A</v>
      </c>
    </row>
    <row r="720" spans="1:12" ht="15.75" customHeight="1" x14ac:dyDescent="0.3">
      <c r="A720" s="10" t="s">
        <v>3236</v>
      </c>
      <c r="B720" s="10">
        <v>31.73</v>
      </c>
      <c r="C720" s="10">
        <v>7</v>
      </c>
      <c r="D720" s="16" t="s">
        <v>4682</v>
      </c>
      <c r="E720" s="10" t="s">
        <v>4683</v>
      </c>
      <c r="F720" s="10" t="s">
        <v>4683</v>
      </c>
      <c r="G720" s="10" t="s">
        <v>4683</v>
      </c>
      <c r="H720" s="14">
        <v>0</v>
      </c>
      <c r="I720" s="10" t="s">
        <v>4683</v>
      </c>
      <c r="J720" s="10" t="str">
        <f t="shared" si="3"/>
        <v>normalweight</v>
      </c>
      <c r="L720" s="30" t="e">
        <v>#N/A</v>
      </c>
    </row>
    <row r="721" spans="1:12" ht="15.75" customHeight="1" x14ac:dyDescent="0.3">
      <c r="A721" s="10" t="s">
        <v>3234</v>
      </c>
      <c r="B721" s="10">
        <v>32.1</v>
      </c>
      <c r="C721" s="10">
        <v>6.57</v>
      </c>
      <c r="D721" s="16" t="s">
        <v>4682</v>
      </c>
      <c r="E721" s="10" t="s">
        <v>4684</v>
      </c>
      <c r="F721" s="10" t="s">
        <v>4683</v>
      </c>
      <c r="G721" s="10" t="s">
        <v>4686</v>
      </c>
      <c r="H721" s="14">
        <v>1</v>
      </c>
      <c r="I721" s="10" t="s">
        <v>4683</v>
      </c>
      <c r="J721" s="10" t="str">
        <f t="shared" si="3"/>
        <v>normalweight</v>
      </c>
      <c r="L721" s="30" t="e">
        <v>#N/A</v>
      </c>
    </row>
    <row r="722" spans="1:12" ht="15.75" customHeight="1" x14ac:dyDescent="0.3">
      <c r="A722" s="10" t="s">
        <v>3232</v>
      </c>
      <c r="B722" s="10">
        <v>27.83</v>
      </c>
      <c r="C722" s="10">
        <v>11.61</v>
      </c>
      <c r="D722" s="16" t="s">
        <v>4682</v>
      </c>
      <c r="E722" s="10" t="s">
        <v>4684</v>
      </c>
      <c r="F722" s="10" t="s">
        <v>4683</v>
      </c>
      <c r="G722" s="10" t="s">
        <v>4686</v>
      </c>
      <c r="H722" s="14">
        <v>1</v>
      </c>
      <c r="I722" s="10" t="s">
        <v>4683</v>
      </c>
      <c r="J722" s="10" t="str">
        <f t="shared" si="3"/>
        <v>normalweight</v>
      </c>
      <c r="L722" s="30" t="e">
        <v>#N/A</v>
      </c>
    </row>
    <row r="723" spans="1:12" ht="15.75" customHeight="1" x14ac:dyDescent="0.3">
      <c r="A723" s="10" t="s">
        <v>3230</v>
      </c>
      <c r="B723" s="10">
        <v>27.72</v>
      </c>
      <c r="C723" s="10">
        <v>8.16</v>
      </c>
      <c r="D723" s="16" t="s">
        <v>4682</v>
      </c>
      <c r="E723" s="10" t="s">
        <v>4684</v>
      </c>
      <c r="F723" s="10" t="s">
        <v>4683</v>
      </c>
      <c r="G723" s="10" t="s">
        <v>4686</v>
      </c>
      <c r="H723" s="14">
        <v>1</v>
      </c>
      <c r="I723" s="10" t="s">
        <v>4683</v>
      </c>
      <c r="J723" s="10" t="str">
        <f t="shared" si="3"/>
        <v>normalweight</v>
      </c>
      <c r="L723" s="30" t="e">
        <v>#N/A</v>
      </c>
    </row>
    <row r="724" spans="1:12" ht="15.75" customHeight="1" x14ac:dyDescent="0.3">
      <c r="A724" s="10" t="s">
        <v>3228</v>
      </c>
      <c r="B724" s="10">
        <v>36.765000000000001</v>
      </c>
      <c r="C724" s="10">
        <v>4.4800000000000004</v>
      </c>
      <c r="D724" s="10" t="s">
        <v>4685</v>
      </c>
      <c r="E724" s="10" t="s">
        <v>4684</v>
      </c>
      <c r="F724" s="10" t="s">
        <v>4683</v>
      </c>
      <c r="G724" s="10" t="s">
        <v>4683</v>
      </c>
      <c r="H724" s="14">
        <v>2</v>
      </c>
      <c r="I724" s="10" t="s">
        <v>4683</v>
      </c>
      <c r="J724" s="10" t="str">
        <f t="shared" si="3"/>
        <v>normalweight</v>
      </c>
      <c r="L724" s="30" t="e">
        <v>#N/A</v>
      </c>
    </row>
    <row r="725" spans="1:12" ht="15.75" customHeight="1" x14ac:dyDescent="0.3">
      <c r="A725" s="10" t="s">
        <v>3226</v>
      </c>
      <c r="B725" s="10">
        <v>48.36</v>
      </c>
      <c r="C725" s="10">
        <v>4.08</v>
      </c>
      <c r="D725" s="10" t="s">
        <v>4685</v>
      </c>
      <c r="E725" s="10" t="s">
        <v>4683</v>
      </c>
      <c r="F725" s="10" t="s">
        <v>4683</v>
      </c>
      <c r="G725" s="10" t="s">
        <v>4683</v>
      </c>
      <c r="H725" s="14">
        <v>0</v>
      </c>
      <c r="I725" s="10" t="s">
        <v>4683</v>
      </c>
      <c r="J725" s="10" t="str">
        <f t="shared" si="3"/>
        <v>normalweight</v>
      </c>
      <c r="L725" s="30" t="e">
        <v>#N/A</v>
      </c>
    </row>
    <row r="726" spans="1:12" ht="15.75" customHeight="1" x14ac:dyDescent="0.3">
      <c r="A726" s="10" t="s">
        <v>3224</v>
      </c>
      <c r="B726" s="10">
        <v>31.445</v>
      </c>
      <c r="C726" s="10">
        <v>4.4000000000000004</v>
      </c>
      <c r="D726" s="10" t="s">
        <v>4685</v>
      </c>
      <c r="E726" s="10" t="s">
        <v>4684</v>
      </c>
      <c r="F726" s="10" t="s">
        <v>4683</v>
      </c>
      <c r="G726" s="10" t="s">
        <v>4683</v>
      </c>
      <c r="H726" s="14">
        <v>2</v>
      </c>
      <c r="I726" s="10" t="s">
        <v>4683</v>
      </c>
      <c r="J726" s="10" t="str">
        <f t="shared" si="3"/>
        <v>normalweight</v>
      </c>
      <c r="L726" s="30" t="e">
        <v>#N/A</v>
      </c>
    </row>
    <row r="727" spans="1:12" ht="15.75" customHeight="1" x14ac:dyDescent="0.3">
      <c r="A727" s="10" t="s">
        <v>3222</v>
      </c>
      <c r="B727" s="10">
        <v>27.55</v>
      </c>
      <c r="C727" s="10">
        <v>9.02</v>
      </c>
      <c r="D727" s="16" t="s">
        <v>4682</v>
      </c>
      <c r="E727" s="10" t="s">
        <v>4683</v>
      </c>
      <c r="F727" s="10" t="s">
        <v>4683</v>
      </c>
      <c r="G727" s="10" t="s">
        <v>4683</v>
      </c>
      <c r="H727" s="14">
        <v>0</v>
      </c>
      <c r="I727" s="10" t="s">
        <v>4683</v>
      </c>
      <c r="J727" s="10" t="str">
        <f t="shared" si="3"/>
        <v>normalweight</v>
      </c>
      <c r="L727" s="30" t="e">
        <v>#N/A</v>
      </c>
    </row>
    <row r="728" spans="1:12" ht="15.75" customHeight="1" x14ac:dyDescent="0.3">
      <c r="A728" s="10" t="s">
        <v>3220</v>
      </c>
      <c r="B728" s="10">
        <v>33.11</v>
      </c>
      <c r="C728" s="10">
        <v>8.06</v>
      </c>
      <c r="D728" s="16" t="s">
        <v>4682</v>
      </c>
      <c r="E728" s="10" t="s">
        <v>4683</v>
      </c>
      <c r="F728" s="10" t="s">
        <v>4683</v>
      </c>
      <c r="G728" s="10" t="s">
        <v>4683</v>
      </c>
      <c r="H728" s="14">
        <v>0</v>
      </c>
      <c r="I728" s="10" t="s">
        <v>4683</v>
      </c>
      <c r="J728" s="10" t="str">
        <f t="shared" si="3"/>
        <v>normalweight</v>
      </c>
      <c r="L728" s="30" t="e">
        <v>#N/A</v>
      </c>
    </row>
    <row r="729" spans="1:12" ht="15.75" customHeight="1" x14ac:dyDescent="0.3">
      <c r="A729" s="10" t="s">
        <v>3218</v>
      </c>
      <c r="B729" s="10">
        <v>36.85</v>
      </c>
      <c r="C729" s="10">
        <v>6.21</v>
      </c>
      <c r="D729" s="10" t="s">
        <v>4685</v>
      </c>
      <c r="E729" s="10" t="s">
        <v>4684</v>
      </c>
      <c r="F729" s="10" t="s">
        <v>4683</v>
      </c>
      <c r="G729" s="10" t="s">
        <v>4683</v>
      </c>
      <c r="H729" s="14">
        <v>2</v>
      </c>
      <c r="I729" s="10" t="s">
        <v>4683</v>
      </c>
      <c r="J729" s="10" t="str">
        <f t="shared" si="3"/>
        <v>normalweight</v>
      </c>
      <c r="L729" s="30" t="e">
        <v>#N/A</v>
      </c>
    </row>
    <row r="730" spans="1:12" ht="15.75" customHeight="1" x14ac:dyDescent="0.3">
      <c r="A730" s="10" t="s">
        <v>3216</v>
      </c>
      <c r="B730" s="10">
        <v>36.299999999999997</v>
      </c>
      <c r="C730" s="10">
        <v>5.79</v>
      </c>
      <c r="D730" s="10" t="s">
        <v>4685</v>
      </c>
      <c r="E730" s="10" t="s">
        <v>4684</v>
      </c>
      <c r="F730" s="10" t="s">
        <v>4683</v>
      </c>
      <c r="G730" s="10" t="s">
        <v>4683</v>
      </c>
      <c r="H730" s="14">
        <v>2</v>
      </c>
      <c r="I730" s="10" t="s">
        <v>4683</v>
      </c>
      <c r="J730" s="10" t="str">
        <f t="shared" si="3"/>
        <v>normalweight</v>
      </c>
      <c r="L730" s="30" t="e">
        <v>#N/A</v>
      </c>
    </row>
    <row r="731" spans="1:12" ht="15.75" customHeight="1" x14ac:dyDescent="0.3">
      <c r="A731" s="10" t="s">
        <v>4434</v>
      </c>
      <c r="B731" s="10">
        <v>45.34</v>
      </c>
      <c r="C731" s="10">
        <v>5.69</v>
      </c>
      <c r="D731" s="10" t="s">
        <v>4685</v>
      </c>
      <c r="E731" s="10" t="s">
        <v>4684</v>
      </c>
      <c r="F731" s="10" t="s">
        <v>4683</v>
      </c>
      <c r="G731" s="10" t="s">
        <v>4683</v>
      </c>
      <c r="H731" s="14">
        <v>0</v>
      </c>
      <c r="I731" s="10" t="s">
        <v>4683</v>
      </c>
      <c r="J731" s="10" t="str">
        <f t="shared" si="3"/>
        <v>normalweight</v>
      </c>
      <c r="L731" s="30" t="e">
        <v>#N/A</v>
      </c>
    </row>
    <row r="732" spans="1:12" ht="15.75" customHeight="1" x14ac:dyDescent="0.3">
      <c r="A732" s="10" t="s">
        <v>3214</v>
      </c>
      <c r="B732" s="10">
        <v>31.8</v>
      </c>
      <c r="C732" s="10">
        <v>5.36</v>
      </c>
      <c r="D732" s="10" t="s">
        <v>4685</v>
      </c>
      <c r="E732" s="10" t="s">
        <v>4684</v>
      </c>
      <c r="F732" s="10" t="s">
        <v>4683</v>
      </c>
      <c r="G732" s="10" t="s">
        <v>4683</v>
      </c>
      <c r="H732" s="14">
        <v>2</v>
      </c>
      <c r="I732" s="10" t="s">
        <v>4683</v>
      </c>
      <c r="J732" s="10" t="str">
        <f t="shared" si="3"/>
        <v>normalweight</v>
      </c>
      <c r="L732" s="30" t="e">
        <v>#N/A</v>
      </c>
    </row>
    <row r="733" spans="1:12" ht="15.75" customHeight="1" x14ac:dyDescent="0.3">
      <c r="A733" s="10" t="s">
        <v>3212</v>
      </c>
      <c r="B733" s="10">
        <v>41.02</v>
      </c>
      <c r="C733" s="10">
        <v>11.37</v>
      </c>
      <c r="D733" s="16" t="s">
        <v>4682</v>
      </c>
      <c r="E733" s="10" t="s">
        <v>4683</v>
      </c>
      <c r="F733" s="10" t="s">
        <v>4683</v>
      </c>
      <c r="G733" s="10" t="s">
        <v>4683</v>
      </c>
      <c r="H733" s="14">
        <v>0</v>
      </c>
      <c r="I733" s="10" t="s">
        <v>4683</v>
      </c>
      <c r="J733" s="10" t="str">
        <f t="shared" si="3"/>
        <v>normalweight</v>
      </c>
      <c r="L733" s="30" t="e">
        <v>#N/A</v>
      </c>
    </row>
    <row r="734" spans="1:12" ht="15.75" customHeight="1" x14ac:dyDescent="0.3">
      <c r="A734" s="10" t="s">
        <v>3210</v>
      </c>
      <c r="B734" s="10">
        <v>32.68</v>
      </c>
      <c r="C734" s="10">
        <v>11.87</v>
      </c>
      <c r="D734" s="16" t="s">
        <v>4682</v>
      </c>
      <c r="E734" s="10" t="s">
        <v>4683</v>
      </c>
      <c r="F734" s="10" t="s">
        <v>4683</v>
      </c>
      <c r="G734" s="10" t="s">
        <v>4683</v>
      </c>
      <c r="H734" s="14">
        <v>0</v>
      </c>
      <c r="I734" s="10" t="s">
        <v>4683</v>
      </c>
      <c r="J734" s="10" t="str">
        <f t="shared" si="3"/>
        <v>normalweight</v>
      </c>
      <c r="L734" s="30" t="e">
        <v>#N/A</v>
      </c>
    </row>
    <row r="735" spans="1:12" ht="15.75" customHeight="1" x14ac:dyDescent="0.3">
      <c r="A735" s="10" t="s">
        <v>3208</v>
      </c>
      <c r="B735" s="10">
        <v>21.7</v>
      </c>
      <c r="C735" s="10">
        <v>4.9000000000000004</v>
      </c>
      <c r="D735" s="10" t="s">
        <v>4685</v>
      </c>
      <c r="E735" s="10" t="s">
        <v>4683</v>
      </c>
      <c r="F735" s="10" t="s">
        <v>4683</v>
      </c>
      <c r="G735" s="10" t="s">
        <v>4686</v>
      </c>
      <c r="H735" s="14">
        <v>1</v>
      </c>
      <c r="I735" s="10" t="s">
        <v>4684</v>
      </c>
      <c r="J735" s="10" t="str">
        <f t="shared" si="3"/>
        <v>normalweight</v>
      </c>
      <c r="L735" s="30" t="e">
        <v>#N/A</v>
      </c>
    </row>
    <row r="736" spans="1:12" ht="15.75" customHeight="1" x14ac:dyDescent="0.3">
      <c r="A736" s="10" t="s">
        <v>3206</v>
      </c>
      <c r="B736" s="10">
        <v>40.479999999999997</v>
      </c>
      <c r="C736" s="10">
        <v>6.7</v>
      </c>
      <c r="D736" s="16" t="s">
        <v>4682</v>
      </c>
      <c r="E736" s="10" t="s">
        <v>4683</v>
      </c>
      <c r="F736" s="10" t="s">
        <v>4683</v>
      </c>
      <c r="G736" s="10" t="s">
        <v>4683</v>
      </c>
      <c r="H736" s="14">
        <v>3</v>
      </c>
      <c r="I736" s="10" t="s">
        <v>4683</v>
      </c>
      <c r="J736" s="10" t="str">
        <f t="shared" si="3"/>
        <v>normalweight</v>
      </c>
      <c r="L736" s="30" t="e">
        <v>#N/A</v>
      </c>
    </row>
    <row r="737" spans="1:12" ht="15.75" customHeight="1" x14ac:dyDescent="0.3">
      <c r="A737" s="10" t="s">
        <v>3204</v>
      </c>
      <c r="B737" s="10">
        <v>34.5</v>
      </c>
      <c r="C737" s="10">
        <v>10.3</v>
      </c>
      <c r="D737" s="16" t="s">
        <v>4682</v>
      </c>
      <c r="E737" s="10" t="s">
        <v>4683</v>
      </c>
      <c r="F737" s="10" t="s">
        <v>4683</v>
      </c>
      <c r="G737" s="10" t="s">
        <v>4683</v>
      </c>
      <c r="H737" s="14">
        <v>3</v>
      </c>
      <c r="I737" s="10" t="s">
        <v>4683</v>
      </c>
      <c r="J737" s="10" t="str">
        <f t="shared" si="3"/>
        <v>normalweight</v>
      </c>
      <c r="L737" s="30" t="e">
        <v>#N/A</v>
      </c>
    </row>
    <row r="738" spans="1:12" ht="15.75" customHeight="1" x14ac:dyDescent="0.3">
      <c r="A738" s="10" t="s">
        <v>3202</v>
      </c>
      <c r="B738" s="10">
        <v>45.9</v>
      </c>
      <c r="C738" s="10">
        <v>11.14</v>
      </c>
      <c r="D738" s="16" t="s">
        <v>4682</v>
      </c>
      <c r="E738" s="10" t="s">
        <v>4684</v>
      </c>
      <c r="F738" s="10" t="s">
        <v>4683</v>
      </c>
      <c r="G738" s="10" t="s">
        <v>4683</v>
      </c>
      <c r="H738" s="14">
        <v>1</v>
      </c>
      <c r="I738" s="10" t="s">
        <v>4683</v>
      </c>
      <c r="J738" s="10" t="str">
        <f t="shared" si="3"/>
        <v>normalweight</v>
      </c>
      <c r="L738" s="30" t="e">
        <v>#N/A</v>
      </c>
    </row>
    <row r="739" spans="1:12" ht="15.75" customHeight="1" x14ac:dyDescent="0.3">
      <c r="A739" s="10" t="s">
        <v>3200</v>
      </c>
      <c r="B739" s="10">
        <v>33.479999999999997</v>
      </c>
      <c r="C739" s="10">
        <v>4.74</v>
      </c>
      <c r="D739" s="10" t="s">
        <v>4685</v>
      </c>
      <c r="E739" s="10" t="s">
        <v>4684</v>
      </c>
      <c r="F739" s="10" t="s">
        <v>4683</v>
      </c>
      <c r="G739" s="10" t="s">
        <v>4683</v>
      </c>
      <c r="H739" s="14">
        <v>2</v>
      </c>
      <c r="I739" s="10" t="s">
        <v>4683</v>
      </c>
      <c r="J739" s="10" t="str">
        <f t="shared" si="3"/>
        <v>normalweight</v>
      </c>
      <c r="L739" s="30" t="e">
        <v>#N/A</v>
      </c>
    </row>
    <row r="740" spans="1:12" ht="15.75" customHeight="1" x14ac:dyDescent="0.3">
      <c r="A740" s="10" t="s">
        <v>3198</v>
      </c>
      <c r="B740" s="10">
        <v>28.31</v>
      </c>
      <c r="C740" s="10">
        <v>5.96</v>
      </c>
      <c r="D740" s="10" t="s">
        <v>4685</v>
      </c>
      <c r="E740" s="10" t="s">
        <v>4684</v>
      </c>
      <c r="F740" s="10" t="s">
        <v>4683</v>
      </c>
      <c r="G740" s="10" t="s">
        <v>4683</v>
      </c>
      <c r="H740" s="14">
        <v>2</v>
      </c>
      <c r="I740" s="10" t="s">
        <v>4683</v>
      </c>
      <c r="J740" s="10" t="str">
        <f t="shared" si="3"/>
        <v>normalweight</v>
      </c>
      <c r="L740" s="30" t="e">
        <v>#N/A</v>
      </c>
    </row>
    <row r="741" spans="1:12" ht="15.75" customHeight="1" x14ac:dyDescent="0.3">
      <c r="A741" s="10" t="s">
        <v>3196</v>
      </c>
      <c r="B741" s="10">
        <v>21.565000000000001</v>
      </c>
      <c r="C741" s="10">
        <v>4.95</v>
      </c>
      <c r="D741" s="10" t="s">
        <v>4685</v>
      </c>
      <c r="E741" s="10" t="s">
        <v>4683</v>
      </c>
      <c r="F741" s="10" t="s">
        <v>4684</v>
      </c>
      <c r="G741" s="10" t="s">
        <v>4683</v>
      </c>
      <c r="H741" s="14">
        <v>1</v>
      </c>
      <c r="I741" s="10" t="s">
        <v>4684</v>
      </c>
      <c r="J741" s="10" t="str">
        <f t="shared" si="3"/>
        <v>normalweight</v>
      </c>
      <c r="L741" s="30" t="e">
        <v>#N/A</v>
      </c>
    </row>
    <row r="742" spans="1:12" ht="15.75" customHeight="1" x14ac:dyDescent="0.3">
      <c r="A742" s="10" t="s">
        <v>3194</v>
      </c>
      <c r="B742" s="10">
        <v>35.590000000000003</v>
      </c>
      <c r="C742" s="10">
        <v>5.21</v>
      </c>
      <c r="D742" s="10" t="s">
        <v>4685</v>
      </c>
      <c r="E742" s="10" t="s">
        <v>4684</v>
      </c>
      <c r="F742" s="10" t="s">
        <v>4683</v>
      </c>
      <c r="G742" s="10" t="s">
        <v>4686</v>
      </c>
      <c r="H742" s="14">
        <v>1</v>
      </c>
      <c r="I742" s="10" t="s">
        <v>4683</v>
      </c>
      <c r="J742" s="10" t="str">
        <f t="shared" si="3"/>
        <v>normalweight</v>
      </c>
      <c r="L742" s="30" t="e">
        <v>#N/A</v>
      </c>
    </row>
    <row r="743" spans="1:12" ht="15.75" customHeight="1" x14ac:dyDescent="0.3">
      <c r="A743" s="10" t="s">
        <v>3192</v>
      </c>
      <c r="B743" s="10">
        <v>43.44</v>
      </c>
      <c r="C743" s="10">
        <v>4.8600000000000003</v>
      </c>
      <c r="D743" s="10" t="s">
        <v>4685</v>
      </c>
      <c r="E743" s="10" t="s">
        <v>4684</v>
      </c>
      <c r="F743" s="10" t="s">
        <v>4683</v>
      </c>
      <c r="G743" s="10" t="s">
        <v>4683</v>
      </c>
      <c r="H743" s="14">
        <v>0</v>
      </c>
      <c r="I743" s="10" t="s">
        <v>4683</v>
      </c>
      <c r="J743" s="10" t="str">
        <f t="shared" si="3"/>
        <v>normalweight</v>
      </c>
      <c r="L743" s="30" t="e">
        <v>#N/A</v>
      </c>
    </row>
    <row r="744" spans="1:12" ht="15.75" customHeight="1" x14ac:dyDescent="0.3">
      <c r="A744" s="10" t="s">
        <v>3190</v>
      </c>
      <c r="B744" s="10">
        <v>21.754999999999999</v>
      </c>
      <c r="C744" s="10">
        <v>7.79</v>
      </c>
      <c r="D744" s="16" t="s">
        <v>4682</v>
      </c>
      <c r="E744" s="10" t="s">
        <v>4684</v>
      </c>
      <c r="F744" s="10" t="s">
        <v>4683</v>
      </c>
      <c r="G744" s="10" t="s">
        <v>4683</v>
      </c>
      <c r="H744" s="14">
        <v>0</v>
      </c>
      <c r="I744" s="10" t="s">
        <v>4683</v>
      </c>
      <c r="J744" s="10" t="str">
        <f t="shared" si="3"/>
        <v>normalweight</v>
      </c>
      <c r="L744" s="30" t="e">
        <v>#N/A</v>
      </c>
    </row>
    <row r="745" spans="1:12" ht="15.75" customHeight="1" x14ac:dyDescent="0.3">
      <c r="A745" s="10" t="s">
        <v>3188</v>
      </c>
      <c r="B745" s="10">
        <v>44.55</v>
      </c>
      <c r="C745" s="10">
        <v>7.12</v>
      </c>
      <c r="D745" s="16" t="s">
        <v>4682</v>
      </c>
      <c r="E745" s="10" t="s">
        <v>4684</v>
      </c>
      <c r="F745" s="10" t="s">
        <v>4683</v>
      </c>
      <c r="G745" s="10" t="s">
        <v>4683</v>
      </c>
      <c r="H745" s="14">
        <v>1</v>
      </c>
      <c r="I745" s="10" t="s">
        <v>4683</v>
      </c>
      <c r="J745" s="10" t="str">
        <f t="shared" si="3"/>
        <v>normalweight</v>
      </c>
      <c r="L745" s="30" t="e">
        <v>#N/A</v>
      </c>
    </row>
    <row r="746" spans="1:12" ht="15.75" customHeight="1" x14ac:dyDescent="0.3">
      <c r="A746" s="10" t="s">
        <v>3186</v>
      </c>
      <c r="B746" s="10">
        <v>43.32</v>
      </c>
      <c r="C746" s="10">
        <v>4.67</v>
      </c>
      <c r="D746" s="10" t="s">
        <v>4685</v>
      </c>
      <c r="E746" s="10" t="s">
        <v>4684</v>
      </c>
      <c r="F746" s="10" t="s">
        <v>4683</v>
      </c>
      <c r="G746" s="10" t="s">
        <v>4683</v>
      </c>
      <c r="H746" s="14">
        <v>0</v>
      </c>
      <c r="I746" s="10" t="s">
        <v>4683</v>
      </c>
      <c r="J746" s="10" t="str">
        <f t="shared" si="3"/>
        <v>normalweight</v>
      </c>
      <c r="L746" s="30" t="e">
        <v>#N/A</v>
      </c>
    </row>
    <row r="747" spans="1:12" ht="15.75" customHeight="1" x14ac:dyDescent="0.3">
      <c r="A747" s="10" t="s">
        <v>3184</v>
      </c>
      <c r="B747" s="10">
        <v>31.23</v>
      </c>
      <c r="C747" s="10">
        <v>9.1199999999999992</v>
      </c>
      <c r="D747" s="16" t="s">
        <v>4682</v>
      </c>
      <c r="E747" s="10" t="s">
        <v>4684</v>
      </c>
      <c r="F747" s="10" t="s">
        <v>4683</v>
      </c>
      <c r="G747" s="10" t="s">
        <v>4686</v>
      </c>
      <c r="H747" s="14">
        <v>1</v>
      </c>
      <c r="I747" s="10" t="s">
        <v>4683</v>
      </c>
      <c r="J747" s="10" t="str">
        <f t="shared" si="3"/>
        <v>normalweight</v>
      </c>
      <c r="L747" s="30" t="e">
        <v>#N/A</v>
      </c>
    </row>
    <row r="748" spans="1:12" ht="15.75" customHeight="1" x14ac:dyDescent="0.3">
      <c r="A748" s="10" t="s">
        <v>3182</v>
      </c>
      <c r="B748" s="10">
        <v>42.81</v>
      </c>
      <c r="C748" s="10">
        <v>4.1500000000000004</v>
      </c>
      <c r="D748" s="10" t="s">
        <v>4685</v>
      </c>
      <c r="E748" s="10" t="s">
        <v>4683</v>
      </c>
      <c r="F748" s="10" t="s">
        <v>4683</v>
      </c>
      <c r="G748" s="10" t="s">
        <v>4683</v>
      </c>
      <c r="H748" s="14">
        <v>1</v>
      </c>
      <c r="I748" s="10" t="s">
        <v>4683</v>
      </c>
      <c r="J748" s="10" t="str">
        <f t="shared" si="3"/>
        <v>normalweight</v>
      </c>
      <c r="L748" s="30" t="e">
        <v>#N/A</v>
      </c>
    </row>
    <row r="749" spans="1:12" ht="15.75" customHeight="1" x14ac:dyDescent="0.3">
      <c r="A749" s="10" t="s">
        <v>3180</v>
      </c>
      <c r="B749" s="10">
        <v>35.909999999999997</v>
      </c>
      <c r="C749" s="10">
        <v>6.72</v>
      </c>
      <c r="D749" s="16" t="s">
        <v>4682</v>
      </c>
      <c r="E749" s="10" t="s">
        <v>4684</v>
      </c>
      <c r="F749" s="10" t="s">
        <v>4683</v>
      </c>
      <c r="G749" s="10" t="s">
        <v>4683</v>
      </c>
      <c r="H749" s="14">
        <v>2</v>
      </c>
      <c r="I749" s="10" t="s">
        <v>4683</v>
      </c>
      <c r="J749" s="10" t="str">
        <f t="shared" si="3"/>
        <v>normalweight</v>
      </c>
      <c r="L749" s="30" t="e">
        <v>#N/A</v>
      </c>
    </row>
    <row r="750" spans="1:12" ht="15.75" customHeight="1" x14ac:dyDescent="0.3">
      <c r="A750" s="10" t="s">
        <v>3178</v>
      </c>
      <c r="B750" s="10">
        <v>36.65</v>
      </c>
      <c r="C750" s="10">
        <v>5.01</v>
      </c>
      <c r="D750" s="10" t="s">
        <v>4685</v>
      </c>
      <c r="E750" s="10" t="s">
        <v>4684</v>
      </c>
      <c r="F750" s="10" t="s">
        <v>4683</v>
      </c>
      <c r="G750" s="10" t="s">
        <v>4686</v>
      </c>
      <c r="H750" s="14">
        <v>1</v>
      </c>
      <c r="I750" s="10" t="s">
        <v>4683</v>
      </c>
      <c r="J750" s="10" t="str">
        <f t="shared" si="3"/>
        <v>normalweight</v>
      </c>
      <c r="L750" s="30" t="e">
        <v>#N/A</v>
      </c>
    </row>
    <row r="751" spans="1:12" ht="15.75" customHeight="1" x14ac:dyDescent="0.3">
      <c r="A751" s="10" t="s">
        <v>3176</v>
      </c>
      <c r="B751" s="10">
        <v>22.04</v>
      </c>
      <c r="C751" s="10">
        <v>10.9</v>
      </c>
      <c r="D751" s="16" t="s">
        <v>4682</v>
      </c>
      <c r="E751" s="10" t="s">
        <v>4684</v>
      </c>
      <c r="F751" s="10" t="s">
        <v>4683</v>
      </c>
      <c r="G751" s="10" t="s">
        <v>4683</v>
      </c>
      <c r="H751" s="14">
        <v>2</v>
      </c>
      <c r="I751" s="10" t="s">
        <v>4683</v>
      </c>
      <c r="J751" s="10" t="str">
        <f t="shared" si="3"/>
        <v>normalweight</v>
      </c>
      <c r="L751" s="30" t="e">
        <v>#N/A</v>
      </c>
    </row>
    <row r="752" spans="1:12" ht="15.75" customHeight="1" x14ac:dyDescent="0.3">
      <c r="A752" s="10" t="s">
        <v>3174</v>
      </c>
      <c r="B752" s="10">
        <v>31.824999999999999</v>
      </c>
      <c r="C752" s="10">
        <v>5.52</v>
      </c>
      <c r="D752" s="10" t="s">
        <v>4685</v>
      </c>
      <c r="E752" s="10" t="s">
        <v>4684</v>
      </c>
      <c r="F752" s="10" t="s">
        <v>4683</v>
      </c>
      <c r="G752" s="10" t="s">
        <v>4683</v>
      </c>
      <c r="H752" s="14">
        <v>1</v>
      </c>
      <c r="I752" s="10" t="s">
        <v>4683</v>
      </c>
      <c r="J752" s="10" t="str">
        <f t="shared" si="3"/>
        <v>normalweight</v>
      </c>
      <c r="L752" s="30" t="e">
        <v>#N/A</v>
      </c>
    </row>
    <row r="753" spans="1:12" ht="15.75" customHeight="1" x14ac:dyDescent="0.3">
      <c r="A753" s="10" t="s">
        <v>3172</v>
      </c>
      <c r="B753" s="10">
        <v>53.58</v>
      </c>
      <c r="C753" s="10">
        <v>4.55</v>
      </c>
      <c r="D753" s="10" t="s">
        <v>4685</v>
      </c>
      <c r="E753" s="10" t="s">
        <v>4683</v>
      </c>
      <c r="F753" s="10" t="s">
        <v>4683</v>
      </c>
      <c r="G753" s="10" t="s">
        <v>4683</v>
      </c>
      <c r="H753" s="14">
        <v>1</v>
      </c>
      <c r="I753" s="10" t="s">
        <v>4683</v>
      </c>
      <c r="J753" s="10" t="str">
        <f t="shared" si="3"/>
        <v>normalweight</v>
      </c>
      <c r="L753" s="30" t="e">
        <v>#N/A</v>
      </c>
    </row>
    <row r="754" spans="1:12" ht="15.75" customHeight="1" x14ac:dyDescent="0.3">
      <c r="A754" s="10" t="s">
        <v>3170</v>
      </c>
      <c r="B754" s="10">
        <v>34.299999999999997</v>
      </c>
      <c r="C754" s="10">
        <v>11.76</v>
      </c>
      <c r="D754" s="16" t="s">
        <v>4682</v>
      </c>
      <c r="E754" s="10" t="s">
        <v>4683</v>
      </c>
      <c r="F754" s="10" t="s">
        <v>4683</v>
      </c>
      <c r="G754" s="10" t="s">
        <v>4683</v>
      </c>
      <c r="H754" s="14">
        <v>0</v>
      </c>
      <c r="I754" s="10" t="s">
        <v>4683</v>
      </c>
      <c r="J754" s="10" t="str">
        <f t="shared" si="3"/>
        <v>normalweight</v>
      </c>
      <c r="L754" s="30" t="e">
        <v>#N/A</v>
      </c>
    </row>
    <row r="755" spans="1:12" ht="15.75" customHeight="1" x14ac:dyDescent="0.3">
      <c r="A755" s="10" t="s">
        <v>3168</v>
      </c>
      <c r="B755" s="10">
        <v>32.11</v>
      </c>
      <c r="C755" s="10">
        <v>7.06</v>
      </c>
      <c r="D755" s="16" t="s">
        <v>4682</v>
      </c>
      <c r="E755" s="10" t="s">
        <v>4683</v>
      </c>
      <c r="F755" s="10" t="s">
        <v>4683</v>
      </c>
      <c r="G755" s="10" t="s">
        <v>4683</v>
      </c>
      <c r="H755" s="14">
        <v>0</v>
      </c>
      <c r="I755" s="10" t="s">
        <v>4683</v>
      </c>
      <c r="J755" s="10" t="str">
        <f t="shared" si="3"/>
        <v>normalweight</v>
      </c>
      <c r="L755" s="30" t="e">
        <v>#N/A</v>
      </c>
    </row>
    <row r="756" spans="1:12" ht="15.75" customHeight="1" x14ac:dyDescent="0.3">
      <c r="A756" s="10" t="s">
        <v>3166</v>
      </c>
      <c r="B756" s="10">
        <v>31.78</v>
      </c>
      <c r="C756" s="10">
        <v>11.35</v>
      </c>
      <c r="D756" s="16" t="s">
        <v>4682</v>
      </c>
      <c r="E756" s="10" t="s">
        <v>4684</v>
      </c>
      <c r="F756" s="10" t="s">
        <v>4683</v>
      </c>
      <c r="G756" s="10" t="s">
        <v>4686</v>
      </c>
      <c r="H756" s="14">
        <v>1</v>
      </c>
      <c r="I756" s="10" t="s">
        <v>4683</v>
      </c>
      <c r="J756" s="10" t="str">
        <f t="shared" si="3"/>
        <v>normalweight</v>
      </c>
      <c r="L756" s="30" t="e">
        <v>#N/A</v>
      </c>
    </row>
    <row r="757" spans="1:12" ht="15.75" customHeight="1" x14ac:dyDescent="0.3">
      <c r="A757" s="10" t="s">
        <v>3164</v>
      </c>
      <c r="B757" s="10">
        <v>46.89</v>
      </c>
      <c r="C757" s="10">
        <v>5.52</v>
      </c>
      <c r="D757" s="10" t="s">
        <v>4685</v>
      </c>
      <c r="E757" s="10" t="s">
        <v>4683</v>
      </c>
      <c r="F757" s="10" t="s">
        <v>4683</v>
      </c>
      <c r="G757" s="10" t="s">
        <v>4683</v>
      </c>
      <c r="H757" s="14">
        <v>0</v>
      </c>
      <c r="I757" s="10" t="s">
        <v>4683</v>
      </c>
      <c r="J757" s="10" t="str">
        <f t="shared" si="3"/>
        <v>normalweight</v>
      </c>
      <c r="L757" s="30" t="e">
        <v>#N/A</v>
      </c>
    </row>
    <row r="758" spans="1:12" ht="15.75" customHeight="1" x14ac:dyDescent="0.3">
      <c r="A758" s="10" t="s">
        <v>3162</v>
      </c>
      <c r="B758" s="10">
        <v>39.35</v>
      </c>
      <c r="C758" s="10">
        <v>7.86</v>
      </c>
      <c r="D758" s="16" t="s">
        <v>4682</v>
      </c>
      <c r="E758" s="10" t="s">
        <v>4684</v>
      </c>
      <c r="F758" s="10" t="s">
        <v>4683</v>
      </c>
      <c r="G758" s="10" t="s">
        <v>4683</v>
      </c>
      <c r="H758" s="14">
        <v>1</v>
      </c>
      <c r="I758" s="10" t="s">
        <v>4683</v>
      </c>
      <c r="J758" s="10" t="str">
        <f t="shared" si="3"/>
        <v>normalweight</v>
      </c>
      <c r="L758" s="30" t="e">
        <v>#N/A</v>
      </c>
    </row>
    <row r="759" spans="1:12" ht="15.75" customHeight="1" x14ac:dyDescent="0.3">
      <c r="A759" s="10" t="s">
        <v>3160</v>
      </c>
      <c r="B759" s="10">
        <v>39.200000000000003</v>
      </c>
      <c r="C759" s="10">
        <v>11.38</v>
      </c>
      <c r="D759" s="16" t="s">
        <v>4682</v>
      </c>
      <c r="E759" s="10" t="s">
        <v>4683</v>
      </c>
      <c r="F759" s="10" t="s">
        <v>4683</v>
      </c>
      <c r="G759" s="10" t="s">
        <v>4683</v>
      </c>
      <c r="H759" s="14">
        <v>0</v>
      </c>
      <c r="I759" s="10" t="s">
        <v>4683</v>
      </c>
      <c r="J759" s="10" t="str">
        <f t="shared" si="3"/>
        <v>normalweight</v>
      </c>
      <c r="L759" s="30" t="e">
        <v>#N/A</v>
      </c>
    </row>
    <row r="760" spans="1:12" ht="15.75" customHeight="1" x14ac:dyDescent="0.3">
      <c r="A760" s="10" t="s">
        <v>3158</v>
      </c>
      <c r="B760" s="10">
        <v>39.159999999999997</v>
      </c>
      <c r="C760" s="10">
        <v>10.48</v>
      </c>
      <c r="D760" s="16" t="s">
        <v>4682</v>
      </c>
      <c r="E760" s="10" t="s">
        <v>4683</v>
      </c>
      <c r="F760" s="10" t="s">
        <v>4683</v>
      </c>
      <c r="G760" s="10" t="s">
        <v>4683</v>
      </c>
      <c r="H760" s="14">
        <v>0</v>
      </c>
      <c r="I760" s="10" t="s">
        <v>4683</v>
      </c>
      <c r="J760" s="10" t="str">
        <f t="shared" si="3"/>
        <v>normalweight</v>
      </c>
      <c r="L760" s="30" t="e">
        <v>#N/A</v>
      </c>
    </row>
    <row r="761" spans="1:12" ht="15.75" customHeight="1" x14ac:dyDescent="0.3">
      <c r="A761" s="10" t="s">
        <v>3156</v>
      </c>
      <c r="B761" s="10">
        <v>44.1</v>
      </c>
      <c r="C761" s="10">
        <v>5.04</v>
      </c>
      <c r="D761" s="10" t="s">
        <v>4685</v>
      </c>
      <c r="E761" s="10" t="s">
        <v>4684</v>
      </c>
      <c r="F761" s="10" t="s">
        <v>4683</v>
      </c>
      <c r="G761" s="10" t="s">
        <v>4683</v>
      </c>
      <c r="H761" s="14">
        <v>0</v>
      </c>
      <c r="I761" s="10" t="s">
        <v>4683</v>
      </c>
      <c r="J761" s="10" t="str">
        <f t="shared" si="3"/>
        <v>normalweight</v>
      </c>
      <c r="L761" s="30" t="e">
        <v>#N/A</v>
      </c>
    </row>
    <row r="762" spans="1:12" ht="15.75" customHeight="1" x14ac:dyDescent="0.3">
      <c r="A762" s="10" t="s">
        <v>3154</v>
      </c>
      <c r="B762" s="10">
        <v>33.200000000000003</v>
      </c>
      <c r="C762" s="10">
        <v>9.06</v>
      </c>
      <c r="D762" s="16" t="s">
        <v>4682</v>
      </c>
      <c r="E762" s="10" t="s">
        <v>4683</v>
      </c>
      <c r="F762" s="10" t="s">
        <v>4683</v>
      </c>
      <c r="G762" s="10" t="s">
        <v>4683</v>
      </c>
      <c r="H762" s="14">
        <v>0</v>
      </c>
      <c r="I762" s="10" t="s">
        <v>4683</v>
      </c>
      <c r="J762" s="10" t="str">
        <f t="shared" si="3"/>
        <v>normalweight</v>
      </c>
      <c r="L762" s="30" t="e">
        <v>#N/A</v>
      </c>
    </row>
    <row r="763" spans="1:12" ht="15.75" customHeight="1" x14ac:dyDescent="0.3">
      <c r="A763" s="10" t="s">
        <v>3152</v>
      </c>
      <c r="B763" s="10">
        <v>29.92</v>
      </c>
      <c r="C763" s="10">
        <v>11.07</v>
      </c>
      <c r="D763" s="16" t="s">
        <v>4682</v>
      </c>
      <c r="E763" s="10" t="s">
        <v>4683</v>
      </c>
      <c r="F763" s="10" t="s">
        <v>4683</v>
      </c>
      <c r="G763" s="10" t="s">
        <v>4683</v>
      </c>
      <c r="H763" s="14">
        <v>0</v>
      </c>
      <c r="I763" s="10" t="s">
        <v>4683</v>
      </c>
      <c r="J763" s="10" t="str">
        <f t="shared" si="3"/>
        <v>normalweight</v>
      </c>
      <c r="L763" s="30" t="e">
        <v>#N/A</v>
      </c>
    </row>
    <row r="764" spans="1:12" ht="15.75" customHeight="1" x14ac:dyDescent="0.3">
      <c r="A764" s="10" t="s">
        <v>3150</v>
      </c>
      <c r="B764" s="10">
        <v>25</v>
      </c>
      <c r="C764" s="10">
        <v>10.45</v>
      </c>
      <c r="D764" s="16" t="s">
        <v>4682</v>
      </c>
      <c r="E764" s="10" t="s">
        <v>4683</v>
      </c>
      <c r="F764" s="10" t="s">
        <v>4683</v>
      </c>
      <c r="G764" s="10" t="s">
        <v>4683</v>
      </c>
      <c r="H764" s="14">
        <v>0</v>
      </c>
      <c r="I764" s="10" t="s">
        <v>4683</v>
      </c>
      <c r="J764" s="10" t="str">
        <f t="shared" si="3"/>
        <v>normalweight</v>
      </c>
      <c r="L764" s="30" t="e">
        <v>#N/A</v>
      </c>
    </row>
    <row r="765" spans="1:12" ht="15.75" customHeight="1" x14ac:dyDescent="0.3">
      <c r="A765" s="10" t="s">
        <v>3148</v>
      </c>
      <c r="B765" s="10">
        <v>38.869999999999997</v>
      </c>
      <c r="C765" s="10">
        <v>8.6300000000000008</v>
      </c>
      <c r="D765" s="16" t="s">
        <v>4682</v>
      </c>
      <c r="E765" s="10" t="s">
        <v>4684</v>
      </c>
      <c r="F765" s="10" t="s">
        <v>4683</v>
      </c>
      <c r="G765" s="10" t="s">
        <v>4683</v>
      </c>
      <c r="H765" s="14">
        <v>1</v>
      </c>
      <c r="I765" s="10" t="s">
        <v>4683</v>
      </c>
      <c r="J765" s="10" t="str">
        <f t="shared" si="3"/>
        <v>normalweight</v>
      </c>
      <c r="L765" s="30" t="e">
        <v>#N/A</v>
      </c>
    </row>
    <row r="766" spans="1:12" ht="15.75" customHeight="1" x14ac:dyDescent="0.3">
      <c r="A766" s="10" t="s">
        <v>3146</v>
      </c>
      <c r="B766" s="10">
        <v>32.299999999999997</v>
      </c>
      <c r="C766" s="10">
        <v>5.28</v>
      </c>
      <c r="D766" s="10" t="s">
        <v>4685</v>
      </c>
      <c r="E766" s="10" t="s">
        <v>4684</v>
      </c>
      <c r="F766" s="10" t="s">
        <v>4683</v>
      </c>
      <c r="G766" s="10" t="s">
        <v>4683</v>
      </c>
      <c r="H766" s="14">
        <v>2</v>
      </c>
      <c r="I766" s="10" t="s">
        <v>4683</v>
      </c>
      <c r="J766" s="10" t="str">
        <f t="shared" si="3"/>
        <v>normalweight</v>
      </c>
      <c r="L766" s="30" t="e">
        <v>#N/A</v>
      </c>
    </row>
    <row r="767" spans="1:12" ht="15.75" customHeight="1" x14ac:dyDescent="0.3">
      <c r="A767" s="10" t="s">
        <v>3144</v>
      </c>
      <c r="B767" s="10">
        <v>31.16</v>
      </c>
      <c r="C767" s="10">
        <v>7.49</v>
      </c>
      <c r="D767" s="16" t="s">
        <v>4682</v>
      </c>
      <c r="E767" s="10" t="s">
        <v>4684</v>
      </c>
      <c r="F767" s="10" t="s">
        <v>4683</v>
      </c>
      <c r="G767" s="10" t="s">
        <v>4683</v>
      </c>
      <c r="H767" s="14">
        <v>2</v>
      </c>
      <c r="I767" s="10" t="s">
        <v>4683</v>
      </c>
      <c r="J767" s="10" t="str">
        <f t="shared" si="3"/>
        <v>normalweight</v>
      </c>
      <c r="L767" s="30" t="e">
        <v>#N/A</v>
      </c>
    </row>
    <row r="768" spans="1:12" ht="15.75" customHeight="1" x14ac:dyDescent="0.3">
      <c r="A768" s="10" t="s">
        <v>3142</v>
      </c>
      <c r="B768" s="10">
        <v>54.59</v>
      </c>
      <c r="C768" s="10">
        <v>4.2699999999999996</v>
      </c>
      <c r="D768" s="10" t="s">
        <v>4685</v>
      </c>
      <c r="E768" s="10" t="s">
        <v>4683</v>
      </c>
      <c r="F768" s="10" t="s">
        <v>4683</v>
      </c>
      <c r="G768" s="10" t="s">
        <v>4683</v>
      </c>
      <c r="H768" s="14">
        <v>0</v>
      </c>
      <c r="I768" s="10" t="s">
        <v>4683</v>
      </c>
      <c r="J768" s="10" t="str">
        <f t="shared" si="3"/>
        <v>normalweight</v>
      </c>
      <c r="L768" s="30" t="e">
        <v>#N/A</v>
      </c>
    </row>
    <row r="769" spans="1:12" ht="15.75" customHeight="1" x14ac:dyDescent="0.3">
      <c r="A769" s="10" t="s">
        <v>3140</v>
      </c>
      <c r="B769" s="10">
        <v>21.09</v>
      </c>
      <c r="C769" s="10">
        <v>9.2200000000000006</v>
      </c>
      <c r="D769" s="16" t="s">
        <v>4682</v>
      </c>
      <c r="E769" s="10" t="s">
        <v>4684</v>
      </c>
      <c r="F769" s="10" t="s">
        <v>4683</v>
      </c>
      <c r="G769" s="10" t="s">
        <v>4683</v>
      </c>
      <c r="H769" s="14">
        <v>2</v>
      </c>
      <c r="I769" s="10" t="s">
        <v>4683</v>
      </c>
      <c r="J769" s="10" t="str">
        <f t="shared" si="3"/>
        <v>normalweight</v>
      </c>
      <c r="L769" s="30" t="e">
        <v>#N/A</v>
      </c>
    </row>
    <row r="770" spans="1:12" ht="15.75" customHeight="1" x14ac:dyDescent="0.3">
      <c r="A770" s="10" t="s">
        <v>3138</v>
      </c>
      <c r="B770" s="10">
        <v>52.41</v>
      </c>
      <c r="C770" s="10">
        <v>5.99</v>
      </c>
      <c r="D770" s="10" t="s">
        <v>4685</v>
      </c>
      <c r="E770" s="10" t="s">
        <v>4683</v>
      </c>
      <c r="F770" s="10" t="s">
        <v>4683</v>
      </c>
      <c r="G770" s="10" t="s">
        <v>4683</v>
      </c>
      <c r="H770" s="14">
        <v>1</v>
      </c>
      <c r="I770" s="10" t="s">
        <v>4683</v>
      </c>
      <c r="J770" s="10" t="str">
        <f t="shared" si="3"/>
        <v>normalweight</v>
      </c>
      <c r="L770" s="30" t="e">
        <v>#N/A</v>
      </c>
    </row>
    <row r="771" spans="1:12" ht="15.75" customHeight="1" x14ac:dyDescent="0.3">
      <c r="A771" s="10" t="s">
        <v>3136</v>
      </c>
      <c r="B771" s="10">
        <v>41.47</v>
      </c>
      <c r="C771" s="10">
        <v>5.86</v>
      </c>
      <c r="D771" s="10" t="s">
        <v>4685</v>
      </c>
      <c r="E771" s="10" t="s">
        <v>4684</v>
      </c>
      <c r="F771" s="10" t="s">
        <v>4683</v>
      </c>
      <c r="G771" s="10" t="s">
        <v>4683</v>
      </c>
      <c r="H771" s="14">
        <v>2</v>
      </c>
      <c r="I771" s="10" t="s">
        <v>4683</v>
      </c>
      <c r="J771" s="10" t="str">
        <f t="shared" si="3"/>
        <v>normalweight</v>
      </c>
      <c r="L771" s="30" t="e">
        <v>#N/A</v>
      </c>
    </row>
    <row r="772" spans="1:12" ht="15.75" customHeight="1" x14ac:dyDescent="0.3">
      <c r="A772" s="10" t="s">
        <v>3134</v>
      </c>
      <c r="B772" s="10">
        <v>33.1</v>
      </c>
      <c r="C772" s="10">
        <v>5.19</v>
      </c>
      <c r="D772" s="10" t="s">
        <v>4685</v>
      </c>
      <c r="E772" s="10" t="s">
        <v>4684</v>
      </c>
      <c r="F772" s="10" t="s">
        <v>4683</v>
      </c>
      <c r="G772" s="10" t="s">
        <v>4683</v>
      </c>
      <c r="H772" s="14">
        <v>2</v>
      </c>
      <c r="I772" s="10" t="s">
        <v>4683</v>
      </c>
      <c r="J772" s="10" t="str">
        <f t="shared" si="3"/>
        <v>normalweight</v>
      </c>
      <c r="L772" s="30" t="e">
        <v>#N/A</v>
      </c>
    </row>
    <row r="773" spans="1:12" ht="15.75" customHeight="1" x14ac:dyDescent="0.3">
      <c r="A773" s="10" t="s">
        <v>3132</v>
      </c>
      <c r="B773" s="10">
        <v>30.8</v>
      </c>
      <c r="C773" s="10">
        <v>4.37</v>
      </c>
      <c r="D773" s="10" t="s">
        <v>4685</v>
      </c>
      <c r="E773" s="10" t="s">
        <v>4684</v>
      </c>
      <c r="F773" s="10" t="s">
        <v>4683</v>
      </c>
      <c r="G773" s="10" t="s">
        <v>4683</v>
      </c>
      <c r="H773" s="14">
        <v>2</v>
      </c>
      <c r="I773" s="10" t="s">
        <v>4683</v>
      </c>
      <c r="J773" s="10" t="str">
        <f t="shared" si="3"/>
        <v>normalweight</v>
      </c>
      <c r="L773" s="30" t="e">
        <v>#N/A</v>
      </c>
    </row>
    <row r="774" spans="1:12" ht="15.75" customHeight="1" x14ac:dyDescent="0.3">
      <c r="A774" s="10" t="s">
        <v>3130</v>
      </c>
      <c r="B774" s="10">
        <v>42.06</v>
      </c>
      <c r="C774" s="10">
        <v>5.32</v>
      </c>
      <c r="D774" s="10" t="s">
        <v>4685</v>
      </c>
      <c r="E774" s="10" t="s">
        <v>4683</v>
      </c>
      <c r="F774" s="10" t="s">
        <v>4683</v>
      </c>
      <c r="G774" s="10" t="s">
        <v>4683</v>
      </c>
      <c r="H774" s="14">
        <v>1</v>
      </c>
      <c r="I774" s="10" t="s">
        <v>4683</v>
      </c>
      <c r="J774" s="10" t="str">
        <f t="shared" si="3"/>
        <v>normalweight</v>
      </c>
      <c r="L774" s="30" t="e">
        <v>#N/A</v>
      </c>
    </row>
    <row r="775" spans="1:12" ht="15.75" customHeight="1" x14ac:dyDescent="0.3">
      <c r="A775" s="10" t="s">
        <v>3128</v>
      </c>
      <c r="B775" s="10">
        <v>39.270000000000003</v>
      </c>
      <c r="C775" s="10">
        <v>5.64</v>
      </c>
      <c r="D775" s="10" t="s">
        <v>4685</v>
      </c>
      <c r="E775" s="10" t="s">
        <v>4683</v>
      </c>
      <c r="F775" s="10" t="s">
        <v>4683</v>
      </c>
      <c r="G775" s="10" t="s">
        <v>4686</v>
      </c>
      <c r="H775" s="14">
        <v>1</v>
      </c>
      <c r="I775" s="10" t="s">
        <v>4683</v>
      </c>
      <c r="J775" s="10" t="str">
        <f t="shared" si="3"/>
        <v>normalweight</v>
      </c>
      <c r="L775" s="30" t="e">
        <v>#N/A</v>
      </c>
    </row>
    <row r="776" spans="1:12" ht="15.75" customHeight="1" x14ac:dyDescent="0.3">
      <c r="A776" s="10" t="s">
        <v>3126</v>
      </c>
      <c r="B776" s="10">
        <v>30.71</v>
      </c>
      <c r="C776" s="10">
        <v>5.59</v>
      </c>
      <c r="D776" s="10" t="s">
        <v>4685</v>
      </c>
      <c r="E776" s="10" t="s">
        <v>4684</v>
      </c>
      <c r="F776" s="10" t="s">
        <v>4683</v>
      </c>
      <c r="G776" s="10" t="s">
        <v>4683</v>
      </c>
      <c r="H776" s="14">
        <v>1</v>
      </c>
      <c r="I776" s="10" t="s">
        <v>4683</v>
      </c>
      <c r="J776" s="10" t="str">
        <f t="shared" si="3"/>
        <v>normalweight</v>
      </c>
      <c r="L776" s="30" t="e">
        <v>#N/A</v>
      </c>
    </row>
    <row r="777" spans="1:12" ht="15.75" customHeight="1" x14ac:dyDescent="0.3">
      <c r="A777" s="10" t="s">
        <v>3124</v>
      </c>
      <c r="B777" s="10">
        <v>47.19</v>
      </c>
      <c r="C777" s="10">
        <v>5.29</v>
      </c>
      <c r="D777" s="10" t="s">
        <v>4685</v>
      </c>
      <c r="E777" s="10" t="s">
        <v>4683</v>
      </c>
      <c r="F777" s="10" t="s">
        <v>4683</v>
      </c>
      <c r="G777" s="10" t="s">
        <v>4683</v>
      </c>
      <c r="H777" s="14">
        <v>0</v>
      </c>
      <c r="I777" s="10" t="s">
        <v>4683</v>
      </c>
      <c r="J777" s="10" t="str">
        <f t="shared" si="3"/>
        <v>normalweight</v>
      </c>
      <c r="L777" s="30" t="e">
        <v>#N/A</v>
      </c>
    </row>
    <row r="778" spans="1:12" ht="15.75" customHeight="1" x14ac:dyDescent="0.3">
      <c r="A778" s="10" t="s">
        <v>3122</v>
      </c>
      <c r="B778" s="10">
        <v>30.02</v>
      </c>
      <c r="C778" s="10">
        <v>6.65</v>
      </c>
      <c r="D778" s="10" t="s">
        <v>4685</v>
      </c>
      <c r="E778" s="10" t="s">
        <v>4683</v>
      </c>
      <c r="F778" s="10" t="s">
        <v>4683</v>
      </c>
      <c r="G778" s="10" t="s">
        <v>4683</v>
      </c>
      <c r="H778" s="14">
        <v>0</v>
      </c>
      <c r="I778" s="10" t="s">
        <v>4683</v>
      </c>
      <c r="J778" s="10" t="str">
        <f t="shared" si="3"/>
        <v>normalweight</v>
      </c>
      <c r="L778" s="30" t="e">
        <v>#N/A</v>
      </c>
    </row>
    <row r="779" spans="1:12" ht="15.75" customHeight="1" x14ac:dyDescent="0.3">
      <c r="A779" s="10" t="s">
        <v>3120</v>
      </c>
      <c r="B779" s="10">
        <v>37.909999999999997</v>
      </c>
      <c r="C779" s="10">
        <v>5.68</v>
      </c>
      <c r="D779" s="10" t="s">
        <v>4685</v>
      </c>
      <c r="E779" s="10" t="s">
        <v>4684</v>
      </c>
      <c r="F779" s="10" t="s">
        <v>4683</v>
      </c>
      <c r="G779" s="10" t="s">
        <v>4683</v>
      </c>
      <c r="H779" s="14">
        <v>0</v>
      </c>
      <c r="I779" s="10" t="s">
        <v>4683</v>
      </c>
      <c r="J779" s="10" t="str">
        <f t="shared" si="3"/>
        <v>normalweight</v>
      </c>
      <c r="L779" s="30" t="e">
        <v>#N/A</v>
      </c>
    </row>
    <row r="780" spans="1:12" ht="15.75" customHeight="1" x14ac:dyDescent="0.3">
      <c r="A780" s="10" t="s">
        <v>3118</v>
      </c>
      <c r="B780" s="10">
        <v>54.61</v>
      </c>
      <c r="C780" s="10">
        <v>4.49</v>
      </c>
      <c r="D780" s="10" t="s">
        <v>4685</v>
      </c>
      <c r="E780" s="10" t="s">
        <v>4683</v>
      </c>
      <c r="F780" s="10" t="s">
        <v>4683</v>
      </c>
      <c r="G780" s="10" t="s">
        <v>4683</v>
      </c>
      <c r="H780" s="14">
        <v>0</v>
      </c>
      <c r="I780" s="10" t="s">
        <v>4683</v>
      </c>
      <c r="J780" s="10" t="str">
        <f t="shared" si="3"/>
        <v>normalweight</v>
      </c>
      <c r="L780" s="30" t="e">
        <v>#N/A</v>
      </c>
    </row>
    <row r="781" spans="1:12" ht="15.75" customHeight="1" x14ac:dyDescent="0.3">
      <c r="A781" s="10" t="s">
        <v>3116</v>
      </c>
      <c r="B781" s="10">
        <v>36.005000000000003</v>
      </c>
      <c r="C781" s="10">
        <v>6.9</v>
      </c>
      <c r="D781" s="10" t="s">
        <v>4685</v>
      </c>
      <c r="E781" s="10" t="s">
        <v>4683</v>
      </c>
      <c r="F781" s="10" t="s">
        <v>4683</v>
      </c>
      <c r="G781" s="10" t="s">
        <v>4683</v>
      </c>
      <c r="H781" s="14">
        <v>0</v>
      </c>
      <c r="I781" s="10" t="s">
        <v>4683</v>
      </c>
      <c r="J781" s="10" t="str">
        <f t="shared" si="3"/>
        <v>normalweight</v>
      </c>
      <c r="L781" s="30" t="e">
        <v>#N/A</v>
      </c>
    </row>
    <row r="782" spans="1:12" ht="15.75" customHeight="1" x14ac:dyDescent="0.3">
      <c r="A782" s="10" t="s">
        <v>3114</v>
      </c>
      <c r="B782" s="10">
        <v>28.7</v>
      </c>
      <c r="C782" s="10">
        <v>11.52</v>
      </c>
      <c r="D782" s="16" t="s">
        <v>4682</v>
      </c>
      <c r="E782" s="10" t="s">
        <v>4683</v>
      </c>
      <c r="F782" s="10" t="s">
        <v>4683</v>
      </c>
      <c r="G782" s="10" t="s">
        <v>4683</v>
      </c>
      <c r="H782" s="14">
        <v>0</v>
      </c>
      <c r="I782" s="10" t="s">
        <v>4683</v>
      </c>
      <c r="J782" s="10" t="str">
        <f t="shared" si="3"/>
        <v>normalweight</v>
      </c>
      <c r="L782" s="30" t="e">
        <v>#N/A</v>
      </c>
    </row>
    <row r="783" spans="1:12" ht="15.75" customHeight="1" x14ac:dyDescent="0.3">
      <c r="A783" s="10" t="s">
        <v>3112</v>
      </c>
      <c r="B783" s="10">
        <v>34.295000000000002</v>
      </c>
      <c r="C783" s="10">
        <v>11.24</v>
      </c>
      <c r="D783" s="16" t="s">
        <v>4682</v>
      </c>
      <c r="E783" s="10" t="s">
        <v>4683</v>
      </c>
      <c r="F783" s="10" t="s">
        <v>4683</v>
      </c>
      <c r="G783" s="10" t="s">
        <v>4683</v>
      </c>
      <c r="H783" s="14">
        <v>0</v>
      </c>
      <c r="I783" s="10" t="s">
        <v>4683</v>
      </c>
      <c r="J783" s="10" t="str">
        <f t="shared" si="3"/>
        <v>normalweight</v>
      </c>
      <c r="L783" s="30" t="e">
        <v>#N/A</v>
      </c>
    </row>
    <row r="784" spans="1:12" ht="15.75" customHeight="1" x14ac:dyDescent="0.3">
      <c r="A784" s="10" t="s">
        <v>3110</v>
      </c>
      <c r="B784" s="10">
        <v>27.55</v>
      </c>
      <c r="C784" s="10">
        <v>10.98</v>
      </c>
      <c r="D784" s="16" t="s">
        <v>4682</v>
      </c>
      <c r="E784" s="10" t="s">
        <v>4683</v>
      </c>
      <c r="F784" s="10" t="s">
        <v>4683</v>
      </c>
      <c r="G784" s="10" t="s">
        <v>4683</v>
      </c>
      <c r="H784" s="14">
        <v>0</v>
      </c>
      <c r="I784" s="10" t="s">
        <v>4683</v>
      </c>
      <c r="J784" s="10" t="str">
        <f t="shared" si="3"/>
        <v>normalweight</v>
      </c>
      <c r="L784" s="30" t="e">
        <v>#N/A</v>
      </c>
    </row>
    <row r="785" spans="1:12" ht="15.75" customHeight="1" x14ac:dyDescent="0.3">
      <c r="A785" s="10" t="s">
        <v>3108</v>
      </c>
      <c r="B785" s="10">
        <v>40.700000000000003</v>
      </c>
      <c r="C785" s="10">
        <v>5.42</v>
      </c>
      <c r="D785" s="10" t="s">
        <v>4685</v>
      </c>
      <c r="E785" s="10" t="s">
        <v>4683</v>
      </c>
      <c r="F785" s="10" t="s">
        <v>4683</v>
      </c>
      <c r="G785" s="10" t="s">
        <v>4683</v>
      </c>
      <c r="H785" s="14">
        <v>0</v>
      </c>
      <c r="I785" s="10" t="s">
        <v>4683</v>
      </c>
      <c r="J785" s="10" t="str">
        <f t="shared" ref="J785:J1039" si="4">IF(B785&lt;=18.5,"underweight",IF(B785&gt;=18.5-24.9,"normalweight",IF(B785&gt;=25-29.9,"overweight","obesity")))</f>
        <v>normalweight</v>
      </c>
      <c r="L785" s="30" t="e">
        <v>#N/A</v>
      </c>
    </row>
    <row r="786" spans="1:12" ht="15.75" customHeight="1" x14ac:dyDescent="0.3">
      <c r="A786" s="10" t="s">
        <v>3106</v>
      </c>
      <c r="B786" s="10">
        <v>18.335000000000001</v>
      </c>
      <c r="C786" s="10">
        <v>10.97</v>
      </c>
      <c r="D786" s="16" t="s">
        <v>4682</v>
      </c>
      <c r="E786" s="10" t="s">
        <v>4683</v>
      </c>
      <c r="F786" s="10" t="s">
        <v>4683</v>
      </c>
      <c r="G786" s="10" t="s">
        <v>4683</v>
      </c>
      <c r="H786" s="14">
        <v>0</v>
      </c>
      <c r="I786" s="10" t="s">
        <v>4683</v>
      </c>
      <c r="J786" s="10" t="str">
        <f t="shared" si="4"/>
        <v>underweight</v>
      </c>
      <c r="L786" s="30" t="e">
        <v>#N/A</v>
      </c>
    </row>
    <row r="787" spans="1:12" ht="15.75" customHeight="1" x14ac:dyDescent="0.3">
      <c r="A787" s="10" t="s">
        <v>3104</v>
      </c>
      <c r="B787" s="10">
        <v>33.914999999999999</v>
      </c>
      <c r="C787" s="10">
        <v>9.56</v>
      </c>
      <c r="D787" s="16" t="s">
        <v>4682</v>
      </c>
      <c r="E787" s="10" t="s">
        <v>4684</v>
      </c>
      <c r="F787" s="10" t="s">
        <v>4683</v>
      </c>
      <c r="G787" s="10" t="s">
        <v>4683</v>
      </c>
      <c r="H787" s="14">
        <v>2</v>
      </c>
      <c r="I787" s="10" t="s">
        <v>4683</v>
      </c>
      <c r="J787" s="10" t="str">
        <f t="shared" si="4"/>
        <v>normalweight</v>
      </c>
      <c r="L787" s="30" t="e">
        <v>#N/A</v>
      </c>
    </row>
    <row r="788" spans="1:12" ht="15.75" customHeight="1" x14ac:dyDescent="0.3">
      <c r="A788" s="10" t="s">
        <v>3102</v>
      </c>
      <c r="B788" s="10">
        <v>33.534999999999997</v>
      </c>
      <c r="C788" s="10">
        <v>9.4</v>
      </c>
      <c r="D788" s="16" t="s">
        <v>4682</v>
      </c>
      <c r="E788" s="10" t="s">
        <v>4684</v>
      </c>
      <c r="F788" s="10" t="s">
        <v>4683</v>
      </c>
      <c r="G788" s="10" t="s">
        <v>4683</v>
      </c>
      <c r="H788" s="14">
        <v>2</v>
      </c>
      <c r="I788" s="10" t="s">
        <v>4683</v>
      </c>
      <c r="J788" s="10" t="str">
        <f t="shared" si="4"/>
        <v>normalweight</v>
      </c>
      <c r="L788" s="30" t="e">
        <v>#N/A</v>
      </c>
    </row>
    <row r="789" spans="1:12" ht="15.75" customHeight="1" x14ac:dyDescent="0.3">
      <c r="A789" s="10" t="s">
        <v>3100</v>
      </c>
      <c r="B789" s="10">
        <v>23.655000000000001</v>
      </c>
      <c r="C789" s="10">
        <v>8.48</v>
      </c>
      <c r="D789" s="16" t="s">
        <v>4682</v>
      </c>
      <c r="E789" s="10" t="s">
        <v>4684</v>
      </c>
      <c r="F789" s="10" t="s">
        <v>4683</v>
      </c>
      <c r="G789" s="10" t="s">
        <v>4683</v>
      </c>
      <c r="H789" s="14">
        <v>2</v>
      </c>
      <c r="I789" s="10" t="s">
        <v>4683</v>
      </c>
      <c r="J789" s="10" t="str">
        <f t="shared" si="4"/>
        <v>normalweight</v>
      </c>
      <c r="L789" s="30" t="e">
        <v>#N/A</v>
      </c>
    </row>
    <row r="790" spans="1:12" ht="15.75" customHeight="1" x14ac:dyDescent="0.3">
      <c r="A790" s="10" t="s">
        <v>3098</v>
      </c>
      <c r="B790" s="10">
        <v>28</v>
      </c>
      <c r="C790" s="10">
        <v>5.57</v>
      </c>
      <c r="D790" s="10" t="s">
        <v>4685</v>
      </c>
      <c r="E790" s="10" t="s">
        <v>4683</v>
      </c>
      <c r="F790" s="10" t="s">
        <v>4683</v>
      </c>
      <c r="G790" s="10" t="s">
        <v>4683</v>
      </c>
      <c r="H790" s="14">
        <v>0</v>
      </c>
      <c r="I790" s="10" t="s">
        <v>4683</v>
      </c>
      <c r="J790" s="10" t="str">
        <f t="shared" si="4"/>
        <v>normalweight</v>
      </c>
      <c r="L790" s="30" t="e">
        <v>#N/A</v>
      </c>
    </row>
    <row r="791" spans="1:12" ht="15.75" customHeight="1" x14ac:dyDescent="0.3">
      <c r="A791" s="10" t="s">
        <v>3096</v>
      </c>
      <c r="B791" s="10">
        <v>30.23</v>
      </c>
      <c r="C791" s="10">
        <v>6.94</v>
      </c>
      <c r="D791" s="16" t="s">
        <v>4682</v>
      </c>
      <c r="E791" s="10" t="s">
        <v>4684</v>
      </c>
      <c r="F791" s="10" t="s">
        <v>4683</v>
      </c>
      <c r="G791" s="10" t="s">
        <v>4686</v>
      </c>
      <c r="H791" s="14">
        <v>1</v>
      </c>
      <c r="I791" s="10" t="s">
        <v>4683</v>
      </c>
      <c r="J791" s="10" t="str">
        <f t="shared" si="4"/>
        <v>normalweight</v>
      </c>
      <c r="L791" s="30" t="e">
        <v>#N/A</v>
      </c>
    </row>
    <row r="792" spans="1:12" ht="15.75" customHeight="1" x14ac:dyDescent="0.3">
      <c r="A792" s="10" t="s">
        <v>3094</v>
      </c>
      <c r="B792" s="10">
        <v>51.14</v>
      </c>
      <c r="C792" s="10">
        <v>4.05</v>
      </c>
      <c r="D792" s="10" t="s">
        <v>4685</v>
      </c>
      <c r="E792" s="10" t="s">
        <v>4683</v>
      </c>
      <c r="F792" s="10" t="s">
        <v>4683</v>
      </c>
      <c r="G792" s="10" t="s">
        <v>4683</v>
      </c>
      <c r="H792" s="14">
        <v>1</v>
      </c>
      <c r="I792" s="10" t="s">
        <v>4683</v>
      </c>
      <c r="J792" s="10" t="str">
        <f t="shared" si="4"/>
        <v>normalweight</v>
      </c>
      <c r="L792" s="30" t="e">
        <v>#N/A</v>
      </c>
    </row>
    <row r="793" spans="1:12" ht="15.75" customHeight="1" x14ac:dyDescent="0.3">
      <c r="A793" s="10" t="s">
        <v>3092</v>
      </c>
      <c r="B793" s="10">
        <v>24.32</v>
      </c>
      <c r="C793" s="10">
        <v>10.220000000000001</v>
      </c>
      <c r="D793" s="16" t="s">
        <v>4682</v>
      </c>
      <c r="E793" s="10" t="s">
        <v>4683</v>
      </c>
      <c r="F793" s="10" t="s">
        <v>4683</v>
      </c>
      <c r="G793" s="10" t="s">
        <v>4683</v>
      </c>
      <c r="H793" s="14">
        <v>0</v>
      </c>
      <c r="I793" s="10" t="s">
        <v>4683</v>
      </c>
      <c r="J793" s="10" t="str">
        <f t="shared" si="4"/>
        <v>normalweight</v>
      </c>
      <c r="L793" s="30" t="e">
        <v>#N/A</v>
      </c>
    </row>
    <row r="794" spans="1:12" ht="15.75" customHeight="1" x14ac:dyDescent="0.3">
      <c r="A794" s="10" t="s">
        <v>3090</v>
      </c>
      <c r="B794" s="10">
        <v>38.06</v>
      </c>
      <c r="C794" s="10">
        <v>9.24</v>
      </c>
      <c r="D794" s="16" t="s">
        <v>4682</v>
      </c>
      <c r="E794" s="10" t="s">
        <v>4683</v>
      </c>
      <c r="F794" s="10" t="s">
        <v>4683</v>
      </c>
      <c r="G794" s="10" t="s">
        <v>4683</v>
      </c>
      <c r="H794" s="14">
        <v>0</v>
      </c>
      <c r="I794" s="10" t="s">
        <v>4683</v>
      </c>
      <c r="J794" s="10" t="str">
        <f t="shared" si="4"/>
        <v>normalweight</v>
      </c>
      <c r="L794" s="30" t="e">
        <v>#N/A</v>
      </c>
    </row>
    <row r="795" spans="1:12" ht="15.75" customHeight="1" x14ac:dyDescent="0.3">
      <c r="A795" s="10" t="s">
        <v>3088</v>
      </c>
      <c r="B795" s="10">
        <v>37.700000000000003</v>
      </c>
      <c r="C795" s="10">
        <v>8.6</v>
      </c>
      <c r="D795" s="16" t="s">
        <v>4682</v>
      </c>
      <c r="E795" s="10" t="s">
        <v>4683</v>
      </c>
      <c r="F795" s="10" t="s">
        <v>4683</v>
      </c>
      <c r="G795" s="10" t="s">
        <v>4683</v>
      </c>
      <c r="H795" s="14">
        <v>0</v>
      </c>
      <c r="I795" s="10" t="s">
        <v>4683</v>
      </c>
      <c r="J795" s="10" t="str">
        <f t="shared" si="4"/>
        <v>normalweight</v>
      </c>
      <c r="L795" s="30" t="e">
        <v>#N/A</v>
      </c>
    </row>
    <row r="796" spans="1:12" ht="15.75" customHeight="1" x14ac:dyDescent="0.3">
      <c r="A796" s="10" t="s">
        <v>3086</v>
      </c>
      <c r="B796" s="10">
        <v>44</v>
      </c>
      <c r="C796" s="10">
        <v>9.32</v>
      </c>
      <c r="D796" s="16" t="s">
        <v>4682</v>
      </c>
      <c r="E796" s="10" t="s">
        <v>4684</v>
      </c>
      <c r="F796" s="10" t="s">
        <v>4683</v>
      </c>
      <c r="G796" s="10" t="s">
        <v>4683</v>
      </c>
      <c r="H796" s="14">
        <v>2</v>
      </c>
      <c r="I796" s="10" t="s">
        <v>4683</v>
      </c>
      <c r="J796" s="10" t="str">
        <f t="shared" si="4"/>
        <v>normalweight</v>
      </c>
      <c r="L796" s="30" t="e">
        <v>#N/A</v>
      </c>
    </row>
    <row r="797" spans="1:12" ht="15.75" customHeight="1" x14ac:dyDescent="0.3">
      <c r="A797" s="10" t="s">
        <v>3084</v>
      </c>
      <c r="B797" s="10">
        <v>41.45</v>
      </c>
      <c r="C797" s="10">
        <v>6.12</v>
      </c>
      <c r="D797" s="10" t="s">
        <v>4685</v>
      </c>
      <c r="E797" s="10" t="s">
        <v>4684</v>
      </c>
      <c r="F797" s="10" t="s">
        <v>4683</v>
      </c>
      <c r="G797" s="10" t="s">
        <v>4683</v>
      </c>
      <c r="H797" s="14">
        <v>0</v>
      </c>
      <c r="I797" s="10" t="s">
        <v>4683</v>
      </c>
      <c r="J797" s="10" t="str">
        <f t="shared" si="4"/>
        <v>normalweight</v>
      </c>
      <c r="L797" s="30" t="e">
        <v>#N/A</v>
      </c>
    </row>
    <row r="798" spans="1:12" ht="15.75" customHeight="1" x14ac:dyDescent="0.3">
      <c r="A798" s="10" t="s">
        <v>3082</v>
      </c>
      <c r="B798" s="10">
        <v>25.364999999999998</v>
      </c>
      <c r="C798" s="10">
        <v>9.19</v>
      </c>
      <c r="D798" s="16" t="s">
        <v>4682</v>
      </c>
      <c r="E798" s="10" t="s">
        <v>4684</v>
      </c>
      <c r="F798" s="10" t="s">
        <v>4683</v>
      </c>
      <c r="G798" s="10" t="s">
        <v>4683</v>
      </c>
      <c r="H798" s="14">
        <v>0</v>
      </c>
      <c r="I798" s="10" t="s">
        <v>4683</v>
      </c>
      <c r="J798" s="10" t="str">
        <f t="shared" si="4"/>
        <v>normalweight</v>
      </c>
      <c r="L798" s="30" t="e">
        <v>#N/A</v>
      </c>
    </row>
    <row r="799" spans="1:12" ht="15.75" customHeight="1" x14ac:dyDescent="0.3">
      <c r="A799" s="10" t="s">
        <v>3080</v>
      </c>
      <c r="B799" s="10">
        <v>34.56</v>
      </c>
      <c r="C799" s="10">
        <v>5.84</v>
      </c>
      <c r="D799" s="10" t="s">
        <v>4685</v>
      </c>
      <c r="E799" s="10" t="s">
        <v>4684</v>
      </c>
      <c r="F799" s="10" t="s">
        <v>4683</v>
      </c>
      <c r="G799" s="10" t="s">
        <v>4686</v>
      </c>
      <c r="H799" s="14">
        <v>1</v>
      </c>
      <c r="I799" s="10" t="s">
        <v>4683</v>
      </c>
      <c r="J799" s="10" t="str">
        <f t="shared" si="4"/>
        <v>normalweight</v>
      </c>
      <c r="L799" s="30" t="e">
        <v>#N/A</v>
      </c>
    </row>
    <row r="800" spans="1:12" ht="15.75" customHeight="1" x14ac:dyDescent="0.3">
      <c r="A800" s="10" t="s">
        <v>3078</v>
      </c>
      <c r="B800" s="10">
        <v>28.2</v>
      </c>
      <c r="C800" s="10">
        <v>7.19</v>
      </c>
      <c r="D800" s="16" t="s">
        <v>4682</v>
      </c>
      <c r="E800" s="10" t="s">
        <v>4684</v>
      </c>
      <c r="F800" s="10" t="s">
        <v>4683</v>
      </c>
      <c r="G800" s="10" t="s">
        <v>4683</v>
      </c>
      <c r="H800" s="14">
        <v>2</v>
      </c>
      <c r="I800" s="10" t="s">
        <v>4683</v>
      </c>
      <c r="J800" s="10" t="str">
        <f t="shared" si="4"/>
        <v>normalweight</v>
      </c>
      <c r="L800" s="30" t="e">
        <v>#N/A</v>
      </c>
    </row>
    <row r="801" spans="1:12" ht="15.75" customHeight="1" x14ac:dyDescent="0.3">
      <c r="A801" s="10" t="s">
        <v>3076</v>
      </c>
      <c r="B801" s="10">
        <v>30.43</v>
      </c>
      <c r="C801" s="10">
        <v>9.39</v>
      </c>
      <c r="D801" s="16" t="s">
        <v>4682</v>
      </c>
      <c r="E801" s="10" t="s">
        <v>4683</v>
      </c>
      <c r="F801" s="10" t="s">
        <v>4683</v>
      </c>
      <c r="G801" s="10" t="s">
        <v>4683</v>
      </c>
      <c r="H801" s="14">
        <v>0</v>
      </c>
      <c r="I801" s="10" t="s">
        <v>4683</v>
      </c>
      <c r="J801" s="10" t="str">
        <f t="shared" si="4"/>
        <v>normalweight</v>
      </c>
      <c r="L801" s="30" t="e">
        <v>#N/A</v>
      </c>
    </row>
    <row r="802" spans="1:12" ht="15.75" customHeight="1" x14ac:dyDescent="0.3">
      <c r="A802" s="10" t="s">
        <v>3074</v>
      </c>
      <c r="B802" s="10">
        <v>32.395000000000003</v>
      </c>
      <c r="C802" s="10">
        <v>4.2699999999999996</v>
      </c>
      <c r="D802" s="10" t="s">
        <v>4685</v>
      </c>
      <c r="E802" s="10" t="s">
        <v>4684</v>
      </c>
      <c r="F802" s="10" t="s">
        <v>4683</v>
      </c>
      <c r="G802" s="10" t="s">
        <v>4683</v>
      </c>
      <c r="H802" s="14">
        <v>1</v>
      </c>
      <c r="I802" s="10" t="s">
        <v>4683</v>
      </c>
      <c r="J802" s="10" t="str">
        <f t="shared" si="4"/>
        <v>normalweight</v>
      </c>
      <c r="L802" s="30" t="e">
        <v>#N/A</v>
      </c>
    </row>
    <row r="803" spans="1:12" ht="15.75" customHeight="1" x14ac:dyDescent="0.3">
      <c r="A803" s="10" t="s">
        <v>3072</v>
      </c>
      <c r="B803" s="10">
        <v>24.035</v>
      </c>
      <c r="C803" s="10">
        <v>11.71</v>
      </c>
      <c r="D803" s="16" t="s">
        <v>4682</v>
      </c>
      <c r="E803" s="10" t="s">
        <v>4683</v>
      </c>
      <c r="F803" s="10" t="s">
        <v>4683</v>
      </c>
      <c r="G803" s="10" t="s">
        <v>4683</v>
      </c>
      <c r="H803" s="14">
        <v>0</v>
      </c>
      <c r="I803" s="10" t="s">
        <v>4683</v>
      </c>
      <c r="J803" s="10" t="str">
        <f t="shared" si="4"/>
        <v>normalweight</v>
      </c>
      <c r="L803" s="30" t="e">
        <v>#N/A</v>
      </c>
    </row>
    <row r="804" spans="1:12" ht="15.75" customHeight="1" x14ac:dyDescent="0.3">
      <c r="A804" s="10" t="s">
        <v>3070</v>
      </c>
      <c r="B804" s="10">
        <v>37.119999999999997</v>
      </c>
      <c r="C804" s="10">
        <v>5.29</v>
      </c>
      <c r="D804" s="10" t="s">
        <v>4685</v>
      </c>
      <c r="E804" s="10" t="s">
        <v>4683</v>
      </c>
      <c r="F804" s="10" t="s">
        <v>4683</v>
      </c>
      <c r="G804" s="10" t="s">
        <v>4683</v>
      </c>
      <c r="H804" s="14">
        <v>2</v>
      </c>
      <c r="I804" s="10" t="s">
        <v>4683</v>
      </c>
      <c r="J804" s="10" t="str">
        <f t="shared" si="4"/>
        <v>normalweight</v>
      </c>
      <c r="L804" s="30" t="e">
        <v>#N/A</v>
      </c>
    </row>
    <row r="805" spans="1:12" ht="15.75" customHeight="1" x14ac:dyDescent="0.3">
      <c r="A805" s="10" t="s">
        <v>3068</v>
      </c>
      <c r="B805" s="10">
        <v>34.840000000000003</v>
      </c>
      <c r="C805" s="10">
        <v>6</v>
      </c>
      <c r="D805" s="10" t="s">
        <v>4685</v>
      </c>
      <c r="E805" s="10" t="s">
        <v>4684</v>
      </c>
      <c r="F805" s="10" t="s">
        <v>4683</v>
      </c>
      <c r="G805" s="10" t="s">
        <v>4686</v>
      </c>
      <c r="H805" s="14">
        <v>1</v>
      </c>
      <c r="I805" s="10" t="s">
        <v>4683</v>
      </c>
      <c r="J805" s="10" t="str">
        <f t="shared" si="4"/>
        <v>normalweight</v>
      </c>
      <c r="L805" s="30" t="e">
        <v>#N/A</v>
      </c>
    </row>
    <row r="806" spans="1:12" ht="15.75" customHeight="1" x14ac:dyDescent="0.3">
      <c r="A806" s="10" t="s">
        <v>3066</v>
      </c>
      <c r="B806" s="10">
        <v>29.53</v>
      </c>
      <c r="C806" s="10">
        <v>10.64</v>
      </c>
      <c r="D806" s="16" t="s">
        <v>4682</v>
      </c>
      <c r="E806" s="10" t="s">
        <v>4683</v>
      </c>
      <c r="F806" s="10" t="s">
        <v>4683</v>
      </c>
      <c r="G806" s="10" t="s">
        <v>4683</v>
      </c>
      <c r="H806" s="14">
        <v>0</v>
      </c>
      <c r="I806" s="10" t="s">
        <v>4683</v>
      </c>
      <c r="J806" s="10" t="str">
        <f t="shared" si="4"/>
        <v>normalweight</v>
      </c>
      <c r="L806" s="30" t="e">
        <v>#N/A</v>
      </c>
    </row>
    <row r="807" spans="1:12" ht="15.75" customHeight="1" x14ac:dyDescent="0.3">
      <c r="A807" s="10" t="s">
        <v>3064</v>
      </c>
      <c r="B807" s="10">
        <v>42.51</v>
      </c>
      <c r="C807" s="10">
        <v>8.2100000000000009</v>
      </c>
      <c r="D807" s="16" t="s">
        <v>4682</v>
      </c>
      <c r="E807" s="10" t="s">
        <v>4684</v>
      </c>
      <c r="F807" s="10" t="s">
        <v>4683</v>
      </c>
      <c r="G807" s="10" t="s">
        <v>4683</v>
      </c>
      <c r="H807" s="14">
        <v>0</v>
      </c>
      <c r="I807" s="10" t="s">
        <v>4683</v>
      </c>
      <c r="J807" s="10" t="str">
        <f t="shared" si="4"/>
        <v>normalweight</v>
      </c>
      <c r="L807" s="30" t="e">
        <v>#N/A</v>
      </c>
    </row>
    <row r="808" spans="1:12" ht="15.75" customHeight="1" x14ac:dyDescent="0.3">
      <c r="A808" s="10" t="s">
        <v>3062</v>
      </c>
      <c r="B808" s="10">
        <v>38.14</v>
      </c>
      <c r="C808" s="10">
        <v>5.58</v>
      </c>
      <c r="D808" s="10" t="s">
        <v>4685</v>
      </c>
      <c r="E808" s="10" t="s">
        <v>4683</v>
      </c>
      <c r="F808" s="10" t="s">
        <v>4683</v>
      </c>
      <c r="G808" s="10" t="s">
        <v>4686</v>
      </c>
      <c r="H808" s="14">
        <v>1</v>
      </c>
      <c r="I808" s="10" t="s">
        <v>4683</v>
      </c>
      <c r="J808" s="10" t="str">
        <f t="shared" si="4"/>
        <v>normalweight</v>
      </c>
      <c r="L808" s="30" t="e">
        <v>#N/A</v>
      </c>
    </row>
    <row r="809" spans="1:12" ht="15.75" customHeight="1" x14ac:dyDescent="0.3">
      <c r="A809" s="10" t="s">
        <v>3060</v>
      </c>
      <c r="B809" s="10">
        <v>39.93</v>
      </c>
      <c r="C809" s="10">
        <v>8.75</v>
      </c>
      <c r="D809" s="16" t="s">
        <v>4682</v>
      </c>
      <c r="E809" s="10" t="s">
        <v>4683</v>
      </c>
      <c r="F809" s="10" t="s">
        <v>4683</v>
      </c>
      <c r="G809" s="10" t="s">
        <v>4683</v>
      </c>
      <c r="H809" s="14">
        <v>0</v>
      </c>
      <c r="I809" s="10" t="s">
        <v>4683</v>
      </c>
      <c r="J809" s="10" t="str">
        <f t="shared" si="4"/>
        <v>normalweight</v>
      </c>
      <c r="L809" s="30" t="e">
        <v>#N/A</v>
      </c>
    </row>
    <row r="810" spans="1:12" ht="15.75" customHeight="1" x14ac:dyDescent="0.3">
      <c r="A810" s="10" t="s">
        <v>3058</v>
      </c>
      <c r="B810" s="10">
        <v>38.83</v>
      </c>
      <c r="C810" s="10">
        <v>11.86</v>
      </c>
      <c r="D810" s="16" t="s">
        <v>4682</v>
      </c>
      <c r="E810" s="10" t="s">
        <v>4683</v>
      </c>
      <c r="F810" s="10" t="s">
        <v>4683</v>
      </c>
      <c r="G810" s="10" t="s">
        <v>4683</v>
      </c>
      <c r="H810" s="14">
        <v>0</v>
      </c>
      <c r="I810" s="10" t="s">
        <v>4683</v>
      </c>
      <c r="J810" s="10" t="str">
        <f t="shared" si="4"/>
        <v>normalweight</v>
      </c>
      <c r="L810" s="30" t="e">
        <v>#N/A</v>
      </c>
    </row>
    <row r="811" spans="1:12" ht="15.75" customHeight="1" x14ac:dyDescent="0.3">
      <c r="A811" s="10" t="s">
        <v>3056</v>
      </c>
      <c r="B811" s="10">
        <v>37.4</v>
      </c>
      <c r="C811" s="10">
        <v>11.46</v>
      </c>
      <c r="D811" s="16" t="s">
        <v>4682</v>
      </c>
      <c r="E811" s="10" t="s">
        <v>4683</v>
      </c>
      <c r="F811" s="10" t="s">
        <v>4683</v>
      </c>
      <c r="G811" s="10" t="s">
        <v>4683</v>
      </c>
      <c r="H811" s="14">
        <v>0</v>
      </c>
      <c r="I811" s="10" t="s">
        <v>4683</v>
      </c>
      <c r="J811" s="10" t="str">
        <f t="shared" si="4"/>
        <v>normalweight</v>
      </c>
      <c r="L811" s="30" t="e">
        <v>#N/A</v>
      </c>
    </row>
    <row r="812" spans="1:12" ht="15.75" customHeight="1" x14ac:dyDescent="0.3">
      <c r="A812" s="10" t="s">
        <v>3054</v>
      </c>
      <c r="B812" s="10">
        <v>21.4</v>
      </c>
      <c r="C812" s="10">
        <v>9.0299999999999994</v>
      </c>
      <c r="D812" s="16" t="s">
        <v>4682</v>
      </c>
      <c r="E812" s="10" t="s">
        <v>4683</v>
      </c>
      <c r="F812" s="10" t="s">
        <v>4683</v>
      </c>
      <c r="G812" s="10" t="s">
        <v>4683</v>
      </c>
      <c r="H812" s="14">
        <v>0</v>
      </c>
      <c r="I812" s="10" t="s">
        <v>4683</v>
      </c>
      <c r="J812" s="10" t="str">
        <f t="shared" si="4"/>
        <v>normalweight</v>
      </c>
      <c r="L812" s="30" t="e">
        <v>#N/A</v>
      </c>
    </row>
    <row r="813" spans="1:12" ht="15.75" customHeight="1" x14ac:dyDescent="0.3">
      <c r="A813" s="10" t="s">
        <v>3052</v>
      </c>
      <c r="B813" s="10">
        <v>38.380000000000003</v>
      </c>
      <c r="C813" s="10">
        <v>8.26</v>
      </c>
      <c r="D813" s="16" t="s">
        <v>4682</v>
      </c>
      <c r="E813" s="10" t="s">
        <v>4684</v>
      </c>
      <c r="F813" s="10" t="s">
        <v>4683</v>
      </c>
      <c r="G813" s="10" t="s">
        <v>4683</v>
      </c>
      <c r="H813" s="14">
        <v>2</v>
      </c>
      <c r="I813" s="10" t="s">
        <v>4683</v>
      </c>
      <c r="J813" s="10" t="str">
        <f t="shared" si="4"/>
        <v>normalweight</v>
      </c>
      <c r="L813" s="30" t="e">
        <v>#N/A</v>
      </c>
    </row>
    <row r="814" spans="1:12" ht="15.75" customHeight="1" x14ac:dyDescent="0.3">
      <c r="A814" s="10" t="s">
        <v>3050</v>
      </c>
      <c r="B814" s="10">
        <v>33.659999999999997</v>
      </c>
      <c r="C814" s="10">
        <v>5.42</v>
      </c>
      <c r="D814" s="10" t="s">
        <v>4685</v>
      </c>
      <c r="E814" s="10" t="s">
        <v>4684</v>
      </c>
      <c r="F814" s="10" t="s">
        <v>4683</v>
      </c>
      <c r="G814" s="10" t="s">
        <v>4683</v>
      </c>
      <c r="H814" s="14">
        <v>2</v>
      </c>
      <c r="I814" s="10" t="s">
        <v>4683</v>
      </c>
      <c r="J814" s="10" t="str">
        <f t="shared" si="4"/>
        <v>normalweight</v>
      </c>
      <c r="L814" s="30" t="e">
        <v>#N/A</v>
      </c>
    </row>
    <row r="815" spans="1:12" ht="15.75" customHeight="1" x14ac:dyDescent="0.3">
      <c r="A815" s="10" t="s">
        <v>3048</v>
      </c>
      <c r="B815" s="10">
        <v>31.79</v>
      </c>
      <c r="C815" s="10">
        <v>11.33</v>
      </c>
      <c r="D815" s="16" t="s">
        <v>4682</v>
      </c>
      <c r="E815" s="10" t="s">
        <v>4684</v>
      </c>
      <c r="F815" s="10" t="s">
        <v>4683</v>
      </c>
      <c r="G815" s="10" t="s">
        <v>4686</v>
      </c>
      <c r="H815" s="14">
        <v>1</v>
      </c>
      <c r="I815" s="10" t="s">
        <v>4683</v>
      </c>
      <c r="J815" s="10" t="str">
        <f t="shared" si="4"/>
        <v>normalweight</v>
      </c>
      <c r="L815" s="30" t="e">
        <v>#N/A</v>
      </c>
    </row>
    <row r="816" spans="1:12" ht="15.75" customHeight="1" x14ac:dyDescent="0.3">
      <c r="A816" s="10" t="s">
        <v>3046</v>
      </c>
      <c r="B816" s="10">
        <v>29.7</v>
      </c>
      <c r="C816" s="10">
        <v>7.69</v>
      </c>
      <c r="D816" s="16" t="s">
        <v>4682</v>
      </c>
      <c r="E816" s="10" t="s">
        <v>4684</v>
      </c>
      <c r="F816" s="10" t="s">
        <v>4683</v>
      </c>
      <c r="G816" s="10" t="s">
        <v>4686</v>
      </c>
      <c r="H816" s="14">
        <v>1</v>
      </c>
      <c r="I816" s="10" t="s">
        <v>4683</v>
      </c>
      <c r="J816" s="10" t="str">
        <f t="shared" si="4"/>
        <v>normalweight</v>
      </c>
      <c r="L816" s="30" t="e">
        <v>#N/A</v>
      </c>
    </row>
    <row r="817" spans="1:12" ht="15.75" customHeight="1" x14ac:dyDescent="0.3">
      <c r="A817" s="10" t="s">
        <v>3044</v>
      </c>
      <c r="B817" s="10">
        <v>25.46</v>
      </c>
      <c r="C817" s="10">
        <v>8.77</v>
      </c>
      <c r="D817" s="16" t="s">
        <v>4682</v>
      </c>
      <c r="E817" s="10" t="s">
        <v>4684</v>
      </c>
      <c r="F817" s="10" t="s">
        <v>4683</v>
      </c>
      <c r="G817" s="10" t="s">
        <v>4686</v>
      </c>
      <c r="H817" s="14">
        <v>1</v>
      </c>
      <c r="I817" s="10" t="s">
        <v>4683</v>
      </c>
      <c r="J817" s="10" t="str">
        <f t="shared" si="4"/>
        <v>normalweight</v>
      </c>
      <c r="L817" s="30" t="e">
        <v>#N/A</v>
      </c>
    </row>
    <row r="818" spans="1:12" ht="15.75" customHeight="1" x14ac:dyDescent="0.3">
      <c r="A818" s="10" t="s">
        <v>3042</v>
      </c>
      <c r="B818" s="10">
        <v>39.14</v>
      </c>
      <c r="C818" s="10">
        <v>4.91</v>
      </c>
      <c r="D818" s="10" t="s">
        <v>4685</v>
      </c>
      <c r="E818" s="10" t="s">
        <v>4683</v>
      </c>
      <c r="F818" s="10" t="s">
        <v>4684</v>
      </c>
      <c r="G818" s="10" t="s">
        <v>4683</v>
      </c>
      <c r="H818" s="14">
        <v>1</v>
      </c>
      <c r="I818" s="10" t="s">
        <v>4683</v>
      </c>
      <c r="J818" s="10" t="str">
        <f t="shared" si="4"/>
        <v>normalweight</v>
      </c>
      <c r="L818" s="30" t="e">
        <v>#N/A</v>
      </c>
    </row>
    <row r="819" spans="1:12" ht="15.75" customHeight="1" x14ac:dyDescent="0.3">
      <c r="A819" s="10" t="s">
        <v>3040</v>
      </c>
      <c r="B819" s="10">
        <v>41.2</v>
      </c>
      <c r="C819" s="10">
        <v>4.95</v>
      </c>
      <c r="D819" s="10" t="s">
        <v>4685</v>
      </c>
      <c r="E819" s="10" t="s">
        <v>4683</v>
      </c>
      <c r="F819" s="10" t="s">
        <v>4683</v>
      </c>
      <c r="G819" s="10" t="s">
        <v>4683</v>
      </c>
      <c r="H819" s="14">
        <v>1</v>
      </c>
      <c r="I819" s="10" t="s">
        <v>4683</v>
      </c>
      <c r="J819" s="10" t="str">
        <f t="shared" si="4"/>
        <v>normalweight</v>
      </c>
      <c r="L819" s="30" t="e">
        <v>#N/A</v>
      </c>
    </row>
    <row r="820" spans="1:12" ht="15.75" customHeight="1" x14ac:dyDescent="0.3">
      <c r="A820" s="10" t="s">
        <v>3038</v>
      </c>
      <c r="B820" s="10">
        <v>28.81</v>
      </c>
      <c r="C820" s="10">
        <v>10.8</v>
      </c>
      <c r="D820" s="16" t="s">
        <v>4682</v>
      </c>
      <c r="E820" s="10" t="s">
        <v>4684</v>
      </c>
      <c r="F820" s="10" t="s">
        <v>4683</v>
      </c>
      <c r="G820" s="10" t="s">
        <v>4686</v>
      </c>
      <c r="H820" s="14">
        <v>1</v>
      </c>
      <c r="I820" s="10" t="s">
        <v>4683</v>
      </c>
      <c r="J820" s="10" t="str">
        <f t="shared" si="4"/>
        <v>normalweight</v>
      </c>
      <c r="L820" s="30" t="e">
        <v>#N/A</v>
      </c>
    </row>
    <row r="821" spans="1:12" ht="15.75" customHeight="1" x14ac:dyDescent="0.3">
      <c r="A821" s="10" t="s">
        <v>3036</v>
      </c>
      <c r="B821" s="10">
        <v>37.409999999999997</v>
      </c>
      <c r="C821" s="10">
        <v>7.21</v>
      </c>
      <c r="D821" s="16" t="s">
        <v>4682</v>
      </c>
      <c r="E821" s="10" t="s">
        <v>4683</v>
      </c>
      <c r="F821" s="10" t="s">
        <v>4683</v>
      </c>
      <c r="G821" s="10" t="s">
        <v>4683</v>
      </c>
      <c r="H821" s="14">
        <v>2</v>
      </c>
      <c r="I821" s="10" t="s">
        <v>4683</v>
      </c>
      <c r="J821" s="10" t="str">
        <f t="shared" si="4"/>
        <v>normalweight</v>
      </c>
      <c r="L821" s="30" t="e">
        <v>#N/A</v>
      </c>
    </row>
    <row r="822" spans="1:12" ht="15.75" customHeight="1" x14ac:dyDescent="0.3">
      <c r="A822" s="10" t="s">
        <v>3034</v>
      </c>
      <c r="B822" s="10">
        <v>52.54</v>
      </c>
      <c r="C822" s="10">
        <v>5.12</v>
      </c>
      <c r="D822" s="10" t="s">
        <v>4685</v>
      </c>
      <c r="E822" s="10" t="s">
        <v>4683</v>
      </c>
      <c r="F822" s="10" t="s">
        <v>4683</v>
      </c>
      <c r="G822" s="10" t="s">
        <v>4686</v>
      </c>
      <c r="H822" s="14">
        <v>1</v>
      </c>
      <c r="I822" s="10" t="s">
        <v>4683</v>
      </c>
      <c r="J822" s="10" t="str">
        <f t="shared" si="4"/>
        <v>normalweight</v>
      </c>
      <c r="L822" s="30" t="e">
        <v>#N/A</v>
      </c>
    </row>
    <row r="823" spans="1:12" ht="15.75" customHeight="1" x14ac:dyDescent="0.3">
      <c r="A823" s="10" t="s">
        <v>3032</v>
      </c>
      <c r="B823" s="10">
        <v>17.29</v>
      </c>
      <c r="C823" s="10">
        <v>4.62</v>
      </c>
      <c r="D823" s="10" t="s">
        <v>4685</v>
      </c>
      <c r="E823" s="10" t="s">
        <v>4683</v>
      </c>
      <c r="F823" s="10" t="s">
        <v>4684</v>
      </c>
      <c r="G823" s="10" t="s">
        <v>4683</v>
      </c>
      <c r="H823" s="14">
        <v>1</v>
      </c>
      <c r="I823" s="10" t="s">
        <v>4684</v>
      </c>
      <c r="J823" s="10" t="str">
        <f t="shared" si="4"/>
        <v>underweight</v>
      </c>
      <c r="L823" s="30" t="e">
        <v>#N/A</v>
      </c>
    </row>
    <row r="824" spans="1:12" ht="15.75" customHeight="1" x14ac:dyDescent="0.3">
      <c r="A824" s="10" t="s">
        <v>3030</v>
      </c>
      <c r="B824" s="10">
        <v>31.74</v>
      </c>
      <c r="C824" s="10">
        <v>7.68</v>
      </c>
      <c r="D824" s="16" t="s">
        <v>4682</v>
      </c>
      <c r="E824" s="10" t="s">
        <v>4684</v>
      </c>
      <c r="F824" s="10" t="s">
        <v>4683</v>
      </c>
      <c r="G824" s="10" t="s">
        <v>4683</v>
      </c>
      <c r="H824" s="14">
        <v>0</v>
      </c>
      <c r="I824" s="10" t="s">
        <v>4683</v>
      </c>
      <c r="J824" s="10" t="str">
        <f t="shared" si="4"/>
        <v>normalweight</v>
      </c>
      <c r="L824" s="30" t="e">
        <v>#N/A</v>
      </c>
    </row>
    <row r="825" spans="1:12" ht="15.75" customHeight="1" x14ac:dyDescent="0.3">
      <c r="A825" s="10" t="s">
        <v>3028</v>
      </c>
      <c r="B825" s="10">
        <v>26.504999999999999</v>
      </c>
      <c r="C825" s="10">
        <v>6.79</v>
      </c>
      <c r="D825" s="16" t="s">
        <v>4682</v>
      </c>
      <c r="E825" s="10" t="s">
        <v>4684</v>
      </c>
      <c r="F825" s="10" t="s">
        <v>4683</v>
      </c>
      <c r="G825" s="10" t="s">
        <v>4686</v>
      </c>
      <c r="H825" s="14">
        <v>1</v>
      </c>
      <c r="I825" s="10" t="s">
        <v>4683</v>
      </c>
      <c r="J825" s="10" t="str">
        <f t="shared" si="4"/>
        <v>normalweight</v>
      </c>
      <c r="L825" s="30" t="e">
        <v>#N/A</v>
      </c>
    </row>
    <row r="826" spans="1:12" ht="15.75" customHeight="1" x14ac:dyDescent="0.3">
      <c r="A826" s="10" t="s">
        <v>3026</v>
      </c>
      <c r="B826" s="10">
        <v>36.479999999999997</v>
      </c>
      <c r="C826" s="10">
        <v>11.09</v>
      </c>
      <c r="D826" s="16" t="s">
        <v>4682</v>
      </c>
      <c r="E826" s="10" t="s">
        <v>4683</v>
      </c>
      <c r="F826" s="10" t="s">
        <v>4683</v>
      </c>
      <c r="G826" s="10" t="s">
        <v>4683</v>
      </c>
      <c r="H826" s="14">
        <v>0</v>
      </c>
      <c r="I826" s="10" t="s">
        <v>4683</v>
      </c>
      <c r="J826" s="10" t="str">
        <f t="shared" si="4"/>
        <v>normalweight</v>
      </c>
      <c r="L826" s="30" t="e">
        <v>#N/A</v>
      </c>
    </row>
    <row r="827" spans="1:12" ht="15.75" customHeight="1" x14ac:dyDescent="0.3">
      <c r="A827" s="10" t="s">
        <v>3024</v>
      </c>
      <c r="B827" s="10">
        <v>39.159999999999997</v>
      </c>
      <c r="C827" s="10">
        <v>5.24</v>
      </c>
      <c r="D827" s="10" t="s">
        <v>4685</v>
      </c>
      <c r="E827" s="10" t="s">
        <v>4684</v>
      </c>
      <c r="F827" s="10" t="s">
        <v>4683</v>
      </c>
      <c r="G827" s="10" t="s">
        <v>4686</v>
      </c>
      <c r="H827" s="14">
        <v>1</v>
      </c>
      <c r="I827" s="10" t="s">
        <v>4683</v>
      </c>
      <c r="J827" s="10" t="str">
        <f t="shared" si="4"/>
        <v>normalweight</v>
      </c>
      <c r="L827" s="30" t="e">
        <v>#N/A</v>
      </c>
    </row>
    <row r="828" spans="1:12" ht="15.75" customHeight="1" x14ac:dyDescent="0.3">
      <c r="A828" s="10" t="s">
        <v>3022</v>
      </c>
      <c r="B828" s="10">
        <v>28.22</v>
      </c>
      <c r="C828" s="10">
        <v>7.51</v>
      </c>
      <c r="D828" s="16" t="s">
        <v>4682</v>
      </c>
      <c r="E828" s="10" t="s">
        <v>4684</v>
      </c>
      <c r="F828" s="10" t="s">
        <v>4683</v>
      </c>
      <c r="G828" s="10" t="s">
        <v>4686</v>
      </c>
      <c r="H828" s="14">
        <v>1</v>
      </c>
      <c r="I828" s="10" t="s">
        <v>4683</v>
      </c>
      <c r="J828" s="10" t="str">
        <f t="shared" si="4"/>
        <v>normalweight</v>
      </c>
      <c r="L828" s="30" t="e">
        <v>#N/A</v>
      </c>
    </row>
    <row r="829" spans="1:12" ht="15.75" customHeight="1" x14ac:dyDescent="0.3">
      <c r="A829" s="10" t="s">
        <v>3020</v>
      </c>
      <c r="B829" s="10">
        <v>35</v>
      </c>
      <c r="C829" s="10">
        <v>4.13</v>
      </c>
      <c r="D829" s="10" t="s">
        <v>4685</v>
      </c>
      <c r="E829" s="10" t="s">
        <v>4683</v>
      </c>
      <c r="F829" s="10" t="s">
        <v>4683</v>
      </c>
      <c r="G829" s="10" t="s">
        <v>4683</v>
      </c>
      <c r="H829" s="14">
        <v>2</v>
      </c>
      <c r="I829" s="10" t="s">
        <v>4683</v>
      </c>
      <c r="J829" s="10" t="str">
        <f t="shared" si="4"/>
        <v>normalweight</v>
      </c>
      <c r="L829" s="30" t="e">
        <v>#N/A</v>
      </c>
    </row>
    <row r="830" spans="1:12" ht="15.75" customHeight="1" x14ac:dyDescent="0.3">
      <c r="A830" s="10" t="s">
        <v>3018</v>
      </c>
      <c r="B830" s="10">
        <v>36.24</v>
      </c>
      <c r="C830" s="10">
        <v>8.3800000000000008</v>
      </c>
      <c r="D830" s="16" t="s">
        <v>4682</v>
      </c>
      <c r="E830" s="10" t="s">
        <v>4684</v>
      </c>
      <c r="F830" s="10" t="s">
        <v>4683</v>
      </c>
      <c r="G830" s="10" t="s">
        <v>4683</v>
      </c>
      <c r="H830" s="14">
        <v>1</v>
      </c>
      <c r="I830" s="10" t="s">
        <v>4683</v>
      </c>
      <c r="J830" s="10" t="str">
        <f t="shared" si="4"/>
        <v>normalweight</v>
      </c>
      <c r="L830" s="30" t="e">
        <v>#N/A</v>
      </c>
    </row>
    <row r="831" spans="1:12" ht="15.75" customHeight="1" x14ac:dyDescent="0.3">
      <c r="A831" s="10" t="s">
        <v>3016</v>
      </c>
      <c r="B831" s="10">
        <v>36.954999999999998</v>
      </c>
      <c r="C831" s="10">
        <v>8.07</v>
      </c>
      <c r="D831" s="16" t="s">
        <v>4682</v>
      </c>
      <c r="E831" s="10" t="s">
        <v>4683</v>
      </c>
      <c r="F831" s="10" t="s">
        <v>4683</v>
      </c>
      <c r="G831" s="10" t="s">
        <v>4683</v>
      </c>
      <c r="H831" s="14">
        <v>0</v>
      </c>
      <c r="I831" s="10" t="s">
        <v>4683</v>
      </c>
      <c r="J831" s="10" t="str">
        <f t="shared" si="4"/>
        <v>normalweight</v>
      </c>
      <c r="L831" s="30" t="e">
        <v>#N/A</v>
      </c>
    </row>
    <row r="832" spans="1:12" ht="15.75" customHeight="1" x14ac:dyDescent="0.3">
      <c r="A832" s="10" t="s">
        <v>3014</v>
      </c>
      <c r="B832" s="10">
        <v>29.64</v>
      </c>
      <c r="C832" s="10">
        <v>8.9499999999999993</v>
      </c>
      <c r="D832" s="16" t="s">
        <v>4682</v>
      </c>
      <c r="E832" s="10" t="s">
        <v>4683</v>
      </c>
      <c r="F832" s="10" t="s">
        <v>4683</v>
      </c>
      <c r="G832" s="10" t="s">
        <v>4683</v>
      </c>
      <c r="H832" s="14">
        <v>0</v>
      </c>
      <c r="I832" s="10" t="s">
        <v>4683</v>
      </c>
      <c r="J832" s="10" t="str">
        <f t="shared" si="4"/>
        <v>normalweight</v>
      </c>
      <c r="L832" s="30" t="e">
        <v>#N/A</v>
      </c>
    </row>
    <row r="833" spans="1:12" ht="15.75" customHeight="1" x14ac:dyDescent="0.3">
      <c r="A833" s="10" t="s">
        <v>3012</v>
      </c>
      <c r="B833" s="10">
        <v>42.74</v>
      </c>
      <c r="C833" s="10">
        <v>6.31</v>
      </c>
      <c r="D833" s="10" t="s">
        <v>4685</v>
      </c>
      <c r="E833" s="10" t="s">
        <v>4684</v>
      </c>
      <c r="F833" s="10" t="s">
        <v>4683</v>
      </c>
      <c r="G833" s="10" t="s">
        <v>4683</v>
      </c>
      <c r="H833" s="14">
        <v>1</v>
      </c>
      <c r="I833" s="10" t="s">
        <v>4683</v>
      </c>
      <c r="J833" s="10" t="str">
        <f t="shared" si="4"/>
        <v>normalweight</v>
      </c>
      <c r="L833" s="30" t="e">
        <v>#N/A</v>
      </c>
    </row>
    <row r="834" spans="1:12" ht="15.75" customHeight="1" x14ac:dyDescent="0.3">
      <c r="A834" s="10" t="s">
        <v>3010</v>
      </c>
      <c r="B834" s="10">
        <v>36.130000000000003</v>
      </c>
      <c r="C834" s="10">
        <v>7.19</v>
      </c>
      <c r="D834" s="16" t="s">
        <v>4682</v>
      </c>
      <c r="E834" s="10" t="s">
        <v>4684</v>
      </c>
      <c r="F834" s="10" t="s">
        <v>4683</v>
      </c>
      <c r="G834" s="10" t="s">
        <v>4683</v>
      </c>
      <c r="H834" s="14">
        <v>2</v>
      </c>
      <c r="I834" s="10" t="s">
        <v>4683</v>
      </c>
      <c r="J834" s="10" t="str">
        <f t="shared" si="4"/>
        <v>normalweight</v>
      </c>
      <c r="L834" s="30" t="e">
        <v>#N/A</v>
      </c>
    </row>
    <row r="835" spans="1:12" ht="15.75" customHeight="1" x14ac:dyDescent="0.3">
      <c r="A835" s="10" t="s">
        <v>3008</v>
      </c>
      <c r="B835" s="10">
        <v>31.55</v>
      </c>
      <c r="C835" s="10">
        <v>6.11</v>
      </c>
      <c r="D835" s="10" t="s">
        <v>4685</v>
      </c>
      <c r="E835" s="10" t="s">
        <v>4684</v>
      </c>
      <c r="F835" s="10" t="s">
        <v>4683</v>
      </c>
      <c r="G835" s="10" t="s">
        <v>4683</v>
      </c>
      <c r="H835" s="14">
        <v>1</v>
      </c>
      <c r="I835" s="10" t="s">
        <v>4683</v>
      </c>
      <c r="J835" s="10" t="str">
        <f t="shared" si="4"/>
        <v>normalweight</v>
      </c>
      <c r="L835" s="30" t="e">
        <v>#N/A</v>
      </c>
    </row>
    <row r="836" spans="1:12" ht="15.75" customHeight="1" x14ac:dyDescent="0.3">
      <c r="A836" s="10" t="s">
        <v>3006</v>
      </c>
      <c r="B836" s="10">
        <v>52.75</v>
      </c>
      <c r="C836" s="10">
        <v>6.02</v>
      </c>
      <c r="D836" s="10" t="s">
        <v>4685</v>
      </c>
      <c r="E836" s="10" t="s">
        <v>4683</v>
      </c>
      <c r="F836" s="10" t="s">
        <v>4683</v>
      </c>
      <c r="G836" s="10" t="s">
        <v>4683</v>
      </c>
      <c r="H836" s="14">
        <v>1</v>
      </c>
      <c r="I836" s="10" t="s">
        <v>4683</v>
      </c>
      <c r="J836" s="10" t="str">
        <f t="shared" si="4"/>
        <v>normalweight</v>
      </c>
      <c r="L836" s="30" t="e">
        <v>#N/A</v>
      </c>
    </row>
    <row r="837" spans="1:12" ht="15.75" customHeight="1" x14ac:dyDescent="0.3">
      <c r="A837" s="10" t="s">
        <v>3004</v>
      </c>
      <c r="B837" s="10">
        <v>36.67</v>
      </c>
      <c r="C837" s="10">
        <v>11.86</v>
      </c>
      <c r="D837" s="16" t="s">
        <v>4682</v>
      </c>
      <c r="E837" s="10" t="s">
        <v>4683</v>
      </c>
      <c r="F837" s="10" t="s">
        <v>4683</v>
      </c>
      <c r="G837" s="10" t="s">
        <v>4683</v>
      </c>
      <c r="H837" s="14">
        <v>0</v>
      </c>
      <c r="I837" s="10" t="s">
        <v>4683</v>
      </c>
      <c r="J837" s="10" t="str">
        <f t="shared" si="4"/>
        <v>normalweight</v>
      </c>
      <c r="L837" s="30" t="e">
        <v>#N/A</v>
      </c>
    </row>
    <row r="838" spans="1:12" ht="15.75" customHeight="1" x14ac:dyDescent="0.3">
      <c r="A838" s="10" t="s">
        <v>3002</v>
      </c>
      <c r="B838" s="10">
        <v>38.06</v>
      </c>
      <c r="C838" s="10">
        <v>8.25</v>
      </c>
      <c r="D838" s="16" t="s">
        <v>4682</v>
      </c>
      <c r="E838" s="10" t="s">
        <v>4683</v>
      </c>
      <c r="F838" s="10" t="s">
        <v>4683</v>
      </c>
      <c r="G838" s="10" t="s">
        <v>4683</v>
      </c>
      <c r="H838" s="14">
        <v>0</v>
      </c>
      <c r="I838" s="10" t="s">
        <v>4683</v>
      </c>
      <c r="J838" s="10" t="str">
        <f t="shared" si="4"/>
        <v>normalweight</v>
      </c>
      <c r="L838" s="30" t="e">
        <v>#N/A</v>
      </c>
    </row>
    <row r="839" spans="1:12" ht="15.75" customHeight="1" x14ac:dyDescent="0.3">
      <c r="A839" s="10" t="s">
        <v>3000</v>
      </c>
      <c r="B839" s="10">
        <v>38</v>
      </c>
      <c r="C839" s="10">
        <v>8.1300000000000008</v>
      </c>
      <c r="D839" s="16" t="s">
        <v>4682</v>
      </c>
      <c r="E839" s="10" t="s">
        <v>4683</v>
      </c>
      <c r="F839" s="10" t="s">
        <v>4683</v>
      </c>
      <c r="G839" s="10" t="s">
        <v>4683</v>
      </c>
      <c r="H839" s="14">
        <v>0</v>
      </c>
      <c r="I839" s="10" t="s">
        <v>4683</v>
      </c>
      <c r="J839" s="10" t="str">
        <f t="shared" si="4"/>
        <v>normalweight</v>
      </c>
      <c r="L839" s="30" t="e">
        <v>#N/A</v>
      </c>
    </row>
    <row r="840" spans="1:12" ht="15.75" customHeight="1" x14ac:dyDescent="0.3">
      <c r="A840" s="10" t="s">
        <v>2998</v>
      </c>
      <c r="B840" s="10">
        <v>35.1</v>
      </c>
      <c r="C840" s="10">
        <v>10.1</v>
      </c>
      <c r="D840" s="16" t="s">
        <v>4682</v>
      </c>
      <c r="E840" s="10" t="s">
        <v>4683</v>
      </c>
      <c r="F840" s="10" t="s">
        <v>4683</v>
      </c>
      <c r="G840" s="10" t="s">
        <v>4683</v>
      </c>
      <c r="H840" s="14">
        <v>0</v>
      </c>
      <c r="I840" s="10" t="s">
        <v>4683</v>
      </c>
      <c r="J840" s="10" t="str">
        <f t="shared" si="4"/>
        <v>normalweight</v>
      </c>
      <c r="L840" s="30" t="e">
        <v>#N/A</v>
      </c>
    </row>
    <row r="841" spans="1:12" ht="15.75" customHeight="1" x14ac:dyDescent="0.3">
      <c r="A841" s="10" t="s">
        <v>2996</v>
      </c>
      <c r="B841" s="10">
        <v>33.82</v>
      </c>
      <c r="C841" s="10">
        <v>5.89</v>
      </c>
      <c r="D841" s="10" t="s">
        <v>4685</v>
      </c>
      <c r="E841" s="10" t="s">
        <v>4684</v>
      </c>
      <c r="F841" s="10" t="s">
        <v>4683</v>
      </c>
      <c r="G841" s="10" t="s">
        <v>4683</v>
      </c>
      <c r="H841" s="14">
        <v>2</v>
      </c>
      <c r="I841" s="10" t="s">
        <v>4683</v>
      </c>
      <c r="J841" s="10" t="str">
        <f t="shared" si="4"/>
        <v>normalweight</v>
      </c>
      <c r="L841" s="30" t="e">
        <v>#N/A</v>
      </c>
    </row>
    <row r="842" spans="1:12" ht="15.75" customHeight="1" x14ac:dyDescent="0.3">
      <c r="A842" s="10" t="s">
        <v>2994</v>
      </c>
      <c r="B842" s="10">
        <v>37.43</v>
      </c>
      <c r="C842" s="10">
        <v>4.97</v>
      </c>
      <c r="D842" s="10" t="s">
        <v>4685</v>
      </c>
      <c r="E842" s="10" t="s">
        <v>4683</v>
      </c>
      <c r="F842" s="10" t="s">
        <v>4683</v>
      </c>
      <c r="G842" s="10" t="s">
        <v>4683</v>
      </c>
      <c r="H842" s="14">
        <v>2</v>
      </c>
      <c r="I842" s="10" t="s">
        <v>4683</v>
      </c>
      <c r="J842" s="10" t="str">
        <f t="shared" si="4"/>
        <v>normalweight</v>
      </c>
      <c r="L842" s="30" t="e">
        <v>#N/A</v>
      </c>
    </row>
    <row r="843" spans="1:12" ht="15.75" customHeight="1" x14ac:dyDescent="0.3">
      <c r="A843" s="10" t="s">
        <v>2992</v>
      </c>
      <c r="B843" s="10">
        <v>30.5</v>
      </c>
      <c r="C843" s="10">
        <v>9.9</v>
      </c>
      <c r="D843" s="16" t="s">
        <v>4682</v>
      </c>
      <c r="E843" s="10" t="s">
        <v>4683</v>
      </c>
      <c r="F843" s="10" t="s">
        <v>4683</v>
      </c>
      <c r="G843" s="10" t="s">
        <v>4683</v>
      </c>
      <c r="H843" s="14">
        <v>0</v>
      </c>
      <c r="I843" s="10" t="s">
        <v>4683</v>
      </c>
      <c r="J843" s="10" t="str">
        <f t="shared" si="4"/>
        <v>normalweight</v>
      </c>
      <c r="L843" s="30" t="e">
        <v>#N/A</v>
      </c>
    </row>
    <row r="844" spans="1:12" ht="15.75" customHeight="1" x14ac:dyDescent="0.3">
      <c r="A844" s="10" t="s">
        <v>2990</v>
      </c>
      <c r="B844" s="10">
        <v>24.53</v>
      </c>
      <c r="C844" s="10">
        <v>9.0500000000000007</v>
      </c>
      <c r="D844" s="16" t="s">
        <v>4682</v>
      </c>
      <c r="E844" s="10" t="s">
        <v>4683</v>
      </c>
      <c r="F844" s="10" t="s">
        <v>4683</v>
      </c>
      <c r="G844" s="10" t="s">
        <v>4683</v>
      </c>
      <c r="H844" s="14">
        <v>0</v>
      </c>
      <c r="I844" s="10" t="s">
        <v>4683</v>
      </c>
      <c r="J844" s="10" t="str">
        <f t="shared" si="4"/>
        <v>normalweight</v>
      </c>
      <c r="L844" s="30" t="e">
        <v>#N/A</v>
      </c>
    </row>
    <row r="845" spans="1:12" ht="15.75" customHeight="1" x14ac:dyDescent="0.3">
      <c r="A845" s="10" t="s">
        <v>2988</v>
      </c>
      <c r="B845" s="10">
        <v>25.74</v>
      </c>
      <c r="C845" s="10">
        <v>10.93</v>
      </c>
      <c r="D845" s="16" t="s">
        <v>4682</v>
      </c>
      <c r="E845" s="10" t="s">
        <v>4683</v>
      </c>
      <c r="F845" s="10" t="s">
        <v>4683</v>
      </c>
      <c r="G845" s="10" t="s">
        <v>4683</v>
      </c>
      <c r="H845" s="14">
        <v>0</v>
      </c>
      <c r="I845" s="10" t="s">
        <v>4683</v>
      </c>
      <c r="J845" s="10" t="str">
        <f t="shared" si="4"/>
        <v>normalweight</v>
      </c>
      <c r="L845" s="30" t="e">
        <v>#N/A</v>
      </c>
    </row>
    <row r="846" spans="1:12" ht="15.75" customHeight="1" x14ac:dyDescent="0.3">
      <c r="A846" s="10" t="s">
        <v>2986</v>
      </c>
      <c r="B846" s="10">
        <v>34.08</v>
      </c>
      <c r="C846" s="10">
        <v>7.58</v>
      </c>
      <c r="D846" s="16" t="s">
        <v>4682</v>
      </c>
      <c r="E846" s="10" t="s">
        <v>4684</v>
      </c>
      <c r="F846" s="10" t="s">
        <v>4683</v>
      </c>
      <c r="G846" s="10" t="s">
        <v>4683</v>
      </c>
      <c r="H846" s="14">
        <v>2</v>
      </c>
      <c r="I846" s="10" t="s">
        <v>4683</v>
      </c>
      <c r="J846" s="10" t="str">
        <f t="shared" si="4"/>
        <v>normalweight</v>
      </c>
      <c r="L846" s="30" t="e">
        <v>#N/A</v>
      </c>
    </row>
    <row r="847" spans="1:12" ht="15.75" customHeight="1" x14ac:dyDescent="0.3">
      <c r="A847" s="10" t="s">
        <v>2984</v>
      </c>
      <c r="B847" s="10">
        <v>31.35</v>
      </c>
      <c r="C847" s="10">
        <v>11</v>
      </c>
      <c r="D847" s="16" t="s">
        <v>4682</v>
      </c>
      <c r="E847" s="10" t="s">
        <v>4684</v>
      </c>
      <c r="F847" s="10" t="s">
        <v>4683</v>
      </c>
      <c r="G847" s="10" t="s">
        <v>4686</v>
      </c>
      <c r="H847" s="14">
        <v>1</v>
      </c>
      <c r="I847" s="10" t="s">
        <v>4683</v>
      </c>
      <c r="J847" s="10" t="str">
        <f t="shared" si="4"/>
        <v>normalweight</v>
      </c>
      <c r="L847" s="30" t="e">
        <v>#N/A</v>
      </c>
    </row>
    <row r="848" spans="1:12" ht="15.75" customHeight="1" x14ac:dyDescent="0.3">
      <c r="A848" s="10" t="s">
        <v>2982</v>
      </c>
      <c r="B848" s="10">
        <v>26.79</v>
      </c>
      <c r="C848" s="10">
        <v>5.0599999999999996</v>
      </c>
      <c r="D848" s="10" t="s">
        <v>4685</v>
      </c>
      <c r="E848" s="10" t="s">
        <v>4683</v>
      </c>
      <c r="F848" s="10" t="s">
        <v>4683</v>
      </c>
      <c r="G848" s="10" t="s">
        <v>4683</v>
      </c>
      <c r="H848" s="14">
        <v>1</v>
      </c>
      <c r="I848" s="10" t="s">
        <v>4683</v>
      </c>
      <c r="J848" s="10" t="str">
        <f t="shared" si="4"/>
        <v>normalweight</v>
      </c>
      <c r="L848" s="30" t="e">
        <v>#N/A</v>
      </c>
    </row>
    <row r="849" spans="1:12" ht="15.75" customHeight="1" x14ac:dyDescent="0.3">
      <c r="A849" s="10" t="s">
        <v>2980</v>
      </c>
      <c r="B849" s="10">
        <v>42.78</v>
      </c>
      <c r="C849" s="10">
        <v>6.11</v>
      </c>
      <c r="D849" s="10" t="s">
        <v>4685</v>
      </c>
      <c r="E849" s="10" t="s">
        <v>4684</v>
      </c>
      <c r="F849" s="10" t="s">
        <v>4683</v>
      </c>
      <c r="G849" s="10" t="s">
        <v>4683</v>
      </c>
      <c r="H849" s="14">
        <v>1</v>
      </c>
      <c r="I849" s="10" t="s">
        <v>4683</v>
      </c>
      <c r="J849" s="10" t="str">
        <f t="shared" si="4"/>
        <v>normalweight</v>
      </c>
      <c r="L849" s="30" t="e">
        <v>#N/A</v>
      </c>
    </row>
    <row r="850" spans="1:12" ht="15.75" customHeight="1" x14ac:dyDescent="0.3">
      <c r="A850" s="10" t="s">
        <v>2978</v>
      </c>
      <c r="B850" s="10">
        <v>46.75</v>
      </c>
      <c r="C850" s="10">
        <v>6.66</v>
      </c>
      <c r="D850" s="16" t="s">
        <v>4682</v>
      </c>
      <c r="E850" s="10" t="s">
        <v>4684</v>
      </c>
      <c r="F850" s="10" t="s">
        <v>4683</v>
      </c>
      <c r="G850" s="10" t="s">
        <v>4683</v>
      </c>
      <c r="H850" s="14">
        <v>2</v>
      </c>
      <c r="I850" s="10" t="s">
        <v>4683</v>
      </c>
      <c r="J850" s="10" t="str">
        <f t="shared" si="4"/>
        <v>normalweight</v>
      </c>
      <c r="L850" s="30" t="e">
        <v>#N/A</v>
      </c>
    </row>
    <row r="851" spans="1:12" ht="15.75" customHeight="1" x14ac:dyDescent="0.3">
      <c r="A851" s="10" t="s">
        <v>2976</v>
      </c>
      <c r="B851" s="10">
        <v>32.15</v>
      </c>
      <c r="C851" s="10">
        <v>4.0199999999999996</v>
      </c>
      <c r="D851" s="10" t="s">
        <v>4685</v>
      </c>
      <c r="E851" s="10" t="s">
        <v>4684</v>
      </c>
      <c r="F851" s="10" t="s">
        <v>4683</v>
      </c>
      <c r="G851" s="10" t="s">
        <v>4686</v>
      </c>
      <c r="H851" s="14">
        <v>1</v>
      </c>
      <c r="I851" s="10" t="s">
        <v>4683</v>
      </c>
      <c r="J851" s="10" t="str">
        <f t="shared" si="4"/>
        <v>normalweight</v>
      </c>
      <c r="L851" s="30" t="e">
        <v>#N/A</v>
      </c>
    </row>
    <row r="852" spans="1:12" ht="15.75" customHeight="1" x14ac:dyDescent="0.3">
      <c r="A852" s="10" t="s">
        <v>2974</v>
      </c>
      <c r="B852" s="10">
        <v>43.4</v>
      </c>
      <c r="C852" s="10">
        <v>8.81</v>
      </c>
      <c r="D852" s="16" t="s">
        <v>4682</v>
      </c>
      <c r="E852" s="10" t="s">
        <v>4684</v>
      </c>
      <c r="F852" s="10" t="s">
        <v>4683</v>
      </c>
      <c r="G852" s="10" t="s">
        <v>4683</v>
      </c>
      <c r="H852" s="14">
        <v>2</v>
      </c>
      <c r="I852" s="10" t="s">
        <v>4683</v>
      </c>
      <c r="J852" s="10" t="str">
        <f t="shared" si="4"/>
        <v>normalweight</v>
      </c>
      <c r="L852" s="30" t="e">
        <v>#N/A</v>
      </c>
    </row>
    <row r="853" spans="1:12" ht="15.75" customHeight="1" x14ac:dyDescent="0.3">
      <c r="A853" s="10" t="s">
        <v>2972</v>
      </c>
      <c r="B853" s="10">
        <v>31.57</v>
      </c>
      <c r="C853" s="10">
        <v>7.92</v>
      </c>
      <c r="D853" s="16" t="s">
        <v>4682</v>
      </c>
      <c r="E853" s="10" t="s">
        <v>4684</v>
      </c>
      <c r="F853" s="10" t="s">
        <v>4683</v>
      </c>
      <c r="G853" s="10" t="s">
        <v>4683</v>
      </c>
      <c r="H853" s="14">
        <v>2</v>
      </c>
      <c r="I853" s="10" t="s">
        <v>4683</v>
      </c>
      <c r="J853" s="10" t="str">
        <f t="shared" si="4"/>
        <v>normalweight</v>
      </c>
      <c r="L853" s="30" t="e">
        <v>#N/A</v>
      </c>
    </row>
    <row r="854" spans="1:12" ht="15.75" customHeight="1" x14ac:dyDescent="0.3">
      <c r="A854" s="10" t="s">
        <v>2970</v>
      </c>
      <c r="B854" s="10">
        <v>24.32</v>
      </c>
      <c r="C854" s="10">
        <v>7.48</v>
      </c>
      <c r="D854" s="16" t="s">
        <v>4682</v>
      </c>
      <c r="E854" s="10" t="s">
        <v>4683</v>
      </c>
      <c r="F854" s="10" t="s">
        <v>4683</v>
      </c>
      <c r="G854" s="10" t="s">
        <v>4683</v>
      </c>
      <c r="H854" s="14">
        <v>0</v>
      </c>
      <c r="I854" s="10" t="s">
        <v>4683</v>
      </c>
      <c r="J854" s="10" t="str">
        <f t="shared" si="4"/>
        <v>normalweight</v>
      </c>
      <c r="L854" s="30" t="e">
        <v>#N/A</v>
      </c>
    </row>
    <row r="855" spans="1:12" ht="15.75" customHeight="1" x14ac:dyDescent="0.3">
      <c r="A855" s="10" t="s">
        <v>2968</v>
      </c>
      <c r="B855" s="10">
        <v>31.07</v>
      </c>
      <c r="C855" s="10">
        <v>4.62</v>
      </c>
      <c r="D855" s="10" t="s">
        <v>4685</v>
      </c>
      <c r="E855" s="10" t="s">
        <v>4684</v>
      </c>
      <c r="F855" s="10" t="s">
        <v>4683</v>
      </c>
      <c r="G855" s="10" t="s">
        <v>4683</v>
      </c>
      <c r="H855" s="14">
        <v>2</v>
      </c>
      <c r="I855" s="10" t="s">
        <v>4683</v>
      </c>
      <c r="J855" s="10" t="str">
        <f t="shared" si="4"/>
        <v>normalweight</v>
      </c>
      <c r="L855" s="30" t="e">
        <v>#N/A</v>
      </c>
    </row>
    <row r="856" spans="1:12" ht="15.75" customHeight="1" x14ac:dyDescent="0.3">
      <c r="A856" s="10" t="s">
        <v>2966</v>
      </c>
      <c r="B856" s="10">
        <v>35.814999999999998</v>
      </c>
      <c r="C856" s="10">
        <v>8.4700000000000006</v>
      </c>
      <c r="D856" s="16" t="s">
        <v>4682</v>
      </c>
      <c r="E856" s="10" t="s">
        <v>4683</v>
      </c>
      <c r="F856" s="10" t="s">
        <v>4683</v>
      </c>
      <c r="G856" s="10" t="s">
        <v>4683</v>
      </c>
      <c r="H856" s="14">
        <v>0</v>
      </c>
      <c r="I856" s="10" t="s">
        <v>4683</v>
      </c>
      <c r="J856" s="10" t="str">
        <f t="shared" si="4"/>
        <v>normalweight</v>
      </c>
      <c r="L856" s="30" t="e">
        <v>#N/A</v>
      </c>
    </row>
    <row r="857" spans="1:12" ht="15.75" customHeight="1" x14ac:dyDescent="0.3">
      <c r="A857" s="10" t="s">
        <v>2964</v>
      </c>
      <c r="B857" s="10">
        <v>40.81</v>
      </c>
      <c r="C857" s="10">
        <v>10.58</v>
      </c>
      <c r="D857" s="16" t="s">
        <v>4682</v>
      </c>
      <c r="E857" s="10" t="s">
        <v>4684</v>
      </c>
      <c r="F857" s="10" t="s">
        <v>4683</v>
      </c>
      <c r="G857" s="10" t="s">
        <v>4683</v>
      </c>
      <c r="H857" s="14">
        <v>0</v>
      </c>
      <c r="I857" s="10" t="s">
        <v>4683</v>
      </c>
      <c r="J857" s="10" t="str">
        <f t="shared" si="4"/>
        <v>normalweight</v>
      </c>
      <c r="L857" s="30" t="e">
        <v>#N/A</v>
      </c>
    </row>
    <row r="858" spans="1:12" ht="15.75" customHeight="1" x14ac:dyDescent="0.3">
      <c r="A858" s="10" t="s">
        <v>2962</v>
      </c>
      <c r="B858" s="10">
        <v>24.605</v>
      </c>
      <c r="C858" s="10">
        <v>7.48</v>
      </c>
      <c r="D858" s="16" t="s">
        <v>4682</v>
      </c>
      <c r="E858" s="10" t="s">
        <v>4683</v>
      </c>
      <c r="F858" s="10" t="s">
        <v>4683</v>
      </c>
      <c r="G858" s="10" t="s">
        <v>4683</v>
      </c>
      <c r="H858" s="14">
        <v>0</v>
      </c>
      <c r="I858" s="10" t="s">
        <v>4683</v>
      </c>
      <c r="J858" s="10" t="str">
        <f t="shared" si="4"/>
        <v>normalweight</v>
      </c>
      <c r="L858" s="30" t="e">
        <v>#N/A</v>
      </c>
    </row>
    <row r="859" spans="1:12" ht="15.75" customHeight="1" x14ac:dyDescent="0.3">
      <c r="A859" s="10" t="s">
        <v>2960</v>
      </c>
      <c r="B859" s="10">
        <v>21.47</v>
      </c>
      <c r="C859" s="10">
        <v>7.82</v>
      </c>
      <c r="D859" s="16" t="s">
        <v>4682</v>
      </c>
      <c r="E859" s="10" t="s">
        <v>4683</v>
      </c>
      <c r="F859" s="10" t="s">
        <v>4683</v>
      </c>
      <c r="G859" s="10" t="s">
        <v>4683</v>
      </c>
      <c r="H859" s="14">
        <v>0</v>
      </c>
      <c r="I859" s="10" t="s">
        <v>4683</v>
      </c>
      <c r="J859" s="10" t="str">
        <f t="shared" si="4"/>
        <v>normalweight</v>
      </c>
      <c r="L859" s="30" t="e">
        <v>#N/A</v>
      </c>
    </row>
    <row r="860" spans="1:12" ht="15.75" customHeight="1" x14ac:dyDescent="0.3">
      <c r="A860" s="10" t="s">
        <v>2958</v>
      </c>
      <c r="B860" s="10">
        <v>52.89</v>
      </c>
      <c r="C860" s="10">
        <v>4.96</v>
      </c>
      <c r="D860" s="10" t="s">
        <v>4685</v>
      </c>
      <c r="E860" s="10" t="s">
        <v>4684</v>
      </c>
      <c r="F860" s="10" t="s">
        <v>4683</v>
      </c>
      <c r="G860" s="10" t="s">
        <v>4683</v>
      </c>
      <c r="H860" s="14">
        <v>1</v>
      </c>
      <c r="I860" s="10" t="s">
        <v>4683</v>
      </c>
      <c r="J860" s="10" t="str">
        <f t="shared" si="4"/>
        <v>normalweight</v>
      </c>
      <c r="L860" s="30" t="e">
        <v>#N/A</v>
      </c>
    </row>
    <row r="861" spans="1:12" ht="15.75" customHeight="1" x14ac:dyDescent="0.3">
      <c r="A861" s="10" t="s">
        <v>2956</v>
      </c>
      <c r="B861" s="10">
        <v>32.965000000000003</v>
      </c>
      <c r="C861" s="10">
        <v>6.15</v>
      </c>
      <c r="D861" s="10" t="s">
        <v>4685</v>
      </c>
      <c r="E861" s="10" t="s">
        <v>4684</v>
      </c>
      <c r="F861" s="10" t="s">
        <v>4683</v>
      </c>
      <c r="G861" s="10" t="s">
        <v>4683</v>
      </c>
      <c r="H861" s="14">
        <v>1</v>
      </c>
      <c r="I861" s="10" t="s">
        <v>4683</v>
      </c>
      <c r="J861" s="10" t="str">
        <f t="shared" si="4"/>
        <v>normalweight</v>
      </c>
      <c r="L861" s="30" t="e">
        <v>#N/A</v>
      </c>
    </row>
    <row r="862" spans="1:12" ht="15.75" customHeight="1" x14ac:dyDescent="0.3">
      <c r="A862" s="10" t="s">
        <v>2954</v>
      </c>
      <c r="B862" s="10">
        <v>36.799999999999997</v>
      </c>
      <c r="C862" s="10">
        <v>4.62</v>
      </c>
      <c r="D862" s="10" t="s">
        <v>4685</v>
      </c>
      <c r="E862" s="10" t="s">
        <v>4683</v>
      </c>
      <c r="F862" s="10" t="s">
        <v>4683</v>
      </c>
      <c r="G862" s="10" t="s">
        <v>4686</v>
      </c>
      <c r="H862" s="14">
        <v>1</v>
      </c>
      <c r="I862" s="10" t="s">
        <v>4683</v>
      </c>
      <c r="J862" s="10" t="str">
        <f t="shared" si="4"/>
        <v>normalweight</v>
      </c>
      <c r="L862" s="30" t="e">
        <v>#N/A</v>
      </c>
    </row>
    <row r="863" spans="1:12" ht="15.75" customHeight="1" x14ac:dyDescent="0.3">
      <c r="A863" s="10" t="s">
        <v>2952</v>
      </c>
      <c r="B863" s="10">
        <v>34.299999999999997</v>
      </c>
      <c r="C863" s="10">
        <v>4.87</v>
      </c>
      <c r="D863" s="10" t="s">
        <v>4685</v>
      </c>
      <c r="E863" s="10" t="s">
        <v>4683</v>
      </c>
      <c r="F863" s="10" t="s">
        <v>4683</v>
      </c>
      <c r="G863" s="10" t="s">
        <v>4683</v>
      </c>
      <c r="H863" s="14">
        <v>2</v>
      </c>
      <c r="I863" s="10" t="s">
        <v>4683</v>
      </c>
      <c r="J863" s="10" t="str">
        <f t="shared" si="4"/>
        <v>normalweight</v>
      </c>
      <c r="L863" s="30" t="e">
        <v>#N/A</v>
      </c>
    </row>
    <row r="864" spans="1:12" ht="15.75" customHeight="1" x14ac:dyDescent="0.3">
      <c r="A864" s="10" t="s">
        <v>2950</v>
      </c>
      <c r="B864" s="10">
        <v>35.244999999999997</v>
      </c>
      <c r="C864" s="10">
        <v>4.63</v>
      </c>
      <c r="D864" s="10" t="s">
        <v>4685</v>
      </c>
      <c r="E864" s="10" t="s">
        <v>4683</v>
      </c>
      <c r="F864" s="10" t="s">
        <v>4683</v>
      </c>
      <c r="G864" s="10" t="s">
        <v>4683</v>
      </c>
      <c r="H864" s="14">
        <v>0</v>
      </c>
      <c r="I864" s="10" t="s">
        <v>4683</v>
      </c>
      <c r="J864" s="10" t="str">
        <f t="shared" si="4"/>
        <v>normalweight</v>
      </c>
      <c r="L864" s="30" t="e">
        <v>#N/A</v>
      </c>
    </row>
    <row r="865" spans="1:12" ht="15.75" customHeight="1" x14ac:dyDescent="0.3">
      <c r="A865" s="10" t="s">
        <v>2948</v>
      </c>
      <c r="B865" s="10">
        <v>26.23</v>
      </c>
      <c r="C865" s="10">
        <v>11.93</v>
      </c>
      <c r="D865" s="16" t="s">
        <v>4682</v>
      </c>
      <c r="E865" s="10" t="s">
        <v>4683</v>
      </c>
      <c r="F865" s="10" t="s">
        <v>4683</v>
      </c>
      <c r="G865" s="10" t="s">
        <v>4683</v>
      </c>
      <c r="H865" s="14">
        <v>0</v>
      </c>
      <c r="I865" s="10" t="s">
        <v>4683</v>
      </c>
      <c r="J865" s="10" t="str">
        <f t="shared" si="4"/>
        <v>normalweight</v>
      </c>
      <c r="L865" s="30" t="e">
        <v>#N/A</v>
      </c>
    </row>
    <row r="866" spans="1:12" ht="15.75" customHeight="1" x14ac:dyDescent="0.3">
      <c r="A866" s="10" t="s">
        <v>2946</v>
      </c>
      <c r="B866" s="10">
        <v>36.1</v>
      </c>
      <c r="C866" s="10">
        <v>5.65</v>
      </c>
      <c r="D866" s="10" t="s">
        <v>4685</v>
      </c>
      <c r="E866" s="10" t="s">
        <v>4684</v>
      </c>
      <c r="F866" s="10" t="s">
        <v>4683</v>
      </c>
      <c r="G866" s="10" t="s">
        <v>4683</v>
      </c>
      <c r="H866" s="14">
        <v>2</v>
      </c>
      <c r="I866" s="10" t="s">
        <v>4683</v>
      </c>
      <c r="J866" s="10" t="str">
        <f t="shared" si="4"/>
        <v>normalweight</v>
      </c>
      <c r="L866" s="30" t="e">
        <v>#N/A</v>
      </c>
    </row>
    <row r="867" spans="1:12" ht="15.75" customHeight="1" x14ac:dyDescent="0.3">
      <c r="A867" s="10" t="s">
        <v>2944</v>
      </c>
      <c r="B867" s="10">
        <v>37.1</v>
      </c>
      <c r="C867" s="10">
        <v>11.21</v>
      </c>
      <c r="D867" s="16" t="s">
        <v>4682</v>
      </c>
      <c r="E867" s="10" t="s">
        <v>4684</v>
      </c>
      <c r="F867" s="10" t="s">
        <v>4683</v>
      </c>
      <c r="G867" s="10" t="s">
        <v>4686</v>
      </c>
      <c r="H867" s="14">
        <v>1</v>
      </c>
      <c r="I867" s="10" t="s">
        <v>4683</v>
      </c>
      <c r="J867" s="10" t="str">
        <f t="shared" si="4"/>
        <v>normalweight</v>
      </c>
      <c r="L867" s="30" t="e">
        <v>#N/A</v>
      </c>
    </row>
    <row r="868" spans="1:12" ht="15.75" customHeight="1" x14ac:dyDescent="0.3">
      <c r="A868" s="10" t="s">
        <v>2942</v>
      </c>
      <c r="B868" s="10">
        <v>27.5</v>
      </c>
      <c r="C868" s="10">
        <v>10.62</v>
      </c>
      <c r="D868" s="16" t="s">
        <v>4682</v>
      </c>
      <c r="E868" s="10" t="s">
        <v>4684</v>
      </c>
      <c r="F868" s="10" t="s">
        <v>4683</v>
      </c>
      <c r="G868" s="10" t="s">
        <v>4686</v>
      </c>
      <c r="H868" s="14">
        <v>1</v>
      </c>
      <c r="I868" s="10" t="s">
        <v>4683</v>
      </c>
      <c r="J868" s="10" t="str">
        <f t="shared" si="4"/>
        <v>normalweight</v>
      </c>
      <c r="L868" s="30" t="e">
        <v>#N/A</v>
      </c>
    </row>
    <row r="869" spans="1:12" ht="15.75" customHeight="1" x14ac:dyDescent="0.3">
      <c r="A869" s="10" t="s">
        <v>2940</v>
      </c>
      <c r="B869" s="10">
        <v>24.7</v>
      </c>
      <c r="C869" s="10">
        <v>10.7</v>
      </c>
      <c r="D869" s="16" t="s">
        <v>4682</v>
      </c>
      <c r="E869" s="10" t="s">
        <v>4684</v>
      </c>
      <c r="F869" s="10" t="s">
        <v>4683</v>
      </c>
      <c r="G869" s="10" t="s">
        <v>4686</v>
      </c>
      <c r="H869" s="14">
        <v>1</v>
      </c>
      <c r="I869" s="10" t="s">
        <v>4683</v>
      </c>
      <c r="J869" s="10" t="str">
        <f t="shared" si="4"/>
        <v>normalweight</v>
      </c>
      <c r="L869" s="30" t="e">
        <v>#N/A</v>
      </c>
    </row>
    <row r="870" spans="1:12" ht="15.75" customHeight="1" x14ac:dyDescent="0.3">
      <c r="A870" s="10" t="s">
        <v>2938</v>
      </c>
      <c r="B870" s="10">
        <v>26.78</v>
      </c>
      <c r="C870" s="10">
        <v>10.02</v>
      </c>
      <c r="D870" s="16" t="s">
        <v>4682</v>
      </c>
      <c r="E870" s="10" t="s">
        <v>4684</v>
      </c>
      <c r="F870" s="10" t="s">
        <v>4683</v>
      </c>
      <c r="G870" s="10" t="s">
        <v>4686</v>
      </c>
      <c r="H870" s="14">
        <v>1</v>
      </c>
      <c r="I870" s="10" t="s">
        <v>4683</v>
      </c>
      <c r="J870" s="10" t="str">
        <f t="shared" si="4"/>
        <v>normalweight</v>
      </c>
      <c r="L870" s="30" t="e">
        <v>#N/A</v>
      </c>
    </row>
    <row r="871" spans="1:12" ht="15.75" customHeight="1" x14ac:dyDescent="0.3">
      <c r="A871" s="10" t="s">
        <v>2936</v>
      </c>
      <c r="B871" s="10">
        <v>45.8</v>
      </c>
      <c r="C871" s="10">
        <v>4.8499999999999996</v>
      </c>
      <c r="D871" s="10" t="s">
        <v>4685</v>
      </c>
      <c r="E871" s="10" t="s">
        <v>4683</v>
      </c>
      <c r="F871" s="10" t="s">
        <v>4683</v>
      </c>
      <c r="G871" s="10" t="s">
        <v>4683</v>
      </c>
      <c r="H871" s="14">
        <v>0</v>
      </c>
      <c r="I871" s="10" t="s">
        <v>4683</v>
      </c>
      <c r="J871" s="10" t="str">
        <f t="shared" si="4"/>
        <v>normalweight</v>
      </c>
      <c r="L871" s="30" t="e">
        <v>#N/A</v>
      </c>
    </row>
    <row r="872" spans="1:12" ht="15.75" customHeight="1" x14ac:dyDescent="0.3">
      <c r="A872" s="10" t="s">
        <v>2934</v>
      </c>
      <c r="B872" s="10">
        <v>29</v>
      </c>
      <c r="C872" s="10">
        <v>4.3899999999999997</v>
      </c>
      <c r="D872" s="10" t="s">
        <v>4685</v>
      </c>
      <c r="E872" s="10" t="s">
        <v>4684</v>
      </c>
      <c r="F872" s="10" t="s">
        <v>4683</v>
      </c>
      <c r="G872" s="10" t="s">
        <v>4683</v>
      </c>
      <c r="H872" s="14">
        <v>2</v>
      </c>
      <c r="I872" s="10" t="s">
        <v>4683</v>
      </c>
      <c r="J872" s="10" t="str">
        <f t="shared" si="4"/>
        <v>normalweight</v>
      </c>
      <c r="L872" s="30" t="e">
        <v>#N/A</v>
      </c>
    </row>
    <row r="873" spans="1:12" ht="15.75" customHeight="1" x14ac:dyDescent="0.3">
      <c r="A873" s="10" t="s">
        <v>2932</v>
      </c>
      <c r="B873" s="10">
        <v>33.534999999999997</v>
      </c>
      <c r="C873" s="10">
        <v>8.24</v>
      </c>
      <c r="D873" s="16" t="s">
        <v>4682</v>
      </c>
      <c r="E873" s="10" t="s">
        <v>4684</v>
      </c>
      <c r="F873" s="10" t="s">
        <v>4683</v>
      </c>
      <c r="G873" s="10" t="s">
        <v>4683</v>
      </c>
      <c r="H873" s="14">
        <v>0</v>
      </c>
      <c r="I873" s="10" t="s">
        <v>4683</v>
      </c>
      <c r="J873" s="10" t="str">
        <f t="shared" si="4"/>
        <v>normalweight</v>
      </c>
      <c r="L873" s="30" t="e">
        <v>#N/A</v>
      </c>
    </row>
    <row r="874" spans="1:12" ht="15.75" customHeight="1" x14ac:dyDescent="0.3">
      <c r="A874" s="10" t="s">
        <v>2930</v>
      </c>
      <c r="B874" s="10">
        <v>32.774999999999999</v>
      </c>
      <c r="C874" s="10">
        <v>9.77</v>
      </c>
      <c r="D874" s="16" t="s">
        <v>4682</v>
      </c>
      <c r="E874" s="10" t="s">
        <v>4684</v>
      </c>
      <c r="F874" s="10" t="s">
        <v>4683</v>
      </c>
      <c r="G874" s="10" t="s">
        <v>4683</v>
      </c>
      <c r="H874" s="14">
        <v>0</v>
      </c>
      <c r="I874" s="10" t="s">
        <v>4683</v>
      </c>
      <c r="J874" s="10" t="str">
        <f t="shared" si="4"/>
        <v>normalweight</v>
      </c>
      <c r="L874" s="30" t="e">
        <v>#N/A</v>
      </c>
    </row>
    <row r="875" spans="1:12" ht="15.75" customHeight="1" x14ac:dyDescent="0.3">
      <c r="A875" s="10" t="s">
        <v>2928</v>
      </c>
      <c r="B875" s="10">
        <v>37.51</v>
      </c>
      <c r="C875" s="10">
        <v>5.5</v>
      </c>
      <c r="D875" s="10" t="s">
        <v>4685</v>
      </c>
      <c r="E875" s="10" t="s">
        <v>4684</v>
      </c>
      <c r="F875" s="10" t="s">
        <v>4683</v>
      </c>
      <c r="G875" s="10" t="s">
        <v>4683</v>
      </c>
      <c r="H875" s="14">
        <v>2</v>
      </c>
      <c r="I875" s="10" t="s">
        <v>4683</v>
      </c>
      <c r="J875" s="10" t="str">
        <f t="shared" si="4"/>
        <v>normalweight</v>
      </c>
      <c r="L875" s="30" t="e">
        <v>#N/A</v>
      </c>
    </row>
    <row r="876" spans="1:12" ht="15.75" customHeight="1" x14ac:dyDescent="0.3">
      <c r="A876" s="10" t="s">
        <v>2926</v>
      </c>
      <c r="B876" s="10">
        <v>39.86</v>
      </c>
      <c r="C876" s="10">
        <v>11.84</v>
      </c>
      <c r="D876" s="16" t="s">
        <v>4682</v>
      </c>
      <c r="E876" s="10" t="s">
        <v>4684</v>
      </c>
      <c r="F876" s="10" t="s">
        <v>4683</v>
      </c>
      <c r="G876" s="10" t="s">
        <v>4683</v>
      </c>
      <c r="H876" s="14">
        <v>1</v>
      </c>
      <c r="I876" s="10" t="s">
        <v>4683</v>
      </c>
      <c r="J876" s="10" t="str">
        <f t="shared" si="4"/>
        <v>normalweight</v>
      </c>
      <c r="L876" s="30" t="e">
        <v>#N/A</v>
      </c>
    </row>
    <row r="877" spans="1:12" ht="15.75" customHeight="1" x14ac:dyDescent="0.3">
      <c r="A877" s="10" t="s">
        <v>2924</v>
      </c>
      <c r="B877" s="10">
        <v>42.13</v>
      </c>
      <c r="C877" s="10">
        <v>4.66</v>
      </c>
      <c r="D877" s="10" t="s">
        <v>4685</v>
      </c>
      <c r="E877" s="10" t="s">
        <v>4683</v>
      </c>
      <c r="F877" s="10" t="s">
        <v>4683</v>
      </c>
      <c r="G877" s="10" t="s">
        <v>4683</v>
      </c>
      <c r="H877" s="14">
        <v>0</v>
      </c>
      <c r="I877" s="10" t="s">
        <v>4683</v>
      </c>
      <c r="J877" s="10" t="str">
        <f t="shared" si="4"/>
        <v>normalweight</v>
      </c>
      <c r="L877" s="30" t="e">
        <v>#N/A</v>
      </c>
    </row>
    <row r="878" spans="1:12" ht="15.75" customHeight="1" x14ac:dyDescent="0.3">
      <c r="A878" s="10" t="s">
        <v>2922</v>
      </c>
      <c r="B878" s="10">
        <v>35.99</v>
      </c>
      <c r="C878" s="10">
        <v>11.11</v>
      </c>
      <c r="D878" s="16" t="s">
        <v>4682</v>
      </c>
      <c r="E878" s="10" t="s">
        <v>4683</v>
      </c>
      <c r="F878" s="10" t="s">
        <v>4683</v>
      </c>
      <c r="G878" s="10" t="s">
        <v>4683</v>
      </c>
      <c r="H878" s="14">
        <v>0</v>
      </c>
      <c r="I878" s="10" t="s">
        <v>4683</v>
      </c>
      <c r="J878" s="10" t="str">
        <f t="shared" si="4"/>
        <v>normalweight</v>
      </c>
      <c r="L878" s="30" t="e">
        <v>#N/A</v>
      </c>
    </row>
    <row r="879" spans="1:12" ht="15.75" customHeight="1" x14ac:dyDescent="0.3">
      <c r="A879" s="10" t="s">
        <v>2920</v>
      </c>
      <c r="B879" s="10">
        <v>35.200000000000003</v>
      </c>
      <c r="C879" s="10">
        <v>7.72</v>
      </c>
      <c r="D879" s="16" t="s">
        <v>4682</v>
      </c>
      <c r="E879" s="10" t="s">
        <v>4684</v>
      </c>
      <c r="F879" s="10" t="s">
        <v>4683</v>
      </c>
      <c r="G879" s="10" t="s">
        <v>4686</v>
      </c>
      <c r="H879" s="14">
        <v>1</v>
      </c>
      <c r="I879" s="10" t="s">
        <v>4683</v>
      </c>
      <c r="J879" s="10" t="str">
        <f t="shared" si="4"/>
        <v>normalweight</v>
      </c>
      <c r="L879" s="30" t="e">
        <v>#N/A</v>
      </c>
    </row>
    <row r="880" spans="1:12" ht="15.75" customHeight="1" x14ac:dyDescent="0.3">
      <c r="A880" s="10" t="s">
        <v>2918</v>
      </c>
      <c r="B880" s="10">
        <v>29.91</v>
      </c>
      <c r="C880" s="10">
        <v>5.55</v>
      </c>
      <c r="D880" s="10" t="s">
        <v>4685</v>
      </c>
      <c r="E880" s="10" t="s">
        <v>4684</v>
      </c>
      <c r="F880" s="10" t="s">
        <v>4683</v>
      </c>
      <c r="G880" s="10" t="s">
        <v>4683</v>
      </c>
      <c r="H880" s="14">
        <v>2</v>
      </c>
      <c r="I880" s="10" t="s">
        <v>4683</v>
      </c>
      <c r="J880" s="10" t="str">
        <f t="shared" si="4"/>
        <v>normalweight</v>
      </c>
      <c r="L880" s="30" t="e">
        <v>#N/A</v>
      </c>
    </row>
    <row r="881" spans="1:12" ht="15.75" customHeight="1" x14ac:dyDescent="0.3">
      <c r="A881" s="10" t="s">
        <v>2916</v>
      </c>
      <c r="B881" s="10">
        <v>36.479999999999997</v>
      </c>
      <c r="C881" s="10">
        <v>5.05</v>
      </c>
      <c r="D881" s="10" t="s">
        <v>4685</v>
      </c>
      <c r="E881" s="10" t="s">
        <v>4684</v>
      </c>
      <c r="F881" s="10" t="s">
        <v>4683</v>
      </c>
      <c r="G881" s="10" t="s">
        <v>4683</v>
      </c>
      <c r="H881" s="14">
        <v>1</v>
      </c>
      <c r="I881" s="10" t="s">
        <v>4683</v>
      </c>
      <c r="J881" s="10" t="str">
        <f t="shared" si="4"/>
        <v>normalweight</v>
      </c>
      <c r="L881" s="30" t="e">
        <v>#N/A</v>
      </c>
    </row>
    <row r="882" spans="1:12" ht="15.75" customHeight="1" x14ac:dyDescent="0.3">
      <c r="A882" s="10" t="s">
        <v>2914</v>
      </c>
      <c r="B882" s="10">
        <v>27.5</v>
      </c>
      <c r="C882" s="10">
        <v>8.69</v>
      </c>
      <c r="D882" s="16" t="s">
        <v>4682</v>
      </c>
      <c r="E882" s="10" t="s">
        <v>4684</v>
      </c>
      <c r="F882" s="10" t="s">
        <v>4683</v>
      </c>
      <c r="G882" s="10" t="s">
        <v>4686</v>
      </c>
      <c r="H882" s="14">
        <v>1</v>
      </c>
      <c r="I882" s="10" t="s">
        <v>4683</v>
      </c>
      <c r="J882" s="10" t="str">
        <f t="shared" si="4"/>
        <v>normalweight</v>
      </c>
      <c r="L882" s="30" t="e">
        <v>#N/A</v>
      </c>
    </row>
    <row r="883" spans="1:12" ht="15.75" customHeight="1" x14ac:dyDescent="0.3">
      <c r="A883" s="10" t="s">
        <v>2912</v>
      </c>
      <c r="B883" s="10">
        <v>33.44</v>
      </c>
      <c r="C883" s="10">
        <v>5.9</v>
      </c>
      <c r="D883" s="10" t="s">
        <v>4685</v>
      </c>
      <c r="E883" s="10" t="s">
        <v>4684</v>
      </c>
      <c r="F883" s="10" t="s">
        <v>4683</v>
      </c>
      <c r="G883" s="10" t="s">
        <v>4683</v>
      </c>
      <c r="H883" s="14">
        <v>1</v>
      </c>
      <c r="I883" s="10" t="s">
        <v>4683</v>
      </c>
      <c r="J883" s="10" t="str">
        <f t="shared" si="4"/>
        <v>normalweight</v>
      </c>
      <c r="L883" s="30" t="e">
        <v>#N/A</v>
      </c>
    </row>
    <row r="884" spans="1:12" ht="15.75" customHeight="1" x14ac:dyDescent="0.3">
      <c r="A884" s="10" t="s">
        <v>2910</v>
      </c>
      <c r="B884" s="10">
        <v>28.215</v>
      </c>
      <c r="C884" s="10">
        <v>6.29</v>
      </c>
      <c r="D884" s="10" t="s">
        <v>4685</v>
      </c>
      <c r="E884" s="10" t="s">
        <v>4684</v>
      </c>
      <c r="F884" s="10" t="s">
        <v>4683</v>
      </c>
      <c r="G884" s="10" t="s">
        <v>4683</v>
      </c>
      <c r="H884" s="14">
        <v>1</v>
      </c>
      <c r="I884" s="10" t="s">
        <v>4683</v>
      </c>
      <c r="J884" s="10" t="str">
        <f t="shared" si="4"/>
        <v>normalweight</v>
      </c>
      <c r="L884" s="30" t="e">
        <v>#N/A</v>
      </c>
    </row>
    <row r="885" spans="1:12" ht="15.75" customHeight="1" x14ac:dyDescent="0.3">
      <c r="A885" s="10" t="s">
        <v>2908</v>
      </c>
      <c r="B885" s="10">
        <v>27.17</v>
      </c>
      <c r="C885" s="10">
        <v>5.84</v>
      </c>
      <c r="D885" s="10" t="s">
        <v>4685</v>
      </c>
      <c r="E885" s="10" t="s">
        <v>4684</v>
      </c>
      <c r="F885" s="10" t="s">
        <v>4683</v>
      </c>
      <c r="G885" s="10" t="s">
        <v>4683</v>
      </c>
      <c r="H885" s="14">
        <v>1</v>
      </c>
      <c r="I885" s="10" t="s">
        <v>4683</v>
      </c>
      <c r="J885" s="10" t="str">
        <f t="shared" si="4"/>
        <v>normalweight</v>
      </c>
      <c r="L885" s="30" t="e">
        <v>#N/A</v>
      </c>
    </row>
    <row r="886" spans="1:12" ht="15.75" customHeight="1" x14ac:dyDescent="0.3">
      <c r="A886" s="10" t="s">
        <v>2906</v>
      </c>
      <c r="B886" s="10">
        <v>35.380000000000003</v>
      </c>
      <c r="C886" s="10">
        <v>6.12</v>
      </c>
      <c r="D886" s="10" t="s">
        <v>4685</v>
      </c>
      <c r="E886" s="10" t="s">
        <v>4683</v>
      </c>
      <c r="F886" s="10" t="s">
        <v>4683</v>
      </c>
      <c r="G886" s="10" t="s">
        <v>4683</v>
      </c>
      <c r="H886" s="14">
        <v>0</v>
      </c>
      <c r="I886" s="10" t="s">
        <v>4683</v>
      </c>
      <c r="J886" s="10" t="str">
        <f t="shared" si="4"/>
        <v>normalweight</v>
      </c>
      <c r="L886" s="30" t="e">
        <v>#N/A</v>
      </c>
    </row>
    <row r="887" spans="1:12" ht="15.75" customHeight="1" x14ac:dyDescent="0.3">
      <c r="A887" s="10" t="s">
        <v>2904</v>
      </c>
      <c r="B887" s="10">
        <v>43.48</v>
      </c>
      <c r="C887" s="10">
        <v>6.24</v>
      </c>
      <c r="D887" s="10" t="s">
        <v>4685</v>
      </c>
      <c r="E887" s="10" t="s">
        <v>4683</v>
      </c>
      <c r="F887" s="10" t="s">
        <v>4683</v>
      </c>
      <c r="G887" s="10" t="s">
        <v>4683</v>
      </c>
      <c r="H887" s="14">
        <v>0</v>
      </c>
      <c r="I887" s="10" t="s">
        <v>4683</v>
      </c>
      <c r="J887" s="10" t="str">
        <f t="shared" si="4"/>
        <v>normalweight</v>
      </c>
      <c r="L887" s="30" t="e">
        <v>#N/A</v>
      </c>
    </row>
    <row r="888" spans="1:12" ht="15.75" customHeight="1" x14ac:dyDescent="0.3">
      <c r="A888" s="10" t="s">
        <v>2902</v>
      </c>
      <c r="B888" s="10">
        <v>41.73</v>
      </c>
      <c r="C888" s="10">
        <v>6.25</v>
      </c>
      <c r="D888" s="10" t="s">
        <v>4685</v>
      </c>
      <c r="E888" s="10" t="s">
        <v>4683</v>
      </c>
      <c r="F888" s="10" t="s">
        <v>4683</v>
      </c>
      <c r="G888" s="10" t="s">
        <v>4683</v>
      </c>
      <c r="H888" s="14">
        <v>1</v>
      </c>
      <c r="I888" s="10" t="s">
        <v>4683</v>
      </c>
      <c r="J888" s="10" t="str">
        <f t="shared" si="4"/>
        <v>normalweight</v>
      </c>
      <c r="L888" s="30" t="e">
        <v>#N/A</v>
      </c>
    </row>
    <row r="889" spans="1:12" ht="15.75" customHeight="1" x14ac:dyDescent="0.3">
      <c r="A889" s="10" t="s">
        <v>2900</v>
      </c>
      <c r="B889" s="10">
        <v>28.9</v>
      </c>
      <c r="C889" s="10">
        <v>11.96</v>
      </c>
      <c r="D889" s="16" t="s">
        <v>4682</v>
      </c>
      <c r="E889" s="10" t="s">
        <v>4683</v>
      </c>
      <c r="F889" s="10" t="s">
        <v>4683</v>
      </c>
      <c r="G889" s="10" t="s">
        <v>4683</v>
      </c>
      <c r="H889" s="14">
        <v>0</v>
      </c>
      <c r="I889" s="10" t="s">
        <v>4683</v>
      </c>
      <c r="J889" s="10" t="str">
        <f t="shared" si="4"/>
        <v>normalweight</v>
      </c>
      <c r="L889" s="30" t="e">
        <v>#N/A</v>
      </c>
    </row>
    <row r="890" spans="1:12" ht="15.75" customHeight="1" x14ac:dyDescent="0.3">
      <c r="A890" s="10" t="s">
        <v>2898</v>
      </c>
      <c r="B890" s="10">
        <v>25.74</v>
      </c>
      <c r="C890" s="10">
        <v>7.69</v>
      </c>
      <c r="D890" s="16" t="s">
        <v>4682</v>
      </c>
      <c r="E890" s="10" t="s">
        <v>4683</v>
      </c>
      <c r="F890" s="10" t="s">
        <v>4683</v>
      </c>
      <c r="G890" s="10" t="s">
        <v>4683</v>
      </c>
      <c r="H890" s="14">
        <v>0</v>
      </c>
      <c r="I890" s="10" t="s">
        <v>4683</v>
      </c>
      <c r="J890" s="10" t="str">
        <f t="shared" si="4"/>
        <v>normalweight</v>
      </c>
      <c r="L890" s="30" t="e">
        <v>#N/A</v>
      </c>
    </row>
    <row r="891" spans="1:12" ht="15.75" customHeight="1" x14ac:dyDescent="0.3">
      <c r="A891" s="10" t="s">
        <v>2896</v>
      </c>
      <c r="B891" s="10">
        <v>36.06</v>
      </c>
      <c r="C891" s="10">
        <v>8.83</v>
      </c>
      <c r="D891" s="16" t="s">
        <v>4682</v>
      </c>
      <c r="E891" s="10" t="s">
        <v>4683</v>
      </c>
      <c r="F891" s="10" t="s">
        <v>4683</v>
      </c>
      <c r="G891" s="10" t="s">
        <v>4683</v>
      </c>
      <c r="H891" s="14">
        <v>0</v>
      </c>
      <c r="I891" s="10" t="s">
        <v>4683</v>
      </c>
      <c r="J891" s="10" t="str">
        <f t="shared" si="4"/>
        <v>normalweight</v>
      </c>
      <c r="L891" s="30" t="e">
        <v>#N/A</v>
      </c>
    </row>
    <row r="892" spans="1:12" ht="15.75" customHeight="1" x14ac:dyDescent="0.3">
      <c r="A892" s="10" t="s">
        <v>2894</v>
      </c>
      <c r="B892" s="10">
        <v>43.28</v>
      </c>
      <c r="C892" s="10">
        <v>4.41</v>
      </c>
      <c r="D892" s="10" t="s">
        <v>4685</v>
      </c>
      <c r="E892" s="10" t="s">
        <v>4683</v>
      </c>
      <c r="F892" s="10" t="s">
        <v>4683</v>
      </c>
      <c r="G892" s="10" t="s">
        <v>4683</v>
      </c>
      <c r="H892" s="14">
        <v>0</v>
      </c>
      <c r="I892" s="10" t="s">
        <v>4683</v>
      </c>
      <c r="J892" s="10" t="str">
        <f t="shared" si="4"/>
        <v>normalweight</v>
      </c>
      <c r="L892" s="30" t="e">
        <v>#N/A</v>
      </c>
    </row>
    <row r="893" spans="1:12" ht="15.75" customHeight="1" x14ac:dyDescent="0.3">
      <c r="A893" s="10" t="s">
        <v>2892</v>
      </c>
      <c r="B893" s="10">
        <v>28.785</v>
      </c>
      <c r="C893" s="10">
        <v>9.1</v>
      </c>
      <c r="D893" s="16" t="s">
        <v>4682</v>
      </c>
      <c r="E893" s="10" t="s">
        <v>4684</v>
      </c>
      <c r="F893" s="10" t="s">
        <v>4683</v>
      </c>
      <c r="G893" s="10" t="s">
        <v>4686</v>
      </c>
      <c r="H893" s="14">
        <v>1</v>
      </c>
      <c r="I893" s="10" t="s">
        <v>4683</v>
      </c>
      <c r="J893" s="10" t="str">
        <f t="shared" si="4"/>
        <v>normalweight</v>
      </c>
      <c r="L893" s="30" t="e">
        <v>#N/A</v>
      </c>
    </row>
    <row r="894" spans="1:12" ht="15.75" customHeight="1" x14ac:dyDescent="0.3">
      <c r="A894" s="10" t="s">
        <v>2890</v>
      </c>
      <c r="B894" s="10">
        <v>25.46</v>
      </c>
      <c r="C894" s="10">
        <v>11.52</v>
      </c>
      <c r="D894" s="16" t="s">
        <v>4682</v>
      </c>
      <c r="E894" s="10" t="s">
        <v>4684</v>
      </c>
      <c r="F894" s="10" t="s">
        <v>4683</v>
      </c>
      <c r="G894" s="10" t="s">
        <v>4686</v>
      </c>
      <c r="H894" s="14">
        <v>1</v>
      </c>
      <c r="I894" s="10" t="s">
        <v>4683</v>
      </c>
      <c r="J894" s="10" t="str">
        <f t="shared" si="4"/>
        <v>normalweight</v>
      </c>
      <c r="L894" s="30" t="e">
        <v>#N/A</v>
      </c>
    </row>
    <row r="895" spans="1:12" ht="15.75" customHeight="1" x14ac:dyDescent="0.3">
      <c r="A895" s="10" t="s">
        <v>2888</v>
      </c>
      <c r="B895" s="10">
        <v>30.8</v>
      </c>
      <c r="C895" s="10">
        <v>10.95</v>
      </c>
      <c r="D895" s="16" t="s">
        <v>4682</v>
      </c>
      <c r="E895" s="10" t="s">
        <v>4683</v>
      </c>
      <c r="F895" s="10" t="s">
        <v>4683</v>
      </c>
      <c r="G895" s="10" t="s">
        <v>4683</v>
      </c>
      <c r="H895" s="14">
        <v>0</v>
      </c>
      <c r="I895" s="10" t="s">
        <v>4683</v>
      </c>
      <c r="J895" s="10" t="str">
        <f t="shared" si="4"/>
        <v>normalweight</v>
      </c>
      <c r="L895" s="30" t="e">
        <v>#N/A</v>
      </c>
    </row>
    <row r="896" spans="1:12" ht="15.75" customHeight="1" x14ac:dyDescent="0.3">
      <c r="A896" s="10" t="s">
        <v>2886</v>
      </c>
      <c r="B896" s="10">
        <v>28.88</v>
      </c>
      <c r="C896" s="10">
        <v>11.5</v>
      </c>
      <c r="D896" s="16" t="s">
        <v>4682</v>
      </c>
      <c r="E896" s="10" t="s">
        <v>4683</v>
      </c>
      <c r="F896" s="10" t="s">
        <v>4683</v>
      </c>
      <c r="G896" s="10" t="s">
        <v>4683</v>
      </c>
      <c r="H896" s="14">
        <v>0</v>
      </c>
      <c r="I896" s="10" t="s">
        <v>4683</v>
      </c>
      <c r="J896" s="10" t="str">
        <f t="shared" si="4"/>
        <v>normalweight</v>
      </c>
      <c r="L896" s="30" t="e">
        <v>#N/A</v>
      </c>
    </row>
    <row r="897" spans="1:12" ht="15.75" customHeight="1" x14ac:dyDescent="0.3">
      <c r="A897" s="10" t="s">
        <v>2884</v>
      </c>
      <c r="B897" s="10">
        <v>23</v>
      </c>
      <c r="C897" s="10">
        <v>9.8800000000000008</v>
      </c>
      <c r="D897" s="16" t="s">
        <v>4682</v>
      </c>
      <c r="E897" s="10" t="s">
        <v>4683</v>
      </c>
      <c r="F897" s="10" t="s">
        <v>4683</v>
      </c>
      <c r="G897" s="10" t="s">
        <v>4683</v>
      </c>
      <c r="H897" s="14">
        <v>0</v>
      </c>
      <c r="I897" s="10" t="s">
        <v>4683</v>
      </c>
      <c r="J897" s="10" t="str">
        <f t="shared" si="4"/>
        <v>normalweight</v>
      </c>
      <c r="L897" s="30" t="e">
        <v>#N/A</v>
      </c>
    </row>
    <row r="898" spans="1:12" ht="15.75" customHeight="1" x14ac:dyDescent="0.3">
      <c r="A898" s="10" t="s">
        <v>2882</v>
      </c>
      <c r="B898" s="10">
        <v>38.25</v>
      </c>
      <c r="C898" s="10">
        <v>6.2</v>
      </c>
      <c r="D898" s="10" t="s">
        <v>4685</v>
      </c>
      <c r="E898" s="10" t="s">
        <v>4683</v>
      </c>
      <c r="F898" s="10" t="s">
        <v>4683</v>
      </c>
      <c r="G898" s="10" t="s">
        <v>4683</v>
      </c>
      <c r="H898" s="14">
        <v>1</v>
      </c>
      <c r="I898" s="10" t="s">
        <v>4683</v>
      </c>
      <c r="J898" s="10" t="str">
        <f t="shared" si="4"/>
        <v>normalweight</v>
      </c>
      <c r="L898" s="30" t="e">
        <v>#N/A</v>
      </c>
    </row>
    <row r="899" spans="1:12" ht="15.75" customHeight="1" x14ac:dyDescent="0.3">
      <c r="A899" s="10" t="s">
        <v>2880</v>
      </c>
      <c r="B899" s="10">
        <v>39.25</v>
      </c>
      <c r="C899" s="10">
        <v>8.41</v>
      </c>
      <c r="D899" s="16" t="s">
        <v>4682</v>
      </c>
      <c r="E899" s="10" t="s">
        <v>4684</v>
      </c>
      <c r="F899" s="10" t="s">
        <v>4683</v>
      </c>
      <c r="G899" s="10" t="s">
        <v>4683</v>
      </c>
      <c r="H899" s="14">
        <v>1</v>
      </c>
      <c r="I899" s="10" t="s">
        <v>4683</v>
      </c>
      <c r="J899" s="10" t="str">
        <f t="shared" si="4"/>
        <v>normalweight</v>
      </c>
      <c r="L899" s="30" t="e">
        <v>#N/A</v>
      </c>
    </row>
    <row r="900" spans="1:12" ht="15.75" customHeight="1" x14ac:dyDescent="0.3">
      <c r="A900" s="10" t="s">
        <v>2878</v>
      </c>
      <c r="B900" s="10">
        <v>26.6</v>
      </c>
      <c r="C900" s="10">
        <v>5.07</v>
      </c>
      <c r="D900" s="10" t="s">
        <v>4685</v>
      </c>
      <c r="E900" s="10" t="s">
        <v>4684</v>
      </c>
      <c r="F900" s="10" t="s">
        <v>4683</v>
      </c>
      <c r="G900" s="10" t="s">
        <v>4683</v>
      </c>
      <c r="H900" s="14">
        <v>2</v>
      </c>
      <c r="I900" s="10" t="s">
        <v>4683</v>
      </c>
      <c r="J900" s="10" t="str">
        <f t="shared" si="4"/>
        <v>normalweight</v>
      </c>
      <c r="L900" s="30" t="e">
        <v>#N/A</v>
      </c>
    </row>
    <row r="901" spans="1:12" ht="15.75" customHeight="1" x14ac:dyDescent="0.3">
      <c r="A901" s="10" t="s">
        <v>2876</v>
      </c>
      <c r="B901" s="10">
        <v>35.700000000000003</v>
      </c>
      <c r="C901" s="10">
        <v>4.0599999999999996</v>
      </c>
      <c r="D901" s="10" t="s">
        <v>4685</v>
      </c>
      <c r="E901" s="10" t="s">
        <v>4683</v>
      </c>
      <c r="F901" s="10" t="s">
        <v>4683</v>
      </c>
      <c r="G901" s="10" t="s">
        <v>4686</v>
      </c>
      <c r="H901" s="14">
        <v>1</v>
      </c>
      <c r="I901" s="10" t="s">
        <v>4683</v>
      </c>
      <c r="J901" s="10" t="str">
        <f t="shared" si="4"/>
        <v>normalweight</v>
      </c>
      <c r="L901" s="30" t="e">
        <v>#N/A</v>
      </c>
    </row>
    <row r="902" spans="1:12" ht="15.75" customHeight="1" x14ac:dyDescent="0.3">
      <c r="A902" s="10" t="s">
        <v>2874</v>
      </c>
      <c r="B902" s="10">
        <v>20.100000000000001</v>
      </c>
      <c r="C902" s="10">
        <v>10.52</v>
      </c>
      <c r="D902" s="16" t="s">
        <v>4682</v>
      </c>
      <c r="E902" s="10" t="s">
        <v>4683</v>
      </c>
      <c r="F902" s="10" t="s">
        <v>4683</v>
      </c>
      <c r="G902" s="10" t="s">
        <v>4683</v>
      </c>
      <c r="H902" s="14">
        <v>0</v>
      </c>
      <c r="I902" s="10" t="s">
        <v>4683</v>
      </c>
      <c r="J902" s="10" t="str">
        <f t="shared" si="4"/>
        <v>normalweight</v>
      </c>
      <c r="L902" s="30" t="e">
        <v>#N/A</v>
      </c>
    </row>
    <row r="903" spans="1:12" ht="15.75" customHeight="1" x14ac:dyDescent="0.3">
      <c r="A903" s="10" t="s">
        <v>2872</v>
      </c>
      <c r="B903" s="10">
        <v>22.23</v>
      </c>
      <c r="C903" s="10">
        <v>9.65</v>
      </c>
      <c r="D903" s="16" t="s">
        <v>4682</v>
      </c>
      <c r="E903" s="10" t="s">
        <v>4683</v>
      </c>
      <c r="F903" s="10" t="s">
        <v>4683</v>
      </c>
      <c r="G903" s="10" t="s">
        <v>4683</v>
      </c>
      <c r="H903" s="14">
        <v>0</v>
      </c>
      <c r="I903" s="10" t="s">
        <v>4683</v>
      </c>
      <c r="J903" s="10" t="str">
        <f t="shared" si="4"/>
        <v>normalweight</v>
      </c>
      <c r="L903" s="30" t="e">
        <v>#N/A</v>
      </c>
    </row>
    <row r="904" spans="1:12" ht="15.75" customHeight="1" x14ac:dyDescent="0.3">
      <c r="A904" s="10" t="s">
        <v>2870</v>
      </c>
      <c r="B904" s="10">
        <v>36.47</v>
      </c>
      <c r="C904" s="10">
        <v>6.21</v>
      </c>
      <c r="D904" s="10" t="s">
        <v>4685</v>
      </c>
      <c r="E904" s="10" t="s">
        <v>4683</v>
      </c>
      <c r="F904" s="10" t="s">
        <v>4683</v>
      </c>
      <c r="G904" s="10" t="s">
        <v>4683</v>
      </c>
      <c r="H904" s="14">
        <v>0</v>
      </c>
      <c r="I904" s="10" t="s">
        <v>4683</v>
      </c>
      <c r="J904" s="10" t="str">
        <f t="shared" si="4"/>
        <v>normalweight</v>
      </c>
      <c r="L904" s="30" t="e">
        <v>#N/A</v>
      </c>
    </row>
    <row r="905" spans="1:12" ht="15.75" customHeight="1" x14ac:dyDescent="0.3">
      <c r="A905" s="10" t="s">
        <v>2868</v>
      </c>
      <c r="B905" s="10">
        <v>49.64</v>
      </c>
      <c r="C905" s="10">
        <v>4.76</v>
      </c>
      <c r="D905" s="10" t="s">
        <v>4685</v>
      </c>
      <c r="E905" s="10" t="s">
        <v>4683</v>
      </c>
      <c r="F905" s="10" t="s">
        <v>4683</v>
      </c>
      <c r="G905" s="10" t="s">
        <v>4686</v>
      </c>
      <c r="H905" s="14">
        <v>1</v>
      </c>
      <c r="I905" s="10" t="s">
        <v>4683</v>
      </c>
      <c r="J905" s="10" t="str">
        <f t="shared" si="4"/>
        <v>normalweight</v>
      </c>
      <c r="L905" s="30" t="e">
        <v>#N/A</v>
      </c>
    </row>
    <row r="906" spans="1:12" ht="15.75" customHeight="1" x14ac:dyDescent="0.3">
      <c r="A906" s="10" t="s">
        <v>2866</v>
      </c>
      <c r="B906" s="10">
        <v>36.799999999999997</v>
      </c>
      <c r="C906" s="10">
        <v>5.73</v>
      </c>
      <c r="D906" s="10" t="s">
        <v>4685</v>
      </c>
      <c r="E906" s="10" t="s">
        <v>4684</v>
      </c>
      <c r="F906" s="10" t="s">
        <v>4683</v>
      </c>
      <c r="G906" s="10" t="s">
        <v>4686</v>
      </c>
      <c r="H906" s="14">
        <v>1</v>
      </c>
      <c r="I906" s="10" t="s">
        <v>4683</v>
      </c>
      <c r="J906" s="10" t="str">
        <f t="shared" si="4"/>
        <v>normalweight</v>
      </c>
      <c r="L906" s="30" t="e">
        <v>#N/A</v>
      </c>
    </row>
    <row r="907" spans="1:12" ht="15.75" customHeight="1" x14ac:dyDescent="0.3">
      <c r="A907" s="10" t="s">
        <v>2864</v>
      </c>
      <c r="B907" s="10">
        <v>33.880000000000003</v>
      </c>
      <c r="C907" s="10">
        <v>10.78</v>
      </c>
      <c r="D907" s="16" t="s">
        <v>4682</v>
      </c>
      <c r="E907" s="10" t="s">
        <v>4684</v>
      </c>
      <c r="F907" s="10" t="s">
        <v>4683</v>
      </c>
      <c r="G907" s="10" t="s">
        <v>4683</v>
      </c>
      <c r="H907" s="14">
        <v>0</v>
      </c>
      <c r="I907" s="10" t="s">
        <v>4683</v>
      </c>
      <c r="J907" s="10" t="str">
        <f t="shared" si="4"/>
        <v>normalweight</v>
      </c>
      <c r="L907" s="30" t="e">
        <v>#N/A</v>
      </c>
    </row>
    <row r="908" spans="1:12" ht="15.75" customHeight="1" x14ac:dyDescent="0.3">
      <c r="A908" s="10" t="s">
        <v>2862</v>
      </c>
      <c r="B908" s="10">
        <v>32.01</v>
      </c>
      <c r="C908" s="10">
        <v>5.08</v>
      </c>
      <c r="D908" s="10" t="s">
        <v>4685</v>
      </c>
      <c r="E908" s="10" t="s">
        <v>4684</v>
      </c>
      <c r="F908" s="10" t="s">
        <v>4683</v>
      </c>
      <c r="G908" s="10" t="s">
        <v>4683</v>
      </c>
      <c r="H908" s="14">
        <v>1</v>
      </c>
      <c r="I908" s="10" t="s">
        <v>4683</v>
      </c>
      <c r="J908" s="10" t="str">
        <f t="shared" si="4"/>
        <v>normalweight</v>
      </c>
      <c r="L908" s="30" t="e">
        <v>#N/A</v>
      </c>
    </row>
    <row r="909" spans="1:12" ht="15.75" customHeight="1" x14ac:dyDescent="0.3">
      <c r="A909" s="10" t="s">
        <v>2860</v>
      </c>
      <c r="B909" s="10">
        <v>33.630000000000003</v>
      </c>
      <c r="C909" s="10">
        <v>11.39</v>
      </c>
      <c r="D909" s="16" t="s">
        <v>4682</v>
      </c>
      <c r="E909" s="10" t="s">
        <v>4683</v>
      </c>
      <c r="F909" s="10" t="s">
        <v>4683</v>
      </c>
      <c r="G909" s="10" t="s">
        <v>4683</v>
      </c>
      <c r="H909" s="14">
        <v>0</v>
      </c>
      <c r="I909" s="10" t="s">
        <v>4683</v>
      </c>
      <c r="J909" s="10" t="str">
        <f t="shared" si="4"/>
        <v>normalweight</v>
      </c>
      <c r="L909" s="30" t="e">
        <v>#N/A</v>
      </c>
    </row>
    <row r="910" spans="1:12" ht="15.75" customHeight="1" x14ac:dyDescent="0.3">
      <c r="A910" s="10" t="s">
        <v>2858</v>
      </c>
      <c r="B910" s="10">
        <v>34.865000000000002</v>
      </c>
      <c r="C910" s="10">
        <v>5.35</v>
      </c>
      <c r="D910" s="10" t="s">
        <v>4685</v>
      </c>
      <c r="E910" s="10" t="s">
        <v>4684</v>
      </c>
      <c r="F910" s="10" t="s">
        <v>4683</v>
      </c>
      <c r="G910" s="10" t="s">
        <v>4683</v>
      </c>
      <c r="H910" s="14">
        <v>1</v>
      </c>
      <c r="I910" s="10" t="s">
        <v>4683</v>
      </c>
      <c r="J910" s="10" t="str">
        <f t="shared" si="4"/>
        <v>normalweight</v>
      </c>
      <c r="L910" s="30" t="e">
        <v>#N/A</v>
      </c>
    </row>
    <row r="911" spans="1:12" ht="15.75" customHeight="1" x14ac:dyDescent="0.3">
      <c r="A911" s="10" t="s">
        <v>2856</v>
      </c>
      <c r="B911" s="10">
        <v>43.11</v>
      </c>
      <c r="C911" s="10">
        <v>5.6</v>
      </c>
      <c r="D911" s="10" t="s">
        <v>4685</v>
      </c>
      <c r="E911" s="10" t="s">
        <v>4683</v>
      </c>
      <c r="F911" s="10" t="s">
        <v>4683</v>
      </c>
      <c r="G911" s="10" t="s">
        <v>4683</v>
      </c>
      <c r="H911" s="14">
        <v>0</v>
      </c>
      <c r="I911" s="10" t="s">
        <v>4683</v>
      </c>
      <c r="J911" s="10" t="str">
        <f t="shared" si="4"/>
        <v>normalweight</v>
      </c>
      <c r="L911" s="30" t="e">
        <v>#N/A</v>
      </c>
    </row>
    <row r="912" spans="1:12" ht="15.75" customHeight="1" x14ac:dyDescent="0.3">
      <c r="A912" s="10" t="s">
        <v>2854</v>
      </c>
      <c r="B912" s="10">
        <v>30.305</v>
      </c>
      <c r="C912" s="10">
        <v>4.2699999999999996</v>
      </c>
      <c r="D912" s="10" t="s">
        <v>4685</v>
      </c>
      <c r="E912" s="10" t="s">
        <v>4684</v>
      </c>
      <c r="F912" s="10" t="s">
        <v>4683</v>
      </c>
      <c r="G912" s="10" t="s">
        <v>4683</v>
      </c>
      <c r="H912" s="14">
        <v>1</v>
      </c>
      <c r="I912" s="10" t="s">
        <v>4683</v>
      </c>
      <c r="J912" s="10" t="str">
        <f t="shared" si="4"/>
        <v>normalweight</v>
      </c>
      <c r="L912" s="30" t="e">
        <v>#N/A</v>
      </c>
    </row>
    <row r="913" spans="1:12" ht="15.75" customHeight="1" x14ac:dyDescent="0.3">
      <c r="A913" s="10" t="s">
        <v>2852</v>
      </c>
      <c r="B913" s="10">
        <v>25.175000000000001</v>
      </c>
      <c r="C913" s="10">
        <v>5.57</v>
      </c>
      <c r="D913" s="10" t="s">
        <v>4685</v>
      </c>
      <c r="E913" s="10" t="s">
        <v>4684</v>
      </c>
      <c r="F913" s="10" t="s">
        <v>4683</v>
      </c>
      <c r="G913" s="10" t="s">
        <v>4683</v>
      </c>
      <c r="H913" s="14">
        <v>1</v>
      </c>
      <c r="I913" s="10" t="s">
        <v>4683</v>
      </c>
      <c r="J913" s="10" t="str">
        <f t="shared" si="4"/>
        <v>normalweight</v>
      </c>
      <c r="L913" s="30" t="e">
        <v>#N/A</v>
      </c>
    </row>
    <row r="914" spans="1:12" ht="15.75" customHeight="1" x14ac:dyDescent="0.3">
      <c r="A914" s="10" t="s">
        <v>2850</v>
      </c>
      <c r="B914" s="10">
        <v>26.8</v>
      </c>
      <c r="C914" s="10">
        <v>5.68</v>
      </c>
      <c r="D914" s="10" t="s">
        <v>4685</v>
      </c>
      <c r="E914" s="10" t="s">
        <v>4684</v>
      </c>
      <c r="F914" s="10" t="s">
        <v>4683</v>
      </c>
      <c r="G914" s="10" t="s">
        <v>4683</v>
      </c>
      <c r="H914" s="14">
        <v>1</v>
      </c>
      <c r="I914" s="10" t="s">
        <v>4683</v>
      </c>
      <c r="J914" s="10" t="str">
        <f t="shared" si="4"/>
        <v>normalweight</v>
      </c>
      <c r="L914" s="30" t="e">
        <v>#N/A</v>
      </c>
    </row>
    <row r="915" spans="1:12" ht="15.75" customHeight="1" x14ac:dyDescent="0.3">
      <c r="A915" s="10" t="s">
        <v>2848</v>
      </c>
      <c r="B915" s="10">
        <v>21.78</v>
      </c>
      <c r="C915" s="10">
        <v>5.3</v>
      </c>
      <c r="D915" s="10" t="s">
        <v>4685</v>
      </c>
      <c r="E915" s="10" t="s">
        <v>4683</v>
      </c>
      <c r="F915" s="10" t="s">
        <v>4684</v>
      </c>
      <c r="G915" s="10" t="s">
        <v>4683</v>
      </c>
      <c r="H915" s="14">
        <v>1</v>
      </c>
      <c r="I915" s="10" t="s">
        <v>4683</v>
      </c>
      <c r="J915" s="10" t="str">
        <f t="shared" si="4"/>
        <v>normalweight</v>
      </c>
      <c r="L915" s="30" t="e">
        <v>#N/A</v>
      </c>
    </row>
    <row r="916" spans="1:12" ht="15.75" customHeight="1" x14ac:dyDescent="0.3">
      <c r="A916" s="10" t="s">
        <v>2846</v>
      </c>
      <c r="B916" s="10">
        <v>30.14</v>
      </c>
      <c r="C916" s="10">
        <v>9.4499999999999993</v>
      </c>
      <c r="D916" s="16" t="s">
        <v>4682</v>
      </c>
      <c r="E916" s="10" t="s">
        <v>4684</v>
      </c>
      <c r="F916" s="10" t="s">
        <v>4683</v>
      </c>
      <c r="G916" s="10" t="s">
        <v>4683</v>
      </c>
      <c r="H916" s="14">
        <v>0</v>
      </c>
      <c r="I916" s="10" t="s">
        <v>4683</v>
      </c>
      <c r="J916" s="10" t="str">
        <f t="shared" si="4"/>
        <v>normalweight</v>
      </c>
      <c r="L916" s="30" t="e">
        <v>#N/A</v>
      </c>
    </row>
    <row r="917" spans="1:12" ht="15.75" customHeight="1" x14ac:dyDescent="0.3">
      <c r="A917" s="10" t="s">
        <v>2844</v>
      </c>
      <c r="B917" s="10">
        <v>29.7</v>
      </c>
      <c r="C917" s="10">
        <v>6.79</v>
      </c>
      <c r="D917" s="16" t="s">
        <v>4682</v>
      </c>
      <c r="E917" s="10" t="s">
        <v>4684</v>
      </c>
      <c r="F917" s="10" t="s">
        <v>4683</v>
      </c>
      <c r="G917" s="10" t="s">
        <v>4683</v>
      </c>
      <c r="H917" s="14">
        <v>0</v>
      </c>
      <c r="I917" s="10" t="s">
        <v>4683</v>
      </c>
      <c r="J917" s="10" t="str">
        <f t="shared" si="4"/>
        <v>normalweight</v>
      </c>
      <c r="L917" s="30" t="e">
        <v>#N/A</v>
      </c>
    </row>
    <row r="918" spans="1:12" ht="15.75" customHeight="1" x14ac:dyDescent="0.3">
      <c r="A918" s="10" t="s">
        <v>2842</v>
      </c>
      <c r="B918" s="10">
        <v>32.395000000000003</v>
      </c>
      <c r="C918" s="10">
        <v>11.1</v>
      </c>
      <c r="D918" s="16" t="s">
        <v>4682</v>
      </c>
      <c r="E918" s="10" t="s">
        <v>4684</v>
      </c>
      <c r="F918" s="10" t="s">
        <v>4683</v>
      </c>
      <c r="G918" s="10" t="s">
        <v>4683</v>
      </c>
      <c r="H918" s="14">
        <v>0</v>
      </c>
      <c r="I918" s="10" t="s">
        <v>4683</v>
      </c>
      <c r="J918" s="10" t="str">
        <f t="shared" si="4"/>
        <v>normalweight</v>
      </c>
      <c r="L918" s="30" t="e">
        <v>#N/A</v>
      </c>
    </row>
    <row r="919" spans="1:12" ht="15.75" customHeight="1" x14ac:dyDescent="0.3">
      <c r="A919" s="10" t="s">
        <v>2840</v>
      </c>
      <c r="B919" s="10">
        <v>36.64</v>
      </c>
      <c r="C919" s="10">
        <v>7.26</v>
      </c>
      <c r="D919" s="16" t="s">
        <v>4682</v>
      </c>
      <c r="E919" s="10" t="s">
        <v>4683</v>
      </c>
      <c r="F919" s="10" t="s">
        <v>4683</v>
      </c>
      <c r="G919" s="10" t="s">
        <v>4683</v>
      </c>
      <c r="H919" s="14">
        <v>0</v>
      </c>
      <c r="I919" s="10" t="s">
        <v>4683</v>
      </c>
      <c r="J919" s="10" t="str">
        <f t="shared" si="4"/>
        <v>normalweight</v>
      </c>
      <c r="L919" s="30" t="e">
        <v>#N/A</v>
      </c>
    </row>
    <row r="920" spans="1:12" ht="15.75" customHeight="1" x14ac:dyDescent="0.3">
      <c r="A920" s="10" t="s">
        <v>2838</v>
      </c>
      <c r="B920" s="10">
        <v>39.049999999999997</v>
      </c>
      <c r="C920" s="10">
        <v>5.27</v>
      </c>
      <c r="D920" s="10" t="s">
        <v>4685</v>
      </c>
      <c r="E920" s="10" t="s">
        <v>4684</v>
      </c>
      <c r="F920" s="10" t="s">
        <v>4683</v>
      </c>
      <c r="G920" s="10" t="s">
        <v>4683</v>
      </c>
      <c r="H920" s="14">
        <v>1</v>
      </c>
      <c r="I920" s="10" t="s">
        <v>4683</v>
      </c>
      <c r="J920" s="10" t="str">
        <f t="shared" si="4"/>
        <v>normalweight</v>
      </c>
      <c r="L920" s="30" t="e">
        <v>#N/A</v>
      </c>
    </row>
    <row r="921" spans="1:12" ht="15.75" customHeight="1" x14ac:dyDescent="0.3">
      <c r="A921" s="10" t="s">
        <v>2836</v>
      </c>
      <c r="B921" s="10">
        <v>33.1</v>
      </c>
      <c r="C921" s="10">
        <v>5.46</v>
      </c>
      <c r="D921" s="10" t="s">
        <v>4685</v>
      </c>
      <c r="E921" s="10" t="s">
        <v>4684</v>
      </c>
      <c r="F921" s="10" t="s">
        <v>4683</v>
      </c>
      <c r="G921" s="10" t="s">
        <v>4683</v>
      </c>
      <c r="H921" s="14">
        <v>1</v>
      </c>
      <c r="I921" s="10" t="s">
        <v>4683</v>
      </c>
      <c r="J921" s="10" t="str">
        <f t="shared" si="4"/>
        <v>normalweight</v>
      </c>
      <c r="L921" s="30" t="e">
        <v>#N/A</v>
      </c>
    </row>
    <row r="922" spans="1:12" ht="15.75" customHeight="1" x14ac:dyDescent="0.3">
      <c r="A922" s="10" t="s">
        <v>2834</v>
      </c>
      <c r="B922" s="10">
        <v>31.824999999999999</v>
      </c>
      <c r="C922" s="10">
        <v>8.1300000000000008</v>
      </c>
      <c r="D922" s="16" t="s">
        <v>4682</v>
      </c>
      <c r="E922" s="10" t="s">
        <v>4683</v>
      </c>
      <c r="F922" s="10" t="s">
        <v>4683</v>
      </c>
      <c r="G922" s="10" t="s">
        <v>4683</v>
      </c>
      <c r="H922" s="14">
        <v>0</v>
      </c>
      <c r="I922" s="10" t="s">
        <v>4683</v>
      </c>
      <c r="J922" s="10" t="str">
        <f t="shared" si="4"/>
        <v>normalweight</v>
      </c>
      <c r="L922" s="30" t="e">
        <v>#N/A</v>
      </c>
    </row>
    <row r="923" spans="1:12" ht="15.75" customHeight="1" x14ac:dyDescent="0.3">
      <c r="A923" s="10" t="s">
        <v>2832</v>
      </c>
      <c r="B923" s="10">
        <v>29</v>
      </c>
      <c r="C923" s="10">
        <v>4.25</v>
      </c>
      <c r="D923" s="10" t="s">
        <v>4685</v>
      </c>
      <c r="E923" s="10" t="s">
        <v>4684</v>
      </c>
      <c r="F923" s="10" t="s">
        <v>4683</v>
      </c>
      <c r="G923" s="10" t="s">
        <v>4683</v>
      </c>
      <c r="H923" s="14">
        <v>1</v>
      </c>
      <c r="I923" s="10" t="s">
        <v>4683</v>
      </c>
      <c r="J923" s="10" t="str">
        <f t="shared" si="4"/>
        <v>normalweight</v>
      </c>
      <c r="L923" s="30" t="e">
        <v>#N/A</v>
      </c>
    </row>
    <row r="924" spans="1:12" ht="15.75" customHeight="1" x14ac:dyDescent="0.3">
      <c r="A924" s="10" t="s">
        <v>2830</v>
      </c>
      <c r="B924" s="10">
        <v>30.495000000000001</v>
      </c>
      <c r="C924" s="10">
        <v>8.68</v>
      </c>
      <c r="D924" s="16" t="s">
        <v>4682</v>
      </c>
      <c r="E924" s="10" t="s">
        <v>4683</v>
      </c>
      <c r="F924" s="10" t="s">
        <v>4683</v>
      </c>
      <c r="G924" s="10" t="s">
        <v>4683</v>
      </c>
      <c r="H924" s="14">
        <v>0</v>
      </c>
      <c r="I924" s="10" t="s">
        <v>4683</v>
      </c>
      <c r="J924" s="10" t="str">
        <f t="shared" si="4"/>
        <v>normalweight</v>
      </c>
      <c r="L924" s="30" t="e">
        <v>#N/A</v>
      </c>
    </row>
    <row r="925" spans="1:12" ht="15.75" customHeight="1" x14ac:dyDescent="0.3">
      <c r="A925" s="10" t="s">
        <v>2828</v>
      </c>
      <c r="B925" s="10">
        <v>25.2</v>
      </c>
      <c r="C925" s="10">
        <v>6.25</v>
      </c>
      <c r="D925" s="10" t="s">
        <v>4685</v>
      </c>
      <c r="E925" s="10" t="s">
        <v>4684</v>
      </c>
      <c r="F925" s="10" t="s">
        <v>4683</v>
      </c>
      <c r="G925" s="10" t="s">
        <v>4683</v>
      </c>
      <c r="H925" s="14">
        <v>1</v>
      </c>
      <c r="I925" s="10" t="s">
        <v>4683</v>
      </c>
      <c r="J925" s="10" t="str">
        <f t="shared" si="4"/>
        <v>normalweight</v>
      </c>
      <c r="L925" s="30" t="e">
        <v>#N/A</v>
      </c>
    </row>
    <row r="926" spans="1:12" ht="15.75" customHeight="1" x14ac:dyDescent="0.3">
      <c r="A926" s="10" t="s">
        <v>2826</v>
      </c>
      <c r="B926" s="10">
        <v>22.77</v>
      </c>
      <c r="C926" s="10">
        <v>4.47</v>
      </c>
      <c r="D926" s="10" t="s">
        <v>4685</v>
      </c>
      <c r="E926" s="10" t="s">
        <v>4684</v>
      </c>
      <c r="F926" s="10" t="s">
        <v>4683</v>
      </c>
      <c r="G926" s="10" t="s">
        <v>4683</v>
      </c>
      <c r="H926" s="14">
        <v>1</v>
      </c>
      <c r="I926" s="10" t="s">
        <v>4683</v>
      </c>
      <c r="J926" s="10" t="str">
        <f t="shared" si="4"/>
        <v>normalweight</v>
      </c>
      <c r="L926" s="30" t="e">
        <v>#N/A</v>
      </c>
    </row>
    <row r="927" spans="1:12" ht="15.75" customHeight="1" x14ac:dyDescent="0.3">
      <c r="A927" s="10" t="s">
        <v>2824</v>
      </c>
      <c r="B927" s="10">
        <v>23.18</v>
      </c>
      <c r="C927" s="10">
        <v>8.31</v>
      </c>
      <c r="D927" s="16" t="s">
        <v>4682</v>
      </c>
      <c r="E927" s="10" t="s">
        <v>4683</v>
      </c>
      <c r="F927" s="10" t="s">
        <v>4683</v>
      </c>
      <c r="G927" s="10" t="s">
        <v>4683</v>
      </c>
      <c r="H927" s="14">
        <v>0</v>
      </c>
      <c r="I927" s="10" t="s">
        <v>4683</v>
      </c>
      <c r="J927" s="10" t="str">
        <f t="shared" si="4"/>
        <v>normalweight</v>
      </c>
      <c r="L927" s="30" t="e">
        <v>#N/A</v>
      </c>
    </row>
    <row r="928" spans="1:12" ht="15.75" customHeight="1" x14ac:dyDescent="0.3">
      <c r="A928" s="10" t="s">
        <v>2822</v>
      </c>
      <c r="B928" s="10">
        <v>35.409999999999997</v>
      </c>
      <c r="C928" s="10">
        <v>5.68</v>
      </c>
      <c r="D928" s="10" t="s">
        <v>4685</v>
      </c>
      <c r="E928" s="10" t="s">
        <v>4683</v>
      </c>
      <c r="F928" s="10" t="s">
        <v>4683</v>
      </c>
      <c r="G928" s="10" t="s">
        <v>4683</v>
      </c>
      <c r="H928" s="14">
        <v>0</v>
      </c>
      <c r="I928" s="10" t="s">
        <v>4683</v>
      </c>
      <c r="J928" s="10" t="str">
        <f t="shared" si="4"/>
        <v>normalweight</v>
      </c>
      <c r="L928" s="30" t="e">
        <v>#N/A</v>
      </c>
    </row>
    <row r="929" spans="1:12" ht="15.75" customHeight="1" x14ac:dyDescent="0.3">
      <c r="A929" s="10" t="s">
        <v>2820</v>
      </c>
      <c r="B929" s="10">
        <v>32.11</v>
      </c>
      <c r="C929" s="10">
        <v>4.75</v>
      </c>
      <c r="D929" s="10" t="s">
        <v>4685</v>
      </c>
      <c r="E929" s="10" t="s">
        <v>4684</v>
      </c>
      <c r="F929" s="10" t="s">
        <v>4683</v>
      </c>
      <c r="G929" s="10" t="s">
        <v>4683</v>
      </c>
      <c r="H929" s="14">
        <v>2</v>
      </c>
      <c r="I929" s="10" t="s">
        <v>4683</v>
      </c>
      <c r="J929" s="10" t="str">
        <f t="shared" si="4"/>
        <v>normalweight</v>
      </c>
      <c r="L929" s="30" t="e">
        <v>#N/A</v>
      </c>
    </row>
    <row r="930" spans="1:12" ht="15.75" customHeight="1" x14ac:dyDescent="0.3">
      <c r="A930" s="10" t="s">
        <v>2818</v>
      </c>
      <c r="B930" s="10">
        <v>34.479999999999997</v>
      </c>
      <c r="C930" s="10">
        <v>6.31</v>
      </c>
      <c r="D930" s="10" t="s">
        <v>4685</v>
      </c>
      <c r="E930" s="10" t="s">
        <v>4683</v>
      </c>
      <c r="F930" s="10" t="s">
        <v>4683</v>
      </c>
      <c r="G930" s="10" t="s">
        <v>4686</v>
      </c>
      <c r="H930" s="14">
        <v>1</v>
      </c>
      <c r="I930" s="10" t="s">
        <v>4683</v>
      </c>
      <c r="J930" s="10" t="str">
        <f t="shared" si="4"/>
        <v>normalweight</v>
      </c>
      <c r="L930" s="30" t="e">
        <v>#N/A</v>
      </c>
    </row>
    <row r="931" spans="1:12" ht="15.75" customHeight="1" x14ac:dyDescent="0.3">
      <c r="A931" s="10" t="s">
        <v>2816</v>
      </c>
      <c r="B931" s="10">
        <v>34.39</v>
      </c>
      <c r="C931" s="10">
        <v>6.28</v>
      </c>
      <c r="D931" s="10" t="s">
        <v>4685</v>
      </c>
      <c r="E931" s="10" t="s">
        <v>4684</v>
      </c>
      <c r="F931" s="10" t="s">
        <v>4683</v>
      </c>
      <c r="G931" s="10" t="s">
        <v>4683</v>
      </c>
      <c r="H931" s="14">
        <v>1</v>
      </c>
      <c r="I931" s="10" t="s">
        <v>4683</v>
      </c>
      <c r="J931" s="10" t="str">
        <f t="shared" si="4"/>
        <v>normalweight</v>
      </c>
      <c r="L931" s="30" t="e">
        <v>#N/A</v>
      </c>
    </row>
    <row r="932" spans="1:12" ht="15.75" customHeight="1" x14ac:dyDescent="0.3">
      <c r="A932" s="10" t="s">
        <v>2814</v>
      </c>
      <c r="B932" s="10">
        <v>26.4</v>
      </c>
      <c r="C932" s="10">
        <v>9.2899999999999991</v>
      </c>
      <c r="D932" s="16" t="s">
        <v>4682</v>
      </c>
      <c r="E932" s="10" t="s">
        <v>4684</v>
      </c>
      <c r="F932" s="10" t="s">
        <v>4683</v>
      </c>
      <c r="G932" s="10" t="s">
        <v>4686</v>
      </c>
      <c r="H932" s="14">
        <v>1</v>
      </c>
      <c r="I932" s="10" t="s">
        <v>4683</v>
      </c>
      <c r="J932" s="10" t="str">
        <f t="shared" si="4"/>
        <v>normalweight</v>
      </c>
      <c r="L932" s="30" t="e">
        <v>#N/A</v>
      </c>
    </row>
    <row r="933" spans="1:12" ht="15.75" customHeight="1" x14ac:dyDescent="0.3">
      <c r="A933" s="10" t="s">
        <v>2812</v>
      </c>
      <c r="B933" s="10">
        <v>28.1</v>
      </c>
      <c r="C933" s="10">
        <v>5.79</v>
      </c>
      <c r="D933" s="10" t="s">
        <v>4685</v>
      </c>
      <c r="E933" s="10" t="s">
        <v>4684</v>
      </c>
      <c r="F933" s="10" t="s">
        <v>4683</v>
      </c>
      <c r="G933" s="10" t="s">
        <v>4686</v>
      </c>
      <c r="H933" s="14">
        <v>1</v>
      </c>
      <c r="I933" s="10" t="s">
        <v>4683</v>
      </c>
      <c r="J933" s="10" t="str">
        <f t="shared" si="4"/>
        <v>normalweight</v>
      </c>
      <c r="L933" s="30" t="e">
        <v>#N/A</v>
      </c>
    </row>
    <row r="934" spans="1:12" ht="15.75" customHeight="1" x14ac:dyDescent="0.3">
      <c r="A934" s="10" t="s">
        <v>2810</v>
      </c>
      <c r="B934" s="10">
        <v>27</v>
      </c>
      <c r="C934" s="10">
        <v>4.54</v>
      </c>
      <c r="D934" s="10" t="s">
        <v>4685</v>
      </c>
      <c r="E934" s="10" t="s">
        <v>4684</v>
      </c>
      <c r="F934" s="10" t="s">
        <v>4683</v>
      </c>
      <c r="G934" s="10" t="s">
        <v>4683</v>
      </c>
      <c r="H934" s="14">
        <v>1</v>
      </c>
      <c r="I934" s="10" t="s">
        <v>4683</v>
      </c>
      <c r="J934" s="10" t="str">
        <f t="shared" si="4"/>
        <v>normalweight</v>
      </c>
      <c r="L934" s="30" t="e">
        <v>#N/A</v>
      </c>
    </row>
    <row r="935" spans="1:12" ht="15.75" customHeight="1" x14ac:dyDescent="0.3">
      <c r="A935" s="10" t="s">
        <v>2808</v>
      </c>
      <c r="B935" s="10">
        <v>28.594999999999999</v>
      </c>
      <c r="C935" s="10">
        <v>4.68</v>
      </c>
      <c r="D935" s="10" t="s">
        <v>4685</v>
      </c>
      <c r="E935" s="10" t="s">
        <v>4684</v>
      </c>
      <c r="F935" s="10" t="s">
        <v>4683</v>
      </c>
      <c r="G935" s="10" t="s">
        <v>4683</v>
      </c>
      <c r="H935" s="14">
        <v>1</v>
      </c>
      <c r="I935" s="10" t="s">
        <v>4683</v>
      </c>
      <c r="J935" s="10" t="str">
        <f t="shared" si="4"/>
        <v>normalweight</v>
      </c>
      <c r="L935" s="30" t="e">
        <v>#N/A</v>
      </c>
    </row>
    <row r="936" spans="1:12" ht="15.75" customHeight="1" x14ac:dyDescent="0.3">
      <c r="A936" s="10" t="s">
        <v>2806</v>
      </c>
      <c r="B936" s="10">
        <v>36.799999999999997</v>
      </c>
      <c r="C936" s="10">
        <v>5.88</v>
      </c>
      <c r="D936" s="10" t="s">
        <v>4685</v>
      </c>
      <c r="E936" s="10" t="s">
        <v>4683</v>
      </c>
      <c r="F936" s="10" t="s">
        <v>4683</v>
      </c>
      <c r="G936" s="10" t="s">
        <v>4683</v>
      </c>
      <c r="H936" s="14">
        <v>1</v>
      </c>
      <c r="I936" s="10" t="s">
        <v>4683</v>
      </c>
      <c r="J936" s="10" t="str">
        <f t="shared" si="4"/>
        <v>normalweight</v>
      </c>
      <c r="L936" s="30" t="e">
        <v>#N/A</v>
      </c>
    </row>
    <row r="937" spans="1:12" ht="15.75" customHeight="1" x14ac:dyDescent="0.3">
      <c r="A937" s="10" t="s">
        <v>2804</v>
      </c>
      <c r="B937" s="10">
        <v>23.75</v>
      </c>
      <c r="C937" s="10">
        <v>5.42</v>
      </c>
      <c r="D937" s="10" t="s">
        <v>4685</v>
      </c>
      <c r="E937" s="10" t="s">
        <v>4684</v>
      </c>
      <c r="F937" s="10" t="s">
        <v>4683</v>
      </c>
      <c r="G937" s="10" t="s">
        <v>4686</v>
      </c>
      <c r="H937" s="14">
        <v>1</v>
      </c>
      <c r="I937" s="10" t="s">
        <v>4683</v>
      </c>
      <c r="J937" s="10" t="str">
        <f t="shared" si="4"/>
        <v>normalweight</v>
      </c>
      <c r="L937" s="30" t="e">
        <v>#N/A</v>
      </c>
    </row>
    <row r="938" spans="1:12" ht="15.75" customHeight="1" x14ac:dyDescent="0.3">
      <c r="A938" s="10" t="s">
        <v>2802</v>
      </c>
      <c r="B938" s="10">
        <v>35.619999999999997</v>
      </c>
      <c r="C938" s="10">
        <v>4.16</v>
      </c>
      <c r="D938" s="10" t="s">
        <v>4685</v>
      </c>
      <c r="E938" s="10" t="s">
        <v>4683</v>
      </c>
      <c r="F938" s="10" t="s">
        <v>4683</v>
      </c>
      <c r="G938" s="10" t="s">
        <v>4683</v>
      </c>
      <c r="H938" s="14">
        <v>0</v>
      </c>
      <c r="I938" s="10" t="s">
        <v>4683</v>
      </c>
      <c r="J938" s="10" t="str">
        <f t="shared" si="4"/>
        <v>normalweight</v>
      </c>
      <c r="L938" s="30" t="e">
        <v>#N/A</v>
      </c>
    </row>
    <row r="939" spans="1:12" ht="15.75" customHeight="1" x14ac:dyDescent="0.3">
      <c r="A939" s="10" t="s">
        <v>2800</v>
      </c>
      <c r="B939" s="10">
        <v>30.69</v>
      </c>
      <c r="C939" s="10">
        <v>7.05</v>
      </c>
      <c r="D939" s="16" t="s">
        <v>4682</v>
      </c>
      <c r="E939" s="10" t="s">
        <v>4684</v>
      </c>
      <c r="F939" s="10" t="s">
        <v>4683</v>
      </c>
      <c r="G939" s="10" t="s">
        <v>4683</v>
      </c>
      <c r="H939" s="14">
        <v>2</v>
      </c>
      <c r="I939" s="10" t="s">
        <v>4683</v>
      </c>
      <c r="J939" s="10" t="str">
        <f t="shared" si="4"/>
        <v>normalweight</v>
      </c>
      <c r="L939" s="30" t="e">
        <v>#N/A</v>
      </c>
    </row>
    <row r="940" spans="1:12" ht="15.75" customHeight="1" x14ac:dyDescent="0.3">
      <c r="A940" s="10" t="s">
        <v>2798</v>
      </c>
      <c r="B940" s="10">
        <v>35.799999999999997</v>
      </c>
      <c r="C940" s="10">
        <v>5.63</v>
      </c>
      <c r="D940" s="10" t="s">
        <v>4685</v>
      </c>
      <c r="E940" s="10" t="s">
        <v>4684</v>
      </c>
      <c r="F940" s="10" t="s">
        <v>4683</v>
      </c>
      <c r="G940" s="10" t="s">
        <v>4683</v>
      </c>
      <c r="H940" s="14">
        <v>2</v>
      </c>
      <c r="I940" s="10" t="s">
        <v>4683</v>
      </c>
      <c r="J940" s="10" t="str">
        <f t="shared" si="4"/>
        <v>normalweight</v>
      </c>
      <c r="L940" s="30" t="e">
        <v>#N/A</v>
      </c>
    </row>
    <row r="941" spans="1:12" ht="15.75" customHeight="1" x14ac:dyDescent="0.3">
      <c r="A941" s="10" t="s">
        <v>2796</v>
      </c>
      <c r="B941" s="10">
        <v>28.785</v>
      </c>
      <c r="C941" s="10">
        <v>4.24</v>
      </c>
      <c r="D941" s="10" t="s">
        <v>4685</v>
      </c>
      <c r="E941" s="10" t="s">
        <v>4684</v>
      </c>
      <c r="F941" s="10" t="s">
        <v>4683</v>
      </c>
      <c r="G941" s="10" t="s">
        <v>4683</v>
      </c>
      <c r="H941" s="14">
        <v>2</v>
      </c>
      <c r="I941" s="10" t="s">
        <v>4683</v>
      </c>
      <c r="J941" s="10" t="str">
        <f t="shared" si="4"/>
        <v>normalweight</v>
      </c>
      <c r="L941" s="30" t="e">
        <v>#N/A</v>
      </c>
    </row>
    <row r="942" spans="1:12" ht="15.75" customHeight="1" x14ac:dyDescent="0.3">
      <c r="A942" s="10" t="s">
        <v>2794</v>
      </c>
      <c r="B942" s="10">
        <v>28.594999999999999</v>
      </c>
      <c r="C942" s="10">
        <v>4.96</v>
      </c>
      <c r="D942" s="10" t="s">
        <v>4685</v>
      </c>
      <c r="E942" s="10" t="s">
        <v>4684</v>
      </c>
      <c r="F942" s="10" t="s">
        <v>4683</v>
      </c>
      <c r="G942" s="10" t="s">
        <v>4683</v>
      </c>
      <c r="H942" s="14">
        <v>2</v>
      </c>
      <c r="I942" s="10" t="s">
        <v>4683</v>
      </c>
      <c r="J942" s="10" t="str">
        <f t="shared" si="4"/>
        <v>normalweight</v>
      </c>
      <c r="L942" s="30" t="e">
        <v>#N/A</v>
      </c>
    </row>
    <row r="943" spans="1:12" ht="15.75" customHeight="1" x14ac:dyDescent="0.3">
      <c r="A943" s="10" t="s">
        <v>2792</v>
      </c>
      <c r="B943" s="10">
        <v>48.75</v>
      </c>
      <c r="C943" s="10">
        <v>4.34</v>
      </c>
      <c r="D943" s="10" t="s">
        <v>4685</v>
      </c>
      <c r="E943" s="10" t="s">
        <v>4683</v>
      </c>
      <c r="F943" s="10" t="s">
        <v>4683</v>
      </c>
      <c r="G943" s="10" t="s">
        <v>4683</v>
      </c>
      <c r="H943" s="14">
        <v>0</v>
      </c>
      <c r="I943" s="10" t="s">
        <v>4683</v>
      </c>
      <c r="J943" s="10" t="str">
        <f t="shared" si="4"/>
        <v>normalweight</v>
      </c>
      <c r="L943" s="30" t="e">
        <v>#N/A</v>
      </c>
    </row>
    <row r="944" spans="1:12" ht="15.75" customHeight="1" x14ac:dyDescent="0.3">
      <c r="A944" s="10" t="s">
        <v>2790</v>
      </c>
      <c r="B944" s="10">
        <v>28.31</v>
      </c>
      <c r="C944" s="10">
        <v>5.43</v>
      </c>
      <c r="D944" s="10" t="s">
        <v>4685</v>
      </c>
      <c r="E944" s="10" t="s">
        <v>4684</v>
      </c>
      <c r="F944" s="10" t="s">
        <v>4683</v>
      </c>
      <c r="G944" s="10" t="s">
        <v>4683</v>
      </c>
      <c r="H944" s="14">
        <v>2</v>
      </c>
      <c r="I944" s="10" t="s">
        <v>4683</v>
      </c>
      <c r="J944" s="10" t="str">
        <f t="shared" si="4"/>
        <v>normalweight</v>
      </c>
      <c r="L944" s="30" t="e">
        <v>#N/A</v>
      </c>
    </row>
    <row r="945" spans="1:12" ht="15.75" customHeight="1" x14ac:dyDescent="0.3">
      <c r="A945" s="10" t="s">
        <v>2788</v>
      </c>
      <c r="B945" s="10">
        <v>38.39</v>
      </c>
      <c r="C945" s="10">
        <v>8.33</v>
      </c>
      <c r="D945" s="16" t="s">
        <v>4682</v>
      </c>
      <c r="E945" s="10" t="s">
        <v>4684</v>
      </c>
      <c r="F945" s="10" t="s">
        <v>4683</v>
      </c>
      <c r="G945" s="10" t="s">
        <v>4683</v>
      </c>
      <c r="H945" s="14">
        <v>1</v>
      </c>
      <c r="I945" s="10" t="s">
        <v>4683</v>
      </c>
      <c r="J945" s="10" t="str">
        <f t="shared" si="4"/>
        <v>normalweight</v>
      </c>
      <c r="L945" s="30" t="e">
        <v>#N/A</v>
      </c>
    </row>
    <row r="946" spans="1:12" ht="15.75" customHeight="1" x14ac:dyDescent="0.3">
      <c r="A946" s="10" t="s">
        <v>2786</v>
      </c>
      <c r="B946" s="10">
        <v>25.87</v>
      </c>
      <c r="C946" s="10">
        <v>5.63</v>
      </c>
      <c r="D946" s="10" t="s">
        <v>4685</v>
      </c>
      <c r="E946" s="10" t="s">
        <v>4684</v>
      </c>
      <c r="F946" s="10" t="s">
        <v>4683</v>
      </c>
      <c r="G946" s="10" t="s">
        <v>4683</v>
      </c>
      <c r="H946" s="14">
        <v>1</v>
      </c>
      <c r="I946" s="10" t="s">
        <v>4683</v>
      </c>
      <c r="J946" s="10" t="str">
        <f t="shared" si="4"/>
        <v>normalweight</v>
      </c>
      <c r="L946" s="30" t="e">
        <v>#N/A</v>
      </c>
    </row>
    <row r="947" spans="1:12" ht="15.75" customHeight="1" x14ac:dyDescent="0.3">
      <c r="A947" s="10" t="s">
        <v>2784</v>
      </c>
      <c r="B947" s="10">
        <v>43.7</v>
      </c>
      <c r="C947" s="10">
        <v>7.23</v>
      </c>
      <c r="D947" s="16" t="s">
        <v>4682</v>
      </c>
      <c r="E947" s="10" t="s">
        <v>4683</v>
      </c>
      <c r="F947" s="10" t="s">
        <v>4683</v>
      </c>
      <c r="G947" s="10" t="s">
        <v>4683</v>
      </c>
      <c r="H947" s="14">
        <v>0</v>
      </c>
      <c r="I947" s="10" t="s">
        <v>4683</v>
      </c>
      <c r="J947" s="10" t="str">
        <f t="shared" si="4"/>
        <v>normalweight</v>
      </c>
      <c r="L947" s="30" t="e">
        <v>#N/A</v>
      </c>
    </row>
    <row r="948" spans="1:12" ht="15.75" customHeight="1" x14ac:dyDescent="0.3">
      <c r="A948" s="10" t="s">
        <v>2782</v>
      </c>
      <c r="B948" s="10">
        <v>40.945</v>
      </c>
      <c r="C948" s="10">
        <v>10.57</v>
      </c>
      <c r="D948" s="16" t="s">
        <v>4682</v>
      </c>
      <c r="E948" s="10" t="s">
        <v>4683</v>
      </c>
      <c r="F948" s="10" t="s">
        <v>4683</v>
      </c>
      <c r="G948" s="10" t="s">
        <v>4683</v>
      </c>
      <c r="H948" s="14">
        <v>0</v>
      </c>
      <c r="I948" s="10" t="s">
        <v>4683</v>
      </c>
      <c r="J948" s="10" t="str">
        <f t="shared" si="4"/>
        <v>normalweight</v>
      </c>
      <c r="L948" s="30" t="e">
        <v>#N/A</v>
      </c>
    </row>
    <row r="949" spans="1:12" ht="15.75" customHeight="1" x14ac:dyDescent="0.3">
      <c r="A949" s="10" t="s">
        <v>2780</v>
      </c>
      <c r="B949" s="10">
        <v>27.94</v>
      </c>
      <c r="C949" s="10">
        <v>7.92</v>
      </c>
      <c r="D949" s="16" t="s">
        <v>4682</v>
      </c>
      <c r="E949" s="10" t="s">
        <v>4683</v>
      </c>
      <c r="F949" s="10" t="s">
        <v>4683</v>
      </c>
      <c r="G949" s="10" t="s">
        <v>4683</v>
      </c>
      <c r="H949" s="14">
        <v>0</v>
      </c>
      <c r="I949" s="10" t="s">
        <v>4683</v>
      </c>
      <c r="J949" s="10" t="str">
        <f t="shared" si="4"/>
        <v>normalweight</v>
      </c>
      <c r="L949" s="30" t="e">
        <v>#N/A</v>
      </c>
    </row>
    <row r="950" spans="1:12" ht="15.75" customHeight="1" x14ac:dyDescent="0.3">
      <c r="A950" s="10" t="s">
        <v>2778</v>
      </c>
      <c r="B950" s="10">
        <v>31.9</v>
      </c>
      <c r="C950" s="10">
        <v>10.119999999999999</v>
      </c>
      <c r="D950" s="16" t="s">
        <v>4682</v>
      </c>
      <c r="E950" s="10" t="s">
        <v>4683</v>
      </c>
      <c r="F950" s="10" t="s">
        <v>4683</v>
      </c>
      <c r="G950" s="10" t="s">
        <v>4683</v>
      </c>
      <c r="H950" s="14">
        <v>2</v>
      </c>
      <c r="I950" s="10" t="s">
        <v>4683</v>
      </c>
      <c r="J950" s="10" t="str">
        <f t="shared" si="4"/>
        <v>normalweight</v>
      </c>
      <c r="L950" s="30" t="e">
        <v>#N/A</v>
      </c>
    </row>
    <row r="951" spans="1:12" ht="15.75" customHeight="1" x14ac:dyDescent="0.3">
      <c r="A951" s="10" t="s">
        <v>2776</v>
      </c>
      <c r="B951" s="10">
        <v>31.64</v>
      </c>
      <c r="C951" s="10">
        <v>7.91</v>
      </c>
      <c r="D951" s="16" t="s">
        <v>4682</v>
      </c>
      <c r="E951" s="10" t="s">
        <v>4683</v>
      </c>
      <c r="F951" s="10" t="s">
        <v>4683</v>
      </c>
      <c r="G951" s="10" t="s">
        <v>4683</v>
      </c>
      <c r="H951" s="14">
        <v>0</v>
      </c>
      <c r="I951" s="10" t="s">
        <v>4683</v>
      </c>
      <c r="J951" s="10" t="str">
        <f t="shared" si="4"/>
        <v>normalweight</v>
      </c>
      <c r="L951" s="30" t="e">
        <v>#N/A</v>
      </c>
    </row>
    <row r="952" spans="1:12" ht="15.75" customHeight="1" x14ac:dyDescent="0.3">
      <c r="A952" s="10" t="s">
        <v>2774</v>
      </c>
      <c r="B952" s="10">
        <v>46.7</v>
      </c>
      <c r="C952" s="10">
        <v>10.9</v>
      </c>
      <c r="D952" s="16" t="s">
        <v>4682</v>
      </c>
      <c r="E952" s="10" t="s">
        <v>4683</v>
      </c>
      <c r="F952" s="10" t="s">
        <v>4683</v>
      </c>
      <c r="G952" s="10" t="s">
        <v>4683</v>
      </c>
      <c r="H952" s="14">
        <v>0</v>
      </c>
      <c r="I952" s="10" t="s">
        <v>4683</v>
      </c>
      <c r="J952" s="10" t="str">
        <f t="shared" si="4"/>
        <v>normalweight</v>
      </c>
      <c r="L952" s="30" t="e">
        <v>#N/A</v>
      </c>
    </row>
    <row r="953" spans="1:12" ht="15.75" customHeight="1" x14ac:dyDescent="0.3">
      <c r="A953" s="10" t="s">
        <v>2772</v>
      </c>
      <c r="B953" s="10">
        <v>18.335000000000001</v>
      </c>
      <c r="C953" s="10">
        <v>11.83</v>
      </c>
      <c r="D953" s="16" t="s">
        <v>4682</v>
      </c>
      <c r="E953" s="10" t="s">
        <v>4683</v>
      </c>
      <c r="F953" s="10" t="s">
        <v>4683</v>
      </c>
      <c r="G953" s="10" t="s">
        <v>4683</v>
      </c>
      <c r="H953" s="14">
        <v>0</v>
      </c>
      <c r="I953" s="10" t="s">
        <v>4683</v>
      </c>
      <c r="J953" s="10" t="str">
        <f t="shared" si="4"/>
        <v>underweight</v>
      </c>
      <c r="L953" s="30" t="e">
        <v>#N/A</v>
      </c>
    </row>
    <row r="954" spans="1:12" ht="15.75" customHeight="1" x14ac:dyDescent="0.3">
      <c r="A954" s="10" t="s">
        <v>2770</v>
      </c>
      <c r="B954" s="10">
        <v>31.24</v>
      </c>
      <c r="C954" s="10">
        <v>7.42</v>
      </c>
      <c r="D954" s="16" t="s">
        <v>4682</v>
      </c>
      <c r="E954" s="10" t="s">
        <v>4684</v>
      </c>
      <c r="F954" s="10" t="s">
        <v>4683</v>
      </c>
      <c r="G954" s="10" t="s">
        <v>4683</v>
      </c>
      <c r="H954" s="14">
        <v>2</v>
      </c>
      <c r="I954" s="10" t="s">
        <v>4683</v>
      </c>
      <c r="J954" s="10" t="str">
        <f t="shared" si="4"/>
        <v>normalweight</v>
      </c>
      <c r="L954" s="30" t="e">
        <v>#N/A</v>
      </c>
    </row>
    <row r="955" spans="1:12" ht="15.75" customHeight="1" x14ac:dyDescent="0.3">
      <c r="A955" s="10" t="s">
        <v>2768</v>
      </c>
      <c r="B955" s="10">
        <v>39.22</v>
      </c>
      <c r="C955" s="10">
        <v>5.62</v>
      </c>
      <c r="D955" s="10" t="s">
        <v>4685</v>
      </c>
      <c r="E955" s="10" t="s">
        <v>4684</v>
      </c>
      <c r="F955" s="10" t="s">
        <v>4683</v>
      </c>
      <c r="G955" s="10" t="s">
        <v>4683</v>
      </c>
      <c r="H955" s="14">
        <v>1</v>
      </c>
      <c r="I955" s="10" t="s">
        <v>4683</v>
      </c>
      <c r="J955" s="10" t="str">
        <f t="shared" si="4"/>
        <v>normalweight</v>
      </c>
      <c r="L955" s="30" t="e">
        <v>#N/A</v>
      </c>
    </row>
    <row r="956" spans="1:12" ht="15.75" customHeight="1" x14ac:dyDescent="0.3">
      <c r="A956" s="10" t="s">
        <v>2766</v>
      </c>
      <c r="B956" s="10">
        <v>24.414999999999999</v>
      </c>
      <c r="C956" s="10">
        <v>7.16</v>
      </c>
      <c r="D956" s="16" t="s">
        <v>4682</v>
      </c>
      <c r="E956" s="10" t="s">
        <v>4683</v>
      </c>
      <c r="F956" s="10" t="s">
        <v>4683</v>
      </c>
      <c r="G956" s="10" t="s">
        <v>4683</v>
      </c>
      <c r="H956" s="14">
        <v>0</v>
      </c>
      <c r="I956" s="10" t="s">
        <v>4683</v>
      </c>
      <c r="J956" s="10" t="str">
        <f t="shared" si="4"/>
        <v>normalweight</v>
      </c>
      <c r="L956" s="30" t="e">
        <v>#N/A</v>
      </c>
    </row>
    <row r="957" spans="1:12" ht="15.75" customHeight="1" x14ac:dyDescent="0.3">
      <c r="A957" s="10" t="s">
        <v>2764</v>
      </c>
      <c r="B957" s="10">
        <v>32.299999999999997</v>
      </c>
      <c r="C957" s="10">
        <v>9.89</v>
      </c>
      <c r="D957" s="16" t="s">
        <v>4682</v>
      </c>
      <c r="E957" s="10" t="s">
        <v>4683</v>
      </c>
      <c r="F957" s="10" t="s">
        <v>4683</v>
      </c>
      <c r="G957" s="10" t="s">
        <v>4683</v>
      </c>
      <c r="H957" s="14">
        <v>0</v>
      </c>
      <c r="I957" s="10" t="s">
        <v>4683</v>
      </c>
      <c r="J957" s="10" t="str">
        <f t="shared" si="4"/>
        <v>normalweight</v>
      </c>
      <c r="L957" s="30" t="e">
        <v>#N/A</v>
      </c>
    </row>
    <row r="958" spans="1:12" ht="15.75" customHeight="1" x14ac:dyDescent="0.3">
      <c r="A958" s="10" t="s">
        <v>2762</v>
      </c>
      <c r="B958" s="10">
        <v>39.94</v>
      </c>
      <c r="C958" s="10">
        <v>5.14</v>
      </c>
      <c r="D958" s="10" t="s">
        <v>4685</v>
      </c>
      <c r="E958" s="10" t="s">
        <v>4683</v>
      </c>
      <c r="F958" s="10" t="s">
        <v>4683</v>
      </c>
      <c r="G958" s="10" t="s">
        <v>4683</v>
      </c>
      <c r="H958" s="14">
        <v>0</v>
      </c>
      <c r="I958" s="10" t="s">
        <v>4683</v>
      </c>
      <c r="J958" s="10" t="str">
        <f t="shared" si="4"/>
        <v>normalweight</v>
      </c>
      <c r="L958" s="30" t="e">
        <v>#N/A</v>
      </c>
    </row>
    <row r="959" spans="1:12" ht="15.75" customHeight="1" x14ac:dyDescent="0.3">
      <c r="A959" s="10" t="s">
        <v>2760</v>
      </c>
      <c r="B959" s="10">
        <v>30</v>
      </c>
      <c r="C959" s="10">
        <v>5.61</v>
      </c>
      <c r="D959" s="10" t="s">
        <v>4685</v>
      </c>
      <c r="E959" s="10" t="s">
        <v>4684</v>
      </c>
      <c r="F959" s="10" t="s">
        <v>4683</v>
      </c>
      <c r="G959" s="10" t="s">
        <v>4686</v>
      </c>
      <c r="H959" s="14">
        <v>1</v>
      </c>
      <c r="I959" s="10" t="s">
        <v>4683</v>
      </c>
      <c r="J959" s="10" t="str">
        <f t="shared" si="4"/>
        <v>normalweight</v>
      </c>
      <c r="L959" s="30" t="e">
        <v>#N/A</v>
      </c>
    </row>
    <row r="960" spans="1:12" ht="15.75" customHeight="1" x14ac:dyDescent="0.3">
      <c r="A960" s="10" t="s">
        <v>2758</v>
      </c>
      <c r="B960" s="10">
        <v>35.340000000000003</v>
      </c>
      <c r="C960" s="10">
        <v>5.51</v>
      </c>
      <c r="D960" s="10" t="s">
        <v>4685</v>
      </c>
      <c r="E960" s="10" t="s">
        <v>4684</v>
      </c>
      <c r="F960" s="10" t="s">
        <v>4683</v>
      </c>
      <c r="G960" s="10" t="s">
        <v>4686</v>
      </c>
      <c r="H960" s="14">
        <v>1</v>
      </c>
      <c r="I960" s="10" t="s">
        <v>4683</v>
      </c>
      <c r="J960" s="10" t="str">
        <f t="shared" si="4"/>
        <v>normalweight</v>
      </c>
      <c r="L960" s="30" t="e">
        <v>#N/A</v>
      </c>
    </row>
    <row r="961" spans="1:12" ht="15.75" customHeight="1" x14ac:dyDescent="0.3">
      <c r="A961" s="10" t="s">
        <v>2756</v>
      </c>
      <c r="B961" s="10">
        <v>32.204999999999998</v>
      </c>
      <c r="C961" s="10">
        <v>8.3800000000000008</v>
      </c>
      <c r="D961" s="16" t="s">
        <v>4682</v>
      </c>
      <c r="E961" s="10" t="s">
        <v>4684</v>
      </c>
      <c r="F961" s="10" t="s">
        <v>4683</v>
      </c>
      <c r="G961" s="10" t="s">
        <v>4683</v>
      </c>
      <c r="H961" s="14">
        <v>2</v>
      </c>
      <c r="I961" s="10" t="s">
        <v>4683</v>
      </c>
      <c r="J961" s="10" t="str">
        <f t="shared" si="4"/>
        <v>normalweight</v>
      </c>
      <c r="L961" s="30" t="e">
        <v>#N/A</v>
      </c>
    </row>
    <row r="962" spans="1:12" ht="15.75" customHeight="1" x14ac:dyDescent="0.3">
      <c r="A962" s="10" t="s">
        <v>2754</v>
      </c>
      <c r="B962" s="10">
        <v>33.880000000000003</v>
      </c>
      <c r="C962" s="10">
        <v>4.68</v>
      </c>
      <c r="D962" s="10" t="s">
        <v>4685</v>
      </c>
      <c r="E962" s="10" t="s">
        <v>4683</v>
      </c>
      <c r="F962" s="10" t="s">
        <v>4684</v>
      </c>
      <c r="G962" s="10" t="s">
        <v>4683</v>
      </c>
      <c r="H962" s="14">
        <v>1</v>
      </c>
      <c r="I962" s="10" t="s">
        <v>4683</v>
      </c>
      <c r="J962" s="10" t="str">
        <f t="shared" si="4"/>
        <v>normalweight</v>
      </c>
      <c r="L962" s="30" t="e">
        <v>#N/A</v>
      </c>
    </row>
    <row r="963" spans="1:12" ht="15.75" customHeight="1" x14ac:dyDescent="0.3">
      <c r="A963" s="10" t="s">
        <v>2752</v>
      </c>
      <c r="B963" s="10">
        <v>26.63</v>
      </c>
      <c r="C963" s="10">
        <v>4.3600000000000003</v>
      </c>
      <c r="D963" s="10" t="s">
        <v>4685</v>
      </c>
      <c r="E963" s="10" t="s">
        <v>4684</v>
      </c>
      <c r="F963" s="10" t="s">
        <v>4683</v>
      </c>
      <c r="G963" s="10" t="s">
        <v>4683</v>
      </c>
      <c r="H963" s="14">
        <v>2</v>
      </c>
      <c r="I963" s="10" t="s">
        <v>4683</v>
      </c>
      <c r="J963" s="10" t="str">
        <f t="shared" si="4"/>
        <v>normalweight</v>
      </c>
      <c r="L963" s="30" t="e">
        <v>#N/A</v>
      </c>
    </row>
    <row r="964" spans="1:12" ht="15.75" customHeight="1" x14ac:dyDescent="0.3">
      <c r="A964" s="10" t="s">
        <v>2750</v>
      </c>
      <c r="B964" s="10">
        <v>28.7</v>
      </c>
      <c r="C964" s="10">
        <v>7.74</v>
      </c>
      <c r="D964" s="16" t="s">
        <v>4682</v>
      </c>
      <c r="E964" s="10" t="s">
        <v>4683</v>
      </c>
      <c r="F964" s="10" t="s">
        <v>4683</v>
      </c>
      <c r="G964" s="10" t="s">
        <v>4683</v>
      </c>
      <c r="H964" s="14">
        <v>0</v>
      </c>
      <c r="I964" s="10" t="s">
        <v>4683</v>
      </c>
      <c r="J964" s="10" t="str">
        <f t="shared" si="4"/>
        <v>normalweight</v>
      </c>
      <c r="L964" s="30" t="e">
        <v>#N/A</v>
      </c>
    </row>
    <row r="965" spans="1:12" ht="15.75" customHeight="1" x14ac:dyDescent="0.3">
      <c r="A965" s="10" t="s">
        <v>2748</v>
      </c>
      <c r="B965" s="10">
        <v>25.65</v>
      </c>
      <c r="C965" s="10">
        <v>4.05</v>
      </c>
      <c r="D965" s="10" t="s">
        <v>4685</v>
      </c>
      <c r="E965" s="10" t="s">
        <v>4684</v>
      </c>
      <c r="F965" s="10" t="s">
        <v>4683</v>
      </c>
      <c r="G965" s="10" t="s">
        <v>4683</v>
      </c>
      <c r="H965" s="14">
        <v>2</v>
      </c>
      <c r="I965" s="10" t="s">
        <v>4683</v>
      </c>
      <c r="J965" s="10" t="str">
        <f t="shared" si="4"/>
        <v>normalweight</v>
      </c>
      <c r="L965" s="30" t="e">
        <v>#N/A</v>
      </c>
    </row>
    <row r="966" spans="1:12" ht="15.75" customHeight="1" x14ac:dyDescent="0.3">
      <c r="A966" s="10" t="s">
        <v>2746</v>
      </c>
      <c r="B966" s="10">
        <v>36.384999999999998</v>
      </c>
      <c r="C966" s="10">
        <v>11.49</v>
      </c>
      <c r="D966" s="16" t="s">
        <v>4682</v>
      </c>
      <c r="E966" s="10" t="s">
        <v>4683</v>
      </c>
      <c r="F966" s="10" t="s">
        <v>4683</v>
      </c>
      <c r="G966" s="10" t="s">
        <v>4683</v>
      </c>
      <c r="H966" s="14">
        <v>0</v>
      </c>
      <c r="I966" s="10" t="s">
        <v>4683</v>
      </c>
      <c r="J966" s="10" t="str">
        <f t="shared" si="4"/>
        <v>normalweight</v>
      </c>
      <c r="L966" s="30" t="e">
        <v>#N/A</v>
      </c>
    </row>
    <row r="967" spans="1:12" ht="15.75" customHeight="1" x14ac:dyDescent="0.3">
      <c r="A967" s="10" t="s">
        <v>2744</v>
      </c>
      <c r="B967" s="10">
        <v>34.69</v>
      </c>
      <c r="C967" s="10">
        <v>5.65</v>
      </c>
      <c r="D967" s="10" t="s">
        <v>4685</v>
      </c>
      <c r="E967" s="10" t="s">
        <v>4683</v>
      </c>
      <c r="F967" s="10" t="s">
        <v>4683</v>
      </c>
      <c r="G967" s="10" t="s">
        <v>4683</v>
      </c>
      <c r="H967" s="14">
        <v>0</v>
      </c>
      <c r="I967" s="10" t="s">
        <v>4683</v>
      </c>
      <c r="J967" s="10" t="str">
        <f t="shared" si="4"/>
        <v>normalweight</v>
      </c>
      <c r="L967" s="30" t="e">
        <v>#N/A</v>
      </c>
    </row>
    <row r="968" spans="1:12" ht="15.75" customHeight="1" x14ac:dyDescent="0.3">
      <c r="A968" s="10" t="s">
        <v>2742</v>
      </c>
      <c r="B968" s="10">
        <v>37.68</v>
      </c>
      <c r="C968" s="10">
        <v>4.29</v>
      </c>
      <c r="D968" s="10" t="s">
        <v>4685</v>
      </c>
      <c r="E968" s="10" t="s">
        <v>4684</v>
      </c>
      <c r="F968" s="10" t="s">
        <v>4683</v>
      </c>
      <c r="G968" s="10" t="s">
        <v>4683</v>
      </c>
      <c r="H968" s="14">
        <v>0</v>
      </c>
      <c r="I968" s="10" t="s">
        <v>4683</v>
      </c>
      <c r="J968" s="10" t="str">
        <f t="shared" si="4"/>
        <v>normalweight</v>
      </c>
      <c r="L968" s="30" t="e">
        <v>#N/A</v>
      </c>
    </row>
    <row r="969" spans="1:12" ht="15.75" customHeight="1" x14ac:dyDescent="0.3">
      <c r="A969" s="10" t="s">
        <v>2740</v>
      </c>
      <c r="B969" s="10">
        <v>35.49</v>
      </c>
      <c r="C969" s="10">
        <v>4.74</v>
      </c>
      <c r="D969" s="10" t="s">
        <v>4685</v>
      </c>
      <c r="E969" s="10" t="s">
        <v>4684</v>
      </c>
      <c r="F969" s="10" t="s">
        <v>4683</v>
      </c>
      <c r="G969" s="10" t="s">
        <v>4686</v>
      </c>
      <c r="H969" s="14">
        <v>1</v>
      </c>
      <c r="I969" s="10" t="s">
        <v>4683</v>
      </c>
      <c r="J969" s="10" t="str">
        <f t="shared" si="4"/>
        <v>normalweight</v>
      </c>
      <c r="L969" s="30" t="e">
        <v>#N/A</v>
      </c>
    </row>
    <row r="970" spans="1:12" ht="15.75" customHeight="1" x14ac:dyDescent="0.3">
      <c r="A970" s="10" t="s">
        <v>2738</v>
      </c>
      <c r="B970" s="10">
        <v>44.7</v>
      </c>
      <c r="C970" s="10">
        <v>7.6</v>
      </c>
      <c r="D970" s="16" t="s">
        <v>4682</v>
      </c>
      <c r="E970" s="10" t="s">
        <v>4684</v>
      </c>
      <c r="F970" s="10" t="s">
        <v>4683</v>
      </c>
      <c r="G970" s="10" t="s">
        <v>4683</v>
      </c>
      <c r="H970" s="14">
        <v>2</v>
      </c>
      <c r="I970" s="10" t="s">
        <v>4683</v>
      </c>
      <c r="J970" s="10" t="str">
        <f t="shared" si="4"/>
        <v>normalweight</v>
      </c>
      <c r="L970" s="30" t="e">
        <v>#N/A</v>
      </c>
    </row>
    <row r="971" spans="1:12" ht="15.75" customHeight="1" x14ac:dyDescent="0.3">
      <c r="A971" s="10" t="s">
        <v>2736</v>
      </c>
      <c r="B971" s="10">
        <v>38.380000000000003</v>
      </c>
      <c r="C971" s="10">
        <v>8.5</v>
      </c>
      <c r="D971" s="16" t="s">
        <v>4682</v>
      </c>
      <c r="E971" s="10" t="s">
        <v>4684</v>
      </c>
      <c r="F971" s="10" t="s">
        <v>4683</v>
      </c>
      <c r="G971" s="10" t="s">
        <v>4683</v>
      </c>
      <c r="H971" s="14">
        <v>2</v>
      </c>
      <c r="I971" s="10" t="s">
        <v>4683</v>
      </c>
      <c r="J971" s="10" t="str">
        <f t="shared" si="4"/>
        <v>normalweight</v>
      </c>
      <c r="L971" s="30" t="e">
        <v>#N/A</v>
      </c>
    </row>
    <row r="972" spans="1:12" ht="15.75" customHeight="1" x14ac:dyDescent="0.3">
      <c r="A972" s="10" t="s">
        <v>2734</v>
      </c>
      <c r="B972" s="10">
        <v>35.244999999999997</v>
      </c>
      <c r="C972" s="10">
        <v>11.22</v>
      </c>
      <c r="D972" s="16" t="s">
        <v>4682</v>
      </c>
      <c r="E972" s="10" t="s">
        <v>4684</v>
      </c>
      <c r="F972" s="10" t="s">
        <v>4683</v>
      </c>
      <c r="G972" s="10" t="s">
        <v>4683</v>
      </c>
      <c r="H972" s="14">
        <v>0</v>
      </c>
      <c r="I972" s="10" t="s">
        <v>4683</v>
      </c>
      <c r="J972" s="10" t="str">
        <f t="shared" si="4"/>
        <v>normalweight</v>
      </c>
      <c r="L972" s="30" t="e">
        <v>#N/A</v>
      </c>
    </row>
    <row r="973" spans="1:12" ht="15.75" customHeight="1" x14ac:dyDescent="0.3">
      <c r="A973" s="10" t="s">
        <v>2732</v>
      </c>
      <c r="B973" s="10">
        <v>49.84</v>
      </c>
      <c r="C973" s="10">
        <v>5.0999999999999996</v>
      </c>
      <c r="D973" s="10" t="s">
        <v>4685</v>
      </c>
      <c r="E973" s="10" t="s">
        <v>4684</v>
      </c>
      <c r="F973" s="10" t="s">
        <v>4683</v>
      </c>
      <c r="G973" s="10" t="s">
        <v>4686</v>
      </c>
      <c r="H973" s="14">
        <v>1</v>
      </c>
      <c r="I973" s="10" t="s">
        <v>4683</v>
      </c>
      <c r="J973" s="10" t="str">
        <f t="shared" si="4"/>
        <v>normalweight</v>
      </c>
      <c r="L973" s="30" t="e">
        <v>#N/A</v>
      </c>
    </row>
    <row r="974" spans="1:12" ht="15.75" customHeight="1" x14ac:dyDescent="0.3">
      <c r="A974" s="10" t="s">
        <v>2730</v>
      </c>
      <c r="B974" s="10">
        <v>49.06</v>
      </c>
      <c r="C974" s="10">
        <v>5.43</v>
      </c>
      <c r="D974" s="10" t="s">
        <v>4685</v>
      </c>
      <c r="E974" s="10" t="s">
        <v>4684</v>
      </c>
      <c r="F974" s="10" t="s">
        <v>4683</v>
      </c>
      <c r="G974" s="10" t="s">
        <v>4683</v>
      </c>
      <c r="H974" s="14">
        <v>1</v>
      </c>
      <c r="I974" s="10" t="s">
        <v>4683</v>
      </c>
      <c r="J974" s="10" t="str">
        <f t="shared" si="4"/>
        <v>normalweight</v>
      </c>
      <c r="L974" s="30" t="e">
        <v>#N/A</v>
      </c>
    </row>
    <row r="975" spans="1:12" ht="15.75" customHeight="1" x14ac:dyDescent="0.3">
      <c r="A975" s="10" t="s">
        <v>2728</v>
      </c>
      <c r="B975" s="10">
        <v>30.88</v>
      </c>
      <c r="C975" s="10">
        <v>5.82</v>
      </c>
      <c r="D975" s="10" t="s">
        <v>4685</v>
      </c>
      <c r="E975" s="10" t="s">
        <v>4683</v>
      </c>
      <c r="F975" s="10" t="s">
        <v>4683</v>
      </c>
      <c r="G975" s="10" t="s">
        <v>4683</v>
      </c>
      <c r="H975" s="14">
        <v>2</v>
      </c>
      <c r="I975" s="10" t="s">
        <v>4683</v>
      </c>
      <c r="J975" s="10" t="str">
        <f t="shared" si="4"/>
        <v>normalweight</v>
      </c>
      <c r="L975" s="30" t="e">
        <v>#N/A</v>
      </c>
    </row>
    <row r="976" spans="1:12" ht="15.75" customHeight="1" x14ac:dyDescent="0.3">
      <c r="A976" s="10" t="s">
        <v>2726</v>
      </c>
      <c r="B976" s="10">
        <v>33.35</v>
      </c>
      <c r="C976" s="10">
        <v>6.05</v>
      </c>
      <c r="D976" s="10" t="s">
        <v>4685</v>
      </c>
      <c r="E976" s="10" t="s">
        <v>4683</v>
      </c>
      <c r="F976" s="10" t="s">
        <v>4683</v>
      </c>
      <c r="G976" s="10" t="s">
        <v>4686</v>
      </c>
      <c r="H976" s="14">
        <v>1</v>
      </c>
      <c r="I976" s="10" t="s">
        <v>4683</v>
      </c>
      <c r="J976" s="10" t="str">
        <f t="shared" si="4"/>
        <v>normalweight</v>
      </c>
      <c r="L976" s="30" t="e">
        <v>#N/A</v>
      </c>
    </row>
    <row r="977" spans="1:12" ht="15.75" customHeight="1" x14ac:dyDescent="0.3">
      <c r="A977" s="10" t="s">
        <v>2724</v>
      </c>
      <c r="B977" s="10">
        <v>38</v>
      </c>
      <c r="C977" s="10">
        <v>6.38</v>
      </c>
      <c r="D977" s="10" t="s">
        <v>4685</v>
      </c>
      <c r="E977" s="10" t="s">
        <v>4684</v>
      </c>
      <c r="F977" s="10" t="s">
        <v>4683</v>
      </c>
      <c r="G977" s="10" t="s">
        <v>4683</v>
      </c>
      <c r="H977" s="14">
        <v>1</v>
      </c>
      <c r="I977" s="10" t="s">
        <v>4683</v>
      </c>
      <c r="J977" s="10" t="str">
        <f t="shared" si="4"/>
        <v>normalweight</v>
      </c>
      <c r="L977" s="30" t="e">
        <v>#N/A</v>
      </c>
    </row>
    <row r="978" spans="1:12" ht="15.75" customHeight="1" x14ac:dyDescent="0.3">
      <c r="A978" s="10" t="s">
        <v>2722</v>
      </c>
      <c r="B978" s="10">
        <v>36.08</v>
      </c>
      <c r="C978" s="10">
        <v>5.73</v>
      </c>
      <c r="D978" s="10" t="s">
        <v>4685</v>
      </c>
      <c r="E978" s="10" t="s">
        <v>4684</v>
      </c>
      <c r="F978" s="10" t="s">
        <v>4683</v>
      </c>
      <c r="G978" s="10" t="s">
        <v>4683</v>
      </c>
      <c r="H978" s="14">
        <v>1</v>
      </c>
      <c r="I978" s="10" t="s">
        <v>4683</v>
      </c>
      <c r="J978" s="10" t="str">
        <f t="shared" si="4"/>
        <v>normalweight</v>
      </c>
      <c r="L978" s="30" t="e">
        <v>#N/A</v>
      </c>
    </row>
    <row r="979" spans="1:12" ht="15.75" customHeight="1" x14ac:dyDescent="0.3">
      <c r="A979" s="10" t="s">
        <v>2720</v>
      </c>
      <c r="B979" s="10">
        <v>35.700000000000003</v>
      </c>
      <c r="C979" s="10">
        <v>5.47</v>
      </c>
      <c r="D979" s="10" t="s">
        <v>4685</v>
      </c>
      <c r="E979" s="10" t="s">
        <v>4684</v>
      </c>
      <c r="F979" s="10" t="s">
        <v>4683</v>
      </c>
      <c r="G979" s="10" t="s">
        <v>4683</v>
      </c>
      <c r="H979" s="14">
        <v>1</v>
      </c>
      <c r="I979" s="10" t="s">
        <v>4683</v>
      </c>
      <c r="J979" s="10" t="str">
        <f t="shared" si="4"/>
        <v>normalweight</v>
      </c>
      <c r="L979" s="30" t="e">
        <v>#N/A</v>
      </c>
    </row>
    <row r="980" spans="1:12" ht="15.75" customHeight="1" x14ac:dyDescent="0.3">
      <c r="A980" s="10" t="s">
        <v>2718</v>
      </c>
      <c r="B980" s="10">
        <v>34.01</v>
      </c>
      <c r="C980" s="10">
        <v>11.3</v>
      </c>
      <c r="D980" s="16" t="s">
        <v>4682</v>
      </c>
      <c r="E980" s="10" t="s">
        <v>4683</v>
      </c>
      <c r="F980" s="10" t="s">
        <v>4683</v>
      </c>
      <c r="G980" s="10" t="s">
        <v>4683</v>
      </c>
      <c r="H980" s="14">
        <v>0</v>
      </c>
      <c r="I980" s="10" t="s">
        <v>4683</v>
      </c>
      <c r="J980" s="10" t="str">
        <f t="shared" si="4"/>
        <v>normalweight</v>
      </c>
      <c r="L980" s="30" t="e">
        <v>#N/A</v>
      </c>
    </row>
    <row r="981" spans="1:12" ht="15.75" customHeight="1" x14ac:dyDescent="0.3">
      <c r="A981" s="10" t="s">
        <v>2716</v>
      </c>
      <c r="B981" s="10">
        <v>31.54</v>
      </c>
      <c r="C981" s="10">
        <v>6.72</v>
      </c>
      <c r="D981" s="16" t="s">
        <v>4682</v>
      </c>
      <c r="E981" s="10" t="s">
        <v>4683</v>
      </c>
      <c r="F981" s="10" t="s">
        <v>4683</v>
      </c>
      <c r="G981" s="10" t="s">
        <v>4683</v>
      </c>
      <c r="H981" s="14">
        <v>0</v>
      </c>
      <c r="I981" s="10" t="s">
        <v>4683</v>
      </c>
      <c r="J981" s="10" t="str">
        <f t="shared" si="4"/>
        <v>normalweight</v>
      </c>
      <c r="L981" s="30" t="e">
        <v>#N/A</v>
      </c>
    </row>
    <row r="982" spans="1:12" ht="15.75" customHeight="1" x14ac:dyDescent="0.3">
      <c r="A982" s="10" t="s">
        <v>2714</v>
      </c>
      <c r="B982" s="10">
        <v>23.3</v>
      </c>
      <c r="C982" s="10">
        <v>5.36</v>
      </c>
      <c r="D982" s="10" t="s">
        <v>4685</v>
      </c>
      <c r="E982" s="10" t="s">
        <v>4684</v>
      </c>
      <c r="F982" s="10" t="s">
        <v>4683</v>
      </c>
      <c r="G982" s="10" t="s">
        <v>4683</v>
      </c>
      <c r="H982" s="14">
        <v>1</v>
      </c>
      <c r="I982" s="10" t="s">
        <v>4683</v>
      </c>
      <c r="J982" s="10" t="str">
        <f t="shared" si="4"/>
        <v>normalweight</v>
      </c>
      <c r="L982" s="30" t="e">
        <v>#N/A</v>
      </c>
    </row>
    <row r="983" spans="1:12" ht="15.75" customHeight="1" x14ac:dyDescent="0.3">
      <c r="A983" s="10" t="s">
        <v>2712</v>
      </c>
      <c r="B983" s="10">
        <v>27.75</v>
      </c>
      <c r="C983" s="10">
        <v>9.8800000000000008</v>
      </c>
      <c r="D983" s="16" t="s">
        <v>4682</v>
      </c>
      <c r="E983" s="10" t="s">
        <v>4683</v>
      </c>
      <c r="F983" s="10" t="s">
        <v>4683</v>
      </c>
      <c r="G983" s="10" t="s">
        <v>4683</v>
      </c>
      <c r="H983" s="14">
        <v>0</v>
      </c>
      <c r="I983" s="10" t="s">
        <v>4683</v>
      </c>
      <c r="J983" s="10" t="str">
        <f t="shared" si="4"/>
        <v>normalweight</v>
      </c>
      <c r="L983" s="30" t="e">
        <v>#N/A</v>
      </c>
    </row>
    <row r="984" spans="1:12" ht="15.75" customHeight="1" x14ac:dyDescent="0.3">
      <c r="A984" s="10" t="s">
        <v>2710</v>
      </c>
      <c r="B984" s="10">
        <v>42.46</v>
      </c>
      <c r="C984" s="10">
        <v>4.1100000000000003</v>
      </c>
      <c r="D984" s="10" t="s">
        <v>4685</v>
      </c>
      <c r="E984" s="10" t="s">
        <v>4683</v>
      </c>
      <c r="F984" s="10" t="s">
        <v>4683</v>
      </c>
      <c r="G984" s="10" t="s">
        <v>4683</v>
      </c>
      <c r="H984" s="14">
        <v>0</v>
      </c>
      <c r="I984" s="10" t="s">
        <v>4683</v>
      </c>
      <c r="J984" s="10" t="str">
        <f t="shared" si="4"/>
        <v>normalweight</v>
      </c>
      <c r="L984" s="30" t="e">
        <v>#N/A</v>
      </c>
    </row>
    <row r="985" spans="1:12" ht="15.75" customHeight="1" x14ac:dyDescent="0.3">
      <c r="A985" s="10" t="s">
        <v>2708</v>
      </c>
      <c r="B985" s="10">
        <v>54.47</v>
      </c>
      <c r="C985" s="10">
        <v>7.48</v>
      </c>
      <c r="D985" s="16" t="s">
        <v>4682</v>
      </c>
      <c r="E985" s="10" t="s">
        <v>4683</v>
      </c>
      <c r="F985" s="10" t="s">
        <v>4683</v>
      </c>
      <c r="G985" s="10" t="s">
        <v>4683</v>
      </c>
      <c r="H985" s="14">
        <v>0</v>
      </c>
      <c r="I985" s="10" t="s">
        <v>4683</v>
      </c>
      <c r="J985" s="10" t="str">
        <f t="shared" si="4"/>
        <v>normalweight</v>
      </c>
      <c r="L985" s="30" t="e">
        <v>#N/A</v>
      </c>
    </row>
    <row r="986" spans="1:12" ht="15.75" customHeight="1" x14ac:dyDescent="0.3">
      <c r="A986" s="10" t="s">
        <v>2706</v>
      </c>
      <c r="B986" s="10">
        <v>24.93</v>
      </c>
      <c r="C986" s="10">
        <v>9.18</v>
      </c>
      <c r="D986" s="16" t="s">
        <v>4682</v>
      </c>
      <c r="E986" s="10" t="s">
        <v>4684</v>
      </c>
      <c r="F986" s="10" t="s">
        <v>4683</v>
      </c>
      <c r="G986" s="10" t="s">
        <v>4686</v>
      </c>
      <c r="H986" s="14">
        <v>1</v>
      </c>
      <c r="I986" s="10" t="s">
        <v>4683</v>
      </c>
      <c r="J986" s="10" t="str">
        <f t="shared" si="4"/>
        <v>normalweight</v>
      </c>
      <c r="L986" s="30" t="e">
        <v>#N/A</v>
      </c>
    </row>
    <row r="987" spans="1:12" ht="15.75" customHeight="1" x14ac:dyDescent="0.3">
      <c r="A987" s="10" t="s">
        <v>2704</v>
      </c>
      <c r="B987" s="10">
        <v>48.12</v>
      </c>
      <c r="C987" s="10">
        <v>4.51</v>
      </c>
      <c r="D987" s="10" t="s">
        <v>4685</v>
      </c>
      <c r="E987" s="10" t="s">
        <v>4684</v>
      </c>
      <c r="F987" s="10" t="s">
        <v>4683</v>
      </c>
      <c r="G987" s="10" t="s">
        <v>4683</v>
      </c>
      <c r="H987" s="14">
        <v>1</v>
      </c>
      <c r="I987" s="10" t="s">
        <v>4683</v>
      </c>
      <c r="J987" s="10" t="str">
        <f t="shared" si="4"/>
        <v>normalweight</v>
      </c>
      <c r="L987" s="30" t="e">
        <v>#N/A</v>
      </c>
    </row>
    <row r="988" spans="1:12" ht="15.75" customHeight="1" x14ac:dyDescent="0.3">
      <c r="A988" s="10" t="s">
        <v>2702</v>
      </c>
      <c r="B988" s="10">
        <v>24.91</v>
      </c>
      <c r="C988" s="10">
        <v>7.33</v>
      </c>
      <c r="D988" s="16" t="s">
        <v>4682</v>
      </c>
      <c r="E988" s="10" t="s">
        <v>4684</v>
      </c>
      <c r="F988" s="10" t="s">
        <v>4683</v>
      </c>
      <c r="G988" s="10" t="s">
        <v>4686</v>
      </c>
      <c r="H988" s="14">
        <v>1</v>
      </c>
      <c r="I988" s="10" t="s">
        <v>4683</v>
      </c>
      <c r="J988" s="10" t="str">
        <f t="shared" si="4"/>
        <v>normalweight</v>
      </c>
      <c r="L988" s="30" t="e">
        <v>#N/A</v>
      </c>
    </row>
    <row r="989" spans="1:12" ht="15.75" customHeight="1" x14ac:dyDescent="0.3">
      <c r="A989" s="10" t="s">
        <v>2700</v>
      </c>
      <c r="B989" s="10">
        <v>27.645</v>
      </c>
      <c r="C989" s="10">
        <v>10.56</v>
      </c>
      <c r="D989" s="16" t="s">
        <v>4682</v>
      </c>
      <c r="E989" s="10" t="s">
        <v>4683</v>
      </c>
      <c r="F989" s="10" t="s">
        <v>4683</v>
      </c>
      <c r="G989" s="10" t="s">
        <v>4683</v>
      </c>
      <c r="H989" s="14">
        <v>0</v>
      </c>
      <c r="I989" s="10" t="s">
        <v>4683</v>
      </c>
      <c r="J989" s="10" t="str">
        <f t="shared" si="4"/>
        <v>normalweight</v>
      </c>
      <c r="L989" s="30" t="e">
        <v>#N/A</v>
      </c>
    </row>
    <row r="990" spans="1:12" ht="15.75" customHeight="1" x14ac:dyDescent="0.3">
      <c r="A990" s="10" t="s">
        <v>2698</v>
      </c>
      <c r="B990" s="10">
        <v>33.700000000000003</v>
      </c>
      <c r="C990" s="10">
        <v>4.01</v>
      </c>
      <c r="D990" s="10" t="s">
        <v>4685</v>
      </c>
      <c r="E990" s="10" t="s">
        <v>4683</v>
      </c>
      <c r="F990" s="10" t="s">
        <v>4683</v>
      </c>
      <c r="G990" s="10" t="s">
        <v>4683</v>
      </c>
      <c r="H990" s="14">
        <v>2</v>
      </c>
      <c r="I990" s="10" t="s">
        <v>4683</v>
      </c>
      <c r="J990" s="10" t="str">
        <f t="shared" si="4"/>
        <v>normalweight</v>
      </c>
      <c r="L990" s="30" t="e">
        <v>#N/A</v>
      </c>
    </row>
    <row r="991" spans="1:12" ht="15.75" customHeight="1" x14ac:dyDescent="0.3">
      <c r="A991" s="10" t="s">
        <v>2696</v>
      </c>
      <c r="B991" s="10">
        <v>38.93</v>
      </c>
      <c r="C991" s="10">
        <v>5.64</v>
      </c>
      <c r="D991" s="10" t="s">
        <v>4685</v>
      </c>
      <c r="E991" s="10" t="s">
        <v>4684</v>
      </c>
      <c r="F991" s="10" t="s">
        <v>4683</v>
      </c>
      <c r="G991" s="10" t="s">
        <v>4683</v>
      </c>
      <c r="H991" s="14">
        <v>1</v>
      </c>
      <c r="I991" s="10" t="s">
        <v>4683</v>
      </c>
      <c r="J991" s="10" t="str">
        <f t="shared" si="4"/>
        <v>normalweight</v>
      </c>
      <c r="L991" s="30" t="e">
        <v>#N/A</v>
      </c>
    </row>
    <row r="992" spans="1:12" ht="15.75" customHeight="1" x14ac:dyDescent="0.3">
      <c r="A992" s="10" t="s">
        <v>2694</v>
      </c>
      <c r="B992" s="10">
        <v>32.774999999999999</v>
      </c>
      <c r="C992" s="10">
        <v>8.02</v>
      </c>
      <c r="D992" s="16" t="s">
        <v>4682</v>
      </c>
      <c r="E992" s="10" t="s">
        <v>4684</v>
      </c>
      <c r="F992" s="10" t="s">
        <v>4683</v>
      </c>
      <c r="G992" s="10" t="s">
        <v>4683</v>
      </c>
      <c r="H992" s="14">
        <v>2</v>
      </c>
      <c r="I992" s="10" t="s">
        <v>4683</v>
      </c>
      <c r="J992" s="10" t="str">
        <f t="shared" si="4"/>
        <v>normalweight</v>
      </c>
      <c r="L992" s="30" t="e">
        <v>#N/A</v>
      </c>
    </row>
    <row r="993" spans="1:12" ht="15.75" customHeight="1" x14ac:dyDescent="0.3">
      <c r="A993" s="10" t="s">
        <v>2692</v>
      </c>
      <c r="B993" s="10">
        <v>29.83</v>
      </c>
      <c r="C993" s="10">
        <v>7.2</v>
      </c>
      <c r="D993" s="16" t="s">
        <v>4682</v>
      </c>
      <c r="E993" s="10" t="s">
        <v>4684</v>
      </c>
      <c r="F993" s="10" t="s">
        <v>4683</v>
      </c>
      <c r="G993" s="10" t="s">
        <v>4683</v>
      </c>
      <c r="H993" s="14">
        <v>0</v>
      </c>
      <c r="I993" s="10" t="s">
        <v>4683</v>
      </c>
      <c r="J993" s="10" t="str">
        <f t="shared" si="4"/>
        <v>normalweight</v>
      </c>
      <c r="L993" s="30" t="e">
        <v>#N/A</v>
      </c>
    </row>
    <row r="994" spans="1:12" ht="15.75" customHeight="1" x14ac:dyDescent="0.3">
      <c r="A994" s="10" t="s">
        <v>2690</v>
      </c>
      <c r="B994" s="10">
        <v>28.31</v>
      </c>
      <c r="C994" s="10">
        <v>4.55</v>
      </c>
      <c r="D994" s="10" t="s">
        <v>4685</v>
      </c>
      <c r="E994" s="10" t="s">
        <v>4683</v>
      </c>
      <c r="F994" s="10" t="s">
        <v>4684</v>
      </c>
      <c r="G994" s="10" t="s">
        <v>4683</v>
      </c>
      <c r="H994" s="14">
        <v>1</v>
      </c>
      <c r="I994" s="10" t="s">
        <v>4683</v>
      </c>
      <c r="J994" s="10" t="str">
        <f t="shared" si="4"/>
        <v>normalweight</v>
      </c>
      <c r="L994" s="30" t="e">
        <v>#N/A</v>
      </c>
    </row>
    <row r="995" spans="1:12" ht="15.75" customHeight="1" x14ac:dyDescent="0.3">
      <c r="A995" s="10" t="s">
        <v>2688</v>
      </c>
      <c r="B995" s="10">
        <v>29.79</v>
      </c>
      <c r="C995" s="10">
        <v>9.0299999999999994</v>
      </c>
      <c r="D995" s="16" t="s">
        <v>4682</v>
      </c>
      <c r="E995" s="10" t="s">
        <v>4683</v>
      </c>
      <c r="F995" s="10" t="s">
        <v>4683</v>
      </c>
      <c r="G995" s="10" t="s">
        <v>4683</v>
      </c>
      <c r="H995" s="14">
        <v>0</v>
      </c>
      <c r="I995" s="10" t="s">
        <v>4683</v>
      </c>
      <c r="J995" s="10" t="str">
        <f t="shared" si="4"/>
        <v>normalweight</v>
      </c>
      <c r="L995" s="30" t="e">
        <v>#N/A</v>
      </c>
    </row>
    <row r="996" spans="1:12" ht="15.75" customHeight="1" x14ac:dyDescent="0.3">
      <c r="A996" s="10" t="s">
        <v>2686</v>
      </c>
      <c r="B996" s="10">
        <v>36.6</v>
      </c>
      <c r="C996" s="10">
        <v>5.2</v>
      </c>
      <c r="D996" s="10" t="s">
        <v>4685</v>
      </c>
      <c r="E996" s="10" t="s">
        <v>4684</v>
      </c>
      <c r="F996" s="10" t="s">
        <v>4683</v>
      </c>
      <c r="G996" s="10" t="s">
        <v>4686</v>
      </c>
      <c r="H996" s="14">
        <v>1</v>
      </c>
      <c r="I996" s="10" t="s">
        <v>4683</v>
      </c>
      <c r="J996" s="10" t="str">
        <f t="shared" si="4"/>
        <v>normalweight</v>
      </c>
      <c r="L996" s="30" t="e">
        <v>#N/A</v>
      </c>
    </row>
    <row r="997" spans="1:12" ht="15.75" customHeight="1" x14ac:dyDescent="0.3">
      <c r="A997" s="10" t="s">
        <v>2684</v>
      </c>
      <c r="B997" s="10">
        <v>35.93</v>
      </c>
      <c r="C997" s="10">
        <v>8.3000000000000007</v>
      </c>
      <c r="D997" s="10" t="s">
        <v>4685</v>
      </c>
      <c r="E997" s="10" t="s">
        <v>4684</v>
      </c>
      <c r="F997" s="10" t="s">
        <v>4683</v>
      </c>
      <c r="G997" s="10" t="s">
        <v>4683</v>
      </c>
      <c r="H997" s="14">
        <v>0</v>
      </c>
      <c r="I997" s="10" t="s">
        <v>4683</v>
      </c>
      <c r="J997" s="10" t="str">
        <f t="shared" si="4"/>
        <v>normalweight</v>
      </c>
      <c r="L997" s="30" t="e">
        <v>#N/A</v>
      </c>
    </row>
    <row r="998" spans="1:12" ht="15.75" customHeight="1" x14ac:dyDescent="0.3">
      <c r="A998" s="10" t="s">
        <v>2682</v>
      </c>
      <c r="B998" s="10">
        <v>28.6</v>
      </c>
      <c r="C998" s="10">
        <v>5.56</v>
      </c>
      <c r="D998" s="10" t="s">
        <v>4685</v>
      </c>
      <c r="E998" s="10" t="s">
        <v>4684</v>
      </c>
      <c r="F998" s="10" t="s">
        <v>4683</v>
      </c>
      <c r="G998" s="10" t="s">
        <v>4686</v>
      </c>
      <c r="H998" s="14">
        <v>1</v>
      </c>
      <c r="I998" s="10" t="s">
        <v>4683</v>
      </c>
      <c r="J998" s="10" t="str">
        <f t="shared" si="4"/>
        <v>normalweight</v>
      </c>
      <c r="L998" s="30" t="e">
        <v>#N/A</v>
      </c>
    </row>
    <row r="999" spans="1:12" ht="15.75" customHeight="1" x14ac:dyDescent="0.3">
      <c r="A999" s="10" t="s">
        <v>2680</v>
      </c>
      <c r="B999" s="10">
        <v>39.17</v>
      </c>
      <c r="C999" s="10">
        <v>4.1500000000000004</v>
      </c>
      <c r="D999" s="10" t="s">
        <v>4685</v>
      </c>
      <c r="E999" s="10" t="s">
        <v>4683</v>
      </c>
      <c r="F999" s="10" t="s">
        <v>4683</v>
      </c>
      <c r="G999" s="10" t="s">
        <v>4683</v>
      </c>
      <c r="H999" s="14">
        <v>0</v>
      </c>
      <c r="I999" s="10" t="s">
        <v>4683</v>
      </c>
      <c r="J999" s="10" t="str">
        <f t="shared" si="4"/>
        <v>normalweight</v>
      </c>
      <c r="L999" s="30" t="e">
        <v>#N/A</v>
      </c>
    </row>
    <row r="1000" spans="1:12" ht="15.75" customHeight="1" x14ac:dyDescent="0.3">
      <c r="A1000" s="10" t="s">
        <v>2678</v>
      </c>
      <c r="B1000" s="10">
        <v>26.41</v>
      </c>
      <c r="C1000" s="10">
        <v>5.99</v>
      </c>
      <c r="D1000" s="10" t="s">
        <v>4685</v>
      </c>
      <c r="E1000" s="10" t="s">
        <v>4684</v>
      </c>
      <c r="F1000" s="10" t="s">
        <v>4683</v>
      </c>
      <c r="G1000" s="10" t="s">
        <v>4686</v>
      </c>
      <c r="H1000" s="14">
        <v>1</v>
      </c>
      <c r="I1000" s="10" t="s">
        <v>4683</v>
      </c>
      <c r="J1000" s="10" t="str">
        <f t="shared" si="4"/>
        <v>normalweight</v>
      </c>
      <c r="L1000" s="30" t="e">
        <v>#N/A</v>
      </c>
    </row>
    <row r="1001" spans="1:12" ht="15.75" customHeight="1" x14ac:dyDescent="0.3">
      <c r="A1001" s="10" t="s">
        <v>2676</v>
      </c>
      <c r="B1001" s="10">
        <v>30.63</v>
      </c>
      <c r="C1001" s="10">
        <v>5.8</v>
      </c>
      <c r="D1001" s="10" t="s">
        <v>4685</v>
      </c>
      <c r="E1001" s="10" t="s">
        <v>4684</v>
      </c>
      <c r="F1001" s="10" t="s">
        <v>4683</v>
      </c>
      <c r="G1001" s="10" t="s">
        <v>4683</v>
      </c>
      <c r="H1001" s="14">
        <v>0</v>
      </c>
      <c r="I1001" s="10" t="s">
        <v>4683</v>
      </c>
      <c r="J1001" s="10" t="str">
        <f t="shared" si="4"/>
        <v>normalweight</v>
      </c>
      <c r="L1001" s="30" t="e">
        <v>#N/A</v>
      </c>
    </row>
    <row r="1002" spans="1:12" ht="15.75" customHeight="1" x14ac:dyDescent="0.3">
      <c r="A1002" s="10" t="s">
        <v>2674</v>
      </c>
      <c r="B1002" s="10">
        <v>31.73</v>
      </c>
      <c r="C1002" s="10">
        <v>7.32</v>
      </c>
      <c r="D1002" s="16" t="s">
        <v>4682</v>
      </c>
      <c r="E1002" s="10" t="s">
        <v>4684</v>
      </c>
      <c r="F1002" s="10" t="s">
        <v>4683</v>
      </c>
      <c r="G1002" s="10" t="s">
        <v>4683</v>
      </c>
      <c r="H1002" s="14">
        <v>2</v>
      </c>
      <c r="I1002" s="10" t="s">
        <v>4683</v>
      </c>
      <c r="J1002" s="10" t="str">
        <f t="shared" si="4"/>
        <v>normalweight</v>
      </c>
      <c r="L1002" s="30" t="e">
        <v>#N/A</v>
      </c>
    </row>
    <row r="1003" spans="1:12" ht="15.75" customHeight="1" x14ac:dyDescent="0.3">
      <c r="A1003" s="10" t="s">
        <v>2672</v>
      </c>
      <c r="B1003" s="10">
        <v>30.7</v>
      </c>
      <c r="C1003" s="10">
        <v>5.16</v>
      </c>
      <c r="D1003" s="10" t="s">
        <v>4685</v>
      </c>
      <c r="E1003" s="10" t="s">
        <v>4683</v>
      </c>
      <c r="F1003" s="10" t="s">
        <v>4683</v>
      </c>
      <c r="G1003" s="10" t="s">
        <v>4683</v>
      </c>
      <c r="H1003" s="14">
        <v>2</v>
      </c>
      <c r="I1003" s="10" t="s">
        <v>4683</v>
      </c>
      <c r="J1003" s="10" t="str">
        <f t="shared" si="4"/>
        <v>normalweight</v>
      </c>
      <c r="L1003" s="30" t="e">
        <v>#N/A</v>
      </c>
    </row>
    <row r="1004" spans="1:12" ht="15.75" customHeight="1" x14ac:dyDescent="0.3">
      <c r="A1004" s="10" t="s">
        <v>2670</v>
      </c>
      <c r="B1004" s="10">
        <v>25.934999999999999</v>
      </c>
      <c r="C1004" s="10">
        <v>5.96</v>
      </c>
      <c r="D1004" s="10" t="s">
        <v>4685</v>
      </c>
      <c r="E1004" s="10" t="s">
        <v>4684</v>
      </c>
      <c r="F1004" s="10" t="s">
        <v>4683</v>
      </c>
      <c r="G1004" s="10" t="s">
        <v>4683</v>
      </c>
      <c r="H1004" s="14">
        <v>2</v>
      </c>
      <c r="I1004" s="10" t="s">
        <v>4683</v>
      </c>
      <c r="J1004" s="10" t="str">
        <f t="shared" si="4"/>
        <v>normalweight</v>
      </c>
      <c r="L1004" s="30" t="e">
        <v>#N/A</v>
      </c>
    </row>
    <row r="1005" spans="1:12" ht="15.75" customHeight="1" x14ac:dyDescent="0.3">
      <c r="A1005" s="10" t="s">
        <v>2668</v>
      </c>
      <c r="B1005" s="10">
        <v>35.9</v>
      </c>
      <c r="C1005" s="10">
        <v>4.8499999999999996</v>
      </c>
      <c r="D1005" s="10" t="s">
        <v>4685</v>
      </c>
      <c r="E1005" s="10" t="s">
        <v>4684</v>
      </c>
      <c r="F1005" s="10" t="s">
        <v>4683</v>
      </c>
      <c r="G1005" s="10" t="s">
        <v>4686</v>
      </c>
      <c r="H1005" s="14">
        <v>1</v>
      </c>
      <c r="I1005" s="10" t="s">
        <v>4683</v>
      </c>
      <c r="J1005" s="10" t="str">
        <f t="shared" si="4"/>
        <v>normalweight</v>
      </c>
      <c r="L1005" s="30" t="e">
        <v>#N/A</v>
      </c>
    </row>
    <row r="1006" spans="1:12" ht="15.75" customHeight="1" x14ac:dyDescent="0.3">
      <c r="A1006" s="10" t="s">
        <v>2666</v>
      </c>
      <c r="B1006" s="10">
        <v>26.7</v>
      </c>
      <c r="C1006" s="10">
        <v>5.09</v>
      </c>
      <c r="D1006" s="10" t="s">
        <v>4685</v>
      </c>
      <c r="E1006" s="10" t="s">
        <v>4684</v>
      </c>
      <c r="F1006" s="10" t="s">
        <v>4683</v>
      </c>
      <c r="G1006" s="10" t="s">
        <v>4686</v>
      </c>
      <c r="H1006" s="14">
        <v>1</v>
      </c>
      <c r="I1006" s="10" t="s">
        <v>4683</v>
      </c>
      <c r="J1006" s="10" t="str">
        <f t="shared" si="4"/>
        <v>normalweight</v>
      </c>
      <c r="L1006" s="30" t="e">
        <v>#N/A</v>
      </c>
    </row>
    <row r="1007" spans="1:12" ht="15.75" customHeight="1" x14ac:dyDescent="0.3">
      <c r="A1007" s="10" t="s">
        <v>2664</v>
      </c>
      <c r="B1007" s="10">
        <v>33.71</v>
      </c>
      <c r="C1007" s="10">
        <v>4.9400000000000004</v>
      </c>
      <c r="D1007" s="10" t="s">
        <v>4685</v>
      </c>
      <c r="E1007" s="10" t="s">
        <v>4683</v>
      </c>
      <c r="F1007" s="10" t="s">
        <v>4683</v>
      </c>
      <c r="G1007" s="10" t="s">
        <v>4683</v>
      </c>
      <c r="H1007" s="14">
        <v>0</v>
      </c>
      <c r="I1007" s="10" t="s">
        <v>4683</v>
      </c>
      <c r="J1007" s="10" t="str">
        <f t="shared" si="4"/>
        <v>normalweight</v>
      </c>
      <c r="L1007" s="30" t="e">
        <v>#N/A</v>
      </c>
    </row>
    <row r="1008" spans="1:12" ht="15.75" customHeight="1" x14ac:dyDescent="0.3">
      <c r="A1008" s="10" t="s">
        <v>2662</v>
      </c>
      <c r="B1008" s="10">
        <v>41.91</v>
      </c>
      <c r="C1008" s="10">
        <v>4.92</v>
      </c>
      <c r="D1008" s="10" t="s">
        <v>4685</v>
      </c>
      <c r="E1008" s="10" t="s">
        <v>4684</v>
      </c>
      <c r="F1008" s="10" t="s">
        <v>4683</v>
      </c>
      <c r="G1008" s="10" t="s">
        <v>4683</v>
      </c>
      <c r="H1008" s="14">
        <v>2</v>
      </c>
      <c r="I1008" s="10" t="s">
        <v>4683</v>
      </c>
      <c r="J1008" s="10" t="str">
        <f t="shared" si="4"/>
        <v>normalweight</v>
      </c>
      <c r="L1008" s="30" t="e">
        <v>#N/A</v>
      </c>
    </row>
    <row r="1009" spans="1:12" ht="15.75" customHeight="1" x14ac:dyDescent="0.3">
      <c r="A1009" s="10" t="s">
        <v>2660</v>
      </c>
      <c r="B1009" s="10">
        <v>39.82</v>
      </c>
      <c r="C1009" s="10">
        <v>6.05</v>
      </c>
      <c r="D1009" s="10" t="s">
        <v>4685</v>
      </c>
      <c r="E1009" s="10" t="s">
        <v>4684</v>
      </c>
      <c r="F1009" s="10" t="s">
        <v>4683</v>
      </c>
      <c r="G1009" s="10" t="s">
        <v>4683</v>
      </c>
      <c r="H1009" s="14">
        <v>2</v>
      </c>
      <c r="I1009" s="10" t="s">
        <v>4683</v>
      </c>
      <c r="J1009" s="10" t="str">
        <f t="shared" si="4"/>
        <v>normalweight</v>
      </c>
      <c r="L1009" s="30" t="e">
        <v>#N/A</v>
      </c>
    </row>
    <row r="1010" spans="1:12" ht="15.75" customHeight="1" x14ac:dyDescent="0.3">
      <c r="A1010" s="10" t="s">
        <v>2658</v>
      </c>
      <c r="B1010" s="10">
        <v>28.12</v>
      </c>
      <c r="C1010" s="10">
        <v>4.67</v>
      </c>
      <c r="D1010" s="10" t="s">
        <v>4685</v>
      </c>
      <c r="E1010" s="10" t="s">
        <v>4683</v>
      </c>
      <c r="F1010" s="10" t="s">
        <v>4683</v>
      </c>
      <c r="G1010" s="10" t="s">
        <v>4683</v>
      </c>
      <c r="H1010" s="14">
        <v>2</v>
      </c>
      <c r="I1010" s="10" t="s">
        <v>4683</v>
      </c>
      <c r="J1010" s="10" t="str">
        <f t="shared" si="4"/>
        <v>normalweight</v>
      </c>
      <c r="L1010" s="30" t="e">
        <v>#N/A</v>
      </c>
    </row>
    <row r="1011" spans="1:12" ht="15.75" customHeight="1" x14ac:dyDescent="0.3">
      <c r="A1011" s="10" t="s">
        <v>2656</v>
      </c>
      <c r="B1011" s="10">
        <v>26.98</v>
      </c>
      <c r="C1011" s="10">
        <v>9.81</v>
      </c>
      <c r="D1011" s="16" t="s">
        <v>4682</v>
      </c>
      <c r="E1011" s="10" t="s">
        <v>4684</v>
      </c>
      <c r="F1011" s="10" t="s">
        <v>4683</v>
      </c>
      <c r="G1011" s="10" t="s">
        <v>4683</v>
      </c>
      <c r="H1011" s="14">
        <v>0</v>
      </c>
      <c r="I1011" s="10" t="s">
        <v>4683</v>
      </c>
      <c r="J1011" s="10" t="str">
        <f t="shared" si="4"/>
        <v>normalweight</v>
      </c>
      <c r="L1011" s="30" t="e">
        <v>#N/A</v>
      </c>
    </row>
    <row r="1012" spans="1:12" ht="15.75" customHeight="1" x14ac:dyDescent="0.3">
      <c r="A1012" s="10" t="s">
        <v>2654</v>
      </c>
      <c r="B1012" s="10">
        <v>27.2</v>
      </c>
      <c r="C1012" s="10">
        <v>6.06</v>
      </c>
      <c r="D1012" s="10" t="s">
        <v>4685</v>
      </c>
      <c r="E1012" s="10" t="s">
        <v>4684</v>
      </c>
      <c r="F1012" s="10" t="s">
        <v>4683</v>
      </c>
      <c r="G1012" s="10" t="s">
        <v>4683</v>
      </c>
      <c r="H1012" s="14">
        <v>2</v>
      </c>
      <c r="I1012" s="10" t="s">
        <v>4683</v>
      </c>
      <c r="J1012" s="10" t="str">
        <f t="shared" si="4"/>
        <v>normalweight</v>
      </c>
      <c r="L1012" s="30" t="e">
        <v>#N/A</v>
      </c>
    </row>
    <row r="1013" spans="1:12" ht="15.75" customHeight="1" x14ac:dyDescent="0.3">
      <c r="A1013" s="10" t="s">
        <v>2652</v>
      </c>
      <c r="B1013" s="10">
        <v>25.3</v>
      </c>
      <c r="C1013" s="10">
        <v>5.19</v>
      </c>
      <c r="D1013" s="10" t="s">
        <v>4685</v>
      </c>
      <c r="E1013" s="10" t="s">
        <v>4684</v>
      </c>
      <c r="F1013" s="10" t="s">
        <v>4683</v>
      </c>
      <c r="G1013" s="10" t="s">
        <v>4683</v>
      </c>
      <c r="H1013" s="14">
        <v>2</v>
      </c>
      <c r="I1013" s="10" t="s">
        <v>4683</v>
      </c>
      <c r="J1013" s="10" t="str">
        <f t="shared" si="4"/>
        <v>normalweight</v>
      </c>
      <c r="L1013" s="30" t="e">
        <v>#N/A</v>
      </c>
    </row>
    <row r="1014" spans="1:12" ht="15.75" customHeight="1" x14ac:dyDescent="0.3">
      <c r="A1014" s="10" t="s">
        <v>2650</v>
      </c>
      <c r="B1014" s="10">
        <v>30.25</v>
      </c>
      <c r="C1014" s="10">
        <v>10.16</v>
      </c>
      <c r="D1014" s="16" t="s">
        <v>4682</v>
      </c>
      <c r="E1014" s="10" t="s">
        <v>4683</v>
      </c>
      <c r="F1014" s="10" t="s">
        <v>4683</v>
      </c>
      <c r="G1014" s="10" t="s">
        <v>4683</v>
      </c>
      <c r="H1014" s="14">
        <v>0</v>
      </c>
      <c r="I1014" s="10" t="s">
        <v>4683</v>
      </c>
      <c r="J1014" s="10" t="str">
        <f t="shared" si="4"/>
        <v>normalweight</v>
      </c>
      <c r="L1014" s="30" t="e">
        <v>#N/A</v>
      </c>
    </row>
    <row r="1015" spans="1:12" ht="15.75" customHeight="1" x14ac:dyDescent="0.3">
      <c r="A1015" s="10" t="s">
        <v>2648</v>
      </c>
      <c r="B1015" s="10">
        <v>54</v>
      </c>
      <c r="C1015" s="10">
        <v>4.68</v>
      </c>
      <c r="D1015" s="10" t="s">
        <v>4685</v>
      </c>
      <c r="E1015" s="10" t="s">
        <v>4684</v>
      </c>
      <c r="F1015" s="10" t="s">
        <v>4684</v>
      </c>
      <c r="G1015" s="10" t="s">
        <v>4683</v>
      </c>
      <c r="H1015" s="14">
        <v>2</v>
      </c>
      <c r="I1015" s="10" t="s">
        <v>4683</v>
      </c>
      <c r="J1015" s="10" t="str">
        <f t="shared" si="4"/>
        <v>normalweight</v>
      </c>
      <c r="L1015" s="30" t="e">
        <v>#N/A</v>
      </c>
    </row>
    <row r="1016" spans="1:12" ht="15.75" customHeight="1" x14ac:dyDescent="0.3">
      <c r="A1016" s="10" t="s">
        <v>2646</v>
      </c>
      <c r="B1016" s="10">
        <v>51.86</v>
      </c>
      <c r="C1016" s="10">
        <v>5.32</v>
      </c>
      <c r="D1016" s="10" t="s">
        <v>4685</v>
      </c>
      <c r="E1016" s="10" t="s">
        <v>4684</v>
      </c>
      <c r="F1016" s="10" t="s">
        <v>4683</v>
      </c>
      <c r="G1016" s="10" t="s">
        <v>4683</v>
      </c>
      <c r="H1016" s="14">
        <v>0</v>
      </c>
      <c r="I1016" s="10" t="s">
        <v>4683</v>
      </c>
      <c r="J1016" s="10" t="str">
        <f t="shared" si="4"/>
        <v>normalweight</v>
      </c>
      <c r="L1016" s="30" t="e">
        <v>#N/A</v>
      </c>
    </row>
    <row r="1017" spans="1:12" ht="15.75" customHeight="1" x14ac:dyDescent="0.3">
      <c r="A1017" s="10" t="s">
        <v>2644</v>
      </c>
      <c r="B1017" s="10">
        <v>31.39</v>
      </c>
      <c r="C1017" s="10">
        <v>6.99</v>
      </c>
      <c r="D1017" s="16" t="s">
        <v>4682</v>
      </c>
      <c r="E1017" s="10" t="s">
        <v>4683</v>
      </c>
      <c r="F1017" s="10" t="s">
        <v>4683</v>
      </c>
      <c r="G1017" s="10" t="s">
        <v>4683</v>
      </c>
      <c r="H1017" s="14">
        <v>0</v>
      </c>
      <c r="I1017" s="10" t="s">
        <v>4683</v>
      </c>
      <c r="J1017" s="10" t="str">
        <f t="shared" si="4"/>
        <v>normalweight</v>
      </c>
      <c r="L1017" s="30" t="e">
        <v>#N/A</v>
      </c>
    </row>
    <row r="1018" spans="1:12" ht="15.75" customHeight="1" x14ac:dyDescent="0.3">
      <c r="A1018" s="10" t="s">
        <v>2642</v>
      </c>
      <c r="B1018" s="10">
        <v>39.97</v>
      </c>
      <c r="C1018" s="10">
        <v>5.55</v>
      </c>
      <c r="D1018" s="10" t="s">
        <v>4685</v>
      </c>
      <c r="E1018" s="10" t="s">
        <v>4683</v>
      </c>
      <c r="F1018" s="10" t="s">
        <v>4683</v>
      </c>
      <c r="G1018" s="10" t="s">
        <v>4683</v>
      </c>
      <c r="H1018" s="14">
        <v>0</v>
      </c>
      <c r="I1018" s="10" t="s">
        <v>4683</v>
      </c>
      <c r="J1018" s="10" t="str">
        <f t="shared" si="4"/>
        <v>normalweight</v>
      </c>
      <c r="L1018" s="30" t="e">
        <v>#N/A</v>
      </c>
    </row>
    <row r="1019" spans="1:12" ht="15.75" customHeight="1" x14ac:dyDescent="0.3">
      <c r="A1019" s="10" t="s">
        <v>2640</v>
      </c>
      <c r="B1019" s="10">
        <v>41.23</v>
      </c>
      <c r="C1019" s="10">
        <v>6.94</v>
      </c>
      <c r="D1019" s="16" t="s">
        <v>4682</v>
      </c>
      <c r="E1019" s="10" t="s">
        <v>4683</v>
      </c>
      <c r="F1019" s="10" t="s">
        <v>4683</v>
      </c>
      <c r="G1019" s="10" t="s">
        <v>4683</v>
      </c>
      <c r="H1019" s="14">
        <v>0</v>
      </c>
      <c r="I1019" s="10" t="s">
        <v>4683</v>
      </c>
      <c r="J1019" s="10" t="str">
        <f t="shared" si="4"/>
        <v>normalweight</v>
      </c>
      <c r="L1019" s="30" t="e">
        <v>#N/A</v>
      </c>
    </row>
    <row r="1020" spans="1:12" ht="15.75" customHeight="1" x14ac:dyDescent="0.3">
      <c r="A1020" s="10" t="s">
        <v>2638</v>
      </c>
      <c r="B1020" s="10">
        <v>49.45</v>
      </c>
      <c r="C1020" s="10">
        <v>4.2</v>
      </c>
      <c r="D1020" s="10" t="s">
        <v>4685</v>
      </c>
      <c r="E1020" s="10" t="s">
        <v>4684</v>
      </c>
      <c r="F1020" s="10" t="s">
        <v>4683</v>
      </c>
      <c r="G1020" s="10" t="s">
        <v>4683</v>
      </c>
      <c r="H1020" s="14">
        <v>0</v>
      </c>
      <c r="I1020" s="10" t="s">
        <v>4683</v>
      </c>
      <c r="J1020" s="10" t="str">
        <f t="shared" si="4"/>
        <v>normalweight</v>
      </c>
      <c r="L1020" s="30" t="e">
        <v>#N/A</v>
      </c>
    </row>
    <row r="1021" spans="1:12" ht="15.75" customHeight="1" x14ac:dyDescent="0.3">
      <c r="A1021" s="10" t="s">
        <v>2636</v>
      </c>
      <c r="B1021" s="10">
        <v>41.04</v>
      </c>
      <c r="C1021" s="10">
        <v>5.59</v>
      </c>
      <c r="D1021" s="10" t="s">
        <v>4685</v>
      </c>
      <c r="E1021" s="10" t="s">
        <v>4683</v>
      </c>
      <c r="F1021" s="10" t="s">
        <v>4683</v>
      </c>
      <c r="G1021" s="10" t="s">
        <v>4683</v>
      </c>
      <c r="H1021" s="14">
        <v>0</v>
      </c>
      <c r="I1021" s="10" t="s">
        <v>4683</v>
      </c>
      <c r="J1021" s="10" t="str">
        <f t="shared" si="4"/>
        <v>normalweight</v>
      </c>
      <c r="L1021" s="30" t="e">
        <v>#N/A</v>
      </c>
    </row>
    <row r="1022" spans="1:12" ht="15.75" customHeight="1" x14ac:dyDescent="0.3">
      <c r="A1022" s="10" t="s">
        <v>2634</v>
      </c>
      <c r="B1022" s="10">
        <v>27.93</v>
      </c>
      <c r="C1022" s="10">
        <v>9.9600000000000009</v>
      </c>
      <c r="D1022" s="16" t="s">
        <v>4682</v>
      </c>
      <c r="E1022" s="10" t="s">
        <v>4683</v>
      </c>
      <c r="F1022" s="10" t="s">
        <v>4683</v>
      </c>
      <c r="G1022" s="10" t="s">
        <v>4683</v>
      </c>
      <c r="H1022" s="14">
        <v>0</v>
      </c>
      <c r="I1022" s="10" t="s">
        <v>4683</v>
      </c>
      <c r="J1022" s="10" t="str">
        <f t="shared" si="4"/>
        <v>normalweight</v>
      </c>
      <c r="L1022" s="30" t="e">
        <v>#N/A</v>
      </c>
    </row>
    <row r="1023" spans="1:12" ht="15.75" customHeight="1" x14ac:dyDescent="0.3">
      <c r="A1023" s="10" t="s">
        <v>2632</v>
      </c>
      <c r="B1023" s="10">
        <v>21.01</v>
      </c>
      <c r="C1023" s="10">
        <v>7.37</v>
      </c>
      <c r="D1023" s="16" t="s">
        <v>4682</v>
      </c>
      <c r="E1023" s="10" t="s">
        <v>4683</v>
      </c>
      <c r="F1023" s="10" t="s">
        <v>4683</v>
      </c>
      <c r="G1023" s="10" t="s">
        <v>4683</v>
      </c>
      <c r="H1023" s="14">
        <v>0</v>
      </c>
      <c r="I1023" s="10" t="s">
        <v>4683</v>
      </c>
      <c r="J1023" s="10" t="str">
        <f t="shared" si="4"/>
        <v>normalweight</v>
      </c>
      <c r="L1023" s="30" t="e">
        <v>#N/A</v>
      </c>
    </row>
    <row r="1024" spans="1:12" ht="15.75" customHeight="1" x14ac:dyDescent="0.3">
      <c r="A1024" s="10" t="s">
        <v>2630</v>
      </c>
      <c r="B1024" s="10">
        <v>52.37</v>
      </c>
      <c r="C1024" s="10">
        <v>5.0599999999999996</v>
      </c>
      <c r="D1024" s="10" t="s">
        <v>4685</v>
      </c>
      <c r="E1024" s="10" t="s">
        <v>4684</v>
      </c>
      <c r="F1024" s="10" t="s">
        <v>4684</v>
      </c>
      <c r="G1024" s="10" t="s">
        <v>4683</v>
      </c>
      <c r="H1024" s="14">
        <v>2</v>
      </c>
      <c r="I1024" s="10" t="s">
        <v>4683</v>
      </c>
      <c r="J1024" s="10" t="str">
        <f t="shared" si="4"/>
        <v>normalweight</v>
      </c>
      <c r="L1024" s="30" t="e">
        <v>#N/A</v>
      </c>
    </row>
    <row r="1025" spans="1:12" ht="15.75" customHeight="1" x14ac:dyDescent="0.3">
      <c r="A1025" s="10" t="s">
        <v>2628</v>
      </c>
      <c r="B1025" s="10">
        <v>40.369999999999997</v>
      </c>
      <c r="C1025" s="10">
        <v>8.2100000000000009</v>
      </c>
      <c r="D1025" s="16" t="s">
        <v>4682</v>
      </c>
      <c r="E1025" s="10" t="s">
        <v>4683</v>
      </c>
      <c r="F1025" s="10" t="s">
        <v>4683</v>
      </c>
      <c r="G1025" s="10" t="s">
        <v>4683</v>
      </c>
      <c r="H1025" s="14">
        <v>0</v>
      </c>
      <c r="I1025" s="10" t="s">
        <v>4683</v>
      </c>
      <c r="J1025" s="10" t="str">
        <f t="shared" si="4"/>
        <v>normalweight</v>
      </c>
      <c r="L1025" s="30" t="e">
        <v>#N/A</v>
      </c>
    </row>
    <row r="1026" spans="1:12" ht="15.75" customHeight="1" x14ac:dyDescent="0.3">
      <c r="A1026" s="10" t="s">
        <v>2626</v>
      </c>
      <c r="B1026" s="10">
        <v>41.47</v>
      </c>
      <c r="C1026" s="10">
        <v>10.34</v>
      </c>
      <c r="D1026" s="16" t="s">
        <v>4682</v>
      </c>
      <c r="E1026" s="10" t="s">
        <v>4683</v>
      </c>
      <c r="F1026" s="10" t="s">
        <v>4683</v>
      </c>
      <c r="G1026" s="10" t="s">
        <v>4683</v>
      </c>
      <c r="H1026" s="14">
        <v>2</v>
      </c>
      <c r="I1026" s="10" t="s">
        <v>4683</v>
      </c>
      <c r="J1026" s="10" t="str">
        <f t="shared" si="4"/>
        <v>normalweight</v>
      </c>
      <c r="L1026" s="30" t="e">
        <v>#N/A</v>
      </c>
    </row>
    <row r="1027" spans="1:12" ht="15.75" customHeight="1" x14ac:dyDescent="0.3">
      <c r="A1027" s="10" t="s">
        <v>2624</v>
      </c>
      <c r="B1027" s="10">
        <v>33.725000000000001</v>
      </c>
      <c r="C1027" s="10">
        <v>5.51</v>
      </c>
      <c r="D1027" s="10" t="s">
        <v>4685</v>
      </c>
      <c r="E1027" s="10" t="s">
        <v>4684</v>
      </c>
      <c r="F1027" s="10" t="s">
        <v>4683</v>
      </c>
      <c r="G1027" s="10" t="s">
        <v>4683</v>
      </c>
      <c r="H1027" s="14">
        <v>2</v>
      </c>
      <c r="I1027" s="10" t="s">
        <v>4683</v>
      </c>
      <c r="J1027" s="10" t="str">
        <f t="shared" si="4"/>
        <v>normalweight</v>
      </c>
      <c r="L1027" s="30" t="e">
        <v>#N/A</v>
      </c>
    </row>
    <row r="1028" spans="1:12" ht="15.75" customHeight="1" x14ac:dyDescent="0.3">
      <c r="A1028" s="10" t="s">
        <v>2622</v>
      </c>
      <c r="B1028" s="10">
        <v>28.1</v>
      </c>
      <c r="C1028" s="10">
        <v>11.2</v>
      </c>
      <c r="D1028" s="16" t="s">
        <v>4682</v>
      </c>
      <c r="E1028" s="10" t="s">
        <v>4683</v>
      </c>
      <c r="F1028" s="10" t="s">
        <v>4683</v>
      </c>
      <c r="G1028" s="10" t="s">
        <v>4683</v>
      </c>
      <c r="H1028" s="14">
        <v>0</v>
      </c>
      <c r="I1028" s="10" t="s">
        <v>4683</v>
      </c>
      <c r="J1028" s="10" t="str">
        <f t="shared" si="4"/>
        <v>normalweight</v>
      </c>
      <c r="L1028" s="30" t="e">
        <v>#N/A</v>
      </c>
    </row>
    <row r="1029" spans="1:12" ht="15.75" customHeight="1" x14ac:dyDescent="0.3">
      <c r="A1029" s="10" t="s">
        <v>2620</v>
      </c>
      <c r="B1029" s="10">
        <v>37.43</v>
      </c>
      <c r="C1029" s="10">
        <v>4.3499999999999996</v>
      </c>
      <c r="D1029" s="10" t="s">
        <v>4685</v>
      </c>
      <c r="E1029" s="10" t="s">
        <v>4684</v>
      </c>
      <c r="F1029" s="10" t="s">
        <v>4683</v>
      </c>
      <c r="G1029" s="10" t="s">
        <v>4686</v>
      </c>
      <c r="H1029" s="14">
        <v>1</v>
      </c>
      <c r="I1029" s="10" t="s">
        <v>4683</v>
      </c>
      <c r="J1029" s="10" t="str">
        <f t="shared" si="4"/>
        <v>normalweight</v>
      </c>
      <c r="L1029" s="30" t="e">
        <v>#N/A</v>
      </c>
    </row>
    <row r="1030" spans="1:12" ht="15.75" customHeight="1" x14ac:dyDescent="0.3">
      <c r="A1030" s="10" t="s">
        <v>2618</v>
      </c>
      <c r="B1030" s="10">
        <v>23.7</v>
      </c>
      <c r="C1030" s="10">
        <v>10.45</v>
      </c>
      <c r="D1030" s="16" t="s">
        <v>4682</v>
      </c>
      <c r="E1030" s="10" t="s">
        <v>4683</v>
      </c>
      <c r="F1030" s="10" t="s">
        <v>4683</v>
      </c>
      <c r="G1030" s="10" t="s">
        <v>4683</v>
      </c>
      <c r="H1030" s="14">
        <v>0</v>
      </c>
      <c r="I1030" s="10" t="s">
        <v>4683</v>
      </c>
      <c r="J1030" s="10" t="str">
        <f t="shared" si="4"/>
        <v>normalweight</v>
      </c>
      <c r="L1030" s="30" t="e">
        <v>#N/A</v>
      </c>
    </row>
    <row r="1031" spans="1:12" ht="15.75" customHeight="1" x14ac:dyDescent="0.3">
      <c r="A1031" s="10" t="s">
        <v>2616</v>
      </c>
      <c r="B1031" s="10">
        <v>24.795000000000002</v>
      </c>
      <c r="C1031" s="10">
        <v>4.07</v>
      </c>
      <c r="D1031" s="10" t="s">
        <v>4685</v>
      </c>
      <c r="E1031" s="10" t="s">
        <v>4684</v>
      </c>
      <c r="F1031" s="10" t="s">
        <v>4683</v>
      </c>
      <c r="G1031" s="10" t="s">
        <v>4686</v>
      </c>
      <c r="H1031" s="14">
        <v>1</v>
      </c>
      <c r="I1031" s="10" t="s">
        <v>4683</v>
      </c>
      <c r="J1031" s="10" t="str">
        <f t="shared" si="4"/>
        <v>normalweight</v>
      </c>
      <c r="L1031" s="30" t="e">
        <v>#N/A</v>
      </c>
    </row>
    <row r="1032" spans="1:12" ht="15.75" customHeight="1" x14ac:dyDescent="0.3">
      <c r="A1032" s="10" t="s">
        <v>2614</v>
      </c>
      <c r="B1032" s="10">
        <v>31.9</v>
      </c>
      <c r="C1032" s="10">
        <v>8.34</v>
      </c>
      <c r="D1032" s="16" t="s">
        <v>4682</v>
      </c>
      <c r="E1032" s="10" t="s">
        <v>4683</v>
      </c>
      <c r="F1032" s="10" t="s">
        <v>4683</v>
      </c>
      <c r="G1032" s="10" t="s">
        <v>4683</v>
      </c>
      <c r="H1032" s="14">
        <v>0</v>
      </c>
      <c r="I1032" s="10" t="s">
        <v>4683</v>
      </c>
      <c r="J1032" s="10" t="str">
        <f t="shared" si="4"/>
        <v>normalweight</v>
      </c>
      <c r="L1032" s="30" t="e">
        <v>#N/A</v>
      </c>
    </row>
    <row r="1033" spans="1:12" ht="15.75" customHeight="1" x14ac:dyDescent="0.3">
      <c r="A1033" s="10" t="s">
        <v>2612</v>
      </c>
      <c r="B1033" s="10">
        <v>32.68</v>
      </c>
      <c r="C1033" s="10">
        <v>7.41</v>
      </c>
      <c r="D1033" s="16" t="s">
        <v>4682</v>
      </c>
      <c r="E1033" s="10" t="s">
        <v>4683</v>
      </c>
      <c r="F1033" s="10" t="s">
        <v>4683</v>
      </c>
      <c r="G1033" s="10" t="s">
        <v>4683</v>
      </c>
      <c r="H1033" s="14">
        <v>0</v>
      </c>
      <c r="I1033" s="10" t="s">
        <v>4683</v>
      </c>
      <c r="J1033" s="10" t="str">
        <f t="shared" si="4"/>
        <v>normalweight</v>
      </c>
      <c r="L1033" s="30" t="e">
        <v>#N/A</v>
      </c>
    </row>
    <row r="1034" spans="1:12" ht="15.75" customHeight="1" x14ac:dyDescent="0.3">
      <c r="A1034" s="10" t="s">
        <v>2610</v>
      </c>
      <c r="B1034" s="10">
        <v>47.13</v>
      </c>
      <c r="C1034" s="10">
        <v>4.3099999999999996</v>
      </c>
      <c r="D1034" s="10" t="s">
        <v>4685</v>
      </c>
      <c r="E1034" s="10" t="s">
        <v>4683</v>
      </c>
      <c r="F1034" s="10" t="s">
        <v>4683</v>
      </c>
      <c r="G1034" s="10" t="s">
        <v>4683</v>
      </c>
      <c r="H1034" s="14">
        <v>0</v>
      </c>
      <c r="I1034" s="10" t="s">
        <v>4683</v>
      </c>
      <c r="J1034" s="10" t="str">
        <f t="shared" si="4"/>
        <v>normalweight</v>
      </c>
      <c r="L1034" s="30" t="e">
        <v>#N/A</v>
      </c>
    </row>
    <row r="1035" spans="1:12" ht="15.75" customHeight="1" x14ac:dyDescent="0.3">
      <c r="A1035" s="10" t="s">
        <v>2608</v>
      </c>
      <c r="B1035" s="10">
        <v>36.67</v>
      </c>
      <c r="C1035" s="10">
        <v>10.83</v>
      </c>
      <c r="D1035" s="16" t="s">
        <v>4682</v>
      </c>
      <c r="E1035" s="10" t="s">
        <v>4683</v>
      </c>
      <c r="F1035" s="10" t="s">
        <v>4683</v>
      </c>
      <c r="G1035" s="10" t="s">
        <v>4683</v>
      </c>
      <c r="H1035" s="14">
        <v>0</v>
      </c>
      <c r="I1035" s="10" t="s">
        <v>4683</v>
      </c>
      <c r="J1035" s="10" t="str">
        <f t="shared" si="4"/>
        <v>normalweight</v>
      </c>
      <c r="L1035" s="30" t="e">
        <v>#N/A</v>
      </c>
    </row>
    <row r="1036" spans="1:12" ht="15.75" customHeight="1" x14ac:dyDescent="0.3">
      <c r="A1036" s="10" t="s">
        <v>2606</v>
      </c>
      <c r="B1036" s="10">
        <v>33.630000000000003</v>
      </c>
      <c r="C1036" s="10">
        <v>11.31</v>
      </c>
      <c r="D1036" s="16" t="s">
        <v>4682</v>
      </c>
      <c r="E1036" s="10" t="s">
        <v>4683</v>
      </c>
      <c r="F1036" s="10" t="s">
        <v>4683</v>
      </c>
      <c r="G1036" s="10" t="s">
        <v>4683</v>
      </c>
      <c r="H1036" s="14">
        <v>0</v>
      </c>
      <c r="I1036" s="10" t="s">
        <v>4683</v>
      </c>
      <c r="J1036" s="10" t="str">
        <f t="shared" si="4"/>
        <v>normalweight</v>
      </c>
      <c r="L1036" s="30" t="e">
        <v>#N/A</v>
      </c>
    </row>
    <row r="1037" spans="1:12" ht="15.75" customHeight="1" x14ac:dyDescent="0.3">
      <c r="A1037" s="10" t="s">
        <v>2604</v>
      </c>
      <c r="B1037" s="10">
        <v>32.67</v>
      </c>
      <c r="C1037" s="10">
        <v>11.81</v>
      </c>
      <c r="D1037" s="16" t="s">
        <v>4682</v>
      </c>
      <c r="E1037" s="10" t="s">
        <v>4684</v>
      </c>
      <c r="F1037" s="10" t="s">
        <v>4683</v>
      </c>
      <c r="G1037" s="10" t="s">
        <v>4683</v>
      </c>
      <c r="H1037" s="14">
        <v>0</v>
      </c>
      <c r="I1037" s="10" t="s">
        <v>4683</v>
      </c>
      <c r="J1037" s="10" t="str">
        <f t="shared" si="4"/>
        <v>normalweight</v>
      </c>
      <c r="L1037" s="30" t="e">
        <v>#N/A</v>
      </c>
    </row>
    <row r="1038" spans="1:12" ht="15.75" customHeight="1" x14ac:dyDescent="0.3">
      <c r="A1038" s="10" t="s">
        <v>2602</v>
      </c>
      <c r="B1038" s="10">
        <v>33.299999999999997</v>
      </c>
      <c r="C1038" s="10">
        <v>8.26</v>
      </c>
      <c r="D1038" s="16" t="s">
        <v>4682</v>
      </c>
      <c r="E1038" s="10" t="s">
        <v>4684</v>
      </c>
      <c r="F1038" s="10" t="s">
        <v>4683</v>
      </c>
      <c r="G1038" s="10" t="s">
        <v>4683</v>
      </c>
      <c r="H1038" s="14">
        <v>2</v>
      </c>
      <c r="I1038" s="10" t="s">
        <v>4683</v>
      </c>
      <c r="J1038" s="10" t="str">
        <f t="shared" si="4"/>
        <v>normalweight</v>
      </c>
      <c r="L1038" s="30" t="e">
        <v>#N/A</v>
      </c>
    </row>
    <row r="1039" spans="1:12" ht="15.75" customHeight="1" x14ac:dyDescent="0.3">
      <c r="A1039" s="10" t="s">
        <v>2600</v>
      </c>
      <c r="B1039" s="10">
        <v>30.78</v>
      </c>
      <c r="C1039" s="10">
        <v>10.74</v>
      </c>
      <c r="D1039" s="16" t="s">
        <v>4682</v>
      </c>
      <c r="E1039" s="10" t="s">
        <v>4684</v>
      </c>
      <c r="F1039" s="10" t="s">
        <v>4683</v>
      </c>
      <c r="G1039" s="10" t="s">
        <v>4683</v>
      </c>
      <c r="H1039" s="14">
        <v>2</v>
      </c>
      <c r="I1039" s="10" t="s">
        <v>4683</v>
      </c>
      <c r="J1039" s="10" t="str">
        <f t="shared" si="4"/>
        <v>normalweight</v>
      </c>
      <c r="L1039" s="30" t="e">
        <v>#N/A</v>
      </c>
    </row>
    <row r="1040" spans="1:12" ht="15.75" customHeight="1" x14ac:dyDescent="0.3">
      <c r="A1040" s="10" t="s">
        <v>2598</v>
      </c>
      <c r="B1040" s="10">
        <v>28.975000000000001</v>
      </c>
      <c r="C1040" s="10">
        <v>7.69</v>
      </c>
      <c r="D1040" s="16" t="s">
        <v>4682</v>
      </c>
      <c r="E1040" s="10" t="s">
        <v>4684</v>
      </c>
      <c r="F1040" s="10" t="s">
        <v>4683</v>
      </c>
      <c r="G1040" s="10" t="s">
        <v>4683</v>
      </c>
      <c r="H1040" s="14">
        <v>0</v>
      </c>
      <c r="I1040" s="10" t="s">
        <v>4683</v>
      </c>
      <c r="J1040" s="10" t="str">
        <f t="shared" ref="J1040:J1294" si="5">IF(B1040&lt;=18.5,"underweight",IF(B1040&gt;=18.5-24.9,"normalweight",IF(B1040&gt;=25-29.9,"overweight","obesity")))</f>
        <v>normalweight</v>
      </c>
      <c r="L1040" s="30" t="e">
        <v>#N/A</v>
      </c>
    </row>
    <row r="1041" spans="1:12" ht="15.75" customHeight="1" x14ac:dyDescent="0.3">
      <c r="A1041" s="10" t="s">
        <v>2596</v>
      </c>
      <c r="B1041" s="10">
        <v>33.4</v>
      </c>
      <c r="C1041" s="10">
        <v>4.84</v>
      </c>
      <c r="D1041" s="10" t="s">
        <v>4685</v>
      </c>
      <c r="E1041" s="10" t="s">
        <v>4683</v>
      </c>
      <c r="F1041" s="10" t="s">
        <v>4683</v>
      </c>
      <c r="G1041" s="10" t="s">
        <v>4683</v>
      </c>
      <c r="H1041" s="14">
        <v>0</v>
      </c>
      <c r="I1041" s="10" t="s">
        <v>4683</v>
      </c>
      <c r="J1041" s="10" t="str">
        <f t="shared" si="5"/>
        <v>normalweight</v>
      </c>
      <c r="L1041" s="30" t="e">
        <v>#N/A</v>
      </c>
    </row>
    <row r="1042" spans="1:12" ht="15.75" customHeight="1" x14ac:dyDescent="0.3">
      <c r="A1042" s="10" t="s">
        <v>2594</v>
      </c>
      <c r="B1042" s="10">
        <v>21.5</v>
      </c>
      <c r="C1042" s="10">
        <v>9.77</v>
      </c>
      <c r="D1042" s="16" t="s">
        <v>4682</v>
      </c>
      <c r="E1042" s="10" t="s">
        <v>4684</v>
      </c>
      <c r="F1042" s="10" t="s">
        <v>4683</v>
      </c>
      <c r="G1042" s="10" t="s">
        <v>4683</v>
      </c>
      <c r="H1042" s="14">
        <v>0</v>
      </c>
      <c r="I1042" s="10" t="s">
        <v>4683</v>
      </c>
      <c r="J1042" s="10" t="str">
        <f t="shared" si="5"/>
        <v>normalweight</v>
      </c>
      <c r="L1042" s="30" t="e">
        <v>#N/A</v>
      </c>
    </row>
    <row r="1043" spans="1:12" ht="15.75" customHeight="1" x14ac:dyDescent="0.3">
      <c r="A1043" s="10" t="s">
        <v>2592</v>
      </c>
      <c r="B1043" s="10">
        <v>38.14</v>
      </c>
      <c r="C1043" s="10">
        <v>5.84</v>
      </c>
      <c r="D1043" s="10" t="s">
        <v>4685</v>
      </c>
      <c r="E1043" s="10" t="s">
        <v>4683</v>
      </c>
      <c r="F1043" s="10" t="s">
        <v>4683</v>
      </c>
      <c r="G1043" s="10" t="s">
        <v>4683</v>
      </c>
      <c r="H1043" s="14">
        <v>0</v>
      </c>
      <c r="I1043" s="10" t="s">
        <v>4683</v>
      </c>
      <c r="J1043" s="10" t="str">
        <f t="shared" si="5"/>
        <v>normalweight</v>
      </c>
      <c r="L1043" s="30" t="e">
        <v>#N/A</v>
      </c>
    </row>
    <row r="1044" spans="1:12" ht="15.75" customHeight="1" x14ac:dyDescent="0.3">
      <c r="A1044" s="10" t="s">
        <v>2590</v>
      </c>
      <c r="B1044" s="10">
        <v>35.42</v>
      </c>
      <c r="C1044" s="10">
        <v>8.6999999999999993</v>
      </c>
      <c r="D1044" s="16" t="s">
        <v>4682</v>
      </c>
      <c r="E1044" s="10" t="s">
        <v>4684</v>
      </c>
      <c r="F1044" s="10" t="s">
        <v>4683</v>
      </c>
      <c r="G1044" s="10" t="s">
        <v>4683</v>
      </c>
      <c r="H1044" s="14">
        <v>1</v>
      </c>
      <c r="I1044" s="10" t="s">
        <v>4683</v>
      </c>
      <c r="J1044" s="10" t="str">
        <f t="shared" si="5"/>
        <v>normalweight</v>
      </c>
      <c r="L1044" s="30" t="e">
        <v>#N/A</v>
      </c>
    </row>
    <row r="1045" spans="1:12" ht="15.75" customHeight="1" x14ac:dyDescent="0.3">
      <c r="A1045" s="10" t="s">
        <v>2588</v>
      </c>
      <c r="B1045" s="10">
        <v>35.625</v>
      </c>
      <c r="C1045" s="10">
        <v>10.79</v>
      </c>
      <c r="D1045" s="16" t="s">
        <v>4682</v>
      </c>
      <c r="E1045" s="10" t="s">
        <v>4683</v>
      </c>
      <c r="F1045" s="10" t="s">
        <v>4683</v>
      </c>
      <c r="G1045" s="10" t="s">
        <v>4683</v>
      </c>
      <c r="H1045" s="14">
        <v>0</v>
      </c>
      <c r="I1045" s="10" t="s">
        <v>4683</v>
      </c>
      <c r="J1045" s="10" t="str">
        <f t="shared" si="5"/>
        <v>normalweight</v>
      </c>
      <c r="L1045" s="30" t="e">
        <v>#N/A</v>
      </c>
    </row>
    <row r="1046" spans="1:12" ht="15.75" customHeight="1" x14ac:dyDescent="0.3">
      <c r="A1046" s="10" t="s">
        <v>2586</v>
      </c>
      <c r="B1046" s="10">
        <v>45.51</v>
      </c>
      <c r="C1046" s="10">
        <v>4.32</v>
      </c>
      <c r="D1046" s="10" t="s">
        <v>4685</v>
      </c>
      <c r="E1046" s="10" t="s">
        <v>4683</v>
      </c>
      <c r="F1046" s="10" t="s">
        <v>4683</v>
      </c>
      <c r="G1046" s="10" t="s">
        <v>4683</v>
      </c>
      <c r="H1046" s="14">
        <v>1</v>
      </c>
      <c r="I1046" s="10" t="s">
        <v>4683</v>
      </c>
      <c r="J1046" s="10" t="str">
        <f t="shared" si="5"/>
        <v>normalweight</v>
      </c>
      <c r="L1046" s="30" t="e">
        <v>#N/A</v>
      </c>
    </row>
    <row r="1047" spans="1:12" ht="15.75" customHeight="1" x14ac:dyDescent="0.3">
      <c r="A1047" s="10" t="s">
        <v>2584</v>
      </c>
      <c r="B1047" s="10">
        <v>37.1</v>
      </c>
      <c r="C1047" s="10">
        <v>7.19</v>
      </c>
      <c r="D1047" s="16" t="s">
        <v>4682</v>
      </c>
      <c r="E1047" s="10" t="s">
        <v>4684</v>
      </c>
      <c r="F1047" s="10" t="s">
        <v>4683</v>
      </c>
      <c r="G1047" s="10" t="s">
        <v>4683</v>
      </c>
      <c r="H1047" s="14">
        <v>0</v>
      </c>
      <c r="I1047" s="10" t="s">
        <v>4683</v>
      </c>
      <c r="J1047" s="10" t="str">
        <f t="shared" si="5"/>
        <v>normalweight</v>
      </c>
      <c r="L1047" s="30" t="e">
        <v>#N/A</v>
      </c>
    </row>
    <row r="1048" spans="1:12" ht="15.75" customHeight="1" x14ac:dyDescent="0.3">
      <c r="A1048" s="10" t="s">
        <v>2582</v>
      </c>
      <c r="B1048" s="10">
        <v>30.5</v>
      </c>
      <c r="C1048" s="10">
        <v>11.94</v>
      </c>
      <c r="D1048" s="16" t="s">
        <v>4682</v>
      </c>
      <c r="E1048" s="10" t="s">
        <v>4684</v>
      </c>
      <c r="F1048" s="10" t="s">
        <v>4683</v>
      </c>
      <c r="G1048" s="10" t="s">
        <v>4683</v>
      </c>
      <c r="H1048" s="14">
        <v>0</v>
      </c>
      <c r="I1048" s="10" t="s">
        <v>4683</v>
      </c>
      <c r="J1048" s="10" t="str">
        <f t="shared" si="5"/>
        <v>normalweight</v>
      </c>
      <c r="L1048" s="30" t="e">
        <v>#N/A</v>
      </c>
    </row>
    <row r="1049" spans="1:12" ht="15.75" customHeight="1" x14ac:dyDescent="0.3">
      <c r="A1049" s="10" t="s">
        <v>2580</v>
      </c>
      <c r="B1049" s="10">
        <v>28.16</v>
      </c>
      <c r="C1049" s="10">
        <v>5.56</v>
      </c>
      <c r="D1049" s="10" t="s">
        <v>4685</v>
      </c>
      <c r="E1049" s="10" t="s">
        <v>4683</v>
      </c>
      <c r="F1049" s="10" t="s">
        <v>4683</v>
      </c>
      <c r="G1049" s="10" t="s">
        <v>4683</v>
      </c>
      <c r="H1049" s="14">
        <v>2</v>
      </c>
      <c r="I1049" s="10" t="s">
        <v>4683</v>
      </c>
      <c r="J1049" s="10" t="str">
        <f t="shared" si="5"/>
        <v>normalweight</v>
      </c>
      <c r="L1049" s="30" t="e">
        <v>#N/A</v>
      </c>
    </row>
    <row r="1050" spans="1:12" ht="15.75" customHeight="1" x14ac:dyDescent="0.3">
      <c r="A1050" s="10" t="s">
        <v>2578</v>
      </c>
      <c r="B1050" s="10">
        <v>29.1</v>
      </c>
      <c r="C1050" s="10">
        <v>5.64</v>
      </c>
      <c r="D1050" s="10" t="s">
        <v>4685</v>
      </c>
      <c r="E1050" s="10" t="s">
        <v>4684</v>
      </c>
      <c r="F1050" s="10" t="s">
        <v>4683</v>
      </c>
      <c r="G1050" s="10" t="s">
        <v>4683</v>
      </c>
      <c r="H1050" s="14">
        <v>0</v>
      </c>
      <c r="I1050" s="10" t="s">
        <v>4683</v>
      </c>
      <c r="J1050" s="10" t="str">
        <f t="shared" si="5"/>
        <v>normalweight</v>
      </c>
      <c r="L1050" s="30" t="e">
        <v>#N/A</v>
      </c>
    </row>
    <row r="1051" spans="1:12" ht="15.75" customHeight="1" x14ac:dyDescent="0.3">
      <c r="A1051" s="10" t="s">
        <v>2576</v>
      </c>
      <c r="B1051" s="10">
        <v>30.22</v>
      </c>
      <c r="C1051" s="10">
        <v>4.6500000000000004</v>
      </c>
      <c r="D1051" s="10" t="s">
        <v>4685</v>
      </c>
      <c r="E1051" s="10" t="s">
        <v>4683</v>
      </c>
      <c r="F1051" s="10" t="s">
        <v>4683</v>
      </c>
      <c r="G1051" s="10" t="s">
        <v>4683</v>
      </c>
      <c r="H1051" s="14">
        <v>0</v>
      </c>
      <c r="I1051" s="10" t="s">
        <v>4683</v>
      </c>
      <c r="J1051" s="10" t="str">
        <f t="shared" si="5"/>
        <v>normalweight</v>
      </c>
      <c r="L1051" s="30" t="e">
        <v>#N/A</v>
      </c>
    </row>
    <row r="1052" spans="1:12" ht="15.75" customHeight="1" x14ac:dyDescent="0.3">
      <c r="A1052" s="10" t="s">
        <v>2574</v>
      </c>
      <c r="B1052" s="10">
        <v>24.29</v>
      </c>
      <c r="C1052" s="10">
        <v>9.0500000000000007</v>
      </c>
      <c r="D1052" s="16" t="s">
        <v>4682</v>
      </c>
      <c r="E1052" s="10" t="s">
        <v>4683</v>
      </c>
      <c r="F1052" s="10" t="s">
        <v>4683</v>
      </c>
      <c r="G1052" s="10" t="s">
        <v>4683</v>
      </c>
      <c r="H1052" s="14">
        <v>0</v>
      </c>
      <c r="I1052" s="10" t="s">
        <v>4683</v>
      </c>
      <c r="J1052" s="10" t="str">
        <f t="shared" si="5"/>
        <v>normalweight</v>
      </c>
      <c r="L1052" s="30" t="e">
        <v>#N/A</v>
      </c>
    </row>
    <row r="1053" spans="1:12" ht="15.75" customHeight="1" x14ac:dyDescent="0.3">
      <c r="A1053" s="10" t="s">
        <v>2572</v>
      </c>
      <c r="B1053" s="10">
        <v>29.39</v>
      </c>
      <c r="C1053" s="10">
        <v>4.5199999999999996</v>
      </c>
      <c r="D1053" s="10" t="s">
        <v>4685</v>
      </c>
      <c r="E1053" s="10" t="s">
        <v>4684</v>
      </c>
      <c r="F1053" s="10" t="s">
        <v>4683</v>
      </c>
      <c r="G1053" s="10" t="s">
        <v>4683</v>
      </c>
      <c r="H1053" s="14">
        <v>0</v>
      </c>
      <c r="I1053" s="10" t="s">
        <v>4683</v>
      </c>
      <c r="J1053" s="10" t="str">
        <f t="shared" si="5"/>
        <v>normalweight</v>
      </c>
      <c r="L1053" s="30" t="e">
        <v>#N/A</v>
      </c>
    </row>
    <row r="1054" spans="1:12" ht="15.75" customHeight="1" x14ac:dyDescent="0.3">
      <c r="A1054" s="10" t="s">
        <v>2570</v>
      </c>
      <c r="B1054" s="10">
        <v>25.66</v>
      </c>
      <c r="C1054" s="10">
        <v>4.62</v>
      </c>
      <c r="D1054" s="10" t="s">
        <v>4685</v>
      </c>
      <c r="E1054" s="10" t="s">
        <v>4684</v>
      </c>
      <c r="F1054" s="10" t="s">
        <v>4683</v>
      </c>
      <c r="G1054" s="10" t="s">
        <v>4683</v>
      </c>
      <c r="H1054" s="14">
        <v>1</v>
      </c>
      <c r="I1054" s="10" t="s">
        <v>4683</v>
      </c>
      <c r="J1054" s="10" t="str">
        <f t="shared" si="5"/>
        <v>normalweight</v>
      </c>
      <c r="L1054" s="30" t="e">
        <v>#N/A</v>
      </c>
    </row>
    <row r="1055" spans="1:12" ht="15.75" customHeight="1" x14ac:dyDescent="0.3">
      <c r="A1055" s="10" t="s">
        <v>2568</v>
      </c>
      <c r="B1055" s="10">
        <v>39.11</v>
      </c>
      <c r="C1055" s="10">
        <v>5.87</v>
      </c>
      <c r="D1055" s="10" t="s">
        <v>4685</v>
      </c>
      <c r="E1055" s="10" t="s">
        <v>4683</v>
      </c>
      <c r="F1055" s="10" t="s">
        <v>4683</v>
      </c>
      <c r="G1055" s="10" t="s">
        <v>4683</v>
      </c>
      <c r="H1055" s="14">
        <v>0</v>
      </c>
      <c r="I1055" s="10" t="s">
        <v>4683</v>
      </c>
      <c r="J1055" s="10" t="str">
        <f t="shared" si="5"/>
        <v>normalweight</v>
      </c>
      <c r="L1055" s="30" t="e">
        <v>#N/A</v>
      </c>
    </row>
    <row r="1056" spans="1:12" ht="15.75" customHeight="1" x14ac:dyDescent="0.3">
      <c r="A1056" s="10" t="s">
        <v>2566</v>
      </c>
      <c r="B1056" s="10">
        <v>43.78</v>
      </c>
      <c r="C1056" s="10">
        <v>5.71</v>
      </c>
      <c r="D1056" s="10" t="s">
        <v>4685</v>
      </c>
      <c r="E1056" s="10" t="s">
        <v>4683</v>
      </c>
      <c r="F1056" s="10" t="s">
        <v>4683</v>
      </c>
      <c r="G1056" s="10" t="s">
        <v>4683</v>
      </c>
      <c r="H1056" s="14">
        <v>1</v>
      </c>
      <c r="I1056" s="10" t="s">
        <v>4683</v>
      </c>
      <c r="J1056" s="10" t="str">
        <f t="shared" si="5"/>
        <v>normalweight</v>
      </c>
      <c r="L1056" s="30" t="e">
        <v>#N/A</v>
      </c>
    </row>
    <row r="1057" spans="1:12" ht="15.75" customHeight="1" x14ac:dyDescent="0.3">
      <c r="A1057" s="10" t="s">
        <v>2564</v>
      </c>
      <c r="B1057" s="10">
        <v>24.35</v>
      </c>
      <c r="C1057" s="10">
        <v>9.08</v>
      </c>
      <c r="D1057" s="16" t="s">
        <v>4682</v>
      </c>
      <c r="E1057" s="10" t="s">
        <v>4683</v>
      </c>
      <c r="F1057" s="10" t="s">
        <v>4683</v>
      </c>
      <c r="G1057" s="10" t="s">
        <v>4683</v>
      </c>
      <c r="H1057" s="14">
        <v>0</v>
      </c>
      <c r="I1057" s="10" t="s">
        <v>4683</v>
      </c>
      <c r="J1057" s="10" t="str">
        <f t="shared" si="5"/>
        <v>normalweight</v>
      </c>
      <c r="L1057" s="30" t="e">
        <v>#N/A</v>
      </c>
    </row>
    <row r="1058" spans="1:12" ht="15.75" customHeight="1" x14ac:dyDescent="0.3">
      <c r="A1058" s="10" t="s">
        <v>2562</v>
      </c>
      <c r="B1058" s="10">
        <v>40.299999999999997</v>
      </c>
      <c r="C1058" s="10">
        <v>5.3</v>
      </c>
      <c r="D1058" s="10" t="s">
        <v>4685</v>
      </c>
      <c r="E1058" s="10" t="s">
        <v>4684</v>
      </c>
      <c r="F1058" s="10" t="s">
        <v>4683</v>
      </c>
      <c r="G1058" s="10" t="s">
        <v>4683</v>
      </c>
      <c r="H1058" s="14">
        <v>2</v>
      </c>
      <c r="I1058" s="10" t="s">
        <v>4683</v>
      </c>
      <c r="J1058" s="10" t="str">
        <f t="shared" si="5"/>
        <v>normalweight</v>
      </c>
      <c r="L1058" s="30" t="e">
        <v>#N/A</v>
      </c>
    </row>
    <row r="1059" spans="1:12" ht="15.75" customHeight="1" x14ac:dyDescent="0.3">
      <c r="A1059" s="10" t="s">
        <v>2560</v>
      </c>
      <c r="B1059" s="10">
        <v>32.774999999999999</v>
      </c>
      <c r="C1059" s="10">
        <v>11.76</v>
      </c>
      <c r="D1059" s="16" t="s">
        <v>4682</v>
      </c>
      <c r="E1059" s="10" t="s">
        <v>4684</v>
      </c>
      <c r="F1059" s="10" t="s">
        <v>4683</v>
      </c>
      <c r="G1059" s="10" t="s">
        <v>4683</v>
      </c>
      <c r="H1059" s="14">
        <v>0</v>
      </c>
      <c r="I1059" s="10" t="s">
        <v>4683</v>
      </c>
      <c r="J1059" s="10" t="str">
        <f t="shared" si="5"/>
        <v>normalweight</v>
      </c>
      <c r="L1059" s="30" t="e">
        <v>#N/A</v>
      </c>
    </row>
    <row r="1060" spans="1:12" ht="15.75" customHeight="1" x14ac:dyDescent="0.3">
      <c r="A1060" s="10" t="s">
        <v>2558</v>
      </c>
      <c r="B1060" s="10">
        <v>39.6</v>
      </c>
      <c r="C1060" s="10">
        <v>5.1100000000000003</v>
      </c>
      <c r="D1060" s="10" t="s">
        <v>4685</v>
      </c>
      <c r="E1060" s="10" t="s">
        <v>4684</v>
      </c>
      <c r="F1060" s="10" t="s">
        <v>4683</v>
      </c>
      <c r="G1060" s="10" t="s">
        <v>4683</v>
      </c>
      <c r="H1060" s="14">
        <v>2</v>
      </c>
      <c r="I1060" s="10" t="s">
        <v>4683</v>
      </c>
      <c r="J1060" s="10" t="str">
        <f t="shared" si="5"/>
        <v>normalweight</v>
      </c>
      <c r="L1060" s="30" t="e">
        <v>#N/A</v>
      </c>
    </row>
    <row r="1061" spans="1:12" ht="15.75" customHeight="1" x14ac:dyDescent="0.3">
      <c r="A1061" s="10" t="s">
        <v>2556</v>
      </c>
      <c r="B1061" s="10">
        <v>30.97</v>
      </c>
      <c r="C1061" s="10">
        <v>5.54</v>
      </c>
      <c r="D1061" s="10" t="s">
        <v>4685</v>
      </c>
      <c r="E1061" s="10" t="s">
        <v>4683</v>
      </c>
      <c r="F1061" s="10" t="s">
        <v>4683</v>
      </c>
      <c r="G1061" s="10" t="s">
        <v>4683</v>
      </c>
      <c r="H1061" s="14">
        <v>2</v>
      </c>
      <c r="I1061" s="10" t="s">
        <v>4683</v>
      </c>
      <c r="J1061" s="10" t="str">
        <f t="shared" si="5"/>
        <v>normalweight</v>
      </c>
      <c r="L1061" s="30" t="e">
        <v>#N/A</v>
      </c>
    </row>
    <row r="1062" spans="1:12" ht="15.75" customHeight="1" x14ac:dyDescent="0.3">
      <c r="A1062" s="10" t="s">
        <v>2554</v>
      </c>
      <c r="B1062" s="10">
        <v>27.645</v>
      </c>
      <c r="C1062" s="10">
        <v>8.8699999999999992</v>
      </c>
      <c r="D1062" s="10" t="s">
        <v>4685</v>
      </c>
      <c r="E1062" s="10" t="s">
        <v>4684</v>
      </c>
      <c r="F1062" s="10" t="s">
        <v>4683</v>
      </c>
      <c r="G1062" s="10" t="s">
        <v>4683</v>
      </c>
      <c r="H1062" s="14">
        <v>0</v>
      </c>
      <c r="I1062" s="10" t="s">
        <v>4683</v>
      </c>
      <c r="J1062" s="10" t="str">
        <f t="shared" si="5"/>
        <v>normalweight</v>
      </c>
      <c r="L1062" s="30" t="e">
        <v>#N/A</v>
      </c>
    </row>
    <row r="1063" spans="1:12" ht="15.75" customHeight="1" x14ac:dyDescent="0.3">
      <c r="A1063" s="10" t="s">
        <v>2552</v>
      </c>
      <c r="B1063" s="10">
        <v>34.43</v>
      </c>
      <c r="C1063" s="10">
        <v>5.96</v>
      </c>
      <c r="D1063" s="10" t="s">
        <v>4685</v>
      </c>
      <c r="E1063" s="10" t="s">
        <v>4684</v>
      </c>
      <c r="F1063" s="10" t="s">
        <v>4683</v>
      </c>
      <c r="G1063" s="10" t="s">
        <v>4683</v>
      </c>
      <c r="H1063" s="14">
        <v>2</v>
      </c>
      <c r="I1063" s="10" t="s">
        <v>4683</v>
      </c>
      <c r="J1063" s="10" t="str">
        <f t="shared" si="5"/>
        <v>normalweight</v>
      </c>
      <c r="L1063" s="30" t="e">
        <v>#N/A</v>
      </c>
    </row>
    <row r="1064" spans="1:12" ht="15.75" customHeight="1" x14ac:dyDescent="0.3">
      <c r="A1064" s="10" t="s">
        <v>2550</v>
      </c>
      <c r="B1064" s="10">
        <v>39.6</v>
      </c>
      <c r="C1064" s="10">
        <v>4.4400000000000004</v>
      </c>
      <c r="D1064" s="10" t="s">
        <v>4685</v>
      </c>
      <c r="E1064" s="10" t="s">
        <v>4684</v>
      </c>
      <c r="F1064" s="10" t="s">
        <v>4683</v>
      </c>
      <c r="G1064" s="10" t="s">
        <v>4686</v>
      </c>
      <c r="H1064" s="14">
        <v>1</v>
      </c>
      <c r="I1064" s="10" t="s">
        <v>4683</v>
      </c>
      <c r="J1064" s="10" t="str">
        <f t="shared" si="5"/>
        <v>normalweight</v>
      </c>
      <c r="L1064" s="30" t="e">
        <v>#N/A</v>
      </c>
    </row>
    <row r="1065" spans="1:12" ht="15.75" customHeight="1" x14ac:dyDescent="0.3">
      <c r="A1065" s="10" t="s">
        <v>2548</v>
      </c>
      <c r="B1065" s="10">
        <v>22.1</v>
      </c>
      <c r="C1065" s="10">
        <v>4.6500000000000004</v>
      </c>
      <c r="D1065" s="10" t="s">
        <v>4685</v>
      </c>
      <c r="E1065" s="10" t="s">
        <v>4684</v>
      </c>
      <c r="F1065" s="10" t="s">
        <v>4683</v>
      </c>
      <c r="G1065" s="10" t="s">
        <v>4683</v>
      </c>
      <c r="H1065" s="14">
        <v>2</v>
      </c>
      <c r="I1065" s="10" t="s">
        <v>4683</v>
      </c>
      <c r="J1065" s="10" t="str">
        <f t="shared" si="5"/>
        <v>normalweight</v>
      </c>
      <c r="L1065" s="30" t="e">
        <v>#N/A</v>
      </c>
    </row>
    <row r="1066" spans="1:12" ht="15.75" customHeight="1" x14ac:dyDescent="0.3">
      <c r="A1066" s="10" t="s">
        <v>2546</v>
      </c>
      <c r="B1066" s="10">
        <v>33.25</v>
      </c>
      <c r="C1066" s="10">
        <v>5.64</v>
      </c>
      <c r="D1066" s="10" t="s">
        <v>4685</v>
      </c>
      <c r="E1066" s="10" t="s">
        <v>4684</v>
      </c>
      <c r="F1066" s="10" t="s">
        <v>4683</v>
      </c>
      <c r="G1066" s="10" t="s">
        <v>4686</v>
      </c>
      <c r="H1066" s="14">
        <v>1</v>
      </c>
      <c r="I1066" s="10" t="s">
        <v>4683</v>
      </c>
      <c r="J1066" s="10" t="str">
        <f t="shared" si="5"/>
        <v>normalweight</v>
      </c>
      <c r="L1066" s="30" t="e">
        <v>#N/A</v>
      </c>
    </row>
    <row r="1067" spans="1:12" ht="15.75" customHeight="1" x14ac:dyDescent="0.3">
      <c r="A1067" s="10" t="s">
        <v>2544</v>
      </c>
      <c r="B1067" s="10">
        <v>33.33</v>
      </c>
      <c r="C1067" s="10">
        <v>10.19</v>
      </c>
      <c r="D1067" s="16" t="s">
        <v>4682</v>
      </c>
      <c r="E1067" s="10" t="s">
        <v>4683</v>
      </c>
      <c r="F1067" s="10" t="s">
        <v>4683</v>
      </c>
      <c r="G1067" s="10" t="s">
        <v>4683</v>
      </c>
      <c r="H1067" s="14">
        <v>0</v>
      </c>
      <c r="I1067" s="10" t="s">
        <v>4683</v>
      </c>
      <c r="J1067" s="10" t="str">
        <f t="shared" si="5"/>
        <v>normalweight</v>
      </c>
      <c r="L1067" s="30" t="e">
        <v>#N/A</v>
      </c>
    </row>
    <row r="1068" spans="1:12" ht="15.75" customHeight="1" x14ac:dyDescent="0.3">
      <c r="A1068" s="10" t="s">
        <v>2542</v>
      </c>
      <c r="B1068" s="10">
        <v>30.5</v>
      </c>
      <c r="C1068" s="10">
        <v>10.79</v>
      </c>
      <c r="D1068" s="16" t="s">
        <v>4682</v>
      </c>
      <c r="E1068" s="10" t="s">
        <v>4683</v>
      </c>
      <c r="F1068" s="10" t="s">
        <v>4683</v>
      </c>
      <c r="G1068" s="10" t="s">
        <v>4683</v>
      </c>
      <c r="H1068" s="14">
        <v>0</v>
      </c>
      <c r="I1068" s="10" t="s">
        <v>4683</v>
      </c>
      <c r="J1068" s="10" t="str">
        <f t="shared" si="5"/>
        <v>normalweight</v>
      </c>
      <c r="L1068" s="30" t="e">
        <v>#N/A</v>
      </c>
    </row>
    <row r="1069" spans="1:12" ht="15.75" customHeight="1" x14ac:dyDescent="0.3">
      <c r="A1069" s="10" t="s">
        <v>2540</v>
      </c>
      <c r="B1069" s="10">
        <v>30.3</v>
      </c>
      <c r="C1069" s="10">
        <v>4.24</v>
      </c>
      <c r="D1069" s="10" t="s">
        <v>4685</v>
      </c>
      <c r="E1069" s="10" t="s">
        <v>4683</v>
      </c>
      <c r="F1069" s="10" t="s">
        <v>4683</v>
      </c>
      <c r="G1069" s="10" t="s">
        <v>4683</v>
      </c>
      <c r="H1069" s="14">
        <v>0</v>
      </c>
      <c r="I1069" s="10" t="s">
        <v>4683</v>
      </c>
      <c r="J1069" s="10" t="str">
        <f t="shared" si="5"/>
        <v>normalweight</v>
      </c>
      <c r="L1069" s="30" t="e">
        <v>#N/A</v>
      </c>
    </row>
    <row r="1070" spans="1:12" ht="15.75" customHeight="1" x14ac:dyDescent="0.3">
      <c r="A1070" s="10" t="s">
        <v>2538</v>
      </c>
      <c r="B1070" s="10">
        <v>26.22</v>
      </c>
      <c r="C1070" s="10">
        <v>5.83</v>
      </c>
      <c r="D1070" s="10" t="s">
        <v>4685</v>
      </c>
      <c r="E1070" s="10" t="s">
        <v>4683</v>
      </c>
      <c r="F1070" s="10" t="s">
        <v>4683</v>
      </c>
      <c r="G1070" s="10" t="s">
        <v>4683</v>
      </c>
      <c r="H1070" s="14">
        <v>2</v>
      </c>
      <c r="I1070" s="10" t="s">
        <v>4683</v>
      </c>
      <c r="J1070" s="10" t="str">
        <f t="shared" si="5"/>
        <v>normalweight</v>
      </c>
      <c r="L1070" s="30" t="e">
        <v>#N/A</v>
      </c>
    </row>
    <row r="1071" spans="1:12" ht="15.75" customHeight="1" x14ac:dyDescent="0.3">
      <c r="A1071" s="10" t="s">
        <v>2536</v>
      </c>
      <c r="B1071" s="10">
        <v>29.99</v>
      </c>
      <c r="C1071" s="10">
        <v>11.85</v>
      </c>
      <c r="D1071" s="16" t="s">
        <v>4682</v>
      </c>
      <c r="E1071" s="10" t="s">
        <v>4683</v>
      </c>
      <c r="F1071" s="10" t="s">
        <v>4683</v>
      </c>
      <c r="G1071" s="10" t="s">
        <v>4683</v>
      </c>
      <c r="H1071" s="14">
        <v>0</v>
      </c>
      <c r="I1071" s="10" t="s">
        <v>4683</v>
      </c>
      <c r="J1071" s="10" t="str">
        <f t="shared" si="5"/>
        <v>normalweight</v>
      </c>
      <c r="L1071" s="30" t="e">
        <v>#N/A</v>
      </c>
    </row>
    <row r="1072" spans="1:12" ht="15.75" customHeight="1" x14ac:dyDescent="0.3">
      <c r="A1072" s="10" t="s">
        <v>2534</v>
      </c>
      <c r="B1072" s="10">
        <v>36.380000000000003</v>
      </c>
      <c r="C1072" s="10">
        <v>5.98</v>
      </c>
      <c r="D1072" s="10" t="s">
        <v>4685</v>
      </c>
      <c r="E1072" s="10" t="s">
        <v>4683</v>
      </c>
      <c r="F1072" s="10" t="s">
        <v>4683</v>
      </c>
      <c r="G1072" s="10" t="s">
        <v>4683</v>
      </c>
      <c r="H1072" s="14">
        <v>1</v>
      </c>
      <c r="I1072" s="10" t="s">
        <v>4683</v>
      </c>
      <c r="J1072" s="10" t="str">
        <f t="shared" si="5"/>
        <v>normalweight</v>
      </c>
      <c r="L1072" s="30" t="e">
        <v>#N/A</v>
      </c>
    </row>
    <row r="1073" spans="1:12" ht="15.75" customHeight="1" x14ac:dyDescent="0.3">
      <c r="A1073" s="10" t="s">
        <v>2532</v>
      </c>
      <c r="B1073" s="10">
        <v>31.16</v>
      </c>
      <c r="C1073" s="10">
        <v>4.26</v>
      </c>
      <c r="D1073" s="10" t="s">
        <v>4685</v>
      </c>
      <c r="E1073" s="10" t="s">
        <v>4684</v>
      </c>
      <c r="F1073" s="10" t="s">
        <v>4683</v>
      </c>
      <c r="G1073" s="10" t="s">
        <v>4686</v>
      </c>
      <c r="H1073" s="14">
        <v>1</v>
      </c>
      <c r="I1073" s="10" t="s">
        <v>4683</v>
      </c>
      <c r="J1073" s="10" t="str">
        <f t="shared" si="5"/>
        <v>normalweight</v>
      </c>
      <c r="L1073" s="30" t="e">
        <v>#N/A</v>
      </c>
    </row>
    <row r="1074" spans="1:12" ht="15.75" customHeight="1" x14ac:dyDescent="0.3">
      <c r="A1074" s="10" t="s">
        <v>2530</v>
      </c>
      <c r="B1074" s="10">
        <v>25.55</v>
      </c>
      <c r="C1074" s="10">
        <v>4.96</v>
      </c>
      <c r="D1074" s="10" t="s">
        <v>4685</v>
      </c>
      <c r="E1074" s="10" t="s">
        <v>4684</v>
      </c>
      <c r="F1074" s="10" t="s">
        <v>4683</v>
      </c>
      <c r="G1074" s="10" t="s">
        <v>4683</v>
      </c>
      <c r="H1074" s="14">
        <v>1</v>
      </c>
      <c r="I1074" s="10" t="s">
        <v>4683</v>
      </c>
      <c r="J1074" s="10" t="str">
        <f t="shared" si="5"/>
        <v>normalweight</v>
      </c>
      <c r="L1074" s="30" t="e">
        <v>#N/A</v>
      </c>
    </row>
    <row r="1075" spans="1:12" ht="15.75" customHeight="1" x14ac:dyDescent="0.3">
      <c r="A1075" s="10" t="s">
        <v>2528</v>
      </c>
      <c r="B1075" s="10">
        <v>28.77</v>
      </c>
      <c r="C1075" s="10">
        <v>4</v>
      </c>
      <c r="D1075" s="10" t="s">
        <v>4685</v>
      </c>
      <c r="E1075" s="10" t="s">
        <v>4684</v>
      </c>
      <c r="F1075" s="10" t="s">
        <v>4683</v>
      </c>
      <c r="G1075" s="10" t="s">
        <v>4683</v>
      </c>
      <c r="H1075" s="14">
        <v>0</v>
      </c>
      <c r="I1075" s="10" t="s">
        <v>4683</v>
      </c>
      <c r="J1075" s="10" t="str">
        <f t="shared" si="5"/>
        <v>normalweight</v>
      </c>
      <c r="L1075" s="30" t="e">
        <v>#N/A</v>
      </c>
    </row>
    <row r="1076" spans="1:12" ht="15.75" customHeight="1" x14ac:dyDescent="0.3">
      <c r="A1076" s="10" t="s">
        <v>2526</v>
      </c>
      <c r="B1076" s="10">
        <v>23.14</v>
      </c>
      <c r="C1076" s="10">
        <v>4.1500000000000004</v>
      </c>
      <c r="D1076" s="10" t="s">
        <v>4685</v>
      </c>
      <c r="E1076" s="10" t="s">
        <v>4684</v>
      </c>
      <c r="F1076" s="10" t="s">
        <v>4683</v>
      </c>
      <c r="G1076" s="10" t="s">
        <v>4683</v>
      </c>
      <c r="H1076" s="14">
        <v>1</v>
      </c>
      <c r="I1076" s="10" t="s">
        <v>4683</v>
      </c>
      <c r="J1076" s="10" t="str">
        <f t="shared" si="5"/>
        <v>normalweight</v>
      </c>
      <c r="L1076" s="30" t="e">
        <v>#N/A</v>
      </c>
    </row>
    <row r="1077" spans="1:12" ht="15.75" customHeight="1" x14ac:dyDescent="0.3">
      <c r="A1077" s="10" t="s">
        <v>2524</v>
      </c>
      <c r="B1077" s="10">
        <v>39.6</v>
      </c>
      <c r="C1077" s="10">
        <v>11.36</v>
      </c>
      <c r="D1077" s="16" t="s">
        <v>4682</v>
      </c>
      <c r="E1077" s="10" t="s">
        <v>4683</v>
      </c>
      <c r="F1077" s="10" t="s">
        <v>4683</v>
      </c>
      <c r="G1077" s="10" t="s">
        <v>4683</v>
      </c>
      <c r="H1077" s="14">
        <v>0</v>
      </c>
      <c r="I1077" s="10" t="s">
        <v>4683</v>
      </c>
      <c r="J1077" s="10" t="str">
        <f t="shared" si="5"/>
        <v>normalweight</v>
      </c>
      <c r="L1077" s="30" t="e">
        <v>#N/A</v>
      </c>
    </row>
    <row r="1078" spans="1:12" ht="15.75" customHeight="1" x14ac:dyDescent="0.3">
      <c r="A1078" s="10" t="s">
        <v>2522</v>
      </c>
      <c r="B1078" s="10">
        <v>29.2</v>
      </c>
      <c r="C1078" s="10">
        <v>7.53</v>
      </c>
      <c r="D1078" s="16" t="s">
        <v>4682</v>
      </c>
      <c r="E1078" s="10" t="s">
        <v>4683</v>
      </c>
      <c r="F1078" s="10" t="s">
        <v>4683</v>
      </c>
      <c r="G1078" s="10" t="s">
        <v>4683</v>
      </c>
      <c r="H1078" s="14">
        <v>0</v>
      </c>
      <c r="I1078" s="10" t="s">
        <v>4683</v>
      </c>
      <c r="J1078" s="10" t="str">
        <f t="shared" si="5"/>
        <v>normalweight</v>
      </c>
      <c r="L1078" s="30" t="e">
        <v>#N/A</v>
      </c>
    </row>
    <row r="1079" spans="1:12" ht="15.75" customHeight="1" x14ac:dyDescent="0.3">
      <c r="A1079" s="10" t="s">
        <v>2520</v>
      </c>
      <c r="B1079" s="10">
        <v>32.774999999999999</v>
      </c>
      <c r="C1079" s="10">
        <v>7.95</v>
      </c>
      <c r="D1079" s="16" t="s">
        <v>4682</v>
      </c>
      <c r="E1079" s="10" t="s">
        <v>4683</v>
      </c>
      <c r="F1079" s="10" t="s">
        <v>4683</v>
      </c>
      <c r="G1079" s="10" t="s">
        <v>4683</v>
      </c>
      <c r="H1079" s="14">
        <v>0</v>
      </c>
      <c r="I1079" s="10" t="s">
        <v>4683</v>
      </c>
      <c r="J1079" s="10" t="str">
        <f t="shared" si="5"/>
        <v>normalweight</v>
      </c>
      <c r="L1079" s="30" t="e">
        <v>#N/A</v>
      </c>
    </row>
    <row r="1080" spans="1:12" ht="15.75" customHeight="1" x14ac:dyDescent="0.3">
      <c r="A1080" s="10" t="s">
        <v>2518</v>
      </c>
      <c r="B1080" s="10">
        <v>24.035</v>
      </c>
      <c r="C1080" s="10">
        <v>8.5</v>
      </c>
      <c r="D1080" s="16" t="s">
        <v>4682</v>
      </c>
      <c r="E1080" s="10" t="s">
        <v>4683</v>
      </c>
      <c r="F1080" s="10" t="s">
        <v>4683</v>
      </c>
      <c r="G1080" s="10" t="s">
        <v>4683</v>
      </c>
      <c r="H1080" s="14">
        <v>0</v>
      </c>
      <c r="I1080" s="10" t="s">
        <v>4683</v>
      </c>
      <c r="J1080" s="10" t="str">
        <f t="shared" si="5"/>
        <v>normalweight</v>
      </c>
      <c r="L1080" s="30" t="e">
        <v>#N/A</v>
      </c>
    </row>
    <row r="1081" spans="1:12" ht="15.75" customHeight="1" x14ac:dyDescent="0.3">
      <c r="A1081" s="10" t="s">
        <v>2516</v>
      </c>
      <c r="B1081" s="10">
        <v>30.55</v>
      </c>
      <c r="C1081" s="10">
        <v>5.89</v>
      </c>
      <c r="D1081" s="10" t="s">
        <v>4685</v>
      </c>
      <c r="E1081" s="10" t="s">
        <v>4683</v>
      </c>
      <c r="F1081" s="10" t="s">
        <v>4683</v>
      </c>
      <c r="G1081" s="10" t="s">
        <v>4686</v>
      </c>
      <c r="H1081" s="14">
        <v>1</v>
      </c>
      <c r="I1081" s="10" t="s">
        <v>4683</v>
      </c>
      <c r="J1081" s="10" t="str">
        <f t="shared" si="5"/>
        <v>normalweight</v>
      </c>
      <c r="L1081" s="30" t="e">
        <v>#N/A</v>
      </c>
    </row>
    <row r="1082" spans="1:12" ht="15.75" customHeight="1" x14ac:dyDescent="0.3">
      <c r="A1082" s="10" t="s">
        <v>2514</v>
      </c>
      <c r="B1082" s="10">
        <v>28.81</v>
      </c>
      <c r="C1082" s="10">
        <v>8.76</v>
      </c>
      <c r="D1082" s="16" t="s">
        <v>4682</v>
      </c>
      <c r="E1082" s="10" t="s">
        <v>4683</v>
      </c>
      <c r="F1082" s="10" t="s">
        <v>4683</v>
      </c>
      <c r="G1082" s="10" t="s">
        <v>4683</v>
      </c>
      <c r="H1082" s="14">
        <v>2</v>
      </c>
      <c r="I1082" s="10" t="s">
        <v>4683</v>
      </c>
      <c r="J1082" s="10" t="str">
        <f t="shared" si="5"/>
        <v>normalweight</v>
      </c>
      <c r="L1082" s="30" t="e">
        <v>#N/A</v>
      </c>
    </row>
    <row r="1083" spans="1:12" ht="15.75" customHeight="1" x14ac:dyDescent="0.3">
      <c r="A1083" s="10" t="s">
        <v>2512</v>
      </c>
      <c r="B1083" s="10">
        <v>31.66</v>
      </c>
      <c r="C1083" s="10">
        <v>4.1100000000000003</v>
      </c>
      <c r="D1083" s="10" t="s">
        <v>4685</v>
      </c>
      <c r="E1083" s="10" t="s">
        <v>4683</v>
      </c>
      <c r="F1083" s="10" t="s">
        <v>4683</v>
      </c>
      <c r="G1083" s="10" t="s">
        <v>4683</v>
      </c>
      <c r="H1083" s="14">
        <v>0</v>
      </c>
      <c r="I1083" s="10" t="s">
        <v>4683</v>
      </c>
      <c r="J1083" s="10" t="str">
        <f t="shared" si="5"/>
        <v>normalweight</v>
      </c>
      <c r="L1083" s="30" t="e">
        <v>#N/A</v>
      </c>
    </row>
    <row r="1084" spans="1:12" ht="15.75" customHeight="1" x14ac:dyDescent="0.3">
      <c r="A1084" s="10" t="s">
        <v>2510</v>
      </c>
      <c r="B1084" s="10">
        <v>28.215</v>
      </c>
      <c r="C1084" s="10">
        <v>7.56</v>
      </c>
      <c r="D1084" s="16" t="s">
        <v>4682</v>
      </c>
      <c r="E1084" s="10" t="s">
        <v>4684</v>
      </c>
      <c r="F1084" s="10" t="s">
        <v>4683</v>
      </c>
      <c r="G1084" s="10" t="s">
        <v>4683</v>
      </c>
      <c r="H1084" s="14">
        <v>1</v>
      </c>
      <c r="I1084" s="10" t="s">
        <v>4683</v>
      </c>
      <c r="J1084" s="10" t="str">
        <f t="shared" si="5"/>
        <v>normalweight</v>
      </c>
      <c r="L1084" s="30" t="e">
        <v>#N/A</v>
      </c>
    </row>
    <row r="1085" spans="1:12" ht="15.75" customHeight="1" x14ac:dyDescent="0.3">
      <c r="A1085" s="10" t="s">
        <v>2508</v>
      </c>
      <c r="B1085" s="10">
        <v>26.12</v>
      </c>
      <c r="C1085" s="10">
        <v>4.17</v>
      </c>
      <c r="D1085" s="10" t="s">
        <v>4685</v>
      </c>
      <c r="E1085" s="10" t="s">
        <v>4684</v>
      </c>
      <c r="F1085" s="10" t="s">
        <v>4683</v>
      </c>
      <c r="G1085" s="10" t="s">
        <v>4686</v>
      </c>
      <c r="H1085" s="14">
        <v>1</v>
      </c>
      <c r="I1085" s="10" t="s">
        <v>4683</v>
      </c>
      <c r="J1085" s="10" t="str">
        <f t="shared" si="5"/>
        <v>normalweight</v>
      </c>
      <c r="L1085" s="30" t="e">
        <v>#N/A</v>
      </c>
    </row>
    <row r="1086" spans="1:12" ht="15.75" customHeight="1" x14ac:dyDescent="0.3">
      <c r="A1086" s="10" t="s">
        <v>2506</v>
      </c>
      <c r="B1086" s="10">
        <v>36.630000000000003</v>
      </c>
      <c r="C1086" s="10">
        <v>11.42</v>
      </c>
      <c r="D1086" s="16" t="s">
        <v>4682</v>
      </c>
      <c r="E1086" s="10" t="s">
        <v>4683</v>
      </c>
      <c r="F1086" s="10" t="s">
        <v>4683</v>
      </c>
      <c r="G1086" s="10" t="s">
        <v>4683</v>
      </c>
      <c r="H1086" s="14">
        <v>2</v>
      </c>
      <c r="I1086" s="10" t="s">
        <v>4683</v>
      </c>
      <c r="J1086" s="10" t="str">
        <f t="shared" si="5"/>
        <v>normalweight</v>
      </c>
      <c r="L1086" s="30" t="e">
        <v>#N/A</v>
      </c>
    </row>
    <row r="1087" spans="1:12" ht="15.75" customHeight="1" x14ac:dyDescent="0.3">
      <c r="A1087" s="10" t="s">
        <v>2504</v>
      </c>
      <c r="B1087" s="10">
        <v>33.344999999999999</v>
      </c>
      <c r="C1087" s="10">
        <v>7.33</v>
      </c>
      <c r="D1087" s="16" t="s">
        <v>4682</v>
      </c>
      <c r="E1087" s="10" t="s">
        <v>4683</v>
      </c>
      <c r="F1087" s="10" t="s">
        <v>4683</v>
      </c>
      <c r="G1087" s="10" t="s">
        <v>4683</v>
      </c>
      <c r="H1087" s="14">
        <v>2</v>
      </c>
      <c r="I1087" s="10" t="s">
        <v>4683</v>
      </c>
      <c r="J1087" s="10" t="str">
        <f t="shared" si="5"/>
        <v>normalweight</v>
      </c>
      <c r="L1087" s="30" t="e">
        <v>#N/A</v>
      </c>
    </row>
    <row r="1088" spans="1:12" ht="15.75" customHeight="1" x14ac:dyDescent="0.3">
      <c r="A1088" s="10" t="s">
        <v>2502</v>
      </c>
      <c r="B1088" s="10">
        <v>27.11</v>
      </c>
      <c r="C1088" s="10">
        <v>6.7</v>
      </c>
      <c r="D1088" s="16" t="s">
        <v>4682</v>
      </c>
      <c r="E1088" s="10" t="s">
        <v>4683</v>
      </c>
      <c r="F1088" s="10" t="s">
        <v>4683</v>
      </c>
      <c r="G1088" s="10" t="s">
        <v>4683</v>
      </c>
      <c r="H1088" s="14">
        <v>0</v>
      </c>
      <c r="I1088" s="10" t="s">
        <v>4683</v>
      </c>
      <c r="J1088" s="10" t="str">
        <f t="shared" si="5"/>
        <v>normalweight</v>
      </c>
      <c r="L1088" s="30" t="e">
        <v>#N/A</v>
      </c>
    </row>
    <row r="1089" spans="1:12" ht="15.75" customHeight="1" x14ac:dyDescent="0.3">
      <c r="A1089" s="10" t="s">
        <v>2500</v>
      </c>
      <c r="B1089" s="10">
        <v>26.6</v>
      </c>
      <c r="C1089" s="10">
        <v>5.27</v>
      </c>
      <c r="D1089" s="10" t="s">
        <v>4685</v>
      </c>
      <c r="E1089" s="10" t="s">
        <v>4684</v>
      </c>
      <c r="F1089" s="10" t="s">
        <v>4683</v>
      </c>
      <c r="G1089" s="10" t="s">
        <v>4686</v>
      </c>
      <c r="H1089" s="14">
        <v>1</v>
      </c>
      <c r="I1089" s="10" t="s">
        <v>4683</v>
      </c>
      <c r="J1089" s="10" t="str">
        <f t="shared" si="5"/>
        <v>normalweight</v>
      </c>
      <c r="L1089" s="30" t="e">
        <v>#N/A</v>
      </c>
    </row>
    <row r="1090" spans="1:12" ht="15.75" customHeight="1" x14ac:dyDescent="0.3">
      <c r="A1090" s="10" t="s">
        <v>2498</v>
      </c>
      <c r="B1090" s="10">
        <v>30.41</v>
      </c>
      <c r="C1090" s="10">
        <v>7.72</v>
      </c>
      <c r="D1090" s="16" t="s">
        <v>4682</v>
      </c>
      <c r="E1090" s="10" t="s">
        <v>4683</v>
      </c>
      <c r="F1090" s="10" t="s">
        <v>4683</v>
      </c>
      <c r="G1090" s="10" t="s">
        <v>4683</v>
      </c>
      <c r="H1090" s="14">
        <v>0</v>
      </c>
      <c r="I1090" s="10" t="s">
        <v>4683</v>
      </c>
      <c r="J1090" s="10" t="str">
        <f t="shared" si="5"/>
        <v>normalweight</v>
      </c>
      <c r="L1090" s="30" t="e">
        <v>#N/A</v>
      </c>
    </row>
    <row r="1091" spans="1:12" ht="15.75" customHeight="1" x14ac:dyDescent="0.3">
      <c r="A1091" s="10" t="s">
        <v>2496</v>
      </c>
      <c r="B1091" s="10">
        <v>28.98</v>
      </c>
      <c r="C1091" s="10">
        <v>8.68</v>
      </c>
      <c r="D1091" s="16" t="s">
        <v>4682</v>
      </c>
      <c r="E1091" s="10" t="s">
        <v>4683</v>
      </c>
      <c r="F1091" s="10" t="s">
        <v>4683</v>
      </c>
      <c r="G1091" s="10" t="s">
        <v>4683</v>
      </c>
      <c r="H1091" s="14">
        <v>2</v>
      </c>
      <c r="I1091" s="10" t="s">
        <v>4683</v>
      </c>
      <c r="J1091" s="10" t="str">
        <f t="shared" si="5"/>
        <v>normalweight</v>
      </c>
      <c r="L1091" s="30" t="e">
        <v>#N/A</v>
      </c>
    </row>
    <row r="1092" spans="1:12" ht="15.75" customHeight="1" x14ac:dyDescent="0.3">
      <c r="A1092" s="10" t="s">
        <v>2494</v>
      </c>
      <c r="B1092" s="10">
        <v>31.24</v>
      </c>
      <c r="C1092" s="10">
        <v>9.8000000000000007</v>
      </c>
      <c r="D1092" s="16" t="s">
        <v>4682</v>
      </c>
      <c r="E1092" s="10" t="s">
        <v>4683</v>
      </c>
      <c r="F1092" s="10" t="s">
        <v>4683</v>
      </c>
      <c r="G1092" s="10" t="s">
        <v>4683</v>
      </c>
      <c r="H1092" s="14">
        <v>0</v>
      </c>
      <c r="I1092" s="10" t="s">
        <v>4683</v>
      </c>
      <c r="J1092" s="10" t="str">
        <f t="shared" si="5"/>
        <v>normalweight</v>
      </c>
      <c r="L1092" s="30" t="e">
        <v>#N/A</v>
      </c>
    </row>
    <row r="1093" spans="1:12" ht="15.75" customHeight="1" x14ac:dyDescent="0.3">
      <c r="A1093" s="10" t="s">
        <v>2492</v>
      </c>
      <c r="B1093" s="10">
        <v>31.54</v>
      </c>
      <c r="C1093" s="10">
        <v>4.4400000000000004</v>
      </c>
      <c r="D1093" s="10" t="s">
        <v>4685</v>
      </c>
      <c r="E1093" s="10" t="s">
        <v>4683</v>
      </c>
      <c r="F1093" s="10" t="s">
        <v>4683</v>
      </c>
      <c r="G1093" s="10" t="s">
        <v>4683</v>
      </c>
      <c r="H1093" s="14">
        <v>0</v>
      </c>
      <c r="I1093" s="10" t="s">
        <v>4683</v>
      </c>
      <c r="J1093" s="10" t="str">
        <f t="shared" si="5"/>
        <v>normalweight</v>
      </c>
      <c r="L1093" s="30" t="e">
        <v>#N/A</v>
      </c>
    </row>
    <row r="1094" spans="1:12" ht="15.75" customHeight="1" x14ac:dyDescent="0.3">
      <c r="A1094" s="10" t="s">
        <v>2490</v>
      </c>
      <c r="B1094" s="10">
        <v>38.6</v>
      </c>
      <c r="C1094" s="10">
        <v>7.19</v>
      </c>
      <c r="D1094" s="16" t="s">
        <v>4682</v>
      </c>
      <c r="E1094" s="10" t="s">
        <v>4684</v>
      </c>
      <c r="F1094" s="10" t="s">
        <v>4683</v>
      </c>
      <c r="G1094" s="10" t="s">
        <v>4683</v>
      </c>
      <c r="H1094" s="14">
        <v>2</v>
      </c>
      <c r="I1094" s="10" t="s">
        <v>4683</v>
      </c>
      <c r="J1094" s="10" t="str">
        <f t="shared" si="5"/>
        <v>normalweight</v>
      </c>
      <c r="L1094" s="30" t="e">
        <v>#N/A</v>
      </c>
    </row>
    <row r="1095" spans="1:12" ht="15.75" customHeight="1" x14ac:dyDescent="0.3">
      <c r="A1095" s="10" t="s">
        <v>2488</v>
      </c>
      <c r="B1095" s="10">
        <v>37.950000000000003</v>
      </c>
      <c r="C1095" s="10">
        <v>6.06</v>
      </c>
      <c r="D1095" s="10" t="s">
        <v>4685</v>
      </c>
      <c r="E1095" s="10" t="s">
        <v>4683</v>
      </c>
      <c r="F1095" s="10" t="s">
        <v>4683</v>
      </c>
      <c r="G1095" s="10" t="s">
        <v>4683</v>
      </c>
      <c r="H1095" s="14">
        <v>0</v>
      </c>
      <c r="I1095" s="10" t="s">
        <v>4683</v>
      </c>
      <c r="J1095" s="10" t="str">
        <f t="shared" si="5"/>
        <v>normalweight</v>
      </c>
      <c r="L1095" s="30" t="e">
        <v>#N/A</v>
      </c>
    </row>
    <row r="1096" spans="1:12" ht="15.75" customHeight="1" x14ac:dyDescent="0.3">
      <c r="A1096" s="10" t="s">
        <v>2486</v>
      </c>
      <c r="B1096" s="10">
        <v>38.97</v>
      </c>
      <c r="C1096" s="10">
        <v>5.12</v>
      </c>
      <c r="D1096" s="10" t="s">
        <v>4685</v>
      </c>
      <c r="E1096" s="10" t="s">
        <v>4683</v>
      </c>
      <c r="F1096" s="10" t="s">
        <v>4683</v>
      </c>
      <c r="G1096" s="10" t="s">
        <v>4683</v>
      </c>
      <c r="H1096" s="14">
        <v>0</v>
      </c>
      <c r="I1096" s="10" t="s">
        <v>4683</v>
      </c>
      <c r="J1096" s="10" t="str">
        <f t="shared" si="5"/>
        <v>normalweight</v>
      </c>
      <c r="L1096" s="30" t="e">
        <v>#N/A</v>
      </c>
    </row>
    <row r="1097" spans="1:12" ht="15.75" customHeight="1" x14ac:dyDescent="0.3">
      <c r="A1097" s="10" t="s">
        <v>2484</v>
      </c>
      <c r="B1097" s="10">
        <v>21.2</v>
      </c>
      <c r="C1097" s="10">
        <v>10.72</v>
      </c>
      <c r="D1097" s="16" t="s">
        <v>4682</v>
      </c>
      <c r="E1097" s="10" t="s">
        <v>4683</v>
      </c>
      <c r="F1097" s="10" t="s">
        <v>4683</v>
      </c>
      <c r="G1097" s="10" t="s">
        <v>4683</v>
      </c>
      <c r="H1097" s="14">
        <v>0</v>
      </c>
      <c r="I1097" s="10" t="s">
        <v>4683</v>
      </c>
      <c r="J1097" s="10" t="str">
        <f t="shared" si="5"/>
        <v>normalweight</v>
      </c>
      <c r="L1097" s="30" t="e">
        <v>#N/A</v>
      </c>
    </row>
    <row r="1098" spans="1:12" ht="15.75" customHeight="1" x14ac:dyDescent="0.3">
      <c r="A1098" s="10" t="s">
        <v>2482</v>
      </c>
      <c r="B1098" s="10">
        <v>23.96</v>
      </c>
      <c r="C1098" s="10">
        <v>9.58</v>
      </c>
      <c r="D1098" s="16" t="s">
        <v>4682</v>
      </c>
      <c r="E1098" s="10" t="s">
        <v>4684</v>
      </c>
      <c r="F1098" s="10" t="s">
        <v>4683</v>
      </c>
      <c r="G1098" s="10" t="s">
        <v>4686</v>
      </c>
      <c r="H1098" s="14">
        <v>1</v>
      </c>
      <c r="I1098" s="10" t="s">
        <v>4683</v>
      </c>
      <c r="J1098" s="10" t="str">
        <f t="shared" si="5"/>
        <v>normalweight</v>
      </c>
      <c r="L1098" s="30" t="e">
        <v>#N/A</v>
      </c>
    </row>
    <row r="1099" spans="1:12" ht="15.75" customHeight="1" x14ac:dyDescent="0.3">
      <c r="A1099" s="10" t="s">
        <v>2480</v>
      </c>
      <c r="B1099" s="10">
        <v>35.93</v>
      </c>
      <c r="C1099" s="10">
        <v>6.4</v>
      </c>
      <c r="D1099" s="10" t="s">
        <v>4685</v>
      </c>
      <c r="E1099" s="10" t="s">
        <v>4684</v>
      </c>
      <c r="F1099" s="10" t="s">
        <v>4683</v>
      </c>
      <c r="G1099" s="10" t="s">
        <v>4683</v>
      </c>
      <c r="H1099" s="14">
        <v>1</v>
      </c>
      <c r="I1099" s="10" t="s">
        <v>4683</v>
      </c>
      <c r="J1099" s="10" t="str">
        <f t="shared" si="5"/>
        <v>normalweight</v>
      </c>
      <c r="L1099" s="30" t="e">
        <v>#N/A</v>
      </c>
    </row>
    <row r="1100" spans="1:12" ht="15.75" customHeight="1" x14ac:dyDescent="0.3">
      <c r="A1100" s="10" t="s">
        <v>2478</v>
      </c>
      <c r="B1100" s="10">
        <v>26.11</v>
      </c>
      <c r="C1100" s="10">
        <v>6.8</v>
      </c>
      <c r="D1100" s="16" t="s">
        <v>4682</v>
      </c>
      <c r="E1100" s="10" t="s">
        <v>4684</v>
      </c>
      <c r="F1100" s="10" t="s">
        <v>4683</v>
      </c>
      <c r="G1100" s="10" t="s">
        <v>4683</v>
      </c>
      <c r="H1100" s="14">
        <v>2</v>
      </c>
      <c r="I1100" s="10" t="s">
        <v>4683</v>
      </c>
      <c r="J1100" s="10" t="str">
        <f t="shared" si="5"/>
        <v>normalweight</v>
      </c>
      <c r="L1100" s="30" t="e">
        <v>#N/A</v>
      </c>
    </row>
    <row r="1101" spans="1:12" ht="15.75" customHeight="1" x14ac:dyDescent="0.3">
      <c r="A1101" s="10" t="s">
        <v>2476</v>
      </c>
      <c r="B1101" s="10">
        <v>32.299999999999997</v>
      </c>
      <c r="C1101" s="10">
        <v>9.48</v>
      </c>
      <c r="D1101" s="16" t="s">
        <v>4682</v>
      </c>
      <c r="E1101" s="10" t="s">
        <v>4683</v>
      </c>
      <c r="F1101" s="10" t="s">
        <v>4683</v>
      </c>
      <c r="G1101" s="10" t="s">
        <v>4683</v>
      </c>
      <c r="H1101" s="14">
        <v>2</v>
      </c>
      <c r="I1101" s="10" t="s">
        <v>4683</v>
      </c>
      <c r="J1101" s="10" t="str">
        <f t="shared" si="5"/>
        <v>normalweight</v>
      </c>
      <c r="L1101" s="30" t="e">
        <v>#N/A</v>
      </c>
    </row>
    <row r="1102" spans="1:12" ht="15.75" customHeight="1" x14ac:dyDescent="0.3">
      <c r="A1102" s="10" t="s">
        <v>2474</v>
      </c>
      <c r="B1102" s="10">
        <v>28.69</v>
      </c>
      <c r="C1102" s="10">
        <v>7.45</v>
      </c>
      <c r="D1102" s="16" t="s">
        <v>4682</v>
      </c>
      <c r="E1102" s="10" t="s">
        <v>4683</v>
      </c>
      <c r="F1102" s="10" t="s">
        <v>4683</v>
      </c>
      <c r="G1102" s="10" t="s">
        <v>4683</v>
      </c>
      <c r="H1102" s="14">
        <v>2</v>
      </c>
      <c r="I1102" s="10" t="s">
        <v>4683</v>
      </c>
      <c r="J1102" s="10" t="str">
        <f t="shared" si="5"/>
        <v>normalweight</v>
      </c>
      <c r="L1102" s="30" t="e">
        <v>#N/A</v>
      </c>
    </row>
    <row r="1103" spans="1:12" ht="15.75" customHeight="1" x14ac:dyDescent="0.3">
      <c r="A1103" s="10" t="s">
        <v>2472</v>
      </c>
      <c r="B1103" s="10">
        <v>31.28</v>
      </c>
      <c r="C1103" s="10">
        <v>6.94</v>
      </c>
      <c r="D1103" s="16" t="s">
        <v>4682</v>
      </c>
      <c r="E1103" s="10" t="s">
        <v>4684</v>
      </c>
      <c r="F1103" s="10" t="s">
        <v>4683</v>
      </c>
      <c r="G1103" s="10" t="s">
        <v>4683</v>
      </c>
      <c r="H1103" s="14">
        <v>1</v>
      </c>
      <c r="I1103" s="10" t="s">
        <v>4683</v>
      </c>
      <c r="J1103" s="10" t="str">
        <f t="shared" si="5"/>
        <v>normalweight</v>
      </c>
      <c r="L1103" s="30" t="e">
        <v>#N/A</v>
      </c>
    </row>
    <row r="1104" spans="1:12" ht="15.75" customHeight="1" x14ac:dyDescent="0.3">
      <c r="A1104" s="10" t="s">
        <v>2470</v>
      </c>
      <c r="B1104" s="10">
        <v>30.21</v>
      </c>
      <c r="C1104" s="10">
        <v>7.83</v>
      </c>
      <c r="D1104" s="16" t="s">
        <v>4682</v>
      </c>
      <c r="E1104" s="10" t="s">
        <v>4683</v>
      </c>
      <c r="F1104" s="10" t="s">
        <v>4683</v>
      </c>
      <c r="G1104" s="10" t="s">
        <v>4683</v>
      </c>
      <c r="H1104" s="14">
        <v>0</v>
      </c>
      <c r="I1104" s="10" t="s">
        <v>4683</v>
      </c>
      <c r="J1104" s="10" t="str">
        <f t="shared" si="5"/>
        <v>normalweight</v>
      </c>
      <c r="L1104" s="30" t="e">
        <v>#N/A</v>
      </c>
    </row>
    <row r="1105" spans="1:12" ht="15.75" customHeight="1" x14ac:dyDescent="0.3">
      <c r="A1105" s="10" t="s">
        <v>2468</v>
      </c>
      <c r="B1105" s="10">
        <v>38.28</v>
      </c>
      <c r="C1105" s="10">
        <v>10.17</v>
      </c>
      <c r="D1105" s="16" t="s">
        <v>4682</v>
      </c>
      <c r="E1105" s="10" t="s">
        <v>4684</v>
      </c>
      <c r="F1105" s="10" t="s">
        <v>4683</v>
      </c>
      <c r="G1105" s="10" t="s">
        <v>4683</v>
      </c>
      <c r="H1105" s="14">
        <v>0</v>
      </c>
      <c r="I1105" s="10" t="s">
        <v>4683</v>
      </c>
      <c r="J1105" s="10" t="str">
        <f t="shared" si="5"/>
        <v>normalweight</v>
      </c>
      <c r="L1105" s="30" t="e">
        <v>#N/A</v>
      </c>
    </row>
    <row r="1106" spans="1:12" ht="15.75" customHeight="1" x14ac:dyDescent="0.3">
      <c r="A1106" s="10" t="s">
        <v>2466</v>
      </c>
      <c r="B1106" s="10">
        <v>29.9</v>
      </c>
      <c r="C1106" s="10">
        <v>8.9600000000000009</v>
      </c>
      <c r="D1106" s="16" t="s">
        <v>4682</v>
      </c>
      <c r="E1106" s="10" t="s">
        <v>4684</v>
      </c>
      <c r="F1106" s="10" t="s">
        <v>4683</v>
      </c>
      <c r="G1106" s="10" t="s">
        <v>4683</v>
      </c>
      <c r="H1106" s="14">
        <v>0</v>
      </c>
      <c r="I1106" s="10" t="s">
        <v>4683</v>
      </c>
      <c r="J1106" s="10" t="str">
        <f t="shared" si="5"/>
        <v>normalweight</v>
      </c>
      <c r="L1106" s="30" t="e">
        <v>#N/A</v>
      </c>
    </row>
    <row r="1107" spans="1:12" ht="15.75" customHeight="1" x14ac:dyDescent="0.3">
      <c r="A1107" s="10" t="s">
        <v>2464</v>
      </c>
      <c r="B1107" s="10">
        <v>23.18</v>
      </c>
      <c r="C1107" s="10">
        <v>6.96</v>
      </c>
      <c r="D1107" s="16" t="s">
        <v>4682</v>
      </c>
      <c r="E1107" s="10" t="s">
        <v>4684</v>
      </c>
      <c r="F1107" s="10" t="s">
        <v>4683</v>
      </c>
      <c r="G1107" s="10" t="s">
        <v>4683</v>
      </c>
      <c r="H1107" s="14">
        <v>2</v>
      </c>
      <c r="I1107" s="10" t="s">
        <v>4683</v>
      </c>
      <c r="J1107" s="10" t="str">
        <f t="shared" si="5"/>
        <v>normalweight</v>
      </c>
      <c r="L1107" s="30" t="e">
        <v>#N/A</v>
      </c>
    </row>
    <row r="1108" spans="1:12" ht="15.75" customHeight="1" x14ac:dyDescent="0.3">
      <c r="A1108" s="10" t="s">
        <v>2462</v>
      </c>
      <c r="B1108" s="10">
        <v>33.020000000000003</v>
      </c>
      <c r="C1108" s="10">
        <v>5.07</v>
      </c>
      <c r="D1108" s="10" t="s">
        <v>4685</v>
      </c>
      <c r="E1108" s="10" t="s">
        <v>4684</v>
      </c>
      <c r="F1108" s="10" t="s">
        <v>4683</v>
      </c>
      <c r="G1108" s="10" t="s">
        <v>4683</v>
      </c>
      <c r="H1108" s="14">
        <v>0</v>
      </c>
      <c r="I1108" s="10" t="s">
        <v>4683</v>
      </c>
      <c r="J1108" s="10" t="str">
        <f t="shared" si="5"/>
        <v>normalweight</v>
      </c>
      <c r="L1108" s="30" t="e">
        <v>#N/A</v>
      </c>
    </row>
    <row r="1109" spans="1:12" ht="15.75" customHeight="1" x14ac:dyDescent="0.3">
      <c r="A1109" s="10" t="s">
        <v>2460</v>
      </c>
      <c r="B1109" s="10">
        <v>27.29</v>
      </c>
      <c r="C1109" s="10">
        <v>5.85</v>
      </c>
      <c r="D1109" s="10" t="s">
        <v>4685</v>
      </c>
      <c r="E1109" s="10" t="s">
        <v>4683</v>
      </c>
      <c r="F1109" s="10" t="s">
        <v>4683</v>
      </c>
      <c r="G1109" s="10" t="s">
        <v>4683</v>
      </c>
      <c r="H1109" s="14">
        <v>2</v>
      </c>
      <c r="I1109" s="10" t="s">
        <v>4683</v>
      </c>
      <c r="J1109" s="10" t="str">
        <f t="shared" si="5"/>
        <v>normalweight</v>
      </c>
      <c r="L1109" s="30" t="e">
        <v>#N/A</v>
      </c>
    </row>
    <row r="1110" spans="1:12" ht="15.75" customHeight="1" x14ac:dyDescent="0.3">
      <c r="A1110" s="10" t="s">
        <v>2458</v>
      </c>
      <c r="B1110" s="10">
        <v>23.18</v>
      </c>
      <c r="C1110" s="10">
        <v>10.56</v>
      </c>
      <c r="D1110" s="16" t="s">
        <v>4682</v>
      </c>
      <c r="E1110" s="10" t="s">
        <v>4683</v>
      </c>
      <c r="F1110" s="10" t="s">
        <v>4683</v>
      </c>
      <c r="G1110" s="10" t="s">
        <v>4683</v>
      </c>
      <c r="H1110" s="14">
        <v>2</v>
      </c>
      <c r="I1110" s="10" t="s">
        <v>4683</v>
      </c>
      <c r="J1110" s="10" t="str">
        <f t="shared" si="5"/>
        <v>normalweight</v>
      </c>
      <c r="L1110" s="30" t="e">
        <v>#N/A</v>
      </c>
    </row>
    <row r="1111" spans="1:12" ht="15.75" customHeight="1" x14ac:dyDescent="0.3">
      <c r="A1111" s="10" t="s">
        <v>2456</v>
      </c>
      <c r="B1111" s="10">
        <v>32.659999999999997</v>
      </c>
      <c r="C1111" s="10">
        <v>8.92</v>
      </c>
      <c r="D1111" s="16" t="s">
        <v>4682</v>
      </c>
      <c r="E1111" s="10" t="s">
        <v>4684</v>
      </c>
      <c r="F1111" s="10" t="s">
        <v>4683</v>
      </c>
      <c r="G1111" s="10" t="s">
        <v>4683</v>
      </c>
      <c r="H1111" s="14">
        <v>0</v>
      </c>
      <c r="I1111" s="10" t="s">
        <v>4683</v>
      </c>
      <c r="J1111" s="10" t="str">
        <f t="shared" si="5"/>
        <v>normalweight</v>
      </c>
      <c r="L1111" s="30" t="e">
        <v>#N/A</v>
      </c>
    </row>
    <row r="1112" spans="1:12" ht="15.75" customHeight="1" x14ac:dyDescent="0.3">
      <c r="A1112" s="10" t="s">
        <v>2454</v>
      </c>
      <c r="B1112" s="10">
        <v>30.78</v>
      </c>
      <c r="C1112" s="10">
        <v>8.6300000000000008</v>
      </c>
      <c r="D1112" s="16" t="s">
        <v>4682</v>
      </c>
      <c r="E1112" s="10" t="s">
        <v>4683</v>
      </c>
      <c r="F1112" s="10" t="s">
        <v>4683</v>
      </c>
      <c r="G1112" s="10" t="s">
        <v>4683</v>
      </c>
      <c r="H1112" s="14">
        <v>0</v>
      </c>
      <c r="I1112" s="10" t="s">
        <v>4683</v>
      </c>
      <c r="J1112" s="10" t="str">
        <f t="shared" si="5"/>
        <v>normalweight</v>
      </c>
      <c r="L1112" s="30" t="e">
        <v>#N/A</v>
      </c>
    </row>
    <row r="1113" spans="1:12" ht="15.75" customHeight="1" x14ac:dyDescent="0.3">
      <c r="A1113" s="10" t="s">
        <v>2452</v>
      </c>
      <c r="B1113" s="10">
        <v>47.2</v>
      </c>
      <c r="C1113" s="10">
        <v>6.29</v>
      </c>
      <c r="D1113" s="10" t="s">
        <v>4685</v>
      </c>
      <c r="E1113" s="10" t="s">
        <v>4684</v>
      </c>
      <c r="F1113" s="10" t="s">
        <v>4683</v>
      </c>
      <c r="G1113" s="10" t="s">
        <v>4686</v>
      </c>
      <c r="H1113" s="14">
        <v>1</v>
      </c>
      <c r="I1113" s="10" t="s">
        <v>4683</v>
      </c>
      <c r="J1113" s="10" t="str">
        <f t="shared" si="5"/>
        <v>normalweight</v>
      </c>
      <c r="L1113" s="30" t="e">
        <v>#N/A</v>
      </c>
    </row>
    <row r="1114" spans="1:12" ht="15.75" customHeight="1" x14ac:dyDescent="0.3">
      <c r="A1114" s="10" t="s">
        <v>2450</v>
      </c>
      <c r="B1114" s="10">
        <v>31.6</v>
      </c>
      <c r="C1114" s="10">
        <v>5.75</v>
      </c>
      <c r="D1114" s="10" t="s">
        <v>4685</v>
      </c>
      <c r="E1114" s="10" t="s">
        <v>4683</v>
      </c>
      <c r="F1114" s="10" t="s">
        <v>4683</v>
      </c>
      <c r="G1114" s="10" t="s">
        <v>4683</v>
      </c>
      <c r="H1114" s="14">
        <v>2</v>
      </c>
      <c r="I1114" s="10" t="s">
        <v>4683</v>
      </c>
      <c r="J1114" s="10" t="str">
        <f t="shared" si="5"/>
        <v>normalweight</v>
      </c>
      <c r="L1114" s="30" t="e">
        <v>#N/A</v>
      </c>
    </row>
    <row r="1115" spans="1:12" ht="15.75" customHeight="1" x14ac:dyDescent="0.3">
      <c r="A1115" s="10" t="s">
        <v>2448</v>
      </c>
      <c r="B1115" s="10">
        <v>33.914999999999999</v>
      </c>
      <c r="C1115" s="10">
        <v>6.66</v>
      </c>
      <c r="D1115" s="16" t="s">
        <v>4682</v>
      </c>
      <c r="E1115" s="10" t="s">
        <v>4684</v>
      </c>
      <c r="F1115" s="10" t="s">
        <v>4683</v>
      </c>
      <c r="G1115" s="10" t="s">
        <v>4683</v>
      </c>
      <c r="H1115" s="14">
        <v>1</v>
      </c>
      <c r="I1115" s="10" t="s">
        <v>4683</v>
      </c>
      <c r="J1115" s="10" t="str">
        <f t="shared" si="5"/>
        <v>normalweight</v>
      </c>
      <c r="L1115" s="30" t="e">
        <v>#N/A</v>
      </c>
    </row>
    <row r="1116" spans="1:12" ht="15.75" customHeight="1" x14ac:dyDescent="0.3">
      <c r="A1116" s="10" t="s">
        <v>2446</v>
      </c>
      <c r="B1116" s="10">
        <v>23.54</v>
      </c>
      <c r="C1116" s="10">
        <v>5.0999999999999996</v>
      </c>
      <c r="D1116" s="10" t="s">
        <v>4685</v>
      </c>
      <c r="E1116" s="10" t="s">
        <v>4683</v>
      </c>
      <c r="F1116" s="10" t="s">
        <v>4683</v>
      </c>
      <c r="G1116" s="10" t="s">
        <v>4683</v>
      </c>
      <c r="H1116" s="14">
        <v>2</v>
      </c>
      <c r="I1116" s="10" t="s">
        <v>4683</v>
      </c>
      <c r="J1116" s="10" t="str">
        <f t="shared" si="5"/>
        <v>normalweight</v>
      </c>
      <c r="L1116" s="30" t="e">
        <v>#N/A</v>
      </c>
    </row>
    <row r="1117" spans="1:12" ht="15.75" customHeight="1" x14ac:dyDescent="0.3">
      <c r="A1117" s="10" t="s">
        <v>2444</v>
      </c>
      <c r="B1117" s="10">
        <v>27.074999999999999</v>
      </c>
      <c r="C1117" s="10">
        <v>4.41</v>
      </c>
      <c r="D1117" s="10" t="s">
        <v>4685</v>
      </c>
      <c r="E1117" s="10" t="s">
        <v>4683</v>
      </c>
      <c r="F1117" s="10" t="s">
        <v>4683</v>
      </c>
      <c r="G1117" s="10" t="s">
        <v>4683</v>
      </c>
      <c r="H1117" s="14">
        <v>2</v>
      </c>
      <c r="I1117" s="10" t="s">
        <v>4683</v>
      </c>
      <c r="J1117" s="10" t="str">
        <f t="shared" si="5"/>
        <v>normalweight</v>
      </c>
      <c r="L1117" s="30" t="e">
        <v>#N/A</v>
      </c>
    </row>
    <row r="1118" spans="1:12" ht="15.75" customHeight="1" x14ac:dyDescent="0.3">
      <c r="A1118" s="10" t="s">
        <v>2442</v>
      </c>
      <c r="B1118" s="10">
        <v>25.8</v>
      </c>
      <c r="C1118" s="10">
        <v>5.52</v>
      </c>
      <c r="D1118" s="10" t="s">
        <v>4685</v>
      </c>
      <c r="E1118" s="10" t="s">
        <v>4684</v>
      </c>
      <c r="F1118" s="10" t="s">
        <v>4683</v>
      </c>
      <c r="G1118" s="10" t="s">
        <v>4683</v>
      </c>
      <c r="H1118" s="14">
        <v>0</v>
      </c>
      <c r="I1118" s="10" t="s">
        <v>4683</v>
      </c>
      <c r="J1118" s="10" t="str">
        <f t="shared" si="5"/>
        <v>normalweight</v>
      </c>
      <c r="L1118" s="30" t="e">
        <v>#N/A</v>
      </c>
    </row>
    <row r="1119" spans="1:12" ht="15.75" customHeight="1" x14ac:dyDescent="0.3">
      <c r="A1119" s="10" t="s">
        <v>2440</v>
      </c>
      <c r="B1119" s="10">
        <v>36.1</v>
      </c>
      <c r="C1119" s="10">
        <v>4.62</v>
      </c>
      <c r="D1119" s="10" t="s">
        <v>4685</v>
      </c>
      <c r="E1119" s="10" t="s">
        <v>4684</v>
      </c>
      <c r="F1119" s="10" t="s">
        <v>4683</v>
      </c>
      <c r="G1119" s="10" t="s">
        <v>4686</v>
      </c>
      <c r="H1119" s="14">
        <v>1</v>
      </c>
      <c r="I1119" s="10" t="s">
        <v>4683</v>
      </c>
      <c r="J1119" s="10" t="str">
        <f t="shared" si="5"/>
        <v>normalweight</v>
      </c>
      <c r="L1119" s="30" t="e">
        <v>#N/A</v>
      </c>
    </row>
    <row r="1120" spans="1:12" ht="15.75" customHeight="1" x14ac:dyDescent="0.3">
      <c r="A1120" s="10" t="s">
        <v>2438</v>
      </c>
      <c r="B1120" s="10">
        <v>30.495000000000001</v>
      </c>
      <c r="C1120" s="10">
        <v>5.74</v>
      </c>
      <c r="D1120" s="10" t="s">
        <v>4685</v>
      </c>
      <c r="E1120" s="10" t="s">
        <v>4684</v>
      </c>
      <c r="F1120" s="10" t="s">
        <v>4683</v>
      </c>
      <c r="G1120" s="10" t="s">
        <v>4686</v>
      </c>
      <c r="H1120" s="14">
        <v>1</v>
      </c>
      <c r="I1120" s="10" t="s">
        <v>4683</v>
      </c>
      <c r="J1120" s="10" t="str">
        <f t="shared" si="5"/>
        <v>normalweight</v>
      </c>
      <c r="L1120" s="30" t="e">
        <v>#N/A</v>
      </c>
    </row>
    <row r="1121" spans="1:12" ht="15.75" customHeight="1" x14ac:dyDescent="0.3">
      <c r="A1121" s="10" t="s">
        <v>2436</v>
      </c>
      <c r="B1121" s="10">
        <v>21.4</v>
      </c>
      <c r="C1121" s="10">
        <v>6.3</v>
      </c>
      <c r="D1121" s="10" t="s">
        <v>4685</v>
      </c>
      <c r="E1121" s="10" t="s">
        <v>4684</v>
      </c>
      <c r="F1121" s="10" t="s">
        <v>4683</v>
      </c>
      <c r="G1121" s="10" t="s">
        <v>4686</v>
      </c>
      <c r="H1121" s="14">
        <v>1</v>
      </c>
      <c r="I1121" s="10" t="s">
        <v>4683</v>
      </c>
      <c r="J1121" s="10" t="str">
        <f t="shared" si="5"/>
        <v>normalweight</v>
      </c>
      <c r="L1121" s="30" t="e">
        <v>#N/A</v>
      </c>
    </row>
    <row r="1122" spans="1:12" ht="15.75" customHeight="1" x14ac:dyDescent="0.3">
      <c r="A1122" s="10" t="s">
        <v>2434</v>
      </c>
      <c r="B1122" s="10">
        <v>32.299999999999997</v>
      </c>
      <c r="C1122" s="10">
        <v>10.27</v>
      </c>
      <c r="D1122" s="16" t="s">
        <v>4682</v>
      </c>
      <c r="E1122" s="10" t="s">
        <v>4683</v>
      </c>
      <c r="F1122" s="10" t="s">
        <v>4683</v>
      </c>
      <c r="G1122" s="10" t="s">
        <v>4683</v>
      </c>
      <c r="H1122" s="14">
        <v>0</v>
      </c>
      <c r="I1122" s="10" t="s">
        <v>4683</v>
      </c>
      <c r="J1122" s="10" t="str">
        <f t="shared" si="5"/>
        <v>normalweight</v>
      </c>
      <c r="L1122" s="30" t="e">
        <v>#N/A</v>
      </c>
    </row>
    <row r="1123" spans="1:12" ht="15.75" customHeight="1" x14ac:dyDescent="0.3">
      <c r="A1123" s="10" t="s">
        <v>2432</v>
      </c>
      <c r="B1123" s="10">
        <v>29.78</v>
      </c>
      <c r="C1123" s="10">
        <v>5.85</v>
      </c>
      <c r="D1123" s="10" t="s">
        <v>4685</v>
      </c>
      <c r="E1123" s="10" t="s">
        <v>4683</v>
      </c>
      <c r="F1123" s="10" t="s">
        <v>4683</v>
      </c>
      <c r="G1123" s="10" t="s">
        <v>4686</v>
      </c>
      <c r="H1123" s="14">
        <v>1</v>
      </c>
      <c r="I1123" s="10" t="s">
        <v>4683</v>
      </c>
      <c r="J1123" s="10" t="str">
        <f t="shared" si="5"/>
        <v>normalweight</v>
      </c>
      <c r="L1123" s="30" t="e">
        <v>#N/A</v>
      </c>
    </row>
    <row r="1124" spans="1:12" ht="15.75" customHeight="1" x14ac:dyDescent="0.3">
      <c r="A1124" s="10" t="s">
        <v>2430</v>
      </c>
      <c r="B1124" s="10">
        <v>34.76</v>
      </c>
      <c r="C1124" s="10">
        <v>5.92</v>
      </c>
      <c r="D1124" s="10" t="s">
        <v>4685</v>
      </c>
      <c r="E1124" s="10" t="s">
        <v>4684</v>
      </c>
      <c r="F1124" s="10" t="s">
        <v>4683</v>
      </c>
      <c r="G1124" s="10" t="s">
        <v>4683</v>
      </c>
      <c r="H1124" s="14">
        <v>1</v>
      </c>
      <c r="I1124" s="10" t="s">
        <v>4683</v>
      </c>
      <c r="J1124" s="10" t="str">
        <f t="shared" si="5"/>
        <v>normalweight</v>
      </c>
      <c r="L1124" s="30" t="e">
        <v>#N/A</v>
      </c>
    </row>
    <row r="1125" spans="1:12" ht="15.75" customHeight="1" x14ac:dyDescent="0.3">
      <c r="A1125" s="10" t="s">
        <v>2428</v>
      </c>
      <c r="B1125" s="10">
        <v>18.335000000000001</v>
      </c>
      <c r="C1125" s="10">
        <v>10.01</v>
      </c>
      <c r="D1125" s="16" t="s">
        <v>4682</v>
      </c>
      <c r="E1125" s="10" t="s">
        <v>4684</v>
      </c>
      <c r="F1125" s="10" t="s">
        <v>4683</v>
      </c>
      <c r="G1125" s="10" t="s">
        <v>4683</v>
      </c>
      <c r="H1125" s="14">
        <v>2</v>
      </c>
      <c r="I1125" s="10" t="s">
        <v>4683</v>
      </c>
      <c r="J1125" s="10" t="str">
        <f t="shared" si="5"/>
        <v>underweight</v>
      </c>
      <c r="L1125" s="30" t="e">
        <v>#N/A</v>
      </c>
    </row>
    <row r="1126" spans="1:12" ht="15.75" customHeight="1" x14ac:dyDescent="0.3">
      <c r="A1126" s="10" t="s">
        <v>2426</v>
      </c>
      <c r="B1126" s="10">
        <v>32.299999999999997</v>
      </c>
      <c r="C1126" s="10">
        <v>9.59</v>
      </c>
      <c r="D1126" s="16" t="s">
        <v>4682</v>
      </c>
      <c r="E1126" s="10" t="s">
        <v>4683</v>
      </c>
      <c r="F1126" s="10" t="s">
        <v>4683</v>
      </c>
      <c r="G1126" s="10" t="s">
        <v>4683</v>
      </c>
      <c r="H1126" s="14">
        <v>0</v>
      </c>
      <c r="I1126" s="10" t="s">
        <v>4683</v>
      </c>
      <c r="J1126" s="10" t="str">
        <f t="shared" si="5"/>
        <v>normalweight</v>
      </c>
      <c r="L1126" s="30" t="e">
        <v>#N/A</v>
      </c>
    </row>
    <row r="1127" spans="1:12" ht="15.75" customHeight="1" x14ac:dyDescent="0.3">
      <c r="A1127" s="10" t="s">
        <v>2424</v>
      </c>
      <c r="B1127" s="10">
        <v>27.74</v>
      </c>
      <c r="C1127" s="10">
        <v>10.37</v>
      </c>
      <c r="D1127" s="16" t="s">
        <v>4682</v>
      </c>
      <c r="E1127" s="10" t="s">
        <v>4683</v>
      </c>
      <c r="F1127" s="10" t="s">
        <v>4683</v>
      </c>
      <c r="G1127" s="10" t="s">
        <v>4683</v>
      </c>
      <c r="H1127" s="14">
        <v>0</v>
      </c>
      <c r="I1127" s="10" t="s">
        <v>4683</v>
      </c>
      <c r="J1127" s="10" t="str">
        <f t="shared" si="5"/>
        <v>normalweight</v>
      </c>
      <c r="L1127" s="30" t="e">
        <v>#N/A</v>
      </c>
    </row>
    <row r="1128" spans="1:12" ht="15.75" customHeight="1" x14ac:dyDescent="0.3">
      <c r="A1128" s="10" t="s">
        <v>2422</v>
      </c>
      <c r="B1128" s="10">
        <v>24</v>
      </c>
      <c r="C1128" s="10">
        <v>4.01</v>
      </c>
      <c r="D1128" s="10" t="s">
        <v>4685</v>
      </c>
      <c r="E1128" s="10" t="s">
        <v>4684</v>
      </c>
      <c r="F1128" s="10" t="s">
        <v>4683</v>
      </c>
      <c r="G1128" s="10" t="s">
        <v>4683</v>
      </c>
      <c r="H1128" s="14">
        <v>1</v>
      </c>
      <c r="I1128" s="10" t="s">
        <v>4683</v>
      </c>
      <c r="J1128" s="10" t="str">
        <f t="shared" si="5"/>
        <v>normalweight</v>
      </c>
      <c r="L1128" s="30" t="e">
        <v>#N/A</v>
      </c>
    </row>
    <row r="1129" spans="1:12" ht="15.75" customHeight="1" x14ac:dyDescent="0.3">
      <c r="A1129" s="10" t="s">
        <v>2420</v>
      </c>
      <c r="B1129" s="10">
        <v>31.78</v>
      </c>
      <c r="C1129" s="10">
        <v>4.24</v>
      </c>
      <c r="D1129" s="10" t="s">
        <v>4685</v>
      </c>
      <c r="E1129" s="10" t="s">
        <v>4684</v>
      </c>
      <c r="F1129" s="10" t="s">
        <v>4683</v>
      </c>
      <c r="G1129" s="10" t="s">
        <v>4686</v>
      </c>
      <c r="H1129" s="14">
        <v>1</v>
      </c>
      <c r="I1129" s="10" t="s">
        <v>4683</v>
      </c>
      <c r="J1129" s="10" t="str">
        <f t="shared" si="5"/>
        <v>normalweight</v>
      </c>
      <c r="L1129" s="30" t="e">
        <v>#N/A</v>
      </c>
    </row>
    <row r="1130" spans="1:12" ht="15.75" customHeight="1" x14ac:dyDescent="0.3">
      <c r="A1130" s="10" t="s">
        <v>2418</v>
      </c>
      <c r="B1130" s="10">
        <v>32.25</v>
      </c>
      <c r="C1130" s="10">
        <v>5.36</v>
      </c>
      <c r="D1130" s="10" t="s">
        <v>4685</v>
      </c>
      <c r="E1130" s="10" t="s">
        <v>4684</v>
      </c>
      <c r="F1130" s="10" t="s">
        <v>4683</v>
      </c>
      <c r="G1130" s="10" t="s">
        <v>4683</v>
      </c>
      <c r="H1130" s="14">
        <v>0</v>
      </c>
      <c r="I1130" s="10" t="s">
        <v>4683</v>
      </c>
      <c r="J1130" s="10" t="str">
        <f t="shared" si="5"/>
        <v>normalweight</v>
      </c>
      <c r="L1130" s="30" t="e">
        <v>#N/A</v>
      </c>
    </row>
    <row r="1131" spans="1:12" ht="15.75" customHeight="1" x14ac:dyDescent="0.3">
      <c r="A1131" s="10" t="s">
        <v>2416</v>
      </c>
      <c r="B1131" s="10">
        <v>30.114999999999998</v>
      </c>
      <c r="C1131" s="10">
        <v>4.99</v>
      </c>
      <c r="D1131" s="10" t="s">
        <v>4685</v>
      </c>
      <c r="E1131" s="10" t="s">
        <v>4683</v>
      </c>
      <c r="F1131" s="10" t="s">
        <v>4683</v>
      </c>
      <c r="G1131" s="10" t="s">
        <v>4683</v>
      </c>
      <c r="H1131" s="14">
        <v>2</v>
      </c>
      <c r="I1131" s="10" t="s">
        <v>4683</v>
      </c>
      <c r="J1131" s="10" t="str">
        <f t="shared" si="5"/>
        <v>normalweight</v>
      </c>
      <c r="L1131" s="30" t="e">
        <v>#N/A</v>
      </c>
    </row>
    <row r="1132" spans="1:12" ht="15.75" customHeight="1" x14ac:dyDescent="0.3">
      <c r="A1132" s="10" t="s">
        <v>2414</v>
      </c>
      <c r="B1132" s="10">
        <v>22.41</v>
      </c>
      <c r="C1132" s="10">
        <v>8.68</v>
      </c>
      <c r="D1132" s="16" t="s">
        <v>4682</v>
      </c>
      <c r="E1132" s="10" t="s">
        <v>4683</v>
      </c>
      <c r="F1132" s="10" t="s">
        <v>4683</v>
      </c>
      <c r="G1132" s="10" t="s">
        <v>4683</v>
      </c>
      <c r="H1132" s="14">
        <v>0</v>
      </c>
      <c r="I1132" s="10" t="s">
        <v>4683</v>
      </c>
      <c r="J1132" s="10" t="str">
        <f t="shared" si="5"/>
        <v>normalweight</v>
      </c>
      <c r="L1132" s="30" t="e">
        <v>#N/A</v>
      </c>
    </row>
    <row r="1133" spans="1:12" ht="15.75" customHeight="1" x14ac:dyDescent="0.3">
      <c r="A1133" s="10" t="s">
        <v>2412</v>
      </c>
      <c r="B1133" s="10">
        <v>45.72</v>
      </c>
      <c r="C1133" s="10">
        <v>4.2300000000000004</v>
      </c>
      <c r="D1133" s="10" t="s">
        <v>4685</v>
      </c>
      <c r="E1133" s="10" t="s">
        <v>4684</v>
      </c>
      <c r="F1133" s="10" t="s">
        <v>4683</v>
      </c>
      <c r="G1133" s="10" t="s">
        <v>4683</v>
      </c>
      <c r="H1133" s="14">
        <v>0</v>
      </c>
      <c r="I1133" s="10" t="s">
        <v>4683</v>
      </c>
      <c r="J1133" s="10" t="str">
        <f t="shared" si="5"/>
        <v>normalweight</v>
      </c>
      <c r="L1133" s="30" t="e">
        <v>#N/A</v>
      </c>
    </row>
    <row r="1134" spans="1:12" ht="15.75" customHeight="1" x14ac:dyDescent="0.3">
      <c r="A1134" s="10" t="s">
        <v>2410</v>
      </c>
      <c r="B1134" s="10">
        <v>25</v>
      </c>
      <c r="C1134" s="10">
        <v>5.32</v>
      </c>
      <c r="D1134" s="10" t="s">
        <v>4685</v>
      </c>
      <c r="E1134" s="10" t="s">
        <v>4684</v>
      </c>
      <c r="F1134" s="10" t="s">
        <v>4683</v>
      </c>
      <c r="G1134" s="10" t="s">
        <v>4683</v>
      </c>
      <c r="H1134" s="14">
        <v>2</v>
      </c>
      <c r="I1134" s="10" t="s">
        <v>4683</v>
      </c>
      <c r="J1134" s="10" t="str">
        <f t="shared" si="5"/>
        <v>normalweight</v>
      </c>
      <c r="L1134" s="30" t="e">
        <v>#N/A</v>
      </c>
    </row>
    <row r="1135" spans="1:12" ht="15.75" customHeight="1" x14ac:dyDescent="0.3">
      <c r="A1135" s="10" t="s">
        <v>2408</v>
      </c>
      <c r="B1135" s="10">
        <v>39.5</v>
      </c>
      <c r="C1135" s="10">
        <v>6.66</v>
      </c>
      <c r="D1135" s="16" t="s">
        <v>4682</v>
      </c>
      <c r="E1135" s="10" t="s">
        <v>4683</v>
      </c>
      <c r="F1135" s="10" t="s">
        <v>4683</v>
      </c>
      <c r="G1135" s="10" t="s">
        <v>4683</v>
      </c>
      <c r="H1135" s="14">
        <v>0</v>
      </c>
      <c r="I1135" s="10" t="s">
        <v>4683</v>
      </c>
      <c r="J1135" s="10" t="str">
        <f t="shared" si="5"/>
        <v>normalweight</v>
      </c>
      <c r="L1135" s="30" t="e">
        <v>#N/A</v>
      </c>
    </row>
    <row r="1136" spans="1:12" ht="15.75" customHeight="1" x14ac:dyDescent="0.3">
      <c r="A1136" s="10" t="s">
        <v>2406</v>
      </c>
      <c r="B1136" s="10">
        <v>37.729999999999997</v>
      </c>
      <c r="C1136" s="10">
        <v>7.4</v>
      </c>
      <c r="D1136" s="16" t="s">
        <v>4682</v>
      </c>
      <c r="E1136" s="10" t="s">
        <v>4683</v>
      </c>
      <c r="F1136" s="10" t="s">
        <v>4683</v>
      </c>
      <c r="G1136" s="10" t="s">
        <v>4683</v>
      </c>
      <c r="H1136" s="14">
        <v>0</v>
      </c>
      <c r="I1136" s="10" t="s">
        <v>4683</v>
      </c>
      <c r="J1136" s="10" t="str">
        <f t="shared" si="5"/>
        <v>normalweight</v>
      </c>
      <c r="L1136" s="30" t="e">
        <v>#N/A</v>
      </c>
    </row>
    <row r="1137" spans="1:12" ht="15.75" customHeight="1" x14ac:dyDescent="0.3">
      <c r="A1137" s="10" t="s">
        <v>2404</v>
      </c>
      <c r="B1137" s="10">
        <v>40.659999999999997</v>
      </c>
      <c r="C1137" s="10">
        <v>10.08</v>
      </c>
      <c r="D1137" s="16" t="s">
        <v>4682</v>
      </c>
      <c r="E1137" s="10" t="s">
        <v>4683</v>
      </c>
      <c r="F1137" s="10" t="s">
        <v>4683</v>
      </c>
      <c r="G1137" s="10" t="s">
        <v>4683</v>
      </c>
      <c r="H1137" s="14">
        <v>0</v>
      </c>
      <c r="I1137" s="10" t="s">
        <v>4683</v>
      </c>
      <c r="J1137" s="10" t="str">
        <f t="shared" si="5"/>
        <v>normalweight</v>
      </c>
      <c r="L1137" s="30" t="e">
        <v>#N/A</v>
      </c>
    </row>
    <row r="1138" spans="1:12" ht="15.75" customHeight="1" x14ac:dyDescent="0.3">
      <c r="A1138" s="10" t="s">
        <v>2402</v>
      </c>
      <c r="B1138" s="10">
        <v>34.200000000000003</v>
      </c>
      <c r="C1138" s="10">
        <v>8.58</v>
      </c>
      <c r="D1138" s="16" t="s">
        <v>4682</v>
      </c>
      <c r="E1138" s="10" t="s">
        <v>4683</v>
      </c>
      <c r="F1138" s="10" t="s">
        <v>4683</v>
      </c>
      <c r="G1138" s="10" t="s">
        <v>4683</v>
      </c>
      <c r="H1138" s="14">
        <v>0</v>
      </c>
      <c r="I1138" s="10" t="s">
        <v>4683</v>
      </c>
      <c r="J1138" s="10" t="str">
        <f t="shared" si="5"/>
        <v>normalweight</v>
      </c>
      <c r="L1138" s="30" t="e">
        <v>#N/A</v>
      </c>
    </row>
    <row r="1139" spans="1:12" ht="15.75" customHeight="1" x14ac:dyDescent="0.3">
      <c r="A1139" s="10" t="s">
        <v>2400</v>
      </c>
      <c r="B1139" s="10">
        <v>46.51</v>
      </c>
      <c r="C1139" s="10">
        <v>5.84</v>
      </c>
      <c r="D1139" s="10" t="s">
        <v>4685</v>
      </c>
      <c r="E1139" s="10" t="s">
        <v>4683</v>
      </c>
      <c r="F1139" s="10" t="s">
        <v>4683</v>
      </c>
      <c r="G1139" s="10" t="s">
        <v>4683</v>
      </c>
      <c r="H1139" s="14">
        <v>1</v>
      </c>
      <c r="I1139" s="10" t="s">
        <v>4683</v>
      </c>
      <c r="J1139" s="10" t="str">
        <f t="shared" si="5"/>
        <v>normalweight</v>
      </c>
      <c r="L1139" s="30" t="e">
        <v>#N/A</v>
      </c>
    </row>
    <row r="1140" spans="1:12" ht="15.75" customHeight="1" x14ac:dyDescent="0.3">
      <c r="A1140" s="10" t="s">
        <v>2398</v>
      </c>
      <c r="B1140" s="10">
        <v>28.88</v>
      </c>
      <c r="C1140" s="10">
        <v>4.8600000000000003</v>
      </c>
      <c r="D1140" s="10" t="s">
        <v>4685</v>
      </c>
      <c r="E1140" s="10" t="s">
        <v>4684</v>
      </c>
      <c r="F1140" s="10" t="s">
        <v>4683</v>
      </c>
      <c r="G1140" s="10" t="s">
        <v>4686</v>
      </c>
      <c r="H1140" s="14">
        <v>1</v>
      </c>
      <c r="I1140" s="10" t="s">
        <v>4683</v>
      </c>
      <c r="J1140" s="10" t="str">
        <f t="shared" si="5"/>
        <v>normalweight</v>
      </c>
      <c r="L1140" s="30" t="e">
        <v>#N/A</v>
      </c>
    </row>
    <row r="1141" spans="1:12" ht="15.75" customHeight="1" x14ac:dyDescent="0.3">
      <c r="A1141" s="10" t="s">
        <v>2396</v>
      </c>
      <c r="B1141" s="10">
        <v>33.914999999999999</v>
      </c>
      <c r="C1141" s="10">
        <v>11.52</v>
      </c>
      <c r="D1141" s="16" t="s">
        <v>4682</v>
      </c>
      <c r="E1141" s="10" t="s">
        <v>4683</v>
      </c>
      <c r="F1141" s="10" t="s">
        <v>4683</v>
      </c>
      <c r="G1141" s="10" t="s">
        <v>4683</v>
      </c>
      <c r="H1141" s="14">
        <v>0</v>
      </c>
      <c r="I1141" s="10" t="s">
        <v>4683</v>
      </c>
      <c r="J1141" s="10" t="str">
        <f t="shared" si="5"/>
        <v>normalweight</v>
      </c>
      <c r="L1141" s="30" t="e">
        <v>#N/A</v>
      </c>
    </row>
    <row r="1142" spans="1:12" ht="15.75" customHeight="1" x14ac:dyDescent="0.3">
      <c r="A1142" s="10" t="s">
        <v>2394</v>
      </c>
      <c r="B1142" s="10">
        <v>24.32</v>
      </c>
      <c r="C1142" s="10">
        <v>6.15</v>
      </c>
      <c r="D1142" s="10" t="s">
        <v>4685</v>
      </c>
      <c r="E1142" s="10" t="s">
        <v>4684</v>
      </c>
      <c r="F1142" s="10" t="s">
        <v>4683</v>
      </c>
      <c r="G1142" s="10" t="s">
        <v>4686</v>
      </c>
      <c r="H1142" s="14">
        <v>1</v>
      </c>
      <c r="I1142" s="10" t="s">
        <v>4683</v>
      </c>
      <c r="J1142" s="10" t="str">
        <f t="shared" si="5"/>
        <v>normalweight</v>
      </c>
      <c r="L1142" s="30" t="e">
        <v>#N/A</v>
      </c>
    </row>
    <row r="1143" spans="1:12" ht="15.75" customHeight="1" x14ac:dyDescent="0.3">
      <c r="A1143" s="10" t="s">
        <v>2392</v>
      </c>
      <c r="B1143" s="10">
        <v>25.8</v>
      </c>
      <c r="C1143" s="10">
        <v>9.94</v>
      </c>
      <c r="D1143" s="16" t="s">
        <v>4682</v>
      </c>
      <c r="E1143" s="10" t="s">
        <v>4683</v>
      </c>
      <c r="F1143" s="10" t="s">
        <v>4683</v>
      </c>
      <c r="G1143" s="10" t="s">
        <v>4683</v>
      </c>
      <c r="H1143" s="14">
        <v>0</v>
      </c>
      <c r="I1143" s="10" t="s">
        <v>4683</v>
      </c>
      <c r="J1143" s="10" t="str">
        <f t="shared" si="5"/>
        <v>normalweight</v>
      </c>
      <c r="L1143" s="30" t="e">
        <v>#N/A</v>
      </c>
    </row>
    <row r="1144" spans="1:12" ht="15.75" customHeight="1" x14ac:dyDescent="0.3">
      <c r="A1144" s="10" t="s">
        <v>2390</v>
      </c>
      <c r="B1144" s="10">
        <v>21.56</v>
      </c>
      <c r="C1144" s="10">
        <v>10.56</v>
      </c>
      <c r="D1144" s="16" t="s">
        <v>4682</v>
      </c>
      <c r="E1144" s="10" t="s">
        <v>4683</v>
      </c>
      <c r="F1144" s="10" t="s">
        <v>4683</v>
      </c>
      <c r="G1144" s="10" t="s">
        <v>4683</v>
      </c>
      <c r="H1144" s="14">
        <v>0</v>
      </c>
      <c r="I1144" s="10" t="s">
        <v>4683</v>
      </c>
      <c r="J1144" s="10" t="str">
        <f t="shared" si="5"/>
        <v>normalweight</v>
      </c>
      <c r="L1144" s="30" t="e">
        <v>#N/A</v>
      </c>
    </row>
    <row r="1145" spans="1:12" ht="15.75" customHeight="1" x14ac:dyDescent="0.3">
      <c r="A1145" s="10" t="s">
        <v>2388</v>
      </c>
      <c r="B1145" s="10">
        <v>31.6</v>
      </c>
      <c r="C1145" s="10">
        <v>6.79</v>
      </c>
      <c r="D1145" s="16" t="s">
        <v>4682</v>
      </c>
      <c r="E1145" s="10" t="s">
        <v>4683</v>
      </c>
      <c r="F1145" s="10" t="s">
        <v>4683</v>
      </c>
      <c r="G1145" s="10" t="s">
        <v>4683</v>
      </c>
      <c r="H1145" s="14">
        <v>0</v>
      </c>
      <c r="I1145" s="10" t="s">
        <v>4683</v>
      </c>
      <c r="J1145" s="10" t="str">
        <f t="shared" si="5"/>
        <v>normalweight</v>
      </c>
      <c r="L1145" s="30" t="e">
        <v>#N/A</v>
      </c>
    </row>
    <row r="1146" spans="1:12" ht="15.75" customHeight="1" x14ac:dyDescent="0.3">
      <c r="A1146" s="10" t="s">
        <v>2386</v>
      </c>
      <c r="B1146" s="10">
        <v>42.93</v>
      </c>
      <c r="C1146" s="10">
        <v>4.8</v>
      </c>
      <c r="D1146" s="10" t="s">
        <v>4685</v>
      </c>
      <c r="E1146" s="10" t="s">
        <v>4683</v>
      </c>
      <c r="F1146" s="10" t="s">
        <v>4683</v>
      </c>
      <c r="G1146" s="10" t="s">
        <v>4683</v>
      </c>
      <c r="H1146" s="14">
        <v>1</v>
      </c>
      <c r="I1146" s="10" t="s">
        <v>4683</v>
      </c>
      <c r="J1146" s="10" t="str">
        <f t="shared" si="5"/>
        <v>normalweight</v>
      </c>
      <c r="L1146" s="30" t="e">
        <v>#N/A</v>
      </c>
    </row>
    <row r="1147" spans="1:12" ht="15.75" customHeight="1" x14ac:dyDescent="0.3">
      <c r="A1147" s="10" t="s">
        <v>2384</v>
      </c>
      <c r="B1147" s="10">
        <v>26.72</v>
      </c>
      <c r="C1147" s="10">
        <v>5.75</v>
      </c>
      <c r="D1147" s="10" t="s">
        <v>4685</v>
      </c>
      <c r="E1147" s="10" t="s">
        <v>4683</v>
      </c>
      <c r="F1147" s="10" t="s">
        <v>4683</v>
      </c>
      <c r="G1147" s="10" t="s">
        <v>4683</v>
      </c>
      <c r="H1147" s="14">
        <v>2</v>
      </c>
      <c r="I1147" s="10" t="s">
        <v>4683</v>
      </c>
      <c r="J1147" s="10" t="str">
        <f t="shared" si="5"/>
        <v>normalweight</v>
      </c>
      <c r="L1147" s="30" t="e">
        <v>#N/A</v>
      </c>
    </row>
    <row r="1148" spans="1:12" ht="15.75" customHeight="1" x14ac:dyDescent="0.3">
      <c r="A1148" s="10" t="s">
        <v>2382</v>
      </c>
      <c r="B1148" s="10">
        <v>26.67</v>
      </c>
      <c r="C1148" s="10">
        <v>5.81</v>
      </c>
      <c r="D1148" s="10" t="s">
        <v>4685</v>
      </c>
      <c r="E1148" s="10" t="s">
        <v>4683</v>
      </c>
      <c r="F1148" s="10" t="s">
        <v>4683</v>
      </c>
      <c r="G1148" s="10" t="s">
        <v>4683</v>
      </c>
      <c r="H1148" s="14">
        <v>2</v>
      </c>
      <c r="I1148" s="10" t="s">
        <v>4683</v>
      </c>
      <c r="J1148" s="10" t="str">
        <f t="shared" si="5"/>
        <v>normalweight</v>
      </c>
      <c r="L1148" s="30" t="e">
        <v>#N/A</v>
      </c>
    </row>
    <row r="1149" spans="1:12" ht="15.75" customHeight="1" x14ac:dyDescent="0.3">
      <c r="A1149" s="10" t="s">
        <v>2380</v>
      </c>
      <c r="B1149" s="10">
        <v>42.68</v>
      </c>
      <c r="C1149" s="10">
        <v>9.2799999999999994</v>
      </c>
      <c r="D1149" s="16" t="s">
        <v>4682</v>
      </c>
      <c r="E1149" s="10" t="s">
        <v>4683</v>
      </c>
      <c r="F1149" s="10" t="s">
        <v>4683</v>
      </c>
      <c r="G1149" s="10" t="s">
        <v>4683</v>
      </c>
      <c r="H1149" s="14">
        <v>2</v>
      </c>
      <c r="I1149" s="10" t="s">
        <v>4683</v>
      </c>
      <c r="J1149" s="10" t="str">
        <f t="shared" si="5"/>
        <v>normalweight</v>
      </c>
      <c r="L1149" s="30" t="e">
        <v>#N/A</v>
      </c>
    </row>
    <row r="1150" spans="1:12" ht="15.75" customHeight="1" x14ac:dyDescent="0.3">
      <c r="A1150" s="10" t="s">
        <v>2378</v>
      </c>
      <c r="B1150" s="10">
        <v>24.31</v>
      </c>
      <c r="C1150" s="10">
        <v>6.37</v>
      </c>
      <c r="D1150" s="10" t="s">
        <v>4685</v>
      </c>
      <c r="E1150" s="10" t="s">
        <v>4683</v>
      </c>
      <c r="F1150" s="10" t="s">
        <v>4683</v>
      </c>
      <c r="G1150" s="10" t="s">
        <v>4683</v>
      </c>
      <c r="H1150" s="14">
        <v>0</v>
      </c>
      <c r="I1150" s="10" t="s">
        <v>4683</v>
      </c>
      <c r="J1150" s="10" t="str">
        <f t="shared" si="5"/>
        <v>normalweight</v>
      </c>
      <c r="L1150" s="30" t="e">
        <v>#N/A</v>
      </c>
    </row>
    <row r="1151" spans="1:12" ht="15.75" customHeight="1" x14ac:dyDescent="0.3">
      <c r="A1151" s="10" t="s">
        <v>2376</v>
      </c>
      <c r="B1151" s="10">
        <v>44.75</v>
      </c>
      <c r="C1151" s="10">
        <v>5.09</v>
      </c>
      <c r="D1151" s="10" t="s">
        <v>4685</v>
      </c>
      <c r="E1151" s="10" t="s">
        <v>4684</v>
      </c>
      <c r="F1151" s="10" t="s">
        <v>4683</v>
      </c>
      <c r="G1151" s="10" t="s">
        <v>4683</v>
      </c>
      <c r="H1151" s="14">
        <v>0</v>
      </c>
      <c r="I1151" s="10" t="s">
        <v>4683</v>
      </c>
      <c r="J1151" s="10" t="str">
        <f t="shared" si="5"/>
        <v>normalweight</v>
      </c>
      <c r="L1151" s="30" t="e">
        <v>#N/A</v>
      </c>
    </row>
    <row r="1152" spans="1:12" ht="15.75" customHeight="1" x14ac:dyDescent="0.3">
      <c r="A1152" s="10" t="s">
        <v>2374</v>
      </c>
      <c r="B1152" s="10">
        <v>30.78</v>
      </c>
      <c r="C1152" s="10">
        <v>7.94</v>
      </c>
      <c r="D1152" s="16" t="s">
        <v>4682</v>
      </c>
      <c r="E1152" s="10" t="s">
        <v>4683</v>
      </c>
      <c r="F1152" s="10" t="s">
        <v>4683</v>
      </c>
      <c r="G1152" s="10" t="s">
        <v>4683</v>
      </c>
      <c r="H1152" s="14">
        <v>2</v>
      </c>
      <c r="I1152" s="10" t="s">
        <v>4683</v>
      </c>
      <c r="J1152" s="10" t="str">
        <f t="shared" si="5"/>
        <v>normalweight</v>
      </c>
      <c r="L1152" s="30" t="e">
        <v>#N/A</v>
      </c>
    </row>
    <row r="1153" spans="1:12" ht="15.75" customHeight="1" x14ac:dyDescent="0.3">
      <c r="A1153" s="10" t="s">
        <v>2372</v>
      </c>
      <c r="B1153" s="10">
        <v>21.86</v>
      </c>
      <c r="C1153" s="10">
        <v>10.95</v>
      </c>
      <c r="D1153" s="16" t="s">
        <v>4682</v>
      </c>
      <c r="E1153" s="10" t="s">
        <v>4683</v>
      </c>
      <c r="F1153" s="10" t="s">
        <v>4683</v>
      </c>
      <c r="G1153" s="10" t="s">
        <v>4683</v>
      </c>
      <c r="H1153" s="14">
        <v>0</v>
      </c>
      <c r="I1153" s="10" t="s">
        <v>4683</v>
      </c>
      <c r="J1153" s="10" t="str">
        <f t="shared" si="5"/>
        <v>normalweight</v>
      </c>
      <c r="L1153" s="30" t="e">
        <v>#N/A</v>
      </c>
    </row>
    <row r="1154" spans="1:12" ht="15.75" customHeight="1" x14ac:dyDescent="0.3">
      <c r="A1154" s="10" t="s">
        <v>2370</v>
      </c>
      <c r="B1154" s="10">
        <v>49.09</v>
      </c>
      <c r="C1154" s="10">
        <v>6.3</v>
      </c>
      <c r="D1154" s="10" t="s">
        <v>4685</v>
      </c>
      <c r="E1154" s="10" t="s">
        <v>4684</v>
      </c>
      <c r="F1154" s="10" t="s">
        <v>4683</v>
      </c>
      <c r="G1154" s="10" t="s">
        <v>4683</v>
      </c>
      <c r="H1154" s="14">
        <v>0</v>
      </c>
      <c r="I1154" s="10" t="s">
        <v>4683</v>
      </c>
      <c r="J1154" s="10" t="str">
        <f t="shared" si="5"/>
        <v>normalweight</v>
      </c>
      <c r="L1154" s="30" t="e">
        <v>#N/A</v>
      </c>
    </row>
    <row r="1155" spans="1:12" ht="15.75" customHeight="1" x14ac:dyDescent="0.3">
      <c r="A1155" s="10" t="s">
        <v>2368</v>
      </c>
      <c r="B1155" s="10">
        <v>47.74</v>
      </c>
      <c r="C1155" s="10">
        <v>8.0500000000000007</v>
      </c>
      <c r="D1155" s="16" t="s">
        <v>4682</v>
      </c>
      <c r="E1155" s="10" t="s">
        <v>4684</v>
      </c>
      <c r="F1155" s="10" t="s">
        <v>4683</v>
      </c>
      <c r="G1155" s="10" t="s">
        <v>4683</v>
      </c>
      <c r="H1155" s="14">
        <v>2</v>
      </c>
      <c r="I1155" s="10" t="s">
        <v>4683</v>
      </c>
      <c r="J1155" s="10" t="str">
        <f t="shared" si="5"/>
        <v>normalweight</v>
      </c>
      <c r="L1155" s="30" t="e">
        <v>#N/A</v>
      </c>
    </row>
    <row r="1156" spans="1:12" ht="15.75" customHeight="1" x14ac:dyDescent="0.3">
      <c r="A1156" s="10" t="s">
        <v>2366</v>
      </c>
      <c r="B1156" s="10">
        <v>30.2</v>
      </c>
      <c r="C1156" s="10">
        <v>9.8800000000000008</v>
      </c>
      <c r="D1156" s="16" t="s">
        <v>4682</v>
      </c>
      <c r="E1156" s="10" t="s">
        <v>4684</v>
      </c>
      <c r="F1156" s="10" t="s">
        <v>4683</v>
      </c>
      <c r="G1156" s="10" t="s">
        <v>4683</v>
      </c>
      <c r="H1156" s="14">
        <v>2</v>
      </c>
      <c r="I1156" s="10" t="s">
        <v>4683</v>
      </c>
      <c r="J1156" s="10" t="str">
        <f t="shared" si="5"/>
        <v>normalweight</v>
      </c>
      <c r="L1156" s="30" t="e">
        <v>#N/A</v>
      </c>
    </row>
    <row r="1157" spans="1:12" ht="15.75" customHeight="1" x14ac:dyDescent="0.3">
      <c r="A1157" s="10" t="s">
        <v>2364</v>
      </c>
      <c r="B1157" s="10">
        <v>33.25</v>
      </c>
      <c r="C1157" s="10">
        <v>7.42</v>
      </c>
      <c r="D1157" s="16" t="s">
        <v>4682</v>
      </c>
      <c r="E1157" s="10" t="s">
        <v>4684</v>
      </c>
      <c r="F1157" s="10" t="s">
        <v>4683</v>
      </c>
      <c r="G1157" s="10" t="s">
        <v>4683</v>
      </c>
      <c r="H1157" s="14">
        <v>2</v>
      </c>
      <c r="I1157" s="10" t="s">
        <v>4683</v>
      </c>
      <c r="J1157" s="10" t="str">
        <f t="shared" si="5"/>
        <v>normalweight</v>
      </c>
      <c r="L1157" s="30" t="e">
        <v>#N/A</v>
      </c>
    </row>
    <row r="1158" spans="1:12" ht="15.75" customHeight="1" x14ac:dyDescent="0.3">
      <c r="A1158" s="10" t="s">
        <v>2362</v>
      </c>
      <c r="B1158" s="10">
        <v>26.6</v>
      </c>
      <c r="C1158" s="10">
        <v>8.4499999999999993</v>
      </c>
      <c r="D1158" s="16" t="s">
        <v>4682</v>
      </c>
      <c r="E1158" s="10" t="s">
        <v>4684</v>
      </c>
      <c r="F1158" s="10" t="s">
        <v>4683</v>
      </c>
      <c r="G1158" s="10" t="s">
        <v>4683</v>
      </c>
      <c r="H1158" s="14">
        <v>1</v>
      </c>
      <c r="I1158" s="10" t="s">
        <v>4683</v>
      </c>
      <c r="J1158" s="10" t="str">
        <f t="shared" si="5"/>
        <v>normalweight</v>
      </c>
      <c r="L1158" s="30" t="e">
        <v>#N/A</v>
      </c>
    </row>
    <row r="1159" spans="1:12" ht="15.75" customHeight="1" x14ac:dyDescent="0.3">
      <c r="A1159" s="10" t="s">
        <v>2360</v>
      </c>
      <c r="B1159" s="10">
        <v>26.35</v>
      </c>
      <c r="C1159" s="10">
        <v>6.21</v>
      </c>
      <c r="D1159" s="10" t="s">
        <v>4685</v>
      </c>
      <c r="E1159" s="10" t="s">
        <v>4683</v>
      </c>
      <c r="F1159" s="10" t="s">
        <v>4683</v>
      </c>
      <c r="G1159" s="10" t="s">
        <v>4683</v>
      </c>
      <c r="H1159" s="14">
        <v>2</v>
      </c>
      <c r="I1159" s="10" t="s">
        <v>4683</v>
      </c>
      <c r="J1159" s="10" t="str">
        <f t="shared" si="5"/>
        <v>normalweight</v>
      </c>
      <c r="L1159" s="30" t="e">
        <v>#N/A</v>
      </c>
    </row>
    <row r="1160" spans="1:12" ht="15.75" customHeight="1" x14ac:dyDescent="0.3">
      <c r="A1160" s="10" t="s">
        <v>2358</v>
      </c>
      <c r="B1160" s="10">
        <v>39.994999999999997</v>
      </c>
      <c r="C1160" s="10">
        <v>4.6500000000000004</v>
      </c>
      <c r="D1160" s="10" t="s">
        <v>4685</v>
      </c>
      <c r="E1160" s="10" t="s">
        <v>4683</v>
      </c>
      <c r="F1160" s="10" t="s">
        <v>4683</v>
      </c>
      <c r="G1160" s="10" t="s">
        <v>4683</v>
      </c>
      <c r="H1160" s="14">
        <v>0</v>
      </c>
      <c r="I1160" s="10" t="s">
        <v>4683</v>
      </c>
      <c r="J1160" s="10" t="str">
        <f t="shared" si="5"/>
        <v>normalweight</v>
      </c>
      <c r="L1160" s="30" t="e">
        <v>#N/A</v>
      </c>
    </row>
    <row r="1161" spans="1:12" ht="15.75" customHeight="1" x14ac:dyDescent="0.3">
      <c r="A1161" s="10" t="s">
        <v>2356</v>
      </c>
      <c r="B1161" s="10">
        <v>22.92</v>
      </c>
      <c r="C1161" s="10">
        <v>5.87</v>
      </c>
      <c r="D1161" s="10" t="s">
        <v>4685</v>
      </c>
      <c r="E1161" s="10" t="s">
        <v>4684</v>
      </c>
      <c r="F1161" s="10" t="s">
        <v>4683</v>
      </c>
      <c r="G1161" s="10" t="s">
        <v>4683</v>
      </c>
      <c r="H1161" s="14">
        <v>1</v>
      </c>
      <c r="I1161" s="10" t="s">
        <v>4683</v>
      </c>
      <c r="J1161" s="10" t="str">
        <f t="shared" si="5"/>
        <v>normalweight</v>
      </c>
      <c r="L1161" s="30" t="e">
        <v>#N/A</v>
      </c>
    </row>
    <row r="1162" spans="1:12" ht="15.75" customHeight="1" x14ac:dyDescent="0.3">
      <c r="A1162" s="10" t="s">
        <v>2354</v>
      </c>
      <c r="B1162" s="10">
        <v>24.78</v>
      </c>
      <c r="C1162" s="10">
        <v>4.24</v>
      </c>
      <c r="D1162" s="10" t="s">
        <v>4685</v>
      </c>
      <c r="E1162" s="10" t="s">
        <v>4684</v>
      </c>
      <c r="F1162" s="10" t="s">
        <v>4683</v>
      </c>
      <c r="G1162" s="10" t="s">
        <v>4683</v>
      </c>
      <c r="H1162" s="14">
        <v>2</v>
      </c>
      <c r="I1162" s="10" t="s">
        <v>4683</v>
      </c>
      <c r="J1162" s="10" t="str">
        <f t="shared" si="5"/>
        <v>normalweight</v>
      </c>
      <c r="L1162" s="30" t="e">
        <v>#N/A</v>
      </c>
    </row>
    <row r="1163" spans="1:12" ht="15.75" customHeight="1" x14ac:dyDescent="0.3">
      <c r="A1163" s="10" t="s">
        <v>2352</v>
      </c>
      <c r="B1163" s="10">
        <v>34.07</v>
      </c>
      <c r="C1163" s="10">
        <v>7.81</v>
      </c>
      <c r="D1163" s="10" t="s">
        <v>4685</v>
      </c>
      <c r="E1163" s="10" t="s">
        <v>4684</v>
      </c>
      <c r="F1163" s="10" t="s">
        <v>4683</v>
      </c>
      <c r="G1163" s="10" t="s">
        <v>4683</v>
      </c>
      <c r="H1163" s="14">
        <v>0</v>
      </c>
      <c r="I1163" s="10" t="s">
        <v>4683</v>
      </c>
      <c r="J1163" s="10" t="str">
        <f t="shared" si="5"/>
        <v>normalweight</v>
      </c>
      <c r="L1163" s="30" t="e">
        <v>#N/A</v>
      </c>
    </row>
    <row r="1164" spans="1:12" ht="15.75" customHeight="1" x14ac:dyDescent="0.3">
      <c r="A1164" s="10" t="s">
        <v>2350</v>
      </c>
      <c r="B1164" s="10">
        <v>30.14</v>
      </c>
      <c r="C1164" s="10">
        <v>9.85</v>
      </c>
      <c r="D1164" s="16" t="s">
        <v>4682</v>
      </c>
      <c r="E1164" s="10" t="s">
        <v>4683</v>
      </c>
      <c r="F1164" s="10" t="s">
        <v>4683</v>
      </c>
      <c r="G1164" s="10" t="s">
        <v>4683</v>
      </c>
      <c r="H1164" s="14">
        <v>0</v>
      </c>
      <c r="I1164" s="10" t="s">
        <v>4683</v>
      </c>
      <c r="J1164" s="10" t="str">
        <f t="shared" si="5"/>
        <v>normalweight</v>
      </c>
      <c r="L1164" s="30" t="e">
        <v>#N/A</v>
      </c>
    </row>
    <row r="1165" spans="1:12" ht="15.75" customHeight="1" x14ac:dyDescent="0.3">
      <c r="A1165" s="10" t="s">
        <v>2348</v>
      </c>
      <c r="B1165" s="10">
        <v>18.05</v>
      </c>
      <c r="C1165" s="10">
        <v>6.94</v>
      </c>
      <c r="D1165" s="16" t="s">
        <v>4682</v>
      </c>
      <c r="E1165" s="10" t="s">
        <v>4683</v>
      </c>
      <c r="F1165" s="10" t="s">
        <v>4683</v>
      </c>
      <c r="G1165" s="10" t="s">
        <v>4683</v>
      </c>
      <c r="H1165" s="14">
        <v>0</v>
      </c>
      <c r="I1165" s="10" t="s">
        <v>4683</v>
      </c>
      <c r="J1165" s="10" t="str">
        <f t="shared" si="5"/>
        <v>underweight</v>
      </c>
      <c r="L1165" s="30" t="e">
        <v>#N/A</v>
      </c>
    </row>
    <row r="1166" spans="1:12" ht="15.75" customHeight="1" x14ac:dyDescent="0.3">
      <c r="A1166" s="10" t="s">
        <v>2346</v>
      </c>
      <c r="B1166" s="10">
        <v>37.4</v>
      </c>
      <c r="C1166" s="10">
        <v>11.3</v>
      </c>
      <c r="D1166" s="16" t="s">
        <v>4682</v>
      </c>
      <c r="E1166" s="10" t="s">
        <v>4684</v>
      </c>
      <c r="F1166" s="10" t="s">
        <v>4683</v>
      </c>
      <c r="G1166" s="10" t="s">
        <v>4683</v>
      </c>
      <c r="H1166" s="14">
        <v>2</v>
      </c>
      <c r="I1166" s="10" t="s">
        <v>4683</v>
      </c>
      <c r="J1166" s="10" t="str">
        <f t="shared" si="5"/>
        <v>normalweight</v>
      </c>
      <c r="L1166" s="30" t="e">
        <v>#N/A</v>
      </c>
    </row>
    <row r="1167" spans="1:12" ht="15.75" customHeight="1" x14ac:dyDescent="0.3">
      <c r="A1167" s="10" t="s">
        <v>2344</v>
      </c>
      <c r="B1167" s="10">
        <v>25.75</v>
      </c>
      <c r="C1167" s="10">
        <v>9.23</v>
      </c>
      <c r="D1167" s="16" t="s">
        <v>4682</v>
      </c>
      <c r="E1167" s="10" t="s">
        <v>4683</v>
      </c>
      <c r="F1167" s="10" t="s">
        <v>4683</v>
      </c>
      <c r="G1167" s="10" t="s">
        <v>4683</v>
      </c>
      <c r="H1167" s="14">
        <v>0</v>
      </c>
      <c r="I1167" s="10" t="s">
        <v>4683</v>
      </c>
      <c r="J1167" s="10" t="str">
        <f t="shared" si="5"/>
        <v>normalweight</v>
      </c>
      <c r="L1167" s="30" t="e">
        <v>#N/A</v>
      </c>
    </row>
    <row r="1168" spans="1:12" ht="15.75" customHeight="1" x14ac:dyDescent="0.3">
      <c r="A1168" s="10" t="s">
        <v>2342</v>
      </c>
      <c r="B1168" s="10">
        <v>32.299999999999997</v>
      </c>
      <c r="C1168" s="10">
        <v>4.37</v>
      </c>
      <c r="D1168" s="10" t="s">
        <v>4685</v>
      </c>
      <c r="E1168" s="10" t="s">
        <v>4683</v>
      </c>
      <c r="F1168" s="10" t="s">
        <v>4683</v>
      </c>
      <c r="G1168" s="10" t="s">
        <v>4683</v>
      </c>
      <c r="H1168" s="14">
        <v>2</v>
      </c>
      <c r="I1168" s="10" t="s">
        <v>4683</v>
      </c>
      <c r="J1168" s="10" t="str">
        <f t="shared" si="5"/>
        <v>normalweight</v>
      </c>
      <c r="L1168" s="30" t="e">
        <v>#N/A</v>
      </c>
    </row>
    <row r="1169" spans="1:12" ht="15.75" customHeight="1" x14ac:dyDescent="0.3">
      <c r="A1169" s="10" t="s">
        <v>2340</v>
      </c>
      <c r="B1169" s="10">
        <v>28.61</v>
      </c>
      <c r="C1169" s="10">
        <v>5.76</v>
      </c>
      <c r="D1169" s="10" t="s">
        <v>4685</v>
      </c>
      <c r="E1169" s="10" t="s">
        <v>4683</v>
      </c>
      <c r="F1169" s="10" t="s">
        <v>4683</v>
      </c>
      <c r="G1169" s="10" t="s">
        <v>4686</v>
      </c>
      <c r="H1169" s="14">
        <v>1</v>
      </c>
      <c r="I1169" s="10" t="s">
        <v>4683</v>
      </c>
      <c r="J1169" s="10" t="str">
        <f t="shared" si="5"/>
        <v>normalweight</v>
      </c>
      <c r="L1169" s="30" t="e">
        <v>#N/A</v>
      </c>
    </row>
    <row r="1170" spans="1:12" ht="15.75" customHeight="1" x14ac:dyDescent="0.3">
      <c r="A1170" s="10" t="s">
        <v>2338</v>
      </c>
      <c r="B1170" s="10">
        <v>45.41</v>
      </c>
      <c r="C1170" s="10">
        <v>4.96</v>
      </c>
      <c r="D1170" s="10" t="s">
        <v>4685</v>
      </c>
      <c r="E1170" s="10" t="s">
        <v>4683</v>
      </c>
      <c r="F1170" s="10" t="s">
        <v>4683</v>
      </c>
      <c r="G1170" s="10" t="s">
        <v>4683</v>
      </c>
      <c r="H1170" s="14">
        <v>1</v>
      </c>
      <c r="I1170" s="10" t="s">
        <v>4683</v>
      </c>
      <c r="J1170" s="10" t="str">
        <f t="shared" si="5"/>
        <v>normalweight</v>
      </c>
      <c r="L1170" s="30" t="e">
        <v>#N/A</v>
      </c>
    </row>
    <row r="1171" spans="1:12" ht="15.75" customHeight="1" x14ac:dyDescent="0.3">
      <c r="A1171" s="10" t="s">
        <v>2336</v>
      </c>
      <c r="B1171" s="10">
        <v>31.2</v>
      </c>
      <c r="C1171" s="10">
        <v>11.04</v>
      </c>
      <c r="D1171" s="16" t="s">
        <v>4682</v>
      </c>
      <c r="E1171" s="10" t="s">
        <v>4684</v>
      </c>
      <c r="F1171" s="10" t="s">
        <v>4683</v>
      </c>
      <c r="G1171" s="10" t="s">
        <v>4683</v>
      </c>
      <c r="H1171" s="14">
        <v>2</v>
      </c>
      <c r="I1171" s="10" t="s">
        <v>4683</v>
      </c>
      <c r="J1171" s="10" t="str">
        <f t="shared" si="5"/>
        <v>normalweight</v>
      </c>
      <c r="L1171" s="30" t="e">
        <v>#N/A</v>
      </c>
    </row>
    <row r="1172" spans="1:12" ht="15.75" customHeight="1" x14ac:dyDescent="0.3">
      <c r="A1172" s="10" t="s">
        <v>2334</v>
      </c>
      <c r="B1172" s="10">
        <v>29.83</v>
      </c>
      <c r="C1172" s="10">
        <v>7.81</v>
      </c>
      <c r="D1172" s="16" t="s">
        <v>4682</v>
      </c>
      <c r="E1172" s="10" t="s">
        <v>4684</v>
      </c>
      <c r="F1172" s="10" t="s">
        <v>4683</v>
      </c>
      <c r="G1172" s="10" t="s">
        <v>4683</v>
      </c>
      <c r="H1172" s="14">
        <v>1</v>
      </c>
      <c r="I1172" s="10" t="s">
        <v>4683</v>
      </c>
      <c r="J1172" s="10" t="str">
        <f t="shared" si="5"/>
        <v>normalweight</v>
      </c>
      <c r="L1172" s="30" t="e">
        <v>#N/A</v>
      </c>
    </row>
    <row r="1173" spans="1:12" ht="15.75" customHeight="1" x14ac:dyDescent="0.3">
      <c r="A1173" s="10" t="s">
        <v>2332</v>
      </c>
      <c r="B1173" s="10">
        <v>29.06</v>
      </c>
      <c r="C1173" s="10">
        <v>4.55</v>
      </c>
      <c r="D1173" s="10" t="s">
        <v>4685</v>
      </c>
      <c r="E1173" s="10" t="s">
        <v>4683</v>
      </c>
      <c r="F1173" s="10" t="s">
        <v>4683</v>
      </c>
      <c r="G1173" s="10" t="s">
        <v>4683</v>
      </c>
      <c r="H1173" s="14">
        <v>0</v>
      </c>
      <c r="I1173" s="10" t="s">
        <v>4683</v>
      </c>
      <c r="J1173" s="10" t="str">
        <f t="shared" si="5"/>
        <v>normalweight</v>
      </c>
      <c r="L1173" s="30" t="e">
        <v>#N/A</v>
      </c>
    </row>
    <row r="1174" spans="1:12" ht="15.75" customHeight="1" x14ac:dyDescent="0.3">
      <c r="A1174" s="10" t="s">
        <v>2330</v>
      </c>
      <c r="B1174" s="10">
        <v>27.454999999999998</v>
      </c>
      <c r="C1174" s="10">
        <v>6.13</v>
      </c>
      <c r="D1174" s="10" t="s">
        <v>4685</v>
      </c>
      <c r="E1174" s="10" t="s">
        <v>4683</v>
      </c>
      <c r="F1174" s="10" t="s">
        <v>4683</v>
      </c>
      <c r="G1174" s="10" t="s">
        <v>4683</v>
      </c>
      <c r="H1174" s="14">
        <v>2</v>
      </c>
      <c r="I1174" s="10" t="s">
        <v>4683</v>
      </c>
      <c r="J1174" s="10" t="str">
        <f t="shared" si="5"/>
        <v>normalweight</v>
      </c>
      <c r="L1174" s="30" t="e">
        <v>#N/A</v>
      </c>
    </row>
    <row r="1175" spans="1:12" ht="15.75" customHeight="1" x14ac:dyDescent="0.3">
      <c r="A1175" s="10" t="s">
        <v>2328</v>
      </c>
      <c r="B1175" s="10">
        <v>23.01</v>
      </c>
      <c r="C1175" s="10">
        <v>6.04</v>
      </c>
      <c r="D1175" s="10" t="s">
        <v>4685</v>
      </c>
      <c r="E1175" s="10" t="s">
        <v>4684</v>
      </c>
      <c r="F1175" s="10" t="s">
        <v>4683</v>
      </c>
      <c r="G1175" s="10" t="s">
        <v>4683</v>
      </c>
      <c r="H1175" s="14">
        <v>1</v>
      </c>
      <c r="I1175" s="10" t="s">
        <v>4683</v>
      </c>
      <c r="J1175" s="10" t="str">
        <f t="shared" si="5"/>
        <v>normalweight</v>
      </c>
      <c r="L1175" s="30" t="e">
        <v>#N/A</v>
      </c>
    </row>
    <row r="1176" spans="1:12" ht="15.75" customHeight="1" x14ac:dyDescent="0.3">
      <c r="A1176" s="10" t="s">
        <v>2326</v>
      </c>
      <c r="B1176" s="10">
        <v>31.39</v>
      </c>
      <c r="C1176" s="10">
        <v>8.85</v>
      </c>
      <c r="D1176" s="16" t="s">
        <v>4682</v>
      </c>
      <c r="E1176" s="10" t="s">
        <v>4684</v>
      </c>
      <c r="F1176" s="10" t="s">
        <v>4683</v>
      </c>
      <c r="G1176" s="10" t="s">
        <v>4683</v>
      </c>
      <c r="H1176" s="14">
        <v>0</v>
      </c>
      <c r="I1176" s="10" t="s">
        <v>4683</v>
      </c>
      <c r="J1176" s="10" t="str">
        <f t="shared" si="5"/>
        <v>normalweight</v>
      </c>
      <c r="L1176" s="30" t="e">
        <v>#N/A</v>
      </c>
    </row>
    <row r="1177" spans="1:12" ht="15.75" customHeight="1" x14ac:dyDescent="0.3">
      <c r="A1177" s="10" t="s">
        <v>2324</v>
      </c>
      <c r="B1177" s="10">
        <v>34.770000000000003</v>
      </c>
      <c r="C1177" s="10">
        <v>10.54</v>
      </c>
      <c r="D1177" s="16" t="s">
        <v>4682</v>
      </c>
      <c r="E1177" s="10" t="s">
        <v>4683</v>
      </c>
      <c r="F1177" s="10" t="s">
        <v>4683</v>
      </c>
      <c r="G1177" s="10" t="s">
        <v>4683</v>
      </c>
      <c r="H1177" s="14">
        <v>2</v>
      </c>
      <c r="I1177" s="10" t="s">
        <v>4683</v>
      </c>
      <c r="J1177" s="10" t="str">
        <f t="shared" si="5"/>
        <v>normalweight</v>
      </c>
      <c r="L1177" s="30" t="e">
        <v>#N/A</v>
      </c>
    </row>
    <row r="1178" spans="1:12" ht="15.75" customHeight="1" x14ac:dyDescent="0.3">
      <c r="A1178" s="10" t="s">
        <v>2322</v>
      </c>
      <c r="B1178" s="10">
        <v>24.48</v>
      </c>
      <c r="C1178" s="10">
        <v>4.37</v>
      </c>
      <c r="D1178" s="10" t="s">
        <v>4685</v>
      </c>
      <c r="E1178" s="10" t="s">
        <v>4684</v>
      </c>
      <c r="F1178" s="10" t="s">
        <v>4683</v>
      </c>
      <c r="G1178" s="10" t="s">
        <v>4683</v>
      </c>
      <c r="H1178" s="14">
        <v>2</v>
      </c>
      <c r="I1178" s="10" t="s">
        <v>4683</v>
      </c>
      <c r="J1178" s="10" t="str">
        <f t="shared" si="5"/>
        <v>normalweight</v>
      </c>
      <c r="L1178" s="30" t="e">
        <v>#N/A</v>
      </c>
    </row>
    <row r="1179" spans="1:12" ht="15.75" customHeight="1" x14ac:dyDescent="0.3">
      <c r="A1179" s="10" t="s">
        <v>2320</v>
      </c>
      <c r="B1179" s="10">
        <v>22.61</v>
      </c>
      <c r="C1179" s="10">
        <v>9.6300000000000008</v>
      </c>
      <c r="D1179" s="16" t="s">
        <v>4682</v>
      </c>
      <c r="E1179" s="10" t="s">
        <v>4683</v>
      </c>
      <c r="F1179" s="10" t="s">
        <v>4683</v>
      </c>
      <c r="G1179" s="10" t="s">
        <v>4683</v>
      </c>
      <c r="H1179" s="14">
        <v>2</v>
      </c>
      <c r="I1179" s="10" t="s">
        <v>4683</v>
      </c>
      <c r="J1179" s="10" t="str">
        <f t="shared" si="5"/>
        <v>normalweight</v>
      </c>
      <c r="L1179" s="30" t="e">
        <v>#N/A</v>
      </c>
    </row>
    <row r="1180" spans="1:12" ht="15.75" customHeight="1" x14ac:dyDescent="0.3">
      <c r="A1180" s="10" t="s">
        <v>2318</v>
      </c>
      <c r="B1180" s="10">
        <v>34.299999999999997</v>
      </c>
      <c r="C1180" s="10">
        <v>10.37</v>
      </c>
      <c r="D1180" s="16" t="s">
        <v>4682</v>
      </c>
      <c r="E1180" s="10" t="s">
        <v>4683</v>
      </c>
      <c r="F1180" s="10" t="s">
        <v>4683</v>
      </c>
      <c r="G1180" s="10" t="s">
        <v>4683</v>
      </c>
      <c r="H1180" s="14">
        <v>0</v>
      </c>
      <c r="I1180" s="10" t="s">
        <v>4683</v>
      </c>
      <c r="J1180" s="10" t="str">
        <f t="shared" si="5"/>
        <v>normalweight</v>
      </c>
      <c r="L1180" s="30" t="e">
        <v>#N/A</v>
      </c>
    </row>
    <row r="1181" spans="1:12" ht="15.75" customHeight="1" x14ac:dyDescent="0.3">
      <c r="A1181" s="10" t="s">
        <v>2316</v>
      </c>
      <c r="B1181" s="10">
        <v>46.09</v>
      </c>
      <c r="C1181" s="10">
        <v>5.44</v>
      </c>
      <c r="D1181" s="10" t="s">
        <v>4685</v>
      </c>
      <c r="E1181" s="10" t="s">
        <v>4683</v>
      </c>
      <c r="F1181" s="10" t="s">
        <v>4683</v>
      </c>
      <c r="G1181" s="10" t="s">
        <v>4683</v>
      </c>
      <c r="H1181" s="14">
        <v>2</v>
      </c>
      <c r="I1181" s="10" t="s">
        <v>4683</v>
      </c>
      <c r="J1181" s="10" t="str">
        <f t="shared" si="5"/>
        <v>normalweight</v>
      </c>
      <c r="L1181" s="30" t="e">
        <v>#N/A</v>
      </c>
    </row>
    <row r="1182" spans="1:12" ht="15.75" customHeight="1" x14ac:dyDescent="0.3">
      <c r="A1182" s="10" t="s">
        <v>2314</v>
      </c>
      <c r="B1182" s="10">
        <v>44.744999999999997</v>
      </c>
      <c r="C1182" s="10">
        <v>5.19</v>
      </c>
      <c r="D1182" s="10" t="s">
        <v>4685</v>
      </c>
      <c r="E1182" s="10" t="s">
        <v>4683</v>
      </c>
      <c r="F1182" s="10" t="s">
        <v>4683</v>
      </c>
      <c r="G1182" s="10" t="s">
        <v>4683</v>
      </c>
      <c r="H1182" s="14">
        <v>2</v>
      </c>
      <c r="I1182" s="10" t="s">
        <v>4683</v>
      </c>
      <c r="J1182" s="10" t="str">
        <f t="shared" si="5"/>
        <v>normalweight</v>
      </c>
      <c r="L1182" s="30" t="e">
        <v>#N/A</v>
      </c>
    </row>
    <row r="1183" spans="1:12" ht="15.75" customHeight="1" x14ac:dyDescent="0.3">
      <c r="A1183" s="10" t="s">
        <v>2312</v>
      </c>
      <c r="B1183" s="10">
        <v>26.33</v>
      </c>
      <c r="C1183" s="10">
        <v>11.8</v>
      </c>
      <c r="D1183" s="16" t="s">
        <v>4682</v>
      </c>
      <c r="E1183" s="10" t="s">
        <v>4684</v>
      </c>
      <c r="F1183" s="10" t="s">
        <v>4683</v>
      </c>
      <c r="G1183" s="10" t="s">
        <v>4683</v>
      </c>
      <c r="H1183" s="14">
        <v>1</v>
      </c>
      <c r="I1183" s="10" t="s">
        <v>4683</v>
      </c>
      <c r="J1183" s="10" t="str">
        <f t="shared" si="5"/>
        <v>normalweight</v>
      </c>
      <c r="L1183" s="30" t="e">
        <v>#N/A</v>
      </c>
    </row>
    <row r="1184" spans="1:12" ht="15.75" customHeight="1" x14ac:dyDescent="0.3">
      <c r="A1184" s="10" t="s">
        <v>2310</v>
      </c>
      <c r="B1184" s="10">
        <v>26.6</v>
      </c>
      <c r="C1184" s="10">
        <v>8.3800000000000008</v>
      </c>
      <c r="D1184" s="16" t="s">
        <v>4682</v>
      </c>
      <c r="E1184" s="10" t="s">
        <v>4683</v>
      </c>
      <c r="F1184" s="10" t="s">
        <v>4683</v>
      </c>
      <c r="G1184" s="10" t="s">
        <v>4683</v>
      </c>
      <c r="H1184" s="14">
        <v>2</v>
      </c>
      <c r="I1184" s="10" t="s">
        <v>4683</v>
      </c>
      <c r="J1184" s="10" t="str">
        <f t="shared" si="5"/>
        <v>normalweight</v>
      </c>
      <c r="L1184" s="30" t="e">
        <v>#N/A</v>
      </c>
    </row>
    <row r="1185" spans="1:12" ht="15.75" customHeight="1" x14ac:dyDescent="0.3">
      <c r="A1185" s="10" t="s">
        <v>2308</v>
      </c>
      <c r="B1185" s="10">
        <v>27.5</v>
      </c>
      <c r="C1185" s="10">
        <v>7.58</v>
      </c>
      <c r="D1185" s="16" t="s">
        <v>4682</v>
      </c>
      <c r="E1185" s="10" t="s">
        <v>4683</v>
      </c>
      <c r="F1185" s="10" t="s">
        <v>4683</v>
      </c>
      <c r="G1185" s="10" t="s">
        <v>4683</v>
      </c>
      <c r="H1185" s="14">
        <v>0</v>
      </c>
      <c r="I1185" s="10" t="s">
        <v>4683</v>
      </c>
      <c r="J1185" s="10" t="str">
        <f t="shared" si="5"/>
        <v>normalweight</v>
      </c>
      <c r="L1185" s="30" t="e">
        <v>#N/A</v>
      </c>
    </row>
    <row r="1186" spans="1:12" ht="15.75" customHeight="1" x14ac:dyDescent="0.3">
      <c r="A1186" s="10" t="s">
        <v>2306</v>
      </c>
      <c r="B1186" s="10">
        <v>41.55</v>
      </c>
      <c r="C1186" s="10">
        <v>4.6100000000000003</v>
      </c>
      <c r="D1186" s="10" t="s">
        <v>4685</v>
      </c>
      <c r="E1186" s="10" t="s">
        <v>4683</v>
      </c>
      <c r="F1186" s="10" t="s">
        <v>4683</v>
      </c>
      <c r="G1186" s="10" t="s">
        <v>4683</v>
      </c>
      <c r="H1186" s="14">
        <v>1</v>
      </c>
      <c r="I1186" s="10" t="s">
        <v>4683</v>
      </c>
      <c r="J1186" s="10" t="str">
        <f t="shared" si="5"/>
        <v>normalweight</v>
      </c>
      <c r="L1186" s="30" t="e">
        <v>#N/A</v>
      </c>
    </row>
    <row r="1187" spans="1:12" ht="15.75" customHeight="1" x14ac:dyDescent="0.3">
      <c r="A1187" s="10" t="s">
        <v>2304</v>
      </c>
      <c r="B1187" s="10">
        <v>41.47</v>
      </c>
      <c r="C1187" s="10">
        <v>4.7</v>
      </c>
      <c r="D1187" s="10" t="s">
        <v>4685</v>
      </c>
      <c r="E1187" s="10" t="s">
        <v>4684</v>
      </c>
      <c r="F1187" s="10" t="s">
        <v>4683</v>
      </c>
      <c r="G1187" s="10" t="s">
        <v>4686</v>
      </c>
      <c r="H1187" s="14">
        <v>1</v>
      </c>
      <c r="I1187" s="10" t="s">
        <v>4683</v>
      </c>
      <c r="J1187" s="10" t="str">
        <f t="shared" si="5"/>
        <v>normalweight</v>
      </c>
      <c r="L1187" s="30" t="e">
        <v>#N/A</v>
      </c>
    </row>
    <row r="1188" spans="1:12" ht="15.75" customHeight="1" x14ac:dyDescent="0.3">
      <c r="A1188" s="10" t="s">
        <v>2302</v>
      </c>
      <c r="B1188" s="10">
        <v>24.795000000000002</v>
      </c>
      <c r="C1188" s="10">
        <v>6.05</v>
      </c>
      <c r="D1188" s="10" t="s">
        <v>4685</v>
      </c>
      <c r="E1188" s="10" t="s">
        <v>4684</v>
      </c>
      <c r="F1188" s="10" t="s">
        <v>4683</v>
      </c>
      <c r="G1188" s="10" t="s">
        <v>4683</v>
      </c>
      <c r="H1188" s="14">
        <v>0</v>
      </c>
      <c r="I1188" s="10" t="s">
        <v>4683</v>
      </c>
      <c r="J1188" s="10" t="str">
        <f t="shared" si="5"/>
        <v>normalweight</v>
      </c>
      <c r="L1188" s="30" t="e">
        <v>#N/A</v>
      </c>
    </row>
    <row r="1189" spans="1:12" ht="15.75" customHeight="1" x14ac:dyDescent="0.3">
      <c r="A1189" s="10" t="s">
        <v>2300</v>
      </c>
      <c r="B1189" s="10">
        <v>29.48</v>
      </c>
      <c r="C1189" s="10">
        <v>5.63</v>
      </c>
      <c r="D1189" s="10" t="s">
        <v>4685</v>
      </c>
      <c r="E1189" s="10" t="s">
        <v>4684</v>
      </c>
      <c r="F1189" s="10" t="s">
        <v>4683</v>
      </c>
      <c r="G1189" s="10" t="s">
        <v>4686</v>
      </c>
      <c r="H1189" s="14">
        <v>1</v>
      </c>
      <c r="I1189" s="10" t="s">
        <v>4683</v>
      </c>
      <c r="J1189" s="10" t="str">
        <f t="shared" si="5"/>
        <v>normalweight</v>
      </c>
      <c r="L1189" s="30" t="e">
        <v>#N/A</v>
      </c>
    </row>
    <row r="1190" spans="1:12" ht="15.75" customHeight="1" x14ac:dyDescent="0.3">
      <c r="A1190" s="10" t="s">
        <v>2298</v>
      </c>
      <c r="B1190" s="10">
        <v>28.09</v>
      </c>
      <c r="C1190" s="10">
        <v>6.06</v>
      </c>
      <c r="D1190" s="10" t="s">
        <v>4685</v>
      </c>
      <c r="E1190" s="10" t="s">
        <v>4683</v>
      </c>
      <c r="F1190" s="10" t="s">
        <v>4683</v>
      </c>
      <c r="G1190" s="10" t="s">
        <v>4686</v>
      </c>
      <c r="H1190" s="14">
        <v>1</v>
      </c>
      <c r="I1190" s="10" t="s">
        <v>4683</v>
      </c>
      <c r="J1190" s="10" t="str">
        <f t="shared" si="5"/>
        <v>normalweight</v>
      </c>
      <c r="L1190" s="30" t="e">
        <v>#N/A</v>
      </c>
    </row>
    <row r="1191" spans="1:12" ht="15.75" customHeight="1" x14ac:dyDescent="0.3">
      <c r="A1191" s="10" t="s">
        <v>2296</v>
      </c>
      <c r="B1191" s="10">
        <v>32.729999999999997</v>
      </c>
      <c r="C1191" s="10">
        <v>5.19</v>
      </c>
      <c r="D1191" s="10" t="s">
        <v>4685</v>
      </c>
      <c r="E1191" s="10" t="s">
        <v>4683</v>
      </c>
      <c r="F1191" s="10" t="s">
        <v>4683</v>
      </c>
      <c r="G1191" s="10" t="s">
        <v>4683</v>
      </c>
      <c r="H1191" s="14">
        <v>1</v>
      </c>
      <c r="I1191" s="10" t="s">
        <v>4683</v>
      </c>
      <c r="J1191" s="10" t="str">
        <f t="shared" si="5"/>
        <v>normalweight</v>
      </c>
      <c r="L1191" s="30" t="e">
        <v>#N/A</v>
      </c>
    </row>
    <row r="1192" spans="1:12" ht="15.75" customHeight="1" x14ac:dyDescent="0.3">
      <c r="A1192" s="10" t="s">
        <v>2294</v>
      </c>
      <c r="B1192" s="10">
        <v>27.36</v>
      </c>
      <c r="C1192" s="10">
        <v>8.9600000000000009</v>
      </c>
      <c r="D1192" s="16" t="s">
        <v>4682</v>
      </c>
      <c r="E1192" s="10" t="s">
        <v>4683</v>
      </c>
      <c r="F1192" s="10" t="s">
        <v>4683</v>
      </c>
      <c r="G1192" s="10" t="s">
        <v>4683</v>
      </c>
      <c r="H1192" s="14">
        <v>0</v>
      </c>
      <c r="I1192" s="10" t="s">
        <v>4683</v>
      </c>
      <c r="J1192" s="10" t="str">
        <f t="shared" si="5"/>
        <v>normalweight</v>
      </c>
      <c r="L1192" s="30" t="e">
        <v>#N/A</v>
      </c>
    </row>
    <row r="1193" spans="1:12" ht="15.75" customHeight="1" x14ac:dyDescent="0.3">
      <c r="A1193" s="10" t="s">
        <v>2292</v>
      </c>
      <c r="B1193" s="10">
        <v>27.265000000000001</v>
      </c>
      <c r="C1193" s="10">
        <v>11.39</v>
      </c>
      <c r="D1193" s="16" t="s">
        <v>4682</v>
      </c>
      <c r="E1193" s="10" t="s">
        <v>4683</v>
      </c>
      <c r="F1193" s="10" t="s">
        <v>4683</v>
      </c>
      <c r="G1193" s="10" t="s">
        <v>4683</v>
      </c>
      <c r="H1193" s="14">
        <v>0</v>
      </c>
      <c r="I1193" s="10" t="s">
        <v>4683</v>
      </c>
      <c r="J1193" s="10" t="str">
        <f t="shared" si="5"/>
        <v>normalweight</v>
      </c>
      <c r="L1193" s="30" t="e">
        <v>#N/A</v>
      </c>
    </row>
    <row r="1194" spans="1:12" ht="15.75" customHeight="1" x14ac:dyDescent="0.3">
      <c r="A1194" s="10" t="s">
        <v>2290</v>
      </c>
      <c r="B1194" s="10">
        <v>48.07</v>
      </c>
      <c r="C1194" s="10">
        <v>4.0599999999999996</v>
      </c>
      <c r="D1194" s="10" t="s">
        <v>4685</v>
      </c>
      <c r="E1194" s="10" t="s">
        <v>4684</v>
      </c>
      <c r="F1194" s="10" t="s">
        <v>4683</v>
      </c>
      <c r="G1194" s="10" t="s">
        <v>4683</v>
      </c>
      <c r="H1194" s="14">
        <v>0</v>
      </c>
      <c r="I1194" s="10" t="s">
        <v>4683</v>
      </c>
      <c r="J1194" s="10" t="str">
        <f t="shared" si="5"/>
        <v>normalweight</v>
      </c>
      <c r="L1194" s="30" t="e">
        <v>#N/A</v>
      </c>
    </row>
    <row r="1195" spans="1:12" ht="15.75" customHeight="1" x14ac:dyDescent="0.3">
      <c r="A1195" s="10" t="s">
        <v>2288</v>
      </c>
      <c r="B1195" s="10">
        <v>30.8</v>
      </c>
      <c r="C1195" s="10">
        <v>5.23</v>
      </c>
      <c r="D1195" s="10" t="s">
        <v>4685</v>
      </c>
      <c r="E1195" s="10" t="s">
        <v>4684</v>
      </c>
      <c r="F1195" s="10" t="s">
        <v>4683</v>
      </c>
      <c r="G1195" s="10" t="s">
        <v>4683</v>
      </c>
      <c r="H1195" s="14">
        <v>0</v>
      </c>
      <c r="I1195" s="10" t="s">
        <v>4683</v>
      </c>
      <c r="J1195" s="10" t="str">
        <f t="shared" si="5"/>
        <v>normalweight</v>
      </c>
      <c r="L1195" s="30" t="e">
        <v>#N/A</v>
      </c>
    </row>
    <row r="1196" spans="1:12" ht="15.75" customHeight="1" x14ac:dyDescent="0.3">
      <c r="A1196" s="10" t="s">
        <v>2286</v>
      </c>
      <c r="B1196" s="10">
        <v>32.299999999999997</v>
      </c>
      <c r="C1196" s="10">
        <v>5.05</v>
      </c>
      <c r="D1196" s="10" t="s">
        <v>4685</v>
      </c>
      <c r="E1196" s="10" t="s">
        <v>4684</v>
      </c>
      <c r="F1196" s="10" t="s">
        <v>4683</v>
      </c>
      <c r="G1196" s="10" t="s">
        <v>4683</v>
      </c>
      <c r="H1196" s="14">
        <v>0</v>
      </c>
      <c r="I1196" s="10" t="s">
        <v>4683</v>
      </c>
      <c r="J1196" s="10" t="str">
        <f t="shared" si="5"/>
        <v>normalweight</v>
      </c>
      <c r="L1196" s="30" t="e">
        <v>#N/A</v>
      </c>
    </row>
    <row r="1197" spans="1:12" ht="15.75" customHeight="1" x14ac:dyDescent="0.3">
      <c r="A1197" s="10" t="s">
        <v>2284</v>
      </c>
      <c r="B1197" s="10">
        <v>39.700000000000003</v>
      </c>
      <c r="C1197" s="10">
        <v>7.34</v>
      </c>
      <c r="D1197" s="16" t="s">
        <v>4682</v>
      </c>
      <c r="E1197" s="10" t="s">
        <v>4683</v>
      </c>
      <c r="F1197" s="10" t="s">
        <v>4683</v>
      </c>
      <c r="G1197" s="10" t="s">
        <v>4683</v>
      </c>
      <c r="H1197" s="14">
        <v>0</v>
      </c>
      <c r="I1197" s="10" t="s">
        <v>4683</v>
      </c>
      <c r="J1197" s="10" t="str">
        <f t="shared" si="5"/>
        <v>normalweight</v>
      </c>
      <c r="L1197" s="30" t="e">
        <v>#N/A</v>
      </c>
    </row>
    <row r="1198" spans="1:12" ht="15.75" customHeight="1" x14ac:dyDescent="0.3">
      <c r="A1198" s="10" t="s">
        <v>2282</v>
      </c>
      <c r="B1198" s="10">
        <v>35.97</v>
      </c>
      <c r="C1198" s="10">
        <v>8.1300000000000008</v>
      </c>
      <c r="D1198" s="16" t="s">
        <v>4682</v>
      </c>
      <c r="E1198" s="10" t="s">
        <v>4683</v>
      </c>
      <c r="F1198" s="10" t="s">
        <v>4683</v>
      </c>
      <c r="G1198" s="10" t="s">
        <v>4683</v>
      </c>
      <c r="H1198" s="14">
        <v>0</v>
      </c>
      <c r="I1198" s="10" t="s">
        <v>4683</v>
      </c>
      <c r="J1198" s="10" t="str">
        <f t="shared" si="5"/>
        <v>normalweight</v>
      </c>
      <c r="L1198" s="30" t="e">
        <v>#N/A</v>
      </c>
    </row>
    <row r="1199" spans="1:12" ht="15.75" customHeight="1" x14ac:dyDescent="0.3">
      <c r="A1199" s="10" t="s">
        <v>2280</v>
      </c>
      <c r="B1199" s="10">
        <v>25.86</v>
      </c>
      <c r="C1199" s="10">
        <v>6.68</v>
      </c>
      <c r="D1199" s="16" t="s">
        <v>4682</v>
      </c>
      <c r="E1199" s="10" t="s">
        <v>4684</v>
      </c>
      <c r="F1199" s="10" t="s">
        <v>4683</v>
      </c>
      <c r="G1199" s="10" t="s">
        <v>4683</v>
      </c>
      <c r="H1199" s="14">
        <v>1</v>
      </c>
      <c r="I1199" s="10" t="s">
        <v>4683</v>
      </c>
      <c r="J1199" s="10" t="str">
        <f t="shared" si="5"/>
        <v>normalweight</v>
      </c>
      <c r="L1199" s="30" t="e">
        <v>#N/A</v>
      </c>
    </row>
    <row r="1200" spans="1:12" ht="15.75" customHeight="1" x14ac:dyDescent="0.3">
      <c r="A1200" s="10" t="s">
        <v>2278</v>
      </c>
      <c r="B1200" s="10">
        <v>30.03</v>
      </c>
      <c r="C1200" s="10">
        <v>11.51</v>
      </c>
      <c r="D1200" s="16" t="s">
        <v>4682</v>
      </c>
      <c r="E1200" s="10" t="s">
        <v>4683</v>
      </c>
      <c r="F1200" s="10" t="s">
        <v>4683</v>
      </c>
      <c r="G1200" s="10" t="s">
        <v>4683</v>
      </c>
      <c r="H1200" s="14">
        <v>0</v>
      </c>
      <c r="I1200" s="10" t="s">
        <v>4683</v>
      </c>
      <c r="J1200" s="10" t="str">
        <f t="shared" si="5"/>
        <v>normalweight</v>
      </c>
      <c r="L1200" s="30" t="e">
        <v>#N/A</v>
      </c>
    </row>
    <row r="1201" spans="1:12" ht="15.75" customHeight="1" x14ac:dyDescent="0.3">
      <c r="A1201" s="10" t="s">
        <v>2276</v>
      </c>
      <c r="B1201" s="10">
        <v>25.76</v>
      </c>
      <c r="C1201" s="10">
        <v>6.02</v>
      </c>
      <c r="D1201" s="10" t="s">
        <v>4685</v>
      </c>
      <c r="E1201" s="10" t="s">
        <v>4684</v>
      </c>
      <c r="F1201" s="10" t="s">
        <v>4683</v>
      </c>
      <c r="G1201" s="10" t="s">
        <v>4686</v>
      </c>
      <c r="H1201" s="14">
        <v>1</v>
      </c>
      <c r="I1201" s="10" t="s">
        <v>4683</v>
      </c>
      <c r="J1201" s="10" t="str">
        <f t="shared" si="5"/>
        <v>normalweight</v>
      </c>
      <c r="L1201" s="30" t="e">
        <v>#N/A</v>
      </c>
    </row>
    <row r="1202" spans="1:12" ht="15.75" customHeight="1" x14ac:dyDescent="0.3">
      <c r="A1202" s="10" t="s">
        <v>2274</v>
      </c>
      <c r="B1202" s="10">
        <v>22.42</v>
      </c>
      <c r="C1202" s="10">
        <v>7.96</v>
      </c>
      <c r="D1202" s="16" t="s">
        <v>4682</v>
      </c>
      <c r="E1202" s="10" t="s">
        <v>4683</v>
      </c>
      <c r="F1202" s="10" t="s">
        <v>4683</v>
      </c>
      <c r="G1202" s="10" t="s">
        <v>4683</v>
      </c>
      <c r="H1202" s="14">
        <v>0</v>
      </c>
      <c r="I1202" s="10" t="s">
        <v>4683</v>
      </c>
      <c r="J1202" s="10" t="str">
        <f t="shared" si="5"/>
        <v>normalweight</v>
      </c>
      <c r="L1202" s="30" t="e">
        <v>#N/A</v>
      </c>
    </row>
    <row r="1203" spans="1:12" ht="15.75" customHeight="1" x14ac:dyDescent="0.3">
      <c r="A1203" s="10" t="s">
        <v>2272</v>
      </c>
      <c r="B1203" s="10">
        <v>33.18</v>
      </c>
      <c r="C1203" s="10">
        <v>6.01</v>
      </c>
      <c r="D1203" s="10" t="s">
        <v>4685</v>
      </c>
      <c r="E1203" s="10" t="s">
        <v>4684</v>
      </c>
      <c r="F1203" s="10" t="s">
        <v>4683</v>
      </c>
      <c r="G1203" s="10" t="s">
        <v>4683</v>
      </c>
      <c r="H1203" s="14">
        <v>1</v>
      </c>
      <c r="I1203" s="10" t="s">
        <v>4683</v>
      </c>
      <c r="J1203" s="10" t="str">
        <f t="shared" si="5"/>
        <v>normalweight</v>
      </c>
      <c r="L1203" s="30" t="e">
        <v>#N/A</v>
      </c>
    </row>
    <row r="1204" spans="1:12" ht="15.75" customHeight="1" x14ac:dyDescent="0.3">
      <c r="A1204" s="10" t="s">
        <v>2270</v>
      </c>
      <c r="B1204" s="10">
        <v>43.04</v>
      </c>
      <c r="C1204" s="10">
        <v>5.9</v>
      </c>
      <c r="D1204" s="10" t="s">
        <v>4685</v>
      </c>
      <c r="E1204" s="10" t="s">
        <v>4684</v>
      </c>
      <c r="F1204" s="10" t="s">
        <v>4683</v>
      </c>
      <c r="G1204" s="10" t="s">
        <v>4683</v>
      </c>
      <c r="H1204" s="14">
        <v>0</v>
      </c>
      <c r="I1204" s="10" t="s">
        <v>4683</v>
      </c>
      <c r="J1204" s="10" t="str">
        <f t="shared" si="5"/>
        <v>normalweight</v>
      </c>
      <c r="L1204" s="30" t="e">
        <v>#N/A</v>
      </c>
    </row>
    <row r="1205" spans="1:12" ht="15.75" customHeight="1" x14ac:dyDescent="0.3">
      <c r="A1205" s="10" t="s">
        <v>2268</v>
      </c>
      <c r="B1205" s="10">
        <v>34.15</v>
      </c>
      <c r="C1205" s="10">
        <v>4.49</v>
      </c>
      <c r="D1205" s="10" t="s">
        <v>4685</v>
      </c>
      <c r="E1205" s="10" t="s">
        <v>4684</v>
      </c>
      <c r="F1205" s="10" t="s">
        <v>4683</v>
      </c>
      <c r="G1205" s="10" t="s">
        <v>4683</v>
      </c>
      <c r="H1205" s="14">
        <v>1</v>
      </c>
      <c r="I1205" s="10" t="s">
        <v>4683</v>
      </c>
      <c r="J1205" s="10" t="str">
        <f t="shared" si="5"/>
        <v>normalweight</v>
      </c>
      <c r="L1205" s="30" t="e">
        <v>#N/A</v>
      </c>
    </row>
    <row r="1206" spans="1:12" ht="15.75" customHeight="1" x14ac:dyDescent="0.3">
      <c r="A1206" s="10" t="s">
        <v>2266</v>
      </c>
      <c r="B1206" s="10">
        <v>25.78</v>
      </c>
      <c r="C1206" s="10">
        <v>6.25</v>
      </c>
      <c r="D1206" s="10" t="s">
        <v>4685</v>
      </c>
      <c r="E1206" s="10" t="s">
        <v>4683</v>
      </c>
      <c r="F1206" s="10" t="s">
        <v>4683</v>
      </c>
      <c r="G1206" s="10" t="s">
        <v>4683</v>
      </c>
      <c r="H1206" s="14">
        <v>0</v>
      </c>
      <c r="I1206" s="10" t="s">
        <v>4683</v>
      </c>
      <c r="J1206" s="10" t="str">
        <f t="shared" si="5"/>
        <v>normalweight</v>
      </c>
      <c r="L1206" s="30" t="e">
        <v>#N/A</v>
      </c>
    </row>
    <row r="1207" spans="1:12" ht="15.75" customHeight="1" x14ac:dyDescent="0.3">
      <c r="A1207" s="10" t="s">
        <v>2264</v>
      </c>
      <c r="B1207" s="10">
        <v>21.02</v>
      </c>
      <c r="C1207" s="10">
        <v>9.6199999999999992</v>
      </c>
      <c r="D1207" s="16" t="s">
        <v>4682</v>
      </c>
      <c r="E1207" s="10" t="s">
        <v>4684</v>
      </c>
      <c r="F1207" s="10" t="s">
        <v>4683</v>
      </c>
      <c r="G1207" s="10" t="s">
        <v>4686</v>
      </c>
      <c r="H1207" s="14">
        <v>1</v>
      </c>
      <c r="I1207" s="10" t="s">
        <v>4683</v>
      </c>
      <c r="J1207" s="10" t="str">
        <f t="shared" si="5"/>
        <v>normalweight</v>
      </c>
      <c r="L1207" s="30" t="e">
        <v>#N/A</v>
      </c>
    </row>
    <row r="1208" spans="1:12" ht="15.75" customHeight="1" x14ac:dyDescent="0.3">
      <c r="A1208" s="10" t="s">
        <v>2262</v>
      </c>
      <c r="B1208" s="10">
        <v>37.51</v>
      </c>
      <c r="C1208" s="10">
        <v>11.06</v>
      </c>
      <c r="D1208" s="16" t="s">
        <v>4682</v>
      </c>
      <c r="E1208" s="10" t="s">
        <v>4683</v>
      </c>
      <c r="F1208" s="10" t="s">
        <v>4683</v>
      </c>
      <c r="G1208" s="10" t="s">
        <v>4683</v>
      </c>
      <c r="H1208" s="14">
        <v>2</v>
      </c>
      <c r="I1208" s="10" t="s">
        <v>4683</v>
      </c>
      <c r="J1208" s="10" t="str">
        <f t="shared" si="5"/>
        <v>normalweight</v>
      </c>
      <c r="L1208" s="30" t="e">
        <v>#N/A</v>
      </c>
    </row>
    <row r="1209" spans="1:12" ht="15.75" customHeight="1" x14ac:dyDescent="0.3">
      <c r="A1209" s="10" t="s">
        <v>2260</v>
      </c>
      <c r="B1209" s="10">
        <v>25.745000000000001</v>
      </c>
      <c r="C1209" s="10">
        <v>6.11</v>
      </c>
      <c r="D1209" s="10" t="s">
        <v>4685</v>
      </c>
      <c r="E1209" s="10" t="s">
        <v>4684</v>
      </c>
      <c r="F1209" s="10" t="s">
        <v>4683</v>
      </c>
      <c r="G1209" s="10" t="s">
        <v>4683</v>
      </c>
      <c r="H1209" s="14">
        <v>0</v>
      </c>
      <c r="I1209" s="10" t="s">
        <v>4683</v>
      </c>
      <c r="J1209" s="10" t="str">
        <f t="shared" si="5"/>
        <v>normalweight</v>
      </c>
      <c r="L1209" s="30" t="e">
        <v>#N/A</v>
      </c>
    </row>
    <row r="1210" spans="1:12" ht="15.75" customHeight="1" x14ac:dyDescent="0.3">
      <c r="A1210" s="10" t="s">
        <v>2258</v>
      </c>
      <c r="B1210" s="10">
        <v>31.35</v>
      </c>
      <c r="C1210" s="10">
        <v>11.49</v>
      </c>
      <c r="D1210" s="16" t="s">
        <v>4682</v>
      </c>
      <c r="E1210" s="10" t="s">
        <v>4683</v>
      </c>
      <c r="F1210" s="10" t="s">
        <v>4683</v>
      </c>
      <c r="G1210" s="10" t="s">
        <v>4683</v>
      </c>
      <c r="H1210" s="14">
        <v>2</v>
      </c>
      <c r="I1210" s="10" t="s">
        <v>4683</v>
      </c>
      <c r="J1210" s="10" t="str">
        <f t="shared" si="5"/>
        <v>normalweight</v>
      </c>
      <c r="L1210" s="30" t="e">
        <v>#N/A</v>
      </c>
    </row>
    <row r="1211" spans="1:12" ht="15.75" customHeight="1" x14ac:dyDescent="0.3">
      <c r="A1211" s="10" t="s">
        <v>2256</v>
      </c>
      <c r="B1211" s="10">
        <v>29.83</v>
      </c>
      <c r="C1211" s="10">
        <v>8.68</v>
      </c>
      <c r="D1211" s="16" t="s">
        <v>4682</v>
      </c>
      <c r="E1211" s="10" t="s">
        <v>4683</v>
      </c>
      <c r="F1211" s="10" t="s">
        <v>4683</v>
      </c>
      <c r="G1211" s="10" t="s">
        <v>4683</v>
      </c>
      <c r="H1211" s="14">
        <v>2</v>
      </c>
      <c r="I1211" s="10" t="s">
        <v>4683</v>
      </c>
      <c r="J1211" s="10" t="str">
        <f t="shared" si="5"/>
        <v>normalweight</v>
      </c>
      <c r="L1211" s="30" t="e">
        <v>#N/A</v>
      </c>
    </row>
    <row r="1212" spans="1:12" ht="15.75" customHeight="1" x14ac:dyDescent="0.3">
      <c r="A1212" s="10" t="s">
        <v>2254</v>
      </c>
      <c r="B1212" s="10">
        <v>25.49</v>
      </c>
      <c r="C1212" s="10">
        <v>5.68</v>
      </c>
      <c r="D1212" s="10" t="s">
        <v>4685</v>
      </c>
      <c r="E1212" s="10" t="s">
        <v>4684</v>
      </c>
      <c r="F1212" s="10" t="s">
        <v>4683</v>
      </c>
      <c r="G1212" s="10" t="s">
        <v>4686</v>
      </c>
      <c r="H1212" s="14">
        <v>1</v>
      </c>
      <c r="I1212" s="10" t="s">
        <v>4683</v>
      </c>
      <c r="J1212" s="10" t="str">
        <f t="shared" si="5"/>
        <v>normalweight</v>
      </c>
      <c r="L1212" s="30" t="e">
        <v>#N/A</v>
      </c>
    </row>
    <row r="1213" spans="1:12" ht="15.75" customHeight="1" x14ac:dyDescent="0.3">
      <c r="A1213" s="10" t="s">
        <v>2252</v>
      </c>
      <c r="B1213" s="10">
        <v>34.1</v>
      </c>
      <c r="C1213" s="10">
        <v>8.4499999999999993</v>
      </c>
      <c r="D1213" s="16" t="s">
        <v>4682</v>
      </c>
      <c r="E1213" s="10" t="s">
        <v>4683</v>
      </c>
      <c r="F1213" s="10" t="s">
        <v>4683</v>
      </c>
      <c r="G1213" s="10" t="s">
        <v>4683</v>
      </c>
      <c r="H1213" s="14">
        <v>0</v>
      </c>
      <c r="I1213" s="10" t="s">
        <v>4683</v>
      </c>
      <c r="J1213" s="10" t="str">
        <f t="shared" si="5"/>
        <v>normalweight</v>
      </c>
      <c r="L1213" s="30" t="e">
        <v>#N/A</v>
      </c>
    </row>
    <row r="1214" spans="1:12" ht="15.75" customHeight="1" x14ac:dyDescent="0.3">
      <c r="A1214" s="10" t="s">
        <v>2250</v>
      </c>
      <c r="B1214" s="10">
        <v>25.84</v>
      </c>
      <c r="C1214" s="10">
        <v>8.51</v>
      </c>
      <c r="D1214" s="16" t="s">
        <v>4682</v>
      </c>
      <c r="E1214" s="10" t="s">
        <v>4683</v>
      </c>
      <c r="F1214" s="10" t="s">
        <v>4683</v>
      </c>
      <c r="G1214" s="10" t="s">
        <v>4683</v>
      </c>
      <c r="H1214" s="14">
        <v>2</v>
      </c>
      <c r="I1214" s="10" t="s">
        <v>4683</v>
      </c>
      <c r="J1214" s="10" t="str">
        <f t="shared" si="5"/>
        <v>normalweight</v>
      </c>
      <c r="L1214" s="30" t="e">
        <v>#N/A</v>
      </c>
    </row>
    <row r="1215" spans="1:12" ht="15.75" customHeight="1" x14ac:dyDescent="0.3">
      <c r="A1215" s="10" t="s">
        <v>2248</v>
      </c>
      <c r="B1215" s="10">
        <v>20.6</v>
      </c>
      <c r="C1215" s="10">
        <v>7.62</v>
      </c>
      <c r="D1215" s="16" t="s">
        <v>4682</v>
      </c>
      <c r="E1215" s="10" t="s">
        <v>4683</v>
      </c>
      <c r="F1215" s="10" t="s">
        <v>4683</v>
      </c>
      <c r="G1215" s="10" t="s">
        <v>4683</v>
      </c>
      <c r="H1215" s="14">
        <v>0</v>
      </c>
      <c r="I1215" s="10" t="s">
        <v>4683</v>
      </c>
      <c r="J1215" s="10" t="str">
        <f t="shared" si="5"/>
        <v>normalweight</v>
      </c>
      <c r="L1215" s="30" t="e">
        <v>#N/A</v>
      </c>
    </row>
    <row r="1216" spans="1:12" ht="15.75" customHeight="1" x14ac:dyDescent="0.3">
      <c r="A1216" s="10" t="s">
        <v>2246</v>
      </c>
      <c r="B1216" s="10">
        <v>28.88</v>
      </c>
      <c r="C1216" s="10">
        <v>10.18</v>
      </c>
      <c r="D1216" s="16" t="s">
        <v>4682</v>
      </c>
      <c r="E1216" s="10" t="s">
        <v>4683</v>
      </c>
      <c r="F1216" s="10" t="s">
        <v>4683</v>
      </c>
      <c r="G1216" s="10" t="s">
        <v>4683</v>
      </c>
      <c r="H1216" s="14">
        <v>0</v>
      </c>
      <c r="I1216" s="10" t="s">
        <v>4683</v>
      </c>
      <c r="J1216" s="10" t="str">
        <f t="shared" si="5"/>
        <v>normalweight</v>
      </c>
      <c r="L1216" s="30" t="e">
        <v>#N/A</v>
      </c>
    </row>
    <row r="1217" spans="1:12" ht="15.75" customHeight="1" x14ac:dyDescent="0.3">
      <c r="A1217" s="10" t="s">
        <v>2244</v>
      </c>
      <c r="B1217" s="10">
        <v>28.24</v>
      </c>
      <c r="C1217" s="10">
        <v>5.36</v>
      </c>
      <c r="D1217" s="10" t="s">
        <v>4685</v>
      </c>
      <c r="E1217" s="10" t="s">
        <v>4683</v>
      </c>
      <c r="F1217" s="10" t="s">
        <v>4683</v>
      </c>
      <c r="G1217" s="10" t="s">
        <v>4683</v>
      </c>
      <c r="H1217" s="14">
        <v>0</v>
      </c>
      <c r="I1217" s="10" t="s">
        <v>4683</v>
      </c>
      <c r="J1217" s="10" t="str">
        <f t="shared" si="5"/>
        <v>normalweight</v>
      </c>
      <c r="L1217" s="30" t="e">
        <v>#N/A</v>
      </c>
    </row>
    <row r="1218" spans="1:12" ht="15.75" customHeight="1" x14ac:dyDescent="0.3">
      <c r="A1218" s="10" t="s">
        <v>2242</v>
      </c>
      <c r="B1218" s="10">
        <v>25.46</v>
      </c>
      <c r="C1218" s="10">
        <v>11.78</v>
      </c>
      <c r="D1218" s="16" t="s">
        <v>4682</v>
      </c>
      <c r="E1218" s="10" t="s">
        <v>4684</v>
      </c>
      <c r="F1218" s="10" t="s">
        <v>4683</v>
      </c>
      <c r="G1218" s="10" t="s">
        <v>4683</v>
      </c>
      <c r="H1218" s="14">
        <v>1</v>
      </c>
      <c r="I1218" s="10" t="s">
        <v>4683</v>
      </c>
      <c r="J1218" s="10" t="str">
        <f t="shared" si="5"/>
        <v>normalweight</v>
      </c>
      <c r="L1218" s="30" t="e">
        <v>#N/A</v>
      </c>
    </row>
    <row r="1219" spans="1:12" ht="15.75" customHeight="1" x14ac:dyDescent="0.3">
      <c r="A1219" s="10" t="s">
        <v>2240</v>
      </c>
      <c r="B1219" s="10">
        <v>29.64</v>
      </c>
      <c r="C1219" s="10">
        <v>10.82</v>
      </c>
      <c r="D1219" s="16" t="s">
        <v>4682</v>
      </c>
      <c r="E1219" s="10" t="s">
        <v>4684</v>
      </c>
      <c r="F1219" s="10" t="s">
        <v>4683</v>
      </c>
      <c r="G1219" s="10" t="s">
        <v>4683</v>
      </c>
      <c r="H1219" s="14">
        <v>0</v>
      </c>
      <c r="I1219" s="10" t="s">
        <v>4683</v>
      </c>
      <c r="J1219" s="10" t="str">
        <f t="shared" si="5"/>
        <v>normalweight</v>
      </c>
      <c r="L1219" s="30" t="e">
        <v>#N/A</v>
      </c>
    </row>
    <row r="1220" spans="1:12" ht="15.75" customHeight="1" x14ac:dyDescent="0.3">
      <c r="A1220" s="10" t="s">
        <v>2238</v>
      </c>
      <c r="B1220" s="10">
        <v>31.27</v>
      </c>
      <c r="C1220" s="10">
        <v>7.73</v>
      </c>
      <c r="D1220" s="16" t="s">
        <v>4682</v>
      </c>
      <c r="E1220" s="10" t="s">
        <v>4684</v>
      </c>
      <c r="F1220" s="10" t="s">
        <v>4683</v>
      </c>
      <c r="G1220" s="10" t="s">
        <v>4683</v>
      </c>
      <c r="H1220" s="14">
        <v>1</v>
      </c>
      <c r="I1220" s="10" t="s">
        <v>4683</v>
      </c>
      <c r="J1220" s="10" t="str">
        <f t="shared" si="5"/>
        <v>normalweight</v>
      </c>
      <c r="L1220" s="30" t="e">
        <v>#N/A</v>
      </c>
    </row>
    <row r="1221" spans="1:12" ht="15.75" customHeight="1" x14ac:dyDescent="0.3">
      <c r="A1221" s="10" t="s">
        <v>2236</v>
      </c>
      <c r="B1221" s="10">
        <v>19.95</v>
      </c>
      <c r="C1221" s="10">
        <v>6.24</v>
      </c>
      <c r="D1221" s="16" t="s">
        <v>4682</v>
      </c>
      <c r="E1221" s="10" t="s">
        <v>4684</v>
      </c>
      <c r="F1221" s="10" t="s">
        <v>4683</v>
      </c>
      <c r="G1221" s="10" t="s">
        <v>4683</v>
      </c>
      <c r="H1221" s="14">
        <v>0</v>
      </c>
      <c r="I1221" s="10" t="s">
        <v>4683</v>
      </c>
      <c r="J1221" s="10" t="str">
        <f t="shared" si="5"/>
        <v>normalweight</v>
      </c>
      <c r="L1221" s="30" t="e">
        <v>#N/A</v>
      </c>
    </row>
    <row r="1222" spans="1:12" ht="15.75" customHeight="1" x14ac:dyDescent="0.3">
      <c r="A1222" s="10" t="s">
        <v>2234</v>
      </c>
      <c r="B1222" s="10">
        <v>21.3</v>
      </c>
      <c r="C1222" s="10">
        <v>10.42</v>
      </c>
      <c r="D1222" s="16" t="s">
        <v>4682</v>
      </c>
      <c r="E1222" s="10" t="s">
        <v>4683</v>
      </c>
      <c r="F1222" s="10" t="s">
        <v>4683</v>
      </c>
      <c r="G1222" s="10" t="s">
        <v>4683</v>
      </c>
      <c r="H1222" s="14">
        <v>2</v>
      </c>
      <c r="I1222" s="10" t="s">
        <v>4683</v>
      </c>
      <c r="J1222" s="10" t="str">
        <f t="shared" si="5"/>
        <v>normalweight</v>
      </c>
      <c r="L1222" s="30" t="e">
        <v>#N/A</v>
      </c>
    </row>
    <row r="1223" spans="1:12" ht="15.75" customHeight="1" x14ac:dyDescent="0.3">
      <c r="A1223" s="10" t="s">
        <v>2232</v>
      </c>
      <c r="B1223" s="10">
        <v>31.635000000000002</v>
      </c>
      <c r="C1223" s="10">
        <v>11.11</v>
      </c>
      <c r="D1223" s="16" t="s">
        <v>4682</v>
      </c>
      <c r="E1223" s="10" t="s">
        <v>4683</v>
      </c>
      <c r="F1223" s="10" t="s">
        <v>4683</v>
      </c>
      <c r="G1223" s="10" t="s">
        <v>4683</v>
      </c>
      <c r="H1223" s="14">
        <v>0</v>
      </c>
      <c r="I1223" s="10" t="s">
        <v>4683</v>
      </c>
      <c r="J1223" s="10" t="str">
        <f t="shared" si="5"/>
        <v>normalweight</v>
      </c>
      <c r="L1223" s="30" t="e">
        <v>#N/A</v>
      </c>
    </row>
    <row r="1224" spans="1:12" ht="15.75" customHeight="1" x14ac:dyDescent="0.3">
      <c r="A1224" s="10" t="s">
        <v>2230</v>
      </c>
      <c r="B1224" s="10">
        <v>23.9</v>
      </c>
      <c r="C1224" s="10">
        <v>7.67</v>
      </c>
      <c r="D1224" s="16" t="s">
        <v>4682</v>
      </c>
      <c r="E1224" s="10" t="s">
        <v>4684</v>
      </c>
      <c r="F1224" s="10" t="s">
        <v>4683</v>
      </c>
      <c r="G1224" s="10" t="s">
        <v>4683</v>
      </c>
      <c r="H1224" s="14">
        <v>2</v>
      </c>
      <c r="I1224" s="10" t="s">
        <v>4683</v>
      </c>
      <c r="J1224" s="10" t="str">
        <f t="shared" si="5"/>
        <v>normalweight</v>
      </c>
      <c r="L1224" s="30" t="e">
        <v>#N/A</v>
      </c>
    </row>
    <row r="1225" spans="1:12" ht="15.75" customHeight="1" x14ac:dyDescent="0.3">
      <c r="A1225" s="10" t="s">
        <v>2228</v>
      </c>
      <c r="B1225" s="10">
        <v>34.15</v>
      </c>
      <c r="C1225" s="10">
        <v>6.15</v>
      </c>
      <c r="D1225" s="10" t="s">
        <v>4685</v>
      </c>
      <c r="E1225" s="10" t="s">
        <v>4683</v>
      </c>
      <c r="F1225" s="10" t="s">
        <v>4683</v>
      </c>
      <c r="G1225" s="10" t="s">
        <v>4683</v>
      </c>
      <c r="H1225" s="14">
        <v>0</v>
      </c>
      <c r="I1225" s="10" t="s">
        <v>4683</v>
      </c>
      <c r="J1225" s="10" t="str">
        <f t="shared" si="5"/>
        <v>normalweight</v>
      </c>
      <c r="L1225" s="30" t="e">
        <v>#N/A</v>
      </c>
    </row>
    <row r="1226" spans="1:12" ht="15.75" customHeight="1" x14ac:dyDescent="0.3">
      <c r="A1226" s="10" t="s">
        <v>2226</v>
      </c>
      <c r="B1226" s="10">
        <v>28.71</v>
      </c>
      <c r="C1226" s="10">
        <v>5.71</v>
      </c>
      <c r="D1226" s="10" t="s">
        <v>4685</v>
      </c>
      <c r="E1226" s="10" t="s">
        <v>4683</v>
      </c>
      <c r="F1226" s="10" t="s">
        <v>4683</v>
      </c>
      <c r="G1226" s="10" t="s">
        <v>4683</v>
      </c>
      <c r="H1226" s="14">
        <v>0</v>
      </c>
      <c r="I1226" s="10" t="s">
        <v>4683</v>
      </c>
      <c r="J1226" s="10" t="str">
        <f t="shared" si="5"/>
        <v>normalweight</v>
      </c>
      <c r="L1226" s="30" t="e">
        <v>#N/A</v>
      </c>
    </row>
    <row r="1227" spans="1:12" ht="15.75" customHeight="1" x14ac:dyDescent="0.3">
      <c r="A1227" s="10" t="s">
        <v>2224</v>
      </c>
      <c r="B1227" s="10">
        <v>36.700000000000003</v>
      </c>
      <c r="C1227" s="10">
        <v>8.6999999999999993</v>
      </c>
      <c r="D1227" s="16" t="s">
        <v>4682</v>
      </c>
      <c r="E1227" s="10" t="s">
        <v>4684</v>
      </c>
      <c r="F1227" s="10" t="s">
        <v>4683</v>
      </c>
      <c r="G1227" s="10" t="s">
        <v>4683</v>
      </c>
      <c r="H1227" s="14">
        <v>2</v>
      </c>
      <c r="I1227" s="10" t="s">
        <v>4683</v>
      </c>
      <c r="J1227" s="10" t="str">
        <f t="shared" si="5"/>
        <v>normalweight</v>
      </c>
      <c r="L1227" s="30" t="e">
        <v>#N/A</v>
      </c>
    </row>
    <row r="1228" spans="1:12" ht="15.75" customHeight="1" x14ac:dyDescent="0.3">
      <c r="A1228" s="10" t="s">
        <v>2222</v>
      </c>
      <c r="B1228" s="10">
        <v>34.1</v>
      </c>
      <c r="C1228" s="10">
        <v>9.0399999999999991</v>
      </c>
      <c r="D1228" s="16" t="s">
        <v>4682</v>
      </c>
      <c r="E1228" s="10" t="s">
        <v>4684</v>
      </c>
      <c r="F1228" s="10" t="s">
        <v>4683</v>
      </c>
      <c r="G1228" s="10" t="s">
        <v>4683</v>
      </c>
      <c r="H1228" s="14">
        <v>2</v>
      </c>
      <c r="I1228" s="10" t="s">
        <v>4683</v>
      </c>
      <c r="J1228" s="10" t="str">
        <f t="shared" si="5"/>
        <v>normalweight</v>
      </c>
      <c r="L1228" s="30" t="e">
        <v>#N/A</v>
      </c>
    </row>
    <row r="1229" spans="1:12" ht="15.75" customHeight="1" x14ac:dyDescent="0.3">
      <c r="A1229" s="10" t="s">
        <v>2220</v>
      </c>
      <c r="B1229" s="10">
        <v>25.7</v>
      </c>
      <c r="C1229" s="10">
        <v>5.61</v>
      </c>
      <c r="D1229" s="10" t="s">
        <v>4685</v>
      </c>
      <c r="E1229" s="10" t="s">
        <v>4683</v>
      </c>
      <c r="F1229" s="10" t="s">
        <v>4683</v>
      </c>
      <c r="G1229" s="10" t="s">
        <v>4683</v>
      </c>
      <c r="H1229" s="14">
        <v>0</v>
      </c>
      <c r="I1229" s="10" t="s">
        <v>4683</v>
      </c>
      <c r="J1229" s="10" t="str">
        <f t="shared" si="5"/>
        <v>normalweight</v>
      </c>
      <c r="L1229" s="30" t="e">
        <v>#N/A</v>
      </c>
    </row>
    <row r="1230" spans="1:12" ht="15.75" customHeight="1" x14ac:dyDescent="0.3">
      <c r="A1230" s="10" t="s">
        <v>2218</v>
      </c>
      <c r="B1230" s="10">
        <v>21.68</v>
      </c>
      <c r="C1230" s="10">
        <v>8.1199999999999992</v>
      </c>
      <c r="D1230" s="16" t="s">
        <v>4682</v>
      </c>
      <c r="E1230" s="10" t="s">
        <v>4683</v>
      </c>
      <c r="F1230" s="10" t="s">
        <v>4683</v>
      </c>
      <c r="G1230" s="10" t="s">
        <v>4683</v>
      </c>
      <c r="H1230" s="14">
        <v>0</v>
      </c>
      <c r="I1230" s="10" t="s">
        <v>4683</v>
      </c>
      <c r="J1230" s="10" t="str">
        <f t="shared" si="5"/>
        <v>normalweight</v>
      </c>
      <c r="L1230" s="30" t="e">
        <v>#N/A</v>
      </c>
    </row>
    <row r="1231" spans="1:12" ht="15.75" customHeight="1" x14ac:dyDescent="0.3">
      <c r="A1231" s="10" t="s">
        <v>2216</v>
      </c>
      <c r="B1231" s="10">
        <v>25.175000000000001</v>
      </c>
      <c r="C1231" s="10">
        <v>4.74</v>
      </c>
      <c r="D1231" s="10" t="s">
        <v>4685</v>
      </c>
      <c r="E1231" s="10" t="s">
        <v>4683</v>
      </c>
      <c r="F1231" s="10" t="s">
        <v>4683</v>
      </c>
      <c r="G1231" s="10" t="s">
        <v>4683</v>
      </c>
      <c r="H1231" s="14">
        <v>0</v>
      </c>
      <c r="I1231" s="10" t="s">
        <v>4683</v>
      </c>
      <c r="J1231" s="10" t="str">
        <f t="shared" si="5"/>
        <v>normalweight</v>
      </c>
      <c r="L1231" s="30" t="e">
        <v>#N/A</v>
      </c>
    </row>
    <row r="1232" spans="1:12" ht="15.75" customHeight="1" x14ac:dyDescent="0.3">
      <c r="A1232" s="10" t="s">
        <v>2214</v>
      </c>
      <c r="B1232" s="10">
        <v>44.77</v>
      </c>
      <c r="C1232" s="10">
        <v>4.0599999999999996</v>
      </c>
      <c r="D1232" s="10" t="s">
        <v>4685</v>
      </c>
      <c r="E1232" s="10" t="s">
        <v>4683</v>
      </c>
      <c r="F1232" s="10" t="s">
        <v>4683</v>
      </c>
      <c r="G1232" s="10" t="s">
        <v>4683</v>
      </c>
      <c r="H1232" s="14">
        <v>2</v>
      </c>
      <c r="I1232" s="10" t="s">
        <v>4683</v>
      </c>
      <c r="J1232" s="10" t="str">
        <f t="shared" si="5"/>
        <v>normalweight</v>
      </c>
      <c r="L1232" s="30" t="e">
        <v>#N/A</v>
      </c>
    </row>
    <row r="1233" spans="1:12" ht="15.75" customHeight="1" x14ac:dyDescent="0.3">
      <c r="A1233" s="10" t="s">
        <v>2212</v>
      </c>
      <c r="B1233" s="10">
        <v>37.07</v>
      </c>
      <c r="C1233" s="10">
        <v>5.69</v>
      </c>
      <c r="D1233" s="10" t="s">
        <v>4685</v>
      </c>
      <c r="E1233" s="10" t="s">
        <v>4683</v>
      </c>
      <c r="F1233" s="10" t="s">
        <v>4683</v>
      </c>
      <c r="G1233" s="10" t="s">
        <v>4683</v>
      </c>
      <c r="H1233" s="14">
        <v>2</v>
      </c>
      <c r="I1233" s="10" t="s">
        <v>4683</v>
      </c>
      <c r="J1233" s="10" t="str">
        <f t="shared" si="5"/>
        <v>normalweight</v>
      </c>
      <c r="L1233" s="30" t="e">
        <v>#N/A</v>
      </c>
    </row>
    <row r="1234" spans="1:12" ht="15.75" customHeight="1" x14ac:dyDescent="0.3">
      <c r="A1234" s="10" t="s">
        <v>2210</v>
      </c>
      <c r="B1234" s="10">
        <v>39.799999999999997</v>
      </c>
      <c r="C1234" s="10">
        <v>5.66</v>
      </c>
      <c r="D1234" s="10" t="s">
        <v>4685</v>
      </c>
      <c r="E1234" s="10" t="s">
        <v>4683</v>
      </c>
      <c r="F1234" s="10" t="s">
        <v>4683</v>
      </c>
      <c r="G1234" s="10" t="s">
        <v>4686</v>
      </c>
      <c r="H1234" s="14">
        <v>1</v>
      </c>
      <c r="I1234" s="10" t="s">
        <v>4683</v>
      </c>
      <c r="J1234" s="10" t="str">
        <f t="shared" si="5"/>
        <v>normalweight</v>
      </c>
      <c r="L1234" s="30" t="e">
        <v>#N/A</v>
      </c>
    </row>
    <row r="1235" spans="1:12" ht="15.75" customHeight="1" x14ac:dyDescent="0.3">
      <c r="A1235" s="10" t="s">
        <v>2208</v>
      </c>
      <c r="B1235" s="10">
        <v>26.36</v>
      </c>
      <c r="C1235" s="10">
        <v>4.32</v>
      </c>
      <c r="D1235" s="10" t="s">
        <v>4685</v>
      </c>
      <c r="E1235" s="10" t="s">
        <v>4683</v>
      </c>
      <c r="F1235" s="10" t="s">
        <v>4683</v>
      </c>
      <c r="G1235" s="10" t="s">
        <v>4686</v>
      </c>
      <c r="H1235" s="14">
        <v>1</v>
      </c>
      <c r="I1235" s="10" t="s">
        <v>4683</v>
      </c>
      <c r="J1235" s="10" t="str">
        <f t="shared" si="5"/>
        <v>normalweight</v>
      </c>
      <c r="L1235" s="30" t="e">
        <v>#N/A</v>
      </c>
    </row>
    <row r="1236" spans="1:12" ht="15.75" customHeight="1" x14ac:dyDescent="0.3">
      <c r="A1236" s="10" t="s">
        <v>2206</v>
      </c>
      <c r="B1236" s="10">
        <v>29.925000000000001</v>
      </c>
      <c r="C1236" s="10">
        <v>8.2899999999999991</v>
      </c>
      <c r="D1236" s="16" t="s">
        <v>4682</v>
      </c>
      <c r="E1236" s="10" t="s">
        <v>4683</v>
      </c>
      <c r="F1236" s="10" t="s">
        <v>4683</v>
      </c>
      <c r="G1236" s="10" t="s">
        <v>4683</v>
      </c>
      <c r="H1236" s="14">
        <v>2</v>
      </c>
      <c r="I1236" s="10" t="s">
        <v>4683</v>
      </c>
      <c r="J1236" s="10" t="str">
        <f t="shared" si="5"/>
        <v>normalweight</v>
      </c>
      <c r="L1236" s="30" t="e">
        <v>#N/A</v>
      </c>
    </row>
    <row r="1237" spans="1:12" ht="15.75" customHeight="1" x14ac:dyDescent="0.3">
      <c r="A1237" s="10" t="s">
        <v>2204</v>
      </c>
      <c r="B1237" s="10">
        <v>37.29</v>
      </c>
      <c r="C1237" s="10">
        <v>10.46</v>
      </c>
      <c r="D1237" s="16" t="s">
        <v>4682</v>
      </c>
      <c r="E1237" s="10" t="s">
        <v>4683</v>
      </c>
      <c r="F1237" s="10" t="s">
        <v>4683</v>
      </c>
      <c r="G1237" s="10" t="s">
        <v>4683</v>
      </c>
      <c r="H1237" s="14">
        <v>0</v>
      </c>
      <c r="I1237" s="10" t="s">
        <v>4683</v>
      </c>
      <c r="J1237" s="10" t="str">
        <f t="shared" si="5"/>
        <v>normalweight</v>
      </c>
      <c r="L1237" s="30" t="e">
        <v>#N/A</v>
      </c>
    </row>
    <row r="1238" spans="1:12" ht="15.75" customHeight="1" x14ac:dyDescent="0.3">
      <c r="A1238" s="10" t="s">
        <v>2202</v>
      </c>
      <c r="B1238" s="10">
        <v>30.2</v>
      </c>
      <c r="C1238" s="10">
        <v>11.96</v>
      </c>
      <c r="D1238" s="16" t="s">
        <v>4682</v>
      </c>
      <c r="E1238" s="10" t="s">
        <v>4683</v>
      </c>
      <c r="F1238" s="10" t="s">
        <v>4683</v>
      </c>
      <c r="G1238" s="10" t="s">
        <v>4683</v>
      </c>
      <c r="H1238" s="14">
        <v>0</v>
      </c>
      <c r="I1238" s="10" t="s">
        <v>4683</v>
      </c>
      <c r="J1238" s="10" t="str">
        <f t="shared" si="5"/>
        <v>normalweight</v>
      </c>
      <c r="L1238" s="30" t="e">
        <v>#N/A</v>
      </c>
    </row>
    <row r="1239" spans="1:12" ht="15.75" customHeight="1" x14ac:dyDescent="0.3">
      <c r="A1239" s="10" t="s">
        <v>2200</v>
      </c>
      <c r="B1239" s="10">
        <v>24.225000000000001</v>
      </c>
      <c r="C1239" s="10">
        <v>4.25</v>
      </c>
      <c r="D1239" s="10" t="s">
        <v>4685</v>
      </c>
      <c r="E1239" s="10" t="s">
        <v>4684</v>
      </c>
      <c r="F1239" s="10" t="s">
        <v>4683</v>
      </c>
      <c r="G1239" s="10" t="s">
        <v>4686</v>
      </c>
      <c r="H1239" s="14">
        <v>1</v>
      </c>
      <c r="I1239" s="10" t="s">
        <v>4683</v>
      </c>
      <c r="J1239" s="10" t="str">
        <f t="shared" si="5"/>
        <v>normalweight</v>
      </c>
      <c r="L1239" s="30" t="e">
        <v>#N/A</v>
      </c>
    </row>
    <row r="1240" spans="1:12" ht="15.75" customHeight="1" x14ac:dyDescent="0.3">
      <c r="A1240" s="10" t="s">
        <v>2198</v>
      </c>
      <c r="B1240" s="10">
        <v>31.445</v>
      </c>
      <c r="C1240" s="10">
        <v>8.33</v>
      </c>
      <c r="D1240" s="16" t="s">
        <v>4682</v>
      </c>
      <c r="E1240" s="10" t="s">
        <v>4683</v>
      </c>
      <c r="F1240" s="10" t="s">
        <v>4683</v>
      </c>
      <c r="G1240" s="10" t="s">
        <v>4683</v>
      </c>
      <c r="H1240" s="14">
        <v>0</v>
      </c>
      <c r="I1240" s="10" t="s">
        <v>4683</v>
      </c>
      <c r="J1240" s="10" t="str">
        <f t="shared" si="5"/>
        <v>normalweight</v>
      </c>
      <c r="L1240" s="30" t="e">
        <v>#N/A</v>
      </c>
    </row>
    <row r="1241" spans="1:12" ht="15.75" customHeight="1" x14ac:dyDescent="0.3">
      <c r="A1241" s="10" t="s">
        <v>2196</v>
      </c>
      <c r="B1241" s="10">
        <v>38.880000000000003</v>
      </c>
      <c r="C1241" s="10">
        <v>4.29</v>
      </c>
      <c r="D1241" s="10" t="s">
        <v>4685</v>
      </c>
      <c r="E1241" s="10" t="s">
        <v>4683</v>
      </c>
      <c r="F1241" s="10" t="s">
        <v>4683</v>
      </c>
      <c r="G1241" s="10" t="s">
        <v>4683</v>
      </c>
      <c r="H1241" s="14">
        <v>1</v>
      </c>
      <c r="I1241" s="10" t="s">
        <v>4683</v>
      </c>
      <c r="J1241" s="10" t="str">
        <f t="shared" si="5"/>
        <v>normalweight</v>
      </c>
      <c r="L1241" s="30" t="e">
        <v>#N/A</v>
      </c>
    </row>
    <row r="1242" spans="1:12" ht="15.75" customHeight="1" x14ac:dyDescent="0.3">
      <c r="A1242" s="10" t="s">
        <v>2194</v>
      </c>
      <c r="B1242" s="10">
        <v>43.89</v>
      </c>
      <c r="C1242" s="10">
        <v>6.32</v>
      </c>
      <c r="D1242" s="10" t="s">
        <v>4685</v>
      </c>
      <c r="E1242" s="10" t="s">
        <v>4684</v>
      </c>
      <c r="F1242" s="10" t="s">
        <v>4683</v>
      </c>
      <c r="G1242" s="10" t="s">
        <v>4683</v>
      </c>
      <c r="H1242" s="14">
        <v>0</v>
      </c>
      <c r="I1242" s="10" t="s">
        <v>4683</v>
      </c>
      <c r="J1242" s="10" t="str">
        <f t="shared" si="5"/>
        <v>normalweight</v>
      </c>
      <c r="L1242" s="30" t="e">
        <v>#N/A</v>
      </c>
    </row>
    <row r="1243" spans="1:12" ht="15.75" customHeight="1" x14ac:dyDescent="0.3">
      <c r="A1243" s="10" t="s">
        <v>2192</v>
      </c>
      <c r="B1243" s="10">
        <v>25.6</v>
      </c>
      <c r="C1243" s="10">
        <v>5.65</v>
      </c>
      <c r="D1243" s="10" t="s">
        <v>4685</v>
      </c>
      <c r="E1243" s="10" t="s">
        <v>4683</v>
      </c>
      <c r="F1243" s="10" t="s">
        <v>4683</v>
      </c>
      <c r="G1243" s="10" t="s">
        <v>4683</v>
      </c>
      <c r="H1243" s="14">
        <v>2</v>
      </c>
      <c r="I1243" s="10" t="s">
        <v>4683</v>
      </c>
      <c r="J1243" s="10" t="str">
        <f t="shared" si="5"/>
        <v>normalweight</v>
      </c>
      <c r="L1243" s="30" t="e">
        <v>#N/A</v>
      </c>
    </row>
    <row r="1244" spans="1:12" ht="15.75" customHeight="1" x14ac:dyDescent="0.3">
      <c r="A1244" s="10" t="s">
        <v>2190</v>
      </c>
      <c r="B1244" s="10">
        <v>29.545000000000002</v>
      </c>
      <c r="C1244" s="10">
        <v>8.41</v>
      </c>
      <c r="D1244" s="16" t="s">
        <v>4682</v>
      </c>
      <c r="E1244" s="10" t="s">
        <v>4684</v>
      </c>
      <c r="F1244" s="10" t="s">
        <v>4683</v>
      </c>
      <c r="G1244" s="10" t="s">
        <v>4683</v>
      </c>
      <c r="H1244" s="14">
        <v>1</v>
      </c>
      <c r="I1244" s="10" t="s">
        <v>4683</v>
      </c>
      <c r="J1244" s="10" t="str">
        <f t="shared" si="5"/>
        <v>normalweight</v>
      </c>
      <c r="L1244" s="30" t="e">
        <v>#N/A</v>
      </c>
    </row>
    <row r="1245" spans="1:12" ht="15.75" customHeight="1" x14ac:dyDescent="0.3">
      <c r="A1245" s="10" t="s">
        <v>2188</v>
      </c>
      <c r="B1245" s="10">
        <v>23.25</v>
      </c>
      <c r="C1245" s="10">
        <v>11.96</v>
      </c>
      <c r="D1245" s="16" t="s">
        <v>4682</v>
      </c>
      <c r="E1245" s="10" t="s">
        <v>4684</v>
      </c>
      <c r="F1245" s="10" t="s">
        <v>4683</v>
      </c>
      <c r="G1245" s="10" t="s">
        <v>4683</v>
      </c>
      <c r="H1245" s="14">
        <v>0</v>
      </c>
      <c r="I1245" s="10" t="s">
        <v>4683</v>
      </c>
      <c r="J1245" s="10" t="str">
        <f t="shared" si="5"/>
        <v>normalweight</v>
      </c>
      <c r="L1245" s="30" t="e">
        <v>#N/A</v>
      </c>
    </row>
    <row r="1246" spans="1:12" ht="15.75" customHeight="1" x14ac:dyDescent="0.3">
      <c r="A1246" s="10" t="s">
        <v>2186</v>
      </c>
      <c r="B1246" s="10">
        <v>43.95</v>
      </c>
      <c r="C1246" s="10">
        <v>5.17</v>
      </c>
      <c r="D1246" s="10" t="s">
        <v>4685</v>
      </c>
      <c r="E1246" s="10" t="s">
        <v>4684</v>
      </c>
      <c r="F1246" s="10" t="s">
        <v>4683</v>
      </c>
      <c r="G1246" s="10" t="s">
        <v>4686</v>
      </c>
      <c r="H1246" s="14">
        <v>1</v>
      </c>
      <c r="I1246" s="10" t="s">
        <v>4683</v>
      </c>
      <c r="J1246" s="10" t="str">
        <f t="shared" si="5"/>
        <v>normalweight</v>
      </c>
      <c r="L1246" s="30" t="e">
        <v>#N/A</v>
      </c>
    </row>
    <row r="1247" spans="1:12" ht="15.75" customHeight="1" x14ac:dyDescent="0.3">
      <c r="A1247" s="10" t="s">
        <v>2184</v>
      </c>
      <c r="B1247" s="10">
        <v>21.85</v>
      </c>
      <c r="C1247" s="10">
        <v>8.76</v>
      </c>
      <c r="D1247" s="16" t="s">
        <v>4682</v>
      </c>
      <c r="E1247" s="10" t="s">
        <v>4683</v>
      </c>
      <c r="F1247" s="10" t="s">
        <v>4683</v>
      </c>
      <c r="G1247" s="10" t="s">
        <v>4683</v>
      </c>
      <c r="H1247" s="14">
        <v>0</v>
      </c>
      <c r="I1247" s="10" t="s">
        <v>4683</v>
      </c>
      <c r="J1247" s="10" t="str">
        <f t="shared" si="5"/>
        <v>normalweight</v>
      </c>
      <c r="L1247" s="30" t="e">
        <v>#N/A</v>
      </c>
    </row>
    <row r="1248" spans="1:12" ht="15.75" customHeight="1" x14ac:dyDescent="0.3">
      <c r="A1248" s="10" t="s">
        <v>2182</v>
      </c>
      <c r="B1248" s="10">
        <v>25.73</v>
      </c>
      <c r="C1248" s="10">
        <v>7.99</v>
      </c>
      <c r="D1248" s="16" t="s">
        <v>4682</v>
      </c>
      <c r="E1248" s="10" t="s">
        <v>4683</v>
      </c>
      <c r="F1248" s="10" t="s">
        <v>4683</v>
      </c>
      <c r="G1248" s="10" t="s">
        <v>4683</v>
      </c>
      <c r="H1248" s="14">
        <v>2</v>
      </c>
      <c r="I1248" s="10" t="s">
        <v>4683</v>
      </c>
      <c r="J1248" s="10" t="str">
        <f t="shared" si="5"/>
        <v>normalweight</v>
      </c>
      <c r="L1248" s="30" t="e">
        <v>#N/A</v>
      </c>
    </row>
    <row r="1249" spans="1:12" ht="15.75" customHeight="1" x14ac:dyDescent="0.3">
      <c r="A1249" s="10" t="s">
        <v>2180</v>
      </c>
      <c r="B1249" s="10">
        <v>32.229999999999997</v>
      </c>
      <c r="C1249" s="10">
        <v>8.59</v>
      </c>
      <c r="D1249" s="16" t="s">
        <v>4682</v>
      </c>
      <c r="E1249" s="10" t="s">
        <v>4683</v>
      </c>
      <c r="F1249" s="10" t="s">
        <v>4683</v>
      </c>
      <c r="G1249" s="10" t="s">
        <v>4683</v>
      </c>
      <c r="H1249" s="14">
        <v>0</v>
      </c>
      <c r="I1249" s="10" t="s">
        <v>4683</v>
      </c>
      <c r="J1249" s="10" t="str">
        <f t="shared" si="5"/>
        <v>normalweight</v>
      </c>
      <c r="L1249" s="30" t="e">
        <v>#N/A</v>
      </c>
    </row>
    <row r="1250" spans="1:12" ht="15.75" customHeight="1" x14ac:dyDescent="0.3">
      <c r="A1250" s="10" t="s">
        <v>2178</v>
      </c>
      <c r="B1250" s="10">
        <v>32.204999999999998</v>
      </c>
      <c r="C1250" s="10">
        <v>6.14</v>
      </c>
      <c r="D1250" s="10" t="s">
        <v>4685</v>
      </c>
      <c r="E1250" s="10" t="s">
        <v>4683</v>
      </c>
      <c r="F1250" s="10" t="s">
        <v>4683</v>
      </c>
      <c r="G1250" s="10" t="s">
        <v>4683</v>
      </c>
      <c r="H1250" s="14">
        <v>2</v>
      </c>
      <c r="I1250" s="10" t="s">
        <v>4683</v>
      </c>
      <c r="J1250" s="10" t="str">
        <f t="shared" si="5"/>
        <v>normalweight</v>
      </c>
      <c r="L1250" s="30" t="e">
        <v>#N/A</v>
      </c>
    </row>
    <row r="1251" spans="1:12" ht="15.75" customHeight="1" x14ac:dyDescent="0.3">
      <c r="A1251" s="10" t="s">
        <v>2176</v>
      </c>
      <c r="B1251" s="10">
        <v>26.41</v>
      </c>
      <c r="C1251" s="10">
        <v>4.08</v>
      </c>
      <c r="D1251" s="10" t="s">
        <v>4685</v>
      </c>
      <c r="E1251" s="10" t="s">
        <v>4683</v>
      </c>
      <c r="F1251" s="10" t="s">
        <v>4683</v>
      </c>
      <c r="G1251" s="10" t="s">
        <v>4683</v>
      </c>
      <c r="H1251" s="14">
        <v>2</v>
      </c>
      <c r="I1251" s="10" t="s">
        <v>4683</v>
      </c>
      <c r="J1251" s="10" t="str">
        <f t="shared" si="5"/>
        <v>normalweight</v>
      </c>
      <c r="L1251" s="30" t="e">
        <v>#N/A</v>
      </c>
    </row>
    <row r="1252" spans="1:12" ht="15.75" customHeight="1" x14ac:dyDescent="0.3">
      <c r="A1252" s="10" t="s">
        <v>2174</v>
      </c>
      <c r="B1252" s="10">
        <v>30.2</v>
      </c>
      <c r="C1252" s="10">
        <v>6.25</v>
      </c>
      <c r="D1252" s="10" t="s">
        <v>4685</v>
      </c>
      <c r="E1252" s="10" t="s">
        <v>4684</v>
      </c>
      <c r="F1252" s="10" t="s">
        <v>4683</v>
      </c>
      <c r="G1252" s="10" t="s">
        <v>4683</v>
      </c>
      <c r="H1252" s="14">
        <v>0</v>
      </c>
      <c r="I1252" s="10" t="s">
        <v>4683</v>
      </c>
      <c r="J1252" s="10" t="str">
        <f t="shared" si="5"/>
        <v>normalweight</v>
      </c>
      <c r="L1252" s="30" t="e">
        <v>#N/A</v>
      </c>
    </row>
    <row r="1253" spans="1:12" ht="15.75" customHeight="1" x14ac:dyDescent="0.3">
      <c r="A1253" s="10" t="s">
        <v>2172</v>
      </c>
      <c r="B1253" s="10">
        <v>31.26</v>
      </c>
      <c r="C1253" s="10">
        <v>5.94</v>
      </c>
      <c r="D1253" s="10" t="s">
        <v>4685</v>
      </c>
      <c r="E1253" s="10" t="s">
        <v>4684</v>
      </c>
      <c r="F1253" s="10" t="s">
        <v>4683</v>
      </c>
      <c r="G1253" s="10" t="s">
        <v>4683</v>
      </c>
      <c r="H1253" s="14">
        <v>1</v>
      </c>
      <c r="I1253" s="10" t="s">
        <v>4683</v>
      </c>
      <c r="J1253" s="10" t="str">
        <f t="shared" si="5"/>
        <v>normalweight</v>
      </c>
      <c r="L1253" s="30" t="e">
        <v>#N/A</v>
      </c>
    </row>
    <row r="1254" spans="1:12" ht="15.75" customHeight="1" x14ac:dyDescent="0.3">
      <c r="A1254" s="10" t="s">
        <v>2170</v>
      </c>
      <c r="B1254" s="10">
        <v>33.725000000000001</v>
      </c>
      <c r="C1254" s="10">
        <v>6.45</v>
      </c>
      <c r="D1254" s="10" t="s">
        <v>4685</v>
      </c>
      <c r="E1254" s="10" t="s">
        <v>4684</v>
      </c>
      <c r="F1254" s="10" t="s">
        <v>4683</v>
      </c>
      <c r="G1254" s="10" t="s">
        <v>4683</v>
      </c>
      <c r="H1254" s="14">
        <v>0</v>
      </c>
      <c r="I1254" s="10" t="s">
        <v>4683</v>
      </c>
      <c r="J1254" s="10" t="str">
        <f t="shared" si="5"/>
        <v>normalweight</v>
      </c>
      <c r="L1254" s="30" t="e">
        <v>#N/A</v>
      </c>
    </row>
    <row r="1255" spans="1:12" ht="15.75" customHeight="1" x14ac:dyDescent="0.3">
      <c r="A1255" s="10" t="s">
        <v>2168</v>
      </c>
      <c r="B1255" s="10">
        <v>28.9</v>
      </c>
      <c r="C1255" s="10">
        <v>5.74</v>
      </c>
      <c r="D1255" s="10" t="s">
        <v>4685</v>
      </c>
      <c r="E1255" s="10" t="s">
        <v>4684</v>
      </c>
      <c r="F1255" s="10" t="s">
        <v>4683</v>
      </c>
      <c r="G1255" s="10" t="s">
        <v>4683</v>
      </c>
      <c r="H1255" s="14">
        <v>0</v>
      </c>
      <c r="I1255" s="10" t="s">
        <v>4683</v>
      </c>
      <c r="J1255" s="10" t="str">
        <f t="shared" si="5"/>
        <v>normalweight</v>
      </c>
      <c r="L1255" s="30" t="e">
        <v>#N/A</v>
      </c>
    </row>
    <row r="1256" spans="1:12" ht="15.75" customHeight="1" x14ac:dyDescent="0.3">
      <c r="A1256" s="10" t="s">
        <v>2166</v>
      </c>
      <c r="B1256" s="10">
        <v>45.69</v>
      </c>
      <c r="C1256" s="10">
        <v>4.43</v>
      </c>
      <c r="D1256" s="10" t="s">
        <v>4685</v>
      </c>
      <c r="E1256" s="10" t="s">
        <v>4684</v>
      </c>
      <c r="F1256" s="10" t="s">
        <v>4683</v>
      </c>
      <c r="G1256" s="10" t="s">
        <v>4683</v>
      </c>
      <c r="H1256" s="14">
        <v>0</v>
      </c>
      <c r="I1256" s="10" t="s">
        <v>4683</v>
      </c>
      <c r="J1256" s="10" t="str">
        <f t="shared" si="5"/>
        <v>normalweight</v>
      </c>
      <c r="L1256" s="30" t="e">
        <v>#N/A</v>
      </c>
    </row>
    <row r="1257" spans="1:12" ht="15.75" customHeight="1" x14ac:dyDescent="0.3">
      <c r="A1257" s="10" t="s">
        <v>2164</v>
      </c>
      <c r="B1257" s="10">
        <v>21.03</v>
      </c>
      <c r="C1257" s="10">
        <v>6.5</v>
      </c>
      <c r="D1257" s="10" t="s">
        <v>4685</v>
      </c>
      <c r="E1257" s="10" t="s">
        <v>4683</v>
      </c>
      <c r="F1257" s="10" t="s">
        <v>4683</v>
      </c>
      <c r="G1257" s="10" t="s">
        <v>4683</v>
      </c>
      <c r="H1257" s="14">
        <v>0</v>
      </c>
      <c r="I1257" s="10" t="s">
        <v>4683</v>
      </c>
      <c r="J1257" s="10" t="str">
        <f t="shared" si="5"/>
        <v>normalweight</v>
      </c>
      <c r="L1257" s="30" t="e">
        <v>#N/A</v>
      </c>
    </row>
    <row r="1258" spans="1:12" ht="15.75" customHeight="1" x14ac:dyDescent="0.3">
      <c r="A1258" s="10" t="s">
        <v>2162</v>
      </c>
      <c r="B1258" s="10">
        <v>37</v>
      </c>
      <c r="C1258" s="10">
        <v>8.75</v>
      </c>
      <c r="D1258" s="16" t="s">
        <v>4682</v>
      </c>
      <c r="E1258" s="10" t="s">
        <v>4683</v>
      </c>
      <c r="F1258" s="10" t="s">
        <v>4683</v>
      </c>
      <c r="G1258" s="10" t="s">
        <v>4683</v>
      </c>
      <c r="H1258" s="14">
        <v>0</v>
      </c>
      <c r="I1258" s="10" t="s">
        <v>4683</v>
      </c>
      <c r="J1258" s="10" t="str">
        <f t="shared" si="5"/>
        <v>normalweight</v>
      </c>
      <c r="L1258" s="30" t="e">
        <v>#N/A</v>
      </c>
    </row>
    <row r="1259" spans="1:12" ht="15.75" customHeight="1" x14ac:dyDescent="0.3">
      <c r="A1259" s="10" t="s">
        <v>2160</v>
      </c>
      <c r="B1259" s="10">
        <v>25.4</v>
      </c>
      <c r="C1259" s="10">
        <v>11.96</v>
      </c>
      <c r="D1259" s="16" t="s">
        <v>4682</v>
      </c>
      <c r="E1259" s="10" t="s">
        <v>4683</v>
      </c>
      <c r="F1259" s="10" t="s">
        <v>4683</v>
      </c>
      <c r="G1259" s="10" t="s">
        <v>4683</v>
      </c>
      <c r="H1259" s="14">
        <v>0</v>
      </c>
      <c r="I1259" s="10" t="s">
        <v>4683</v>
      </c>
      <c r="J1259" s="10" t="str">
        <f t="shared" si="5"/>
        <v>normalweight</v>
      </c>
      <c r="L1259" s="30" t="e">
        <v>#N/A</v>
      </c>
    </row>
    <row r="1260" spans="1:12" ht="15.75" customHeight="1" x14ac:dyDescent="0.3">
      <c r="A1260" s="10" t="s">
        <v>2158</v>
      </c>
      <c r="B1260" s="10">
        <v>32.299999999999997</v>
      </c>
      <c r="C1260" s="10">
        <v>10.54</v>
      </c>
      <c r="D1260" s="16" t="s">
        <v>4682</v>
      </c>
      <c r="E1260" s="10" t="s">
        <v>4683</v>
      </c>
      <c r="F1260" s="10" t="s">
        <v>4683</v>
      </c>
      <c r="G1260" s="10" t="s">
        <v>4683</v>
      </c>
      <c r="H1260" s="14">
        <v>0</v>
      </c>
      <c r="I1260" s="10" t="s">
        <v>4683</v>
      </c>
      <c r="J1260" s="10" t="str">
        <f t="shared" si="5"/>
        <v>normalweight</v>
      </c>
      <c r="L1260" s="30" t="e">
        <v>#N/A</v>
      </c>
    </row>
    <row r="1261" spans="1:12" ht="15.75" customHeight="1" x14ac:dyDescent="0.3">
      <c r="A1261" s="10" t="s">
        <v>2156</v>
      </c>
      <c r="B1261" s="10">
        <v>23.94</v>
      </c>
      <c r="C1261" s="10">
        <v>4.54</v>
      </c>
      <c r="D1261" s="10" t="s">
        <v>4685</v>
      </c>
      <c r="E1261" s="10" t="s">
        <v>4684</v>
      </c>
      <c r="F1261" s="10" t="s">
        <v>4683</v>
      </c>
      <c r="G1261" s="10" t="s">
        <v>4686</v>
      </c>
      <c r="H1261" s="14">
        <v>1</v>
      </c>
      <c r="I1261" s="10" t="s">
        <v>4683</v>
      </c>
      <c r="J1261" s="10" t="str">
        <f t="shared" si="5"/>
        <v>normalweight</v>
      </c>
      <c r="L1261" s="30" t="e">
        <v>#N/A</v>
      </c>
    </row>
    <row r="1262" spans="1:12" ht="15.75" customHeight="1" x14ac:dyDescent="0.3">
      <c r="A1262" s="10" t="s">
        <v>2154</v>
      </c>
      <c r="B1262" s="10">
        <v>46.4</v>
      </c>
      <c r="C1262" s="10">
        <v>5.71</v>
      </c>
      <c r="D1262" s="10" t="s">
        <v>4685</v>
      </c>
      <c r="E1262" s="10" t="s">
        <v>4683</v>
      </c>
      <c r="F1262" s="10" t="s">
        <v>4683</v>
      </c>
      <c r="G1262" s="10" t="s">
        <v>4683</v>
      </c>
      <c r="H1262" s="14">
        <v>0</v>
      </c>
      <c r="I1262" s="10" t="s">
        <v>4683</v>
      </c>
      <c r="J1262" s="10" t="str">
        <f t="shared" si="5"/>
        <v>normalweight</v>
      </c>
      <c r="L1262" s="30" t="e">
        <v>#N/A</v>
      </c>
    </row>
    <row r="1263" spans="1:12" ht="15.75" customHeight="1" x14ac:dyDescent="0.3">
      <c r="A1263" s="10" t="s">
        <v>2152</v>
      </c>
      <c r="B1263" s="10">
        <v>40.375</v>
      </c>
      <c r="C1263" s="10">
        <v>6.25</v>
      </c>
      <c r="D1263" s="10" t="s">
        <v>4685</v>
      </c>
      <c r="E1263" s="10" t="s">
        <v>4684</v>
      </c>
      <c r="F1263" s="10" t="s">
        <v>4683</v>
      </c>
      <c r="G1263" s="10" t="s">
        <v>4683</v>
      </c>
      <c r="H1263" s="14">
        <v>0</v>
      </c>
      <c r="I1263" s="10" t="s">
        <v>4683</v>
      </c>
      <c r="J1263" s="10" t="str">
        <f t="shared" si="5"/>
        <v>normalweight</v>
      </c>
      <c r="L1263" s="30" t="e">
        <v>#N/A</v>
      </c>
    </row>
    <row r="1264" spans="1:12" ht="15.75" customHeight="1" x14ac:dyDescent="0.3">
      <c r="A1264" s="10" t="s">
        <v>2150</v>
      </c>
      <c r="B1264" s="10">
        <v>28.7</v>
      </c>
      <c r="C1264" s="10">
        <v>9.4700000000000006</v>
      </c>
      <c r="D1264" s="16" t="s">
        <v>4682</v>
      </c>
      <c r="E1264" s="10" t="s">
        <v>4683</v>
      </c>
      <c r="F1264" s="10" t="s">
        <v>4683</v>
      </c>
      <c r="G1264" s="10" t="s">
        <v>4683</v>
      </c>
      <c r="H1264" s="14">
        <v>2</v>
      </c>
      <c r="I1264" s="10" t="s">
        <v>4683</v>
      </c>
      <c r="J1264" s="10" t="str">
        <f t="shared" si="5"/>
        <v>normalweight</v>
      </c>
      <c r="L1264" s="30" t="e">
        <v>#N/A</v>
      </c>
    </row>
    <row r="1265" spans="1:12" ht="15.75" customHeight="1" x14ac:dyDescent="0.3">
      <c r="A1265" s="10" t="s">
        <v>2148</v>
      </c>
      <c r="B1265" s="10">
        <v>26.63</v>
      </c>
      <c r="C1265" s="10">
        <v>5.7</v>
      </c>
      <c r="D1265" s="10" t="s">
        <v>4685</v>
      </c>
      <c r="E1265" s="10" t="s">
        <v>4683</v>
      </c>
      <c r="F1265" s="10" t="s">
        <v>4683</v>
      </c>
      <c r="G1265" s="10" t="s">
        <v>4683</v>
      </c>
      <c r="H1265" s="14">
        <v>0</v>
      </c>
      <c r="I1265" s="10" t="s">
        <v>4683</v>
      </c>
      <c r="J1265" s="10" t="str">
        <f t="shared" si="5"/>
        <v>normalweight</v>
      </c>
      <c r="L1265" s="30" t="e">
        <v>#N/A</v>
      </c>
    </row>
    <row r="1266" spans="1:12" ht="15.75" customHeight="1" x14ac:dyDescent="0.3">
      <c r="A1266" s="10" t="s">
        <v>2146</v>
      </c>
      <c r="B1266" s="10">
        <v>22.515000000000001</v>
      </c>
      <c r="C1266" s="10">
        <v>11.18</v>
      </c>
      <c r="D1266" s="16" t="s">
        <v>4682</v>
      </c>
      <c r="E1266" s="10" t="s">
        <v>4683</v>
      </c>
      <c r="F1266" s="10" t="s">
        <v>4683</v>
      </c>
      <c r="G1266" s="10" t="s">
        <v>4683</v>
      </c>
      <c r="H1266" s="14">
        <v>2</v>
      </c>
      <c r="I1266" s="10" t="s">
        <v>4683</v>
      </c>
      <c r="J1266" s="10" t="str">
        <f t="shared" si="5"/>
        <v>normalweight</v>
      </c>
      <c r="L1266" s="30" t="e">
        <v>#N/A</v>
      </c>
    </row>
    <row r="1267" spans="1:12" ht="15.75" customHeight="1" x14ac:dyDescent="0.3">
      <c r="A1267" s="10" t="s">
        <v>2144</v>
      </c>
      <c r="B1267" s="10">
        <v>36.575000000000003</v>
      </c>
      <c r="C1267" s="10">
        <v>10.98</v>
      </c>
      <c r="D1267" s="16" t="s">
        <v>4682</v>
      </c>
      <c r="E1267" s="10" t="s">
        <v>4683</v>
      </c>
      <c r="F1267" s="10" t="s">
        <v>4683</v>
      </c>
      <c r="G1267" s="10" t="s">
        <v>4683</v>
      </c>
      <c r="H1267" s="14">
        <v>0</v>
      </c>
      <c r="I1267" s="10" t="s">
        <v>4683</v>
      </c>
      <c r="J1267" s="10" t="str">
        <f t="shared" si="5"/>
        <v>normalweight</v>
      </c>
      <c r="L1267" s="30" t="e">
        <v>#N/A</v>
      </c>
    </row>
    <row r="1268" spans="1:12" ht="15.75" customHeight="1" x14ac:dyDescent="0.3">
      <c r="A1268" s="10" t="s">
        <v>2142</v>
      </c>
      <c r="B1268" s="10">
        <v>23.66</v>
      </c>
      <c r="C1268" s="10">
        <v>5.1100000000000003</v>
      </c>
      <c r="D1268" s="10" t="s">
        <v>4685</v>
      </c>
      <c r="E1268" s="10" t="s">
        <v>4684</v>
      </c>
      <c r="F1268" s="10" t="s">
        <v>4683</v>
      </c>
      <c r="G1268" s="10" t="s">
        <v>4686</v>
      </c>
      <c r="H1268" s="14">
        <v>1</v>
      </c>
      <c r="I1268" s="10" t="s">
        <v>4683</v>
      </c>
      <c r="J1268" s="10" t="str">
        <f t="shared" si="5"/>
        <v>normalweight</v>
      </c>
      <c r="L1268" s="30" t="e">
        <v>#N/A</v>
      </c>
    </row>
    <row r="1269" spans="1:12" ht="15.75" customHeight="1" x14ac:dyDescent="0.3">
      <c r="A1269" s="10" t="s">
        <v>2140</v>
      </c>
      <c r="B1269" s="10">
        <v>18.62</v>
      </c>
      <c r="C1269" s="10">
        <v>10.24</v>
      </c>
      <c r="D1269" s="16" t="s">
        <v>4682</v>
      </c>
      <c r="E1269" s="10" t="s">
        <v>4683</v>
      </c>
      <c r="F1269" s="10" t="s">
        <v>4683</v>
      </c>
      <c r="G1269" s="10" t="s">
        <v>4683</v>
      </c>
      <c r="H1269" s="14">
        <v>0</v>
      </c>
      <c r="I1269" s="10" t="s">
        <v>4683</v>
      </c>
      <c r="J1269" s="10" t="str">
        <f t="shared" si="5"/>
        <v>normalweight</v>
      </c>
      <c r="L1269" s="30" t="e">
        <v>#N/A</v>
      </c>
    </row>
    <row r="1270" spans="1:12" ht="15.75" customHeight="1" x14ac:dyDescent="0.3">
      <c r="A1270" s="10" t="s">
        <v>2138</v>
      </c>
      <c r="B1270" s="10">
        <v>19.190000000000001</v>
      </c>
      <c r="C1270" s="10">
        <v>7.71</v>
      </c>
      <c r="D1270" s="16" t="s">
        <v>4682</v>
      </c>
      <c r="E1270" s="10" t="s">
        <v>4684</v>
      </c>
      <c r="F1270" s="10" t="s">
        <v>4683</v>
      </c>
      <c r="G1270" s="10" t="s">
        <v>4683</v>
      </c>
      <c r="H1270" s="14">
        <v>1</v>
      </c>
      <c r="I1270" s="10" t="s">
        <v>4683</v>
      </c>
      <c r="J1270" s="10" t="str">
        <f t="shared" si="5"/>
        <v>normalweight</v>
      </c>
      <c r="L1270" s="30" t="e">
        <v>#N/A</v>
      </c>
    </row>
    <row r="1271" spans="1:12" ht="15.75" customHeight="1" x14ac:dyDescent="0.3">
      <c r="A1271" s="10" t="s">
        <v>2136</v>
      </c>
      <c r="B1271" s="10">
        <v>27.5</v>
      </c>
      <c r="C1271" s="10">
        <v>6.03</v>
      </c>
      <c r="D1271" s="10" t="s">
        <v>4685</v>
      </c>
      <c r="E1271" s="10" t="s">
        <v>4683</v>
      </c>
      <c r="F1271" s="10" t="s">
        <v>4683</v>
      </c>
      <c r="G1271" s="10" t="s">
        <v>4683</v>
      </c>
      <c r="H1271" s="14">
        <v>0</v>
      </c>
      <c r="I1271" s="10" t="s">
        <v>4683</v>
      </c>
      <c r="J1271" s="10" t="str">
        <f t="shared" si="5"/>
        <v>normalweight</v>
      </c>
      <c r="L1271" s="30" t="e">
        <v>#N/A</v>
      </c>
    </row>
    <row r="1272" spans="1:12" ht="15.75" customHeight="1" x14ac:dyDescent="0.3">
      <c r="A1272" s="10" t="s">
        <v>2134</v>
      </c>
      <c r="B1272" s="10">
        <v>27.36</v>
      </c>
      <c r="C1272" s="10">
        <v>5.96</v>
      </c>
      <c r="D1272" s="10" t="s">
        <v>4685</v>
      </c>
      <c r="E1272" s="10" t="s">
        <v>4683</v>
      </c>
      <c r="F1272" s="10" t="s">
        <v>4683</v>
      </c>
      <c r="G1272" s="10" t="s">
        <v>4686</v>
      </c>
      <c r="H1272" s="14">
        <v>1</v>
      </c>
      <c r="I1272" s="10" t="s">
        <v>4683</v>
      </c>
      <c r="J1272" s="10" t="str">
        <f t="shared" si="5"/>
        <v>normalweight</v>
      </c>
      <c r="L1272" s="30" t="e">
        <v>#N/A</v>
      </c>
    </row>
    <row r="1273" spans="1:12" ht="15.75" customHeight="1" x14ac:dyDescent="0.3">
      <c r="A1273" s="10" t="s">
        <v>2132</v>
      </c>
      <c r="B1273" s="10">
        <v>20.350000000000001</v>
      </c>
      <c r="C1273" s="10">
        <v>4.16</v>
      </c>
      <c r="D1273" s="10" t="s">
        <v>4685</v>
      </c>
      <c r="E1273" s="10" t="s">
        <v>4683</v>
      </c>
      <c r="F1273" s="10" t="s">
        <v>4683</v>
      </c>
      <c r="G1273" s="10" t="s">
        <v>4683</v>
      </c>
      <c r="H1273" s="14">
        <v>0</v>
      </c>
      <c r="I1273" s="10" t="s">
        <v>4683</v>
      </c>
      <c r="J1273" s="10" t="str">
        <f t="shared" si="5"/>
        <v>normalweight</v>
      </c>
      <c r="L1273" s="30" t="e">
        <v>#N/A</v>
      </c>
    </row>
    <row r="1274" spans="1:12" ht="15.75" customHeight="1" x14ac:dyDescent="0.3">
      <c r="A1274" s="10" t="s">
        <v>2130</v>
      </c>
      <c r="B1274" s="10">
        <v>24.035</v>
      </c>
      <c r="C1274" s="10">
        <v>6.11</v>
      </c>
      <c r="D1274" s="10" t="s">
        <v>4685</v>
      </c>
      <c r="E1274" s="10" t="s">
        <v>4683</v>
      </c>
      <c r="F1274" s="10" t="s">
        <v>4683</v>
      </c>
      <c r="G1274" s="10" t="s">
        <v>4683</v>
      </c>
      <c r="H1274" s="14">
        <v>0</v>
      </c>
      <c r="I1274" s="10" t="s">
        <v>4683</v>
      </c>
      <c r="J1274" s="10" t="str">
        <f t="shared" si="5"/>
        <v>normalweight</v>
      </c>
      <c r="L1274" s="30" t="e">
        <v>#N/A</v>
      </c>
    </row>
    <row r="1275" spans="1:12" ht="15.75" customHeight="1" x14ac:dyDescent="0.3">
      <c r="A1275" s="10" t="s">
        <v>2128</v>
      </c>
      <c r="B1275" s="10">
        <v>23.56</v>
      </c>
      <c r="C1275" s="10">
        <v>5.97</v>
      </c>
      <c r="D1275" s="10" t="s">
        <v>4685</v>
      </c>
      <c r="E1275" s="10" t="s">
        <v>4683</v>
      </c>
      <c r="F1275" s="10" t="s">
        <v>4683</v>
      </c>
      <c r="G1275" s="10" t="s">
        <v>4683</v>
      </c>
      <c r="H1275" s="14">
        <v>0</v>
      </c>
      <c r="I1275" s="10" t="s">
        <v>4683</v>
      </c>
      <c r="J1275" s="10" t="str">
        <f t="shared" si="5"/>
        <v>normalweight</v>
      </c>
      <c r="L1275" s="30" t="e">
        <v>#N/A</v>
      </c>
    </row>
    <row r="1276" spans="1:12" ht="15.75" customHeight="1" x14ac:dyDescent="0.3">
      <c r="A1276" s="10" t="s">
        <v>2126</v>
      </c>
      <c r="B1276" s="10">
        <v>27.17</v>
      </c>
      <c r="C1276" s="10">
        <v>10.81</v>
      </c>
      <c r="D1276" s="16" t="s">
        <v>4682</v>
      </c>
      <c r="E1276" s="10" t="s">
        <v>4683</v>
      </c>
      <c r="F1276" s="10" t="s">
        <v>4683</v>
      </c>
      <c r="G1276" s="10" t="s">
        <v>4683</v>
      </c>
      <c r="H1276" s="14">
        <v>2</v>
      </c>
      <c r="I1276" s="10" t="s">
        <v>4683</v>
      </c>
      <c r="J1276" s="10" t="str">
        <f t="shared" si="5"/>
        <v>normalweight</v>
      </c>
      <c r="L1276" s="30" t="e">
        <v>#N/A</v>
      </c>
    </row>
    <row r="1277" spans="1:12" ht="15.75" customHeight="1" x14ac:dyDescent="0.3">
      <c r="A1277" s="10" t="s">
        <v>2124</v>
      </c>
      <c r="B1277" s="10">
        <v>34.32</v>
      </c>
      <c r="C1277" s="10">
        <v>5.7</v>
      </c>
      <c r="D1277" s="10" t="s">
        <v>4685</v>
      </c>
      <c r="E1277" s="10" t="s">
        <v>4684</v>
      </c>
      <c r="F1277" s="10" t="s">
        <v>4683</v>
      </c>
      <c r="G1277" s="10" t="s">
        <v>4686</v>
      </c>
      <c r="H1277" s="14">
        <v>1</v>
      </c>
      <c r="I1277" s="10" t="s">
        <v>4683</v>
      </c>
      <c r="J1277" s="10" t="str">
        <f t="shared" si="5"/>
        <v>normalweight</v>
      </c>
      <c r="L1277" s="30" t="e">
        <v>#N/A</v>
      </c>
    </row>
    <row r="1278" spans="1:12" ht="15.75" customHeight="1" x14ac:dyDescent="0.3">
      <c r="A1278" s="10" t="s">
        <v>2122</v>
      </c>
      <c r="B1278" s="10">
        <v>23.87</v>
      </c>
      <c r="C1278" s="10">
        <v>4.7699999999999996</v>
      </c>
      <c r="D1278" s="10" t="s">
        <v>4685</v>
      </c>
      <c r="E1278" s="10" t="s">
        <v>4684</v>
      </c>
      <c r="F1278" s="10" t="s">
        <v>4683</v>
      </c>
      <c r="G1278" s="10" t="s">
        <v>4686</v>
      </c>
      <c r="H1278" s="14">
        <v>1</v>
      </c>
      <c r="I1278" s="10" t="s">
        <v>4683</v>
      </c>
      <c r="J1278" s="10" t="str">
        <f t="shared" si="5"/>
        <v>normalweight</v>
      </c>
      <c r="L1278" s="30" t="e">
        <v>#N/A</v>
      </c>
    </row>
    <row r="1279" spans="1:12" ht="15.75" customHeight="1" x14ac:dyDescent="0.3">
      <c r="A1279" s="10" t="s">
        <v>2120</v>
      </c>
      <c r="B1279" s="10">
        <v>30.15</v>
      </c>
      <c r="C1279" s="10">
        <v>4.25</v>
      </c>
      <c r="D1279" s="10" t="s">
        <v>4685</v>
      </c>
      <c r="E1279" s="10" t="s">
        <v>4683</v>
      </c>
      <c r="F1279" s="10" t="s">
        <v>4683</v>
      </c>
      <c r="G1279" s="10" t="s">
        <v>4683</v>
      </c>
      <c r="H1279" s="14">
        <v>1</v>
      </c>
      <c r="I1279" s="10" t="s">
        <v>4683</v>
      </c>
      <c r="J1279" s="10" t="str">
        <f t="shared" si="5"/>
        <v>normalweight</v>
      </c>
      <c r="L1279" s="30" t="e">
        <v>#N/A</v>
      </c>
    </row>
    <row r="1280" spans="1:12" ht="15.75" customHeight="1" x14ac:dyDescent="0.3">
      <c r="A1280" s="10" t="s">
        <v>2118</v>
      </c>
      <c r="B1280" s="10">
        <v>26.36</v>
      </c>
      <c r="C1280" s="10">
        <v>5.52</v>
      </c>
      <c r="D1280" s="10" t="s">
        <v>4685</v>
      </c>
      <c r="E1280" s="10" t="s">
        <v>4683</v>
      </c>
      <c r="F1280" s="10" t="s">
        <v>4683</v>
      </c>
      <c r="G1280" s="10" t="s">
        <v>4683</v>
      </c>
      <c r="H1280" s="14">
        <v>0</v>
      </c>
      <c r="I1280" s="10" t="s">
        <v>4683</v>
      </c>
      <c r="J1280" s="10" t="str">
        <f t="shared" si="5"/>
        <v>normalweight</v>
      </c>
      <c r="L1280" s="30" t="e">
        <v>#N/A</v>
      </c>
    </row>
    <row r="1281" spans="1:12" ht="15.75" customHeight="1" x14ac:dyDescent="0.3">
      <c r="A1281" s="10" t="s">
        <v>2116</v>
      </c>
      <c r="B1281" s="10">
        <v>45.32</v>
      </c>
      <c r="C1281" s="10">
        <v>6.53</v>
      </c>
      <c r="D1281" s="10" t="s">
        <v>4685</v>
      </c>
      <c r="E1281" s="10" t="s">
        <v>4684</v>
      </c>
      <c r="F1281" s="10" t="s">
        <v>4683</v>
      </c>
      <c r="G1281" s="10" t="s">
        <v>4683</v>
      </c>
      <c r="H1281" s="14">
        <v>1</v>
      </c>
      <c r="I1281" s="10" t="s">
        <v>4683</v>
      </c>
      <c r="J1281" s="10" t="str">
        <f t="shared" si="5"/>
        <v>normalweight</v>
      </c>
      <c r="L1281" s="30" t="e">
        <v>#N/A</v>
      </c>
    </row>
    <row r="1282" spans="1:12" ht="15.75" customHeight="1" x14ac:dyDescent="0.3">
      <c r="A1282" s="10" t="s">
        <v>2114</v>
      </c>
      <c r="B1282" s="10">
        <v>31.93</v>
      </c>
      <c r="C1282" s="10">
        <v>4.82</v>
      </c>
      <c r="D1282" s="10" t="s">
        <v>4685</v>
      </c>
      <c r="E1282" s="10" t="s">
        <v>4684</v>
      </c>
      <c r="F1282" s="10" t="s">
        <v>4683</v>
      </c>
      <c r="G1282" s="10" t="s">
        <v>4683</v>
      </c>
      <c r="H1282" s="14">
        <v>1</v>
      </c>
      <c r="I1282" s="10" t="s">
        <v>4683</v>
      </c>
      <c r="J1282" s="10" t="str">
        <f t="shared" si="5"/>
        <v>normalweight</v>
      </c>
      <c r="L1282" s="30" t="e">
        <v>#N/A</v>
      </c>
    </row>
    <row r="1283" spans="1:12" ht="15.75" customHeight="1" x14ac:dyDescent="0.3">
      <c r="A1283" s="10" t="s">
        <v>2112</v>
      </c>
      <c r="B1283" s="10">
        <v>36</v>
      </c>
      <c r="C1283" s="10">
        <v>11.94</v>
      </c>
      <c r="D1283" s="16" t="s">
        <v>4682</v>
      </c>
      <c r="E1283" s="10" t="s">
        <v>4684</v>
      </c>
      <c r="F1283" s="10" t="s">
        <v>4683</v>
      </c>
      <c r="G1283" s="10" t="s">
        <v>4683</v>
      </c>
      <c r="H1283" s="14">
        <v>1</v>
      </c>
      <c r="I1283" s="10" t="s">
        <v>4683</v>
      </c>
      <c r="J1283" s="10" t="str">
        <f t="shared" si="5"/>
        <v>normalweight</v>
      </c>
      <c r="L1283" s="30" t="e">
        <v>#N/A</v>
      </c>
    </row>
    <row r="1284" spans="1:12" ht="15.75" customHeight="1" x14ac:dyDescent="0.3">
      <c r="A1284" s="10" t="s">
        <v>2110</v>
      </c>
      <c r="B1284" s="10">
        <v>32</v>
      </c>
      <c r="C1284" s="10">
        <v>7.85</v>
      </c>
      <c r="D1284" s="16" t="s">
        <v>4682</v>
      </c>
      <c r="E1284" s="10" t="s">
        <v>4684</v>
      </c>
      <c r="F1284" s="10" t="s">
        <v>4683</v>
      </c>
      <c r="G1284" s="10" t="s">
        <v>4683</v>
      </c>
      <c r="H1284" s="14">
        <v>1</v>
      </c>
      <c r="I1284" s="10" t="s">
        <v>4683</v>
      </c>
      <c r="J1284" s="10" t="str">
        <f t="shared" si="5"/>
        <v>normalweight</v>
      </c>
      <c r="L1284" s="30" t="e">
        <v>#N/A</v>
      </c>
    </row>
    <row r="1285" spans="1:12" ht="15.75" customHeight="1" x14ac:dyDescent="0.3">
      <c r="A1285" s="10" t="s">
        <v>2108</v>
      </c>
      <c r="B1285" s="10">
        <v>29.37</v>
      </c>
      <c r="C1285" s="10">
        <v>8.01</v>
      </c>
      <c r="D1285" s="16" t="s">
        <v>4682</v>
      </c>
      <c r="E1285" s="10" t="s">
        <v>4684</v>
      </c>
      <c r="F1285" s="10" t="s">
        <v>4683</v>
      </c>
      <c r="G1285" s="10" t="s">
        <v>4683</v>
      </c>
      <c r="H1285" s="14">
        <v>1</v>
      </c>
      <c r="I1285" s="10" t="s">
        <v>4683</v>
      </c>
      <c r="J1285" s="10" t="str">
        <f t="shared" si="5"/>
        <v>normalweight</v>
      </c>
      <c r="L1285" s="30" t="e">
        <v>#N/A</v>
      </c>
    </row>
    <row r="1286" spans="1:12" ht="15.75" customHeight="1" x14ac:dyDescent="0.3">
      <c r="A1286" s="10" t="s">
        <v>2106</v>
      </c>
      <c r="B1286" s="10">
        <v>23.6</v>
      </c>
      <c r="C1286" s="10">
        <v>7.4</v>
      </c>
      <c r="D1286" s="16" t="s">
        <v>4682</v>
      </c>
      <c r="E1286" s="10" t="s">
        <v>4684</v>
      </c>
      <c r="F1286" s="10" t="s">
        <v>4683</v>
      </c>
      <c r="G1286" s="10" t="s">
        <v>4683</v>
      </c>
      <c r="H1286" s="14">
        <v>1</v>
      </c>
      <c r="I1286" s="10" t="s">
        <v>4683</v>
      </c>
      <c r="J1286" s="10" t="str">
        <f t="shared" si="5"/>
        <v>normalweight</v>
      </c>
      <c r="L1286" s="30" t="e">
        <v>#N/A</v>
      </c>
    </row>
    <row r="1287" spans="1:12" ht="15.75" customHeight="1" x14ac:dyDescent="0.3">
      <c r="A1287" s="10" t="s">
        <v>2104</v>
      </c>
      <c r="B1287" s="10">
        <v>33.155000000000001</v>
      </c>
      <c r="C1287" s="10">
        <v>8.3800000000000008</v>
      </c>
      <c r="D1287" s="16" t="s">
        <v>4682</v>
      </c>
      <c r="E1287" s="10" t="s">
        <v>4684</v>
      </c>
      <c r="F1287" s="10" t="s">
        <v>4683</v>
      </c>
      <c r="G1287" s="10" t="s">
        <v>4683</v>
      </c>
      <c r="H1287" s="14">
        <v>0</v>
      </c>
      <c r="I1287" s="10" t="s">
        <v>4683</v>
      </c>
      <c r="J1287" s="10" t="str">
        <f t="shared" si="5"/>
        <v>normalweight</v>
      </c>
      <c r="L1287" s="30" t="e">
        <v>#N/A</v>
      </c>
    </row>
    <row r="1288" spans="1:12" ht="15.75" customHeight="1" x14ac:dyDescent="0.3">
      <c r="A1288" s="10" t="s">
        <v>2102</v>
      </c>
      <c r="B1288" s="10">
        <v>24.32</v>
      </c>
      <c r="C1288" s="10">
        <v>11.56</v>
      </c>
      <c r="D1288" s="16" t="s">
        <v>4682</v>
      </c>
      <c r="E1288" s="10" t="s">
        <v>4684</v>
      </c>
      <c r="F1288" s="10" t="s">
        <v>4683</v>
      </c>
      <c r="G1288" s="10" t="s">
        <v>4683</v>
      </c>
      <c r="H1288" s="14">
        <v>1</v>
      </c>
      <c r="I1288" s="10" t="s">
        <v>4683</v>
      </c>
      <c r="J1288" s="10" t="str">
        <f t="shared" si="5"/>
        <v>normalweight</v>
      </c>
      <c r="L1288" s="30" t="e">
        <v>#N/A</v>
      </c>
    </row>
    <row r="1289" spans="1:12" ht="15.75" customHeight="1" x14ac:dyDescent="0.3">
      <c r="A1289" s="10" t="s">
        <v>2100</v>
      </c>
      <c r="B1289" s="10">
        <v>36.299999999999997</v>
      </c>
      <c r="C1289" s="10">
        <v>4.6100000000000003</v>
      </c>
      <c r="D1289" s="10" t="s">
        <v>4685</v>
      </c>
      <c r="E1289" s="10" t="s">
        <v>4683</v>
      </c>
      <c r="F1289" s="10" t="s">
        <v>4683</v>
      </c>
      <c r="G1289" s="10" t="s">
        <v>4683</v>
      </c>
      <c r="H1289" s="14">
        <v>0</v>
      </c>
      <c r="I1289" s="10" t="s">
        <v>4683</v>
      </c>
      <c r="J1289" s="10" t="str">
        <f t="shared" si="5"/>
        <v>normalweight</v>
      </c>
      <c r="L1289" s="30" t="e">
        <v>#N/A</v>
      </c>
    </row>
    <row r="1290" spans="1:12" ht="15.75" customHeight="1" x14ac:dyDescent="0.3">
      <c r="A1290" s="10" t="s">
        <v>2098</v>
      </c>
      <c r="B1290" s="10">
        <v>34.4</v>
      </c>
      <c r="C1290" s="10">
        <v>4.95</v>
      </c>
      <c r="D1290" s="10" t="s">
        <v>4685</v>
      </c>
      <c r="E1290" s="10" t="s">
        <v>4683</v>
      </c>
      <c r="F1290" s="10" t="s">
        <v>4683</v>
      </c>
      <c r="G1290" s="10" t="s">
        <v>4686</v>
      </c>
      <c r="H1290" s="14">
        <v>1</v>
      </c>
      <c r="I1290" s="10" t="s">
        <v>4683</v>
      </c>
      <c r="J1290" s="10" t="str">
        <f t="shared" si="5"/>
        <v>normalweight</v>
      </c>
      <c r="L1290" s="30" t="e">
        <v>#N/A</v>
      </c>
    </row>
    <row r="1291" spans="1:12" ht="15.75" customHeight="1" x14ac:dyDescent="0.3">
      <c r="A1291" s="10" t="s">
        <v>2096</v>
      </c>
      <c r="B1291" s="10">
        <v>30.9</v>
      </c>
      <c r="C1291" s="10">
        <v>5.04</v>
      </c>
      <c r="D1291" s="10" t="s">
        <v>4685</v>
      </c>
      <c r="E1291" s="10" t="s">
        <v>4683</v>
      </c>
      <c r="F1291" s="10" t="s">
        <v>4683</v>
      </c>
      <c r="G1291" s="10" t="s">
        <v>4683</v>
      </c>
      <c r="H1291" s="14">
        <v>0</v>
      </c>
      <c r="I1291" s="10" t="s">
        <v>4683</v>
      </c>
      <c r="J1291" s="10" t="str">
        <f t="shared" si="5"/>
        <v>normalweight</v>
      </c>
      <c r="L1291" s="30" t="e">
        <v>#N/A</v>
      </c>
    </row>
    <row r="1292" spans="1:12" ht="15.75" customHeight="1" x14ac:dyDescent="0.3">
      <c r="A1292" s="10" t="s">
        <v>2094</v>
      </c>
      <c r="B1292" s="10">
        <v>28.6</v>
      </c>
      <c r="C1292" s="10">
        <v>5.42</v>
      </c>
      <c r="D1292" s="10" t="s">
        <v>4685</v>
      </c>
      <c r="E1292" s="10" t="s">
        <v>4683</v>
      </c>
      <c r="F1292" s="10" t="s">
        <v>4683</v>
      </c>
      <c r="G1292" s="10" t="s">
        <v>4683</v>
      </c>
      <c r="H1292" s="14">
        <v>0</v>
      </c>
      <c r="I1292" s="10" t="s">
        <v>4683</v>
      </c>
      <c r="J1292" s="10" t="str">
        <f t="shared" si="5"/>
        <v>normalweight</v>
      </c>
      <c r="L1292" s="30" t="e">
        <v>#N/A</v>
      </c>
    </row>
    <row r="1293" spans="1:12" ht="15.75" customHeight="1" x14ac:dyDescent="0.3">
      <c r="A1293" s="10" t="s">
        <v>2092</v>
      </c>
      <c r="B1293" s="10">
        <v>27.83</v>
      </c>
      <c r="C1293" s="10">
        <v>5.39</v>
      </c>
      <c r="D1293" s="10" t="s">
        <v>4685</v>
      </c>
      <c r="E1293" s="10" t="s">
        <v>4683</v>
      </c>
      <c r="F1293" s="10" t="s">
        <v>4683</v>
      </c>
      <c r="G1293" s="10" t="s">
        <v>4683</v>
      </c>
      <c r="H1293" s="14">
        <v>0</v>
      </c>
      <c r="I1293" s="10" t="s">
        <v>4683</v>
      </c>
      <c r="J1293" s="10" t="str">
        <f t="shared" si="5"/>
        <v>normalweight</v>
      </c>
      <c r="L1293" s="30" t="e">
        <v>#N/A</v>
      </c>
    </row>
    <row r="1294" spans="1:12" ht="15.75" customHeight="1" x14ac:dyDescent="0.3">
      <c r="A1294" s="10" t="s">
        <v>2090</v>
      </c>
      <c r="B1294" s="10">
        <v>39.64</v>
      </c>
      <c r="C1294" s="10">
        <v>6</v>
      </c>
      <c r="D1294" s="10" t="s">
        <v>4685</v>
      </c>
      <c r="E1294" s="10" t="s">
        <v>4683</v>
      </c>
      <c r="F1294" s="10" t="s">
        <v>4683</v>
      </c>
      <c r="G1294" s="10" t="s">
        <v>4686</v>
      </c>
      <c r="H1294" s="14">
        <v>1</v>
      </c>
      <c r="I1294" s="10" t="s">
        <v>4683</v>
      </c>
      <c r="J1294" s="10" t="str">
        <f t="shared" si="5"/>
        <v>normalweight</v>
      </c>
      <c r="L1294" s="30" t="e">
        <v>#N/A</v>
      </c>
    </row>
    <row r="1295" spans="1:12" ht="15.75" customHeight="1" x14ac:dyDescent="0.3">
      <c r="A1295" s="10" t="s">
        <v>2088</v>
      </c>
      <c r="B1295" s="10">
        <v>38.479999999999997</v>
      </c>
      <c r="C1295" s="10">
        <v>6.02</v>
      </c>
      <c r="D1295" s="10" t="s">
        <v>4685</v>
      </c>
      <c r="E1295" s="10" t="s">
        <v>4683</v>
      </c>
      <c r="F1295" s="10" t="s">
        <v>4683</v>
      </c>
      <c r="G1295" s="10" t="s">
        <v>4683</v>
      </c>
      <c r="H1295" s="14">
        <v>1</v>
      </c>
      <c r="I1295" s="10" t="s">
        <v>4683</v>
      </c>
      <c r="J1295" s="10" t="str">
        <f t="shared" ref="J1295:J1549" si="6">IF(B1295&lt;=18.5,"underweight",IF(B1295&gt;=18.5-24.9,"normalweight",IF(B1295&gt;=25-29.9,"overweight","obesity")))</f>
        <v>normalweight</v>
      </c>
      <c r="L1295" s="30" t="e">
        <v>#N/A</v>
      </c>
    </row>
    <row r="1296" spans="1:12" ht="15.75" customHeight="1" x14ac:dyDescent="0.3">
      <c r="A1296" s="10" t="s">
        <v>2086</v>
      </c>
      <c r="B1296" s="10">
        <v>36.200000000000003</v>
      </c>
      <c r="C1296" s="10">
        <v>4.62</v>
      </c>
      <c r="D1296" s="10" t="s">
        <v>4685</v>
      </c>
      <c r="E1296" s="10" t="s">
        <v>4683</v>
      </c>
      <c r="F1296" s="10" t="s">
        <v>4683</v>
      </c>
      <c r="G1296" s="10" t="s">
        <v>4683</v>
      </c>
      <c r="H1296" s="14">
        <v>2</v>
      </c>
      <c r="I1296" s="10" t="s">
        <v>4683</v>
      </c>
      <c r="J1296" s="10" t="str">
        <f t="shared" si="6"/>
        <v>normalweight</v>
      </c>
      <c r="L1296" s="30" t="e">
        <v>#N/A</v>
      </c>
    </row>
    <row r="1297" spans="1:12" ht="15.75" customHeight="1" x14ac:dyDescent="0.3">
      <c r="A1297" s="10" t="s">
        <v>2084</v>
      </c>
      <c r="B1297" s="10">
        <v>27.13</v>
      </c>
      <c r="C1297" s="10">
        <v>5.59</v>
      </c>
      <c r="D1297" s="10" t="s">
        <v>4685</v>
      </c>
      <c r="E1297" s="10" t="s">
        <v>4683</v>
      </c>
      <c r="F1297" s="10" t="s">
        <v>4683</v>
      </c>
      <c r="G1297" s="10" t="s">
        <v>4683</v>
      </c>
      <c r="H1297" s="14">
        <v>1</v>
      </c>
      <c r="I1297" s="10" t="s">
        <v>4683</v>
      </c>
      <c r="J1297" s="10" t="str">
        <f t="shared" si="6"/>
        <v>normalweight</v>
      </c>
      <c r="L1297" s="30" t="e">
        <v>#N/A</v>
      </c>
    </row>
    <row r="1298" spans="1:12" ht="15.75" customHeight="1" x14ac:dyDescent="0.3">
      <c r="A1298" s="10" t="s">
        <v>2082</v>
      </c>
      <c r="B1298" s="10">
        <v>20.75</v>
      </c>
      <c r="C1298" s="10">
        <v>5.18</v>
      </c>
      <c r="D1298" s="10" t="s">
        <v>4685</v>
      </c>
      <c r="E1298" s="10" t="s">
        <v>4684</v>
      </c>
      <c r="F1298" s="10" t="s">
        <v>4683</v>
      </c>
      <c r="G1298" s="10" t="s">
        <v>4683</v>
      </c>
      <c r="H1298" s="14">
        <v>2</v>
      </c>
      <c r="I1298" s="10" t="s">
        <v>4683</v>
      </c>
      <c r="J1298" s="10" t="str">
        <f t="shared" si="6"/>
        <v>normalweight</v>
      </c>
      <c r="L1298" s="30" t="e">
        <v>#N/A</v>
      </c>
    </row>
    <row r="1299" spans="1:12" ht="15.75" customHeight="1" x14ac:dyDescent="0.3">
      <c r="A1299" s="10" t="s">
        <v>2080</v>
      </c>
      <c r="B1299" s="10">
        <v>26.6</v>
      </c>
      <c r="C1299" s="10">
        <v>6.29</v>
      </c>
      <c r="D1299" s="10" t="s">
        <v>4685</v>
      </c>
      <c r="E1299" s="10" t="s">
        <v>4683</v>
      </c>
      <c r="F1299" s="10" t="s">
        <v>4683</v>
      </c>
      <c r="G1299" s="10" t="s">
        <v>4683</v>
      </c>
      <c r="H1299" s="14">
        <v>2</v>
      </c>
      <c r="I1299" s="10" t="s">
        <v>4683</v>
      </c>
      <c r="J1299" s="10" t="str">
        <f t="shared" si="6"/>
        <v>normalweight</v>
      </c>
      <c r="L1299" s="30" t="e">
        <v>#N/A</v>
      </c>
    </row>
    <row r="1300" spans="1:12" ht="15.75" customHeight="1" x14ac:dyDescent="0.3">
      <c r="A1300" s="10" t="s">
        <v>2078</v>
      </c>
      <c r="B1300" s="10">
        <v>25.3</v>
      </c>
      <c r="C1300" s="10">
        <v>4.49</v>
      </c>
      <c r="D1300" s="10" t="s">
        <v>4685</v>
      </c>
      <c r="E1300" s="10" t="s">
        <v>4683</v>
      </c>
      <c r="F1300" s="10" t="s">
        <v>4683</v>
      </c>
      <c r="G1300" s="10" t="s">
        <v>4683</v>
      </c>
      <c r="H1300" s="14">
        <v>2</v>
      </c>
      <c r="I1300" s="10" t="s">
        <v>4683</v>
      </c>
      <c r="J1300" s="10" t="str">
        <f t="shared" si="6"/>
        <v>normalweight</v>
      </c>
      <c r="L1300" s="30" t="e">
        <v>#N/A</v>
      </c>
    </row>
    <row r="1301" spans="1:12" ht="15.75" customHeight="1" x14ac:dyDescent="0.3">
      <c r="A1301" s="10" t="s">
        <v>2076</v>
      </c>
      <c r="B1301" s="10">
        <v>18.84</v>
      </c>
      <c r="C1301" s="10">
        <v>11.82</v>
      </c>
      <c r="D1301" s="16" t="s">
        <v>4682</v>
      </c>
      <c r="E1301" s="10" t="s">
        <v>4684</v>
      </c>
      <c r="F1301" s="10" t="s">
        <v>4683</v>
      </c>
      <c r="G1301" s="10" t="s">
        <v>4686</v>
      </c>
      <c r="H1301" s="14">
        <v>1</v>
      </c>
      <c r="I1301" s="10" t="s">
        <v>4683</v>
      </c>
      <c r="J1301" s="10" t="str">
        <f t="shared" si="6"/>
        <v>normalweight</v>
      </c>
      <c r="L1301" s="30" t="e">
        <v>#N/A</v>
      </c>
    </row>
    <row r="1302" spans="1:12" ht="15.75" customHeight="1" x14ac:dyDescent="0.3">
      <c r="A1302" s="10" t="s">
        <v>2074</v>
      </c>
      <c r="B1302" s="10">
        <v>19.57</v>
      </c>
      <c r="C1302" s="10">
        <v>7.41</v>
      </c>
      <c r="D1302" s="16" t="s">
        <v>4682</v>
      </c>
      <c r="E1302" s="10" t="s">
        <v>4684</v>
      </c>
      <c r="F1302" s="10" t="s">
        <v>4683</v>
      </c>
      <c r="G1302" s="10" t="s">
        <v>4683</v>
      </c>
      <c r="H1302" s="14">
        <v>1</v>
      </c>
      <c r="I1302" s="10" t="s">
        <v>4683</v>
      </c>
      <c r="J1302" s="10" t="str">
        <f t="shared" si="6"/>
        <v>normalweight</v>
      </c>
      <c r="L1302" s="30" t="e">
        <v>#N/A</v>
      </c>
    </row>
    <row r="1303" spans="1:12" ht="15.75" customHeight="1" x14ac:dyDescent="0.3">
      <c r="A1303" s="10" t="s">
        <v>2072</v>
      </c>
      <c r="B1303" s="10">
        <v>30.495000000000001</v>
      </c>
      <c r="C1303" s="10">
        <v>5.97</v>
      </c>
      <c r="D1303" s="10" t="s">
        <v>4685</v>
      </c>
      <c r="E1303" s="10" t="s">
        <v>4683</v>
      </c>
      <c r="F1303" s="10" t="s">
        <v>4683</v>
      </c>
      <c r="G1303" s="10" t="s">
        <v>4683</v>
      </c>
      <c r="H1303" s="14">
        <v>0</v>
      </c>
      <c r="I1303" s="10" t="s">
        <v>4683</v>
      </c>
      <c r="J1303" s="10" t="str">
        <f t="shared" si="6"/>
        <v>normalweight</v>
      </c>
      <c r="L1303" s="30" t="e">
        <v>#N/A</v>
      </c>
    </row>
    <row r="1304" spans="1:12" ht="15.75" customHeight="1" x14ac:dyDescent="0.3">
      <c r="A1304" s="10" t="s">
        <v>2070</v>
      </c>
      <c r="B1304" s="10">
        <v>30.114999999999998</v>
      </c>
      <c r="C1304" s="10">
        <v>5.74</v>
      </c>
      <c r="D1304" s="10" t="s">
        <v>4685</v>
      </c>
      <c r="E1304" s="10" t="s">
        <v>4683</v>
      </c>
      <c r="F1304" s="10" t="s">
        <v>4683</v>
      </c>
      <c r="G1304" s="10" t="s">
        <v>4686</v>
      </c>
      <c r="H1304" s="14">
        <v>1</v>
      </c>
      <c r="I1304" s="10" t="s">
        <v>4683</v>
      </c>
      <c r="J1304" s="10" t="str">
        <f t="shared" si="6"/>
        <v>normalweight</v>
      </c>
      <c r="L1304" s="30" t="e">
        <v>#N/A</v>
      </c>
    </row>
    <row r="1305" spans="1:12" ht="15.75" customHeight="1" x14ac:dyDescent="0.3">
      <c r="A1305" s="10" t="s">
        <v>2068</v>
      </c>
      <c r="B1305" s="10">
        <v>24.78</v>
      </c>
      <c r="C1305" s="10">
        <v>9.85</v>
      </c>
      <c r="D1305" s="16" t="s">
        <v>4682</v>
      </c>
      <c r="E1305" s="10" t="s">
        <v>4683</v>
      </c>
      <c r="F1305" s="10" t="s">
        <v>4683</v>
      </c>
      <c r="G1305" s="10" t="s">
        <v>4683</v>
      </c>
      <c r="H1305" s="14">
        <v>0</v>
      </c>
      <c r="I1305" s="10" t="s">
        <v>4683</v>
      </c>
      <c r="J1305" s="10" t="str">
        <f t="shared" si="6"/>
        <v>normalweight</v>
      </c>
      <c r="L1305" s="30" t="e">
        <v>#N/A</v>
      </c>
    </row>
    <row r="1306" spans="1:12" ht="15.75" customHeight="1" x14ac:dyDescent="0.3">
      <c r="A1306" s="10" t="s">
        <v>2066</v>
      </c>
      <c r="B1306" s="10">
        <v>24.77</v>
      </c>
      <c r="C1306" s="10">
        <v>7.59</v>
      </c>
      <c r="D1306" s="16" t="s">
        <v>4682</v>
      </c>
      <c r="E1306" s="10" t="s">
        <v>4683</v>
      </c>
      <c r="F1306" s="10" t="s">
        <v>4683</v>
      </c>
      <c r="G1306" s="10" t="s">
        <v>4683</v>
      </c>
      <c r="H1306" s="14">
        <v>0</v>
      </c>
      <c r="I1306" s="10" t="s">
        <v>4683</v>
      </c>
      <c r="J1306" s="10" t="str">
        <f t="shared" si="6"/>
        <v>normalweight</v>
      </c>
      <c r="L1306" s="30" t="e">
        <v>#N/A</v>
      </c>
    </row>
    <row r="1307" spans="1:12" ht="15.75" customHeight="1" x14ac:dyDescent="0.3">
      <c r="A1307" s="10" t="s">
        <v>2064</v>
      </c>
      <c r="B1307" s="10">
        <v>16.579999999999998</v>
      </c>
      <c r="C1307" s="10">
        <v>6.98</v>
      </c>
      <c r="D1307" s="16" t="s">
        <v>4682</v>
      </c>
      <c r="E1307" s="10" t="s">
        <v>4684</v>
      </c>
      <c r="F1307" s="10" t="s">
        <v>4683</v>
      </c>
      <c r="G1307" s="10" t="s">
        <v>4686</v>
      </c>
      <c r="H1307" s="14">
        <v>1</v>
      </c>
      <c r="I1307" s="10" t="s">
        <v>4683</v>
      </c>
      <c r="J1307" s="10" t="str">
        <f t="shared" si="6"/>
        <v>underweight</v>
      </c>
      <c r="L1307" s="30" t="e">
        <v>#N/A</v>
      </c>
    </row>
    <row r="1308" spans="1:12" ht="15.75" customHeight="1" x14ac:dyDescent="0.3">
      <c r="A1308" s="10" t="s">
        <v>2062</v>
      </c>
      <c r="B1308" s="10">
        <v>38.17</v>
      </c>
      <c r="C1308" s="10">
        <v>4.7300000000000004</v>
      </c>
      <c r="D1308" s="10" t="s">
        <v>4685</v>
      </c>
      <c r="E1308" s="10" t="s">
        <v>4684</v>
      </c>
      <c r="F1308" s="10" t="s">
        <v>4683</v>
      </c>
      <c r="G1308" s="10" t="s">
        <v>4683</v>
      </c>
      <c r="H1308" s="14">
        <v>0</v>
      </c>
      <c r="I1308" s="10" t="s">
        <v>4683</v>
      </c>
      <c r="J1308" s="10" t="str">
        <f t="shared" si="6"/>
        <v>normalweight</v>
      </c>
      <c r="L1308" s="30" t="e">
        <v>#N/A</v>
      </c>
    </row>
    <row r="1309" spans="1:12" ht="15.75" customHeight="1" x14ac:dyDescent="0.3">
      <c r="A1309" s="10" t="s">
        <v>2060</v>
      </c>
      <c r="B1309" s="10">
        <v>39.424999999999997</v>
      </c>
      <c r="C1309" s="10">
        <v>4.76</v>
      </c>
      <c r="D1309" s="10" t="s">
        <v>4685</v>
      </c>
      <c r="E1309" s="10" t="s">
        <v>4684</v>
      </c>
      <c r="F1309" s="10" t="s">
        <v>4683</v>
      </c>
      <c r="G1309" s="10" t="s">
        <v>4683</v>
      </c>
      <c r="H1309" s="14">
        <v>0</v>
      </c>
      <c r="I1309" s="10" t="s">
        <v>4683</v>
      </c>
      <c r="J1309" s="10" t="str">
        <f t="shared" si="6"/>
        <v>normalweight</v>
      </c>
      <c r="L1309" s="30" t="e">
        <v>#N/A</v>
      </c>
    </row>
    <row r="1310" spans="1:12" ht="15.75" customHeight="1" x14ac:dyDescent="0.3">
      <c r="A1310" s="10" t="s">
        <v>2058</v>
      </c>
      <c r="B1310" s="10">
        <v>33.44</v>
      </c>
      <c r="C1310" s="10">
        <v>6.24</v>
      </c>
      <c r="D1310" s="10" t="s">
        <v>4685</v>
      </c>
      <c r="E1310" s="10" t="s">
        <v>4684</v>
      </c>
      <c r="F1310" s="10" t="s">
        <v>4683</v>
      </c>
      <c r="G1310" s="10" t="s">
        <v>4683</v>
      </c>
      <c r="H1310" s="14">
        <v>0</v>
      </c>
      <c r="I1310" s="10" t="s">
        <v>4683</v>
      </c>
      <c r="J1310" s="10" t="str">
        <f t="shared" si="6"/>
        <v>normalweight</v>
      </c>
      <c r="L1310" s="30" t="e">
        <v>#N/A</v>
      </c>
    </row>
    <row r="1311" spans="1:12" ht="15.75" customHeight="1" x14ac:dyDescent="0.3">
      <c r="A1311" s="10" t="s">
        <v>2056</v>
      </c>
      <c r="B1311" s="10">
        <v>33.344999999999999</v>
      </c>
      <c r="C1311" s="10">
        <v>5.44</v>
      </c>
      <c r="D1311" s="10" t="s">
        <v>4685</v>
      </c>
      <c r="E1311" s="10" t="s">
        <v>4684</v>
      </c>
      <c r="F1311" s="10" t="s">
        <v>4683</v>
      </c>
      <c r="G1311" s="10" t="s">
        <v>4683</v>
      </c>
      <c r="H1311" s="14">
        <v>0</v>
      </c>
      <c r="I1311" s="10" t="s">
        <v>4683</v>
      </c>
      <c r="J1311" s="10" t="str">
        <f t="shared" si="6"/>
        <v>normalweight</v>
      </c>
      <c r="L1311" s="30" t="e">
        <v>#N/A</v>
      </c>
    </row>
    <row r="1312" spans="1:12" ht="15.75" customHeight="1" x14ac:dyDescent="0.3">
      <c r="A1312" s="10" t="s">
        <v>2054</v>
      </c>
      <c r="B1312" s="10">
        <v>38.79</v>
      </c>
      <c r="C1312" s="10">
        <v>5.08</v>
      </c>
      <c r="D1312" s="10" t="s">
        <v>4685</v>
      </c>
      <c r="E1312" s="10" t="s">
        <v>4683</v>
      </c>
      <c r="F1312" s="10" t="s">
        <v>4683</v>
      </c>
      <c r="G1312" s="10" t="s">
        <v>4686</v>
      </c>
      <c r="H1312" s="14">
        <v>1</v>
      </c>
      <c r="I1312" s="10" t="s">
        <v>4683</v>
      </c>
      <c r="J1312" s="10" t="str">
        <f t="shared" si="6"/>
        <v>normalweight</v>
      </c>
      <c r="L1312" s="30" t="e">
        <v>#N/A</v>
      </c>
    </row>
    <row r="1313" spans="1:12" ht="15.75" customHeight="1" x14ac:dyDescent="0.3">
      <c r="A1313" s="10" t="s">
        <v>2052</v>
      </c>
      <c r="B1313" s="10">
        <v>30.684999999999999</v>
      </c>
      <c r="C1313" s="10">
        <v>4.87</v>
      </c>
      <c r="D1313" s="10" t="s">
        <v>4685</v>
      </c>
      <c r="E1313" s="10" t="s">
        <v>4683</v>
      </c>
      <c r="F1313" s="10" t="s">
        <v>4683</v>
      </c>
      <c r="G1313" s="10" t="s">
        <v>4686</v>
      </c>
      <c r="H1313" s="14">
        <v>1</v>
      </c>
      <c r="I1313" s="10" t="s">
        <v>4683</v>
      </c>
      <c r="J1313" s="10" t="str">
        <f t="shared" si="6"/>
        <v>normalweight</v>
      </c>
      <c r="L1313" s="30" t="e">
        <v>#N/A</v>
      </c>
    </row>
    <row r="1314" spans="1:12" ht="15.75" customHeight="1" x14ac:dyDescent="0.3">
      <c r="A1314" s="10" t="s">
        <v>2050</v>
      </c>
      <c r="B1314" s="10">
        <v>22.135000000000002</v>
      </c>
      <c r="C1314" s="10">
        <v>8.17</v>
      </c>
      <c r="D1314" s="16" t="s">
        <v>4682</v>
      </c>
      <c r="E1314" s="10" t="s">
        <v>4683</v>
      </c>
      <c r="F1314" s="10" t="s">
        <v>4683</v>
      </c>
      <c r="G1314" s="10" t="s">
        <v>4683</v>
      </c>
      <c r="H1314" s="14">
        <v>0</v>
      </c>
      <c r="I1314" s="10" t="s">
        <v>4683</v>
      </c>
      <c r="J1314" s="10" t="str">
        <f t="shared" si="6"/>
        <v>normalweight</v>
      </c>
      <c r="L1314" s="30" t="e">
        <v>#N/A</v>
      </c>
    </row>
    <row r="1315" spans="1:12" ht="15.75" customHeight="1" x14ac:dyDescent="0.3">
      <c r="A1315" s="10" t="s">
        <v>2048</v>
      </c>
      <c r="B1315" s="10">
        <v>33.33</v>
      </c>
      <c r="C1315" s="10">
        <v>7.61</v>
      </c>
      <c r="D1315" s="16" t="s">
        <v>4682</v>
      </c>
      <c r="E1315" s="10" t="s">
        <v>4683</v>
      </c>
      <c r="F1315" s="10" t="s">
        <v>4683</v>
      </c>
      <c r="G1315" s="10" t="s">
        <v>4683</v>
      </c>
      <c r="H1315" s="14">
        <v>0</v>
      </c>
      <c r="I1315" s="10" t="s">
        <v>4683</v>
      </c>
      <c r="J1315" s="10" t="str">
        <f t="shared" si="6"/>
        <v>normalweight</v>
      </c>
      <c r="L1315" s="30" t="e">
        <v>#N/A</v>
      </c>
    </row>
    <row r="1316" spans="1:12" ht="15.75" customHeight="1" x14ac:dyDescent="0.3">
      <c r="A1316" s="10" t="s">
        <v>2046</v>
      </c>
      <c r="B1316" s="10">
        <v>31.13</v>
      </c>
      <c r="C1316" s="10">
        <v>10.1</v>
      </c>
      <c r="D1316" s="16" t="s">
        <v>4682</v>
      </c>
      <c r="E1316" s="10" t="s">
        <v>4683</v>
      </c>
      <c r="F1316" s="10" t="s">
        <v>4683</v>
      </c>
      <c r="G1316" s="10" t="s">
        <v>4683</v>
      </c>
      <c r="H1316" s="14">
        <v>0</v>
      </c>
      <c r="I1316" s="10" t="s">
        <v>4683</v>
      </c>
      <c r="J1316" s="10" t="str">
        <f t="shared" si="6"/>
        <v>normalweight</v>
      </c>
      <c r="L1316" s="30" t="e">
        <v>#N/A</v>
      </c>
    </row>
    <row r="1317" spans="1:12" ht="15.75" customHeight="1" x14ac:dyDescent="0.3">
      <c r="A1317" s="10" t="s">
        <v>2044</v>
      </c>
      <c r="B1317" s="10">
        <v>28.9</v>
      </c>
      <c r="C1317" s="10">
        <v>11.24</v>
      </c>
      <c r="D1317" s="16" t="s">
        <v>4682</v>
      </c>
      <c r="E1317" s="10" t="s">
        <v>4683</v>
      </c>
      <c r="F1317" s="10" t="s">
        <v>4683</v>
      </c>
      <c r="G1317" s="10" t="s">
        <v>4683</v>
      </c>
      <c r="H1317" s="14">
        <v>0</v>
      </c>
      <c r="I1317" s="10" t="s">
        <v>4683</v>
      </c>
      <c r="J1317" s="10" t="str">
        <f t="shared" si="6"/>
        <v>normalweight</v>
      </c>
      <c r="L1317" s="30" t="e">
        <v>#N/A</v>
      </c>
    </row>
    <row r="1318" spans="1:12" ht="15.75" customHeight="1" x14ac:dyDescent="0.3">
      <c r="A1318" s="10" t="s">
        <v>2042</v>
      </c>
      <c r="B1318" s="10">
        <v>43.31</v>
      </c>
      <c r="C1318" s="10">
        <v>6.1</v>
      </c>
      <c r="D1318" s="10" t="s">
        <v>4685</v>
      </c>
      <c r="E1318" s="10" t="s">
        <v>4684</v>
      </c>
      <c r="F1318" s="10" t="s">
        <v>4684</v>
      </c>
      <c r="G1318" s="10" t="s">
        <v>4683</v>
      </c>
      <c r="H1318" s="14">
        <v>1</v>
      </c>
      <c r="I1318" s="10" t="s">
        <v>4683</v>
      </c>
      <c r="J1318" s="10" t="str">
        <f t="shared" si="6"/>
        <v>normalweight</v>
      </c>
      <c r="L1318" s="30" t="e">
        <v>#N/A</v>
      </c>
    </row>
    <row r="1319" spans="1:12" ht="15.75" customHeight="1" x14ac:dyDescent="0.3">
      <c r="A1319" s="10" t="s">
        <v>2040</v>
      </c>
      <c r="B1319" s="10">
        <v>22.8</v>
      </c>
      <c r="C1319" s="10">
        <v>6.98</v>
      </c>
      <c r="D1319" s="16" t="s">
        <v>4682</v>
      </c>
      <c r="E1319" s="10" t="s">
        <v>4683</v>
      </c>
      <c r="F1319" s="10" t="s">
        <v>4683</v>
      </c>
      <c r="G1319" s="10" t="s">
        <v>4683</v>
      </c>
      <c r="H1319" s="14">
        <v>0</v>
      </c>
      <c r="I1319" s="10" t="s">
        <v>4683</v>
      </c>
      <c r="J1319" s="10" t="str">
        <f t="shared" si="6"/>
        <v>normalweight</v>
      </c>
      <c r="L1319" s="30" t="e">
        <v>#N/A</v>
      </c>
    </row>
    <row r="1320" spans="1:12" ht="15.75" customHeight="1" x14ac:dyDescent="0.3">
      <c r="A1320" s="10" t="s">
        <v>2038</v>
      </c>
      <c r="B1320" s="10">
        <v>19.09</v>
      </c>
      <c r="C1320" s="10">
        <v>4</v>
      </c>
      <c r="D1320" s="10" t="s">
        <v>4685</v>
      </c>
      <c r="E1320" s="10" t="s">
        <v>4684</v>
      </c>
      <c r="F1320" s="10" t="s">
        <v>4683</v>
      </c>
      <c r="G1320" s="10" t="s">
        <v>4683</v>
      </c>
      <c r="H1320" s="14">
        <v>1</v>
      </c>
      <c r="I1320" s="10" t="s">
        <v>4683</v>
      </c>
      <c r="J1320" s="10" t="str">
        <f t="shared" si="6"/>
        <v>normalweight</v>
      </c>
      <c r="L1320" s="30" t="e">
        <v>#N/A</v>
      </c>
    </row>
    <row r="1321" spans="1:12" ht="15.75" customHeight="1" x14ac:dyDescent="0.3">
      <c r="A1321" s="10" t="s">
        <v>2036</v>
      </c>
      <c r="B1321" s="10">
        <v>23.37</v>
      </c>
      <c r="C1321" s="10">
        <v>4.2300000000000004</v>
      </c>
      <c r="D1321" s="10" t="s">
        <v>4685</v>
      </c>
      <c r="E1321" s="10" t="s">
        <v>4683</v>
      </c>
      <c r="F1321" s="10" t="s">
        <v>4683</v>
      </c>
      <c r="G1321" s="10" t="s">
        <v>4683</v>
      </c>
      <c r="H1321" s="14">
        <v>0</v>
      </c>
      <c r="I1321" s="10" t="s">
        <v>4683</v>
      </c>
      <c r="J1321" s="10" t="str">
        <f t="shared" si="6"/>
        <v>normalweight</v>
      </c>
      <c r="L1321" s="30" t="e">
        <v>#N/A</v>
      </c>
    </row>
    <row r="1322" spans="1:12" ht="15.75" customHeight="1" x14ac:dyDescent="0.3">
      <c r="A1322" s="10" t="s">
        <v>2034</v>
      </c>
      <c r="B1322" s="10">
        <v>33.44</v>
      </c>
      <c r="C1322" s="10">
        <v>4.72</v>
      </c>
      <c r="D1322" s="10" t="s">
        <v>4685</v>
      </c>
      <c r="E1322" s="10" t="s">
        <v>4684</v>
      </c>
      <c r="F1322" s="10" t="s">
        <v>4683</v>
      </c>
      <c r="G1322" s="10" t="s">
        <v>4683</v>
      </c>
      <c r="H1322" s="14">
        <v>0</v>
      </c>
      <c r="I1322" s="10" t="s">
        <v>4683</v>
      </c>
      <c r="J1322" s="10" t="str">
        <f t="shared" si="6"/>
        <v>normalweight</v>
      </c>
      <c r="L1322" s="30" t="e">
        <v>#N/A</v>
      </c>
    </row>
    <row r="1323" spans="1:12" ht="15.75" customHeight="1" x14ac:dyDescent="0.3">
      <c r="A1323" s="10" t="s">
        <v>2032</v>
      </c>
      <c r="B1323" s="10">
        <v>28.05</v>
      </c>
      <c r="C1323" s="10">
        <v>5.63</v>
      </c>
      <c r="D1323" s="10" t="s">
        <v>4685</v>
      </c>
      <c r="E1323" s="10" t="s">
        <v>4684</v>
      </c>
      <c r="F1323" s="10" t="s">
        <v>4683</v>
      </c>
      <c r="G1323" s="10" t="s">
        <v>4683</v>
      </c>
      <c r="H1323" s="14">
        <v>0</v>
      </c>
      <c r="I1323" s="10" t="s">
        <v>4683</v>
      </c>
      <c r="J1323" s="10" t="str">
        <f t="shared" si="6"/>
        <v>normalweight</v>
      </c>
      <c r="L1323" s="30" t="e">
        <v>#N/A</v>
      </c>
    </row>
    <row r="1324" spans="1:12" ht="15.75" customHeight="1" x14ac:dyDescent="0.3">
      <c r="A1324" s="10" t="s">
        <v>2030</v>
      </c>
      <c r="B1324" s="10">
        <v>27.72</v>
      </c>
      <c r="C1324" s="10">
        <v>5.83</v>
      </c>
      <c r="D1324" s="10" t="s">
        <v>4685</v>
      </c>
      <c r="E1324" s="10" t="s">
        <v>4684</v>
      </c>
      <c r="F1324" s="10" t="s">
        <v>4683</v>
      </c>
      <c r="G1324" s="10" t="s">
        <v>4683</v>
      </c>
      <c r="H1324" s="14">
        <v>0</v>
      </c>
      <c r="I1324" s="10" t="s">
        <v>4683</v>
      </c>
      <c r="J1324" s="10" t="str">
        <f t="shared" si="6"/>
        <v>normalweight</v>
      </c>
      <c r="L1324" s="30" t="e">
        <v>#N/A</v>
      </c>
    </row>
    <row r="1325" spans="1:12" ht="15.75" customHeight="1" x14ac:dyDescent="0.3">
      <c r="A1325" s="10" t="s">
        <v>2028</v>
      </c>
      <c r="B1325" s="10">
        <v>29.81</v>
      </c>
      <c r="C1325" s="10">
        <v>9.23</v>
      </c>
      <c r="D1325" s="16" t="s">
        <v>4682</v>
      </c>
      <c r="E1325" s="10" t="s">
        <v>4683</v>
      </c>
      <c r="F1325" s="10" t="s">
        <v>4683</v>
      </c>
      <c r="G1325" s="10" t="s">
        <v>4683</v>
      </c>
      <c r="H1325" s="14">
        <v>0</v>
      </c>
      <c r="I1325" s="10" t="s">
        <v>4683</v>
      </c>
      <c r="J1325" s="10" t="str">
        <f t="shared" si="6"/>
        <v>normalweight</v>
      </c>
      <c r="L1325" s="30" t="e">
        <v>#N/A</v>
      </c>
    </row>
    <row r="1326" spans="1:12" ht="15.75" customHeight="1" x14ac:dyDescent="0.3">
      <c r="A1326" s="10" t="s">
        <v>2026</v>
      </c>
      <c r="B1326" s="10">
        <v>23.98</v>
      </c>
      <c r="C1326" s="10">
        <v>9.89</v>
      </c>
      <c r="D1326" s="16" t="s">
        <v>4682</v>
      </c>
      <c r="E1326" s="10" t="s">
        <v>4683</v>
      </c>
      <c r="F1326" s="10" t="s">
        <v>4683</v>
      </c>
      <c r="G1326" s="10" t="s">
        <v>4683</v>
      </c>
      <c r="H1326" s="14">
        <v>0</v>
      </c>
      <c r="I1326" s="10" t="s">
        <v>4683</v>
      </c>
      <c r="J1326" s="10" t="str">
        <f t="shared" si="6"/>
        <v>normalweight</v>
      </c>
      <c r="L1326" s="30" t="e">
        <v>#N/A</v>
      </c>
    </row>
    <row r="1327" spans="1:12" ht="15.75" customHeight="1" x14ac:dyDescent="0.3">
      <c r="A1327" s="10" t="s">
        <v>2024</v>
      </c>
      <c r="B1327" s="10">
        <v>17.34</v>
      </c>
      <c r="C1327" s="10">
        <v>12</v>
      </c>
      <c r="D1327" s="16" t="s">
        <v>4682</v>
      </c>
      <c r="E1327" s="10" t="s">
        <v>4683</v>
      </c>
      <c r="F1327" s="10" t="s">
        <v>4683</v>
      </c>
      <c r="G1327" s="10" t="s">
        <v>4683</v>
      </c>
      <c r="H1327" s="14">
        <v>0</v>
      </c>
      <c r="I1327" s="10" t="s">
        <v>4683</v>
      </c>
      <c r="J1327" s="10" t="str">
        <f t="shared" si="6"/>
        <v>underweight</v>
      </c>
      <c r="L1327" s="30" t="e">
        <v>#N/A</v>
      </c>
    </row>
    <row r="1328" spans="1:12" ht="15.75" customHeight="1" x14ac:dyDescent="0.3">
      <c r="A1328" s="10" t="s">
        <v>2022</v>
      </c>
      <c r="B1328" s="10">
        <v>40.39</v>
      </c>
      <c r="C1328" s="10">
        <v>4.24</v>
      </c>
      <c r="D1328" s="10" t="s">
        <v>4685</v>
      </c>
      <c r="E1328" s="10" t="s">
        <v>4684</v>
      </c>
      <c r="F1328" s="10" t="s">
        <v>4683</v>
      </c>
      <c r="G1328" s="10" t="s">
        <v>4686</v>
      </c>
      <c r="H1328" s="14">
        <v>1</v>
      </c>
      <c r="I1328" s="10" t="s">
        <v>4683</v>
      </c>
      <c r="J1328" s="10" t="str">
        <f t="shared" si="6"/>
        <v>normalweight</v>
      </c>
      <c r="L1328" s="30" t="e">
        <v>#N/A</v>
      </c>
    </row>
    <row r="1329" spans="1:12" ht="15.75" customHeight="1" x14ac:dyDescent="0.3">
      <c r="A1329" s="10" t="s">
        <v>2020</v>
      </c>
      <c r="B1329" s="10">
        <v>25.96</v>
      </c>
      <c r="C1329" s="10">
        <v>4.68</v>
      </c>
      <c r="D1329" s="10" t="s">
        <v>4685</v>
      </c>
      <c r="E1329" s="10" t="s">
        <v>4684</v>
      </c>
      <c r="F1329" s="10" t="s">
        <v>4683</v>
      </c>
      <c r="G1329" s="10" t="s">
        <v>4686</v>
      </c>
      <c r="H1329" s="14">
        <v>1</v>
      </c>
      <c r="I1329" s="10" t="s">
        <v>4683</v>
      </c>
      <c r="J1329" s="10" t="str">
        <f t="shared" si="6"/>
        <v>normalweight</v>
      </c>
      <c r="L1329" s="30" t="e">
        <v>#N/A</v>
      </c>
    </row>
    <row r="1330" spans="1:12" ht="15.75" customHeight="1" x14ac:dyDescent="0.3">
      <c r="A1330" s="10" t="s">
        <v>2018</v>
      </c>
      <c r="B1330" s="10">
        <v>17.68</v>
      </c>
      <c r="C1330" s="10">
        <v>8.57</v>
      </c>
      <c r="D1330" s="16" t="s">
        <v>4682</v>
      </c>
      <c r="E1330" s="10" t="s">
        <v>4684</v>
      </c>
      <c r="F1330" s="10" t="s">
        <v>4683</v>
      </c>
      <c r="G1330" s="10" t="s">
        <v>4686</v>
      </c>
      <c r="H1330" s="14">
        <v>1</v>
      </c>
      <c r="I1330" s="10" t="s">
        <v>4683</v>
      </c>
      <c r="J1330" s="10" t="str">
        <f t="shared" si="6"/>
        <v>underweight</v>
      </c>
      <c r="L1330" s="30" t="e">
        <v>#N/A</v>
      </c>
    </row>
    <row r="1331" spans="1:12" ht="15.75" customHeight="1" x14ac:dyDescent="0.3">
      <c r="A1331" s="10" t="s">
        <v>2016</v>
      </c>
      <c r="B1331" s="10">
        <v>30.875</v>
      </c>
      <c r="C1331" s="10">
        <v>4.0999999999999996</v>
      </c>
      <c r="D1331" s="10" t="s">
        <v>4685</v>
      </c>
      <c r="E1331" s="10" t="s">
        <v>4683</v>
      </c>
      <c r="F1331" s="10" t="s">
        <v>4683</v>
      </c>
      <c r="G1331" s="10" t="s">
        <v>4683</v>
      </c>
      <c r="H1331" s="14">
        <v>0</v>
      </c>
      <c r="I1331" s="10" t="s">
        <v>4683</v>
      </c>
      <c r="J1331" s="10" t="str">
        <f t="shared" si="6"/>
        <v>normalweight</v>
      </c>
      <c r="L1331" s="30" t="e">
        <v>#N/A</v>
      </c>
    </row>
    <row r="1332" spans="1:12" ht="15.75" customHeight="1" x14ac:dyDescent="0.3">
      <c r="A1332" s="10" t="s">
        <v>2014</v>
      </c>
      <c r="B1332" s="10">
        <v>30.81</v>
      </c>
      <c r="C1332" s="10">
        <v>4.49</v>
      </c>
      <c r="D1332" s="10" t="s">
        <v>4685</v>
      </c>
      <c r="E1332" s="10" t="s">
        <v>4683</v>
      </c>
      <c r="F1332" s="10" t="s">
        <v>4683</v>
      </c>
      <c r="G1332" s="10" t="s">
        <v>4683</v>
      </c>
      <c r="H1332" s="14">
        <v>0</v>
      </c>
      <c r="I1332" s="10" t="s">
        <v>4683</v>
      </c>
      <c r="J1332" s="10" t="str">
        <f t="shared" si="6"/>
        <v>normalweight</v>
      </c>
      <c r="L1332" s="30" t="e">
        <v>#N/A</v>
      </c>
    </row>
    <row r="1333" spans="1:12" ht="15.75" customHeight="1" x14ac:dyDescent="0.3">
      <c r="A1333" s="10" t="s">
        <v>2012</v>
      </c>
      <c r="B1333" s="10">
        <v>36.85</v>
      </c>
      <c r="C1333" s="10">
        <v>8.8000000000000007</v>
      </c>
      <c r="D1333" s="16" t="s">
        <v>4682</v>
      </c>
      <c r="E1333" s="10" t="s">
        <v>4683</v>
      </c>
      <c r="F1333" s="10" t="s">
        <v>4683</v>
      </c>
      <c r="G1333" s="10" t="s">
        <v>4683</v>
      </c>
      <c r="H1333" s="14">
        <v>2</v>
      </c>
      <c r="I1333" s="10" t="s">
        <v>4683</v>
      </c>
      <c r="J1333" s="10" t="str">
        <f t="shared" si="6"/>
        <v>normalweight</v>
      </c>
      <c r="L1333" s="30" t="e">
        <v>#N/A</v>
      </c>
    </row>
    <row r="1334" spans="1:12" ht="15.75" customHeight="1" x14ac:dyDescent="0.3">
      <c r="A1334" s="10" t="s">
        <v>2010</v>
      </c>
      <c r="B1334" s="10">
        <v>35.86</v>
      </c>
      <c r="C1334" s="10">
        <v>7.93</v>
      </c>
      <c r="D1334" s="16" t="s">
        <v>4682</v>
      </c>
      <c r="E1334" s="10" t="s">
        <v>4683</v>
      </c>
      <c r="F1334" s="10" t="s">
        <v>4683</v>
      </c>
      <c r="G1334" s="10" t="s">
        <v>4683</v>
      </c>
      <c r="H1334" s="14">
        <v>2</v>
      </c>
      <c r="I1334" s="10" t="s">
        <v>4683</v>
      </c>
      <c r="J1334" s="10" t="str">
        <f t="shared" si="6"/>
        <v>normalweight</v>
      </c>
      <c r="L1334" s="30" t="e">
        <v>#N/A</v>
      </c>
    </row>
    <row r="1335" spans="1:12" ht="15.75" customHeight="1" x14ac:dyDescent="0.3">
      <c r="A1335" s="10" t="s">
        <v>2008</v>
      </c>
      <c r="B1335" s="10">
        <v>30.3</v>
      </c>
      <c r="C1335" s="10">
        <v>9.4499999999999993</v>
      </c>
      <c r="D1335" s="16" t="s">
        <v>4682</v>
      </c>
      <c r="E1335" s="10" t="s">
        <v>4683</v>
      </c>
      <c r="F1335" s="10" t="s">
        <v>4683</v>
      </c>
      <c r="G1335" s="10" t="s">
        <v>4683</v>
      </c>
      <c r="H1335" s="14">
        <v>2</v>
      </c>
      <c r="I1335" s="10" t="s">
        <v>4683</v>
      </c>
      <c r="J1335" s="10" t="str">
        <f t="shared" si="6"/>
        <v>normalweight</v>
      </c>
      <c r="L1335" s="30" t="e">
        <v>#N/A</v>
      </c>
    </row>
    <row r="1336" spans="1:12" ht="15.75" customHeight="1" x14ac:dyDescent="0.3">
      <c r="A1336" s="10" t="s">
        <v>2006</v>
      </c>
      <c r="B1336" s="10">
        <v>32.015000000000001</v>
      </c>
      <c r="C1336" s="10">
        <v>7.67</v>
      </c>
      <c r="D1336" s="16" t="s">
        <v>4682</v>
      </c>
      <c r="E1336" s="10" t="s">
        <v>4683</v>
      </c>
      <c r="F1336" s="10" t="s">
        <v>4683</v>
      </c>
      <c r="G1336" s="10" t="s">
        <v>4683</v>
      </c>
      <c r="H1336" s="14">
        <v>0</v>
      </c>
      <c r="I1336" s="10" t="s">
        <v>4683</v>
      </c>
      <c r="J1336" s="10" t="str">
        <f t="shared" si="6"/>
        <v>normalweight</v>
      </c>
      <c r="L1336" s="30" t="e">
        <v>#N/A</v>
      </c>
    </row>
    <row r="1337" spans="1:12" ht="15.75" customHeight="1" x14ac:dyDescent="0.3">
      <c r="A1337" s="10" t="s">
        <v>2004</v>
      </c>
      <c r="B1337" s="10">
        <v>25.06</v>
      </c>
      <c r="C1337" s="10">
        <v>10.53</v>
      </c>
      <c r="D1337" s="16" t="s">
        <v>4682</v>
      </c>
      <c r="E1337" s="10" t="s">
        <v>4683</v>
      </c>
      <c r="F1337" s="10" t="s">
        <v>4683</v>
      </c>
      <c r="G1337" s="10" t="s">
        <v>4683</v>
      </c>
      <c r="H1337" s="14">
        <v>2</v>
      </c>
      <c r="I1337" s="10" t="s">
        <v>4683</v>
      </c>
      <c r="J1337" s="10" t="str">
        <f t="shared" si="6"/>
        <v>normalweight</v>
      </c>
      <c r="L1337" s="30" t="e">
        <v>#N/A</v>
      </c>
    </row>
    <row r="1338" spans="1:12" ht="15.75" customHeight="1" x14ac:dyDescent="0.3">
      <c r="A1338" s="10" t="s">
        <v>2002</v>
      </c>
      <c r="B1338" s="10">
        <v>18.829999999999998</v>
      </c>
      <c r="C1338" s="10">
        <v>10.08</v>
      </c>
      <c r="D1338" s="16" t="s">
        <v>4682</v>
      </c>
      <c r="E1338" s="10" t="s">
        <v>4684</v>
      </c>
      <c r="F1338" s="10" t="s">
        <v>4683</v>
      </c>
      <c r="G1338" s="10" t="s">
        <v>4683</v>
      </c>
      <c r="H1338" s="14">
        <v>0</v>
      </c>
      <c r="I1338" s="10" t="s">
        <v>4683</v>
      </c>
      <c r="J1338" s="10" t="str">
        <f t="shared" si="6"/>
        <v>normalweight</v>
      </c>
      <c r="L1338" s="30" t="e">
        <v>#N/A</v>
      </c>
    </row>
    <row r="1339" spans="1:12" ht="15.75" customHeight="1" x14ac:dyDescent="0.3">
      <c r="A1339" s="10" t="s">
        <v>2000</v>
      </c>
      <c r="B1339" s="10">
        <v>47.52</v>
      </c>
      <c r="C1339" s="10">
        <v>11.39</v>
      </c>
      <c r="D1339" s="16" t="s">
        <v>4682</v>
      </c>
      <c r="E1339" s="10" t="s">
        <v>4684</v>
      </c>
      <c r="F1339" s="10" t="s">
        <v>4683</v>
      </c>
      <c r="G1339" s="10" t="s">
        <v>4683</v>
      </c>
      <c r="H1339" s="14">
        <v>1</v>
      </c>
      <c r="I1339" s="10" t="s">
        <v>4683</v>
      </c>
      <c r="J1339" s="10" t="str">
        <f t="shared" si="6"/>
        <v>normalweight</v>
      </c>
      <c r="L1339" s="30" t="e">
        <v>#N/A</v>
      </c>
    </row>
    <row r="1340" spans="1:12" ht="15.75" customHeight="1" x14ac:dyDescent="0.3">
      <c r="A1340" s="10" t="s">
        <v>1998</v>
      </c>
      <c r="B1340" s="10">
        <v>37.82</v>
      </c>
      <c r="C1340" s="10">
        <v>6.36</v>
      </c>
      <c r="D1340" s="10" t="s">
        <v>4685</v>
      </c>
      <c r="E1340" s="10" t="s">
        <v>4683</v>
      </c>
      <c r="F1340" s="10" t="s">
        <v>4683</v>
      </c>
      <c r="G1340" s="10" t="s">
        <v>4683</v>
      </c>
      <c r="H1340" s="14">
        <v>0</v>
      </c>
      <c r="I1340" s="10" t="s">
        <v>4683</v>
      </c>
      <c r="J1340" s="10" t="str">
        <f t="shared" si="6"/>
        <v>normalweight</v>
      </c>
      <c r="L1340" s="30" t="e">
        <v>#N/A</v>
      </c>
    </row>
    <row r="1341" spans="1:12" ht="15.75" customHeight="1" x14ac:dyDescent="0.3">
      <c r="A1341" s="10" t="s">
        <v>1996</v>
      </c>
      <c r="B1341" s="10">
        <v>44.16</v>
      </c>
      <c r="C1341" s="10">
        <v>5.31</v>
      </c>
      <c r="D1341" s="10" t="s">
        <v>4685</v>
      </c>
      <c r="E1341" s="10" t="s">
        <v>4684</v>
      </c>
      <c r="F1341" s="10" t="s">
        <v>4683</v>
      </c>
      <c r="G1341" s="10" t="s">
        <v>4683</v>
      </c>
      <c r="H1341" s="14">
        <v>0</v>
      </c>
      <c r="I1341" s="10" t="s">
        <v>4683</v>
      </c>
      <c r="J1341" s="10" t="str">
        <f t="shared" si="6"/>
        <v>normalweight</v>
      </c>
      <c r="L1341" s="30" t="e">
        <v>#N/A</v>
      </c>
    </row>
    <row r="1342" spans="1:12" ht="15.75" customHeight="1" x14ac:dyDescent="0.3">
      <c r="A1342" s="10" t="s">
        <v>1994</v>
      </c>
      <c r="B1342" s="10">
        <v>37.049999999999997</v>
      </c>
      <c r="C1342" s="10">
        <v>4.74</v>
      </c>
      <c r="D1342" s="10" t="s">
        <v>4685</v>
      </c>
      <c r="E1342" s="10" t="s">
        <v>4683</v>
      </c>
      <c r="F1342" s="10" t="s">
        <v>4683</v>
      </c>
      <c r="G1342" s="10" t="s">
        <v>4686</v>
      </c>
      <c r="H1342" s="14">
        <v>1</v>
      </c>
      <c r="I1342" s="10" t="s">
        <v>4683</v>
      </c>
      <c r="J1342" s="10" t="str">
        <f t="shared" si="6"/>
        <v>normalweight</v>
      </c>
      <c r="L1342" s="30" t="e">
        <v>#N/A</v>
      </c>
    </row>
    <row r="1343" spans="1:12" ht="15.75" customHeight="1" x14ac:dyDescent="0.3">
      <c r="A1343" s="10" t="s">
        <v>1992</v>
      </c>
      <c r="B1343" s="10">
        <v>18.66</v>
      </c>
      <c r="C1343" s="10">
        <v>11.35</v>
      </c>
      <c r="D1343" s="16" t="s">
        <v>4682</v>
      </c>
      <c r="E1343" s="10" t="s">
        <v>4683</v>
      </c>
      <c r="F1343" s="10" t="s">
        <v>4683</v>
      </c>
      <c r="G1343" s="10" t="s">
        <v>4683</v>
      </c>
      <c r="H1343" s="14">
        <v>0</v>
      </c>
      <c r="I1343" s="10" t="s">
        <v>4683</v>
      </c>
      <c r="J1343" s="10" t="str">
        <f t="shared" si="6"/>
        <v>normalweight</v>
      </c>
      <c r="L1343" s="30" t="e">
        <v>#N/A</v>
      </c>
    </row>
    <row r="1344" spans="1:12" ht="15.75" customHeight="1" x14ac:dyDescent="0.3">
      <c r="A1344" s="10" t="s">
        <v>1990</v>
      </c>
      <c r="B1344" s="10">
        <v>36.200000000000003</v>
      </c>
      <c r="C1344" s="10">
        <v>6.81</v>
      </c>
      <c r="D1344" s="16" t="s">
        <v>4682</v>
      </c>
      <c r="E1344" s="10" t="s">
        <v>4684</v>
      </c>
      <c r="F1344" s="10" t="s">
        <v>4683</v>
      </c>
      <c r="G1344" s="10" t="s">
        <v>4683</v>
      </c>
      <c r="H1344" s="14">
        <v>1</v>
      </c>
      <c r="I1344" s="10" t="s">
        <v>4683</v>
      </c>
      <c r="J1344" s="10" t="str">
        <f t="shared" si="6"/>
        <v>normalweight</v>
      </c>
      <c r="L1344" s="30" t="e">
        <v>#N/A</v>
      </c>
    </row>
    <row r="1345" spans="1:12" ht="15.75" customHeight="1" x14ac:dyDescent="0.3">
      <c r="A1345" s="10" t="s">
        <v>1988</v>
      </c>
      <c r="B1345" s="10">
        <v>18.87</v>
      </c>
      <c r="C1345" s="10">
        <v>8.06</v>
      </c>
      <c r="D1345" s="16" t="s">
        <v>4682</v>
      </c>
      <c r="E1345" s="10" t="s">
        <v>4683</v>
      </c>
      <c r="F1345" s="10" t="s">
        <v>4683</v>
      </c>
      <c r="G1345" s="10" t="s">
        <v>4683</v>
      </c>
      <c r="H1345" s="14">
        <v>0</v>
      </c>
      <c r="I1345" s="10" t="s">
        <v>4683</v>
      </c>
      <c r="J1345" s="10" t="str">
        <f t="shared" si="6"/>
        <v>normalweight</v>
      </c>
      <c r="L1345" s="30" t="e">
        <v>#N/A</v>
      </c>
    </row>
    <row r="1346" spans="1:12" ht="15.75" customHeight="1" x14ac:dyDescent="0.3">
      <c r="A1346" s="10" t="s">
        <v>1986</v>
      </c>
      <c r="B1346" s="10">
        <v>32.299999999999997</v>
      </c>
      <c r="C1346" s="10">
        <v>6.74</v>
      </c>
      <c r="D1346" s="16" t="s">
        <v>4682</v>
      </c>
      <c r="E1346" s="10" t="s">
        <v>4684</v>
      </c>
      <c r="F1346" s="10" t="s">
        <v>4683</v>
      </c>
      <c r="G1346" s="10" t="s">
        <v>4683</v>
      </c>
      <c r="H1346" s="14">
        <v>1</v>
      </c>
      <c r="I1346" s="10" t="s">
        <v>4683</v>
      </c>
      <c r="J1346" s="10" t="str">
        <f t="shared" si="6"/>
        <v>normalweight</v>
      </c>
      <c r="L1346" s="30" t="e">
        <v>#N/A</v>
      </c>
    </row>
    <row r="1347" spans="1:12" ht="15.75" customHeight="1" x14ac:dyDescent="0.3">
      <c r="A1347" s="10" t="s">
        <v>1984</v>
      </c>
      <c r="B1347" s="10">
        <v>22.64</v>
      </c>
      <c r="C1347" s="10">
        <v>6.54</v>
      </c>
      <c r="D1347" s="10" t="s">
        <v>4685</v>
      </c>
      <c r="E1347" s="10" t="s">
        <v>4684</v>
      </c>
      <c r="F1347" s="10" t="s">
        <v>4683</v>
      </c>
      <c r="G1347" s="10" t="s">
        <v>4683</v>
      </c>
      <c r="H1347" s="14">
        <v>2</v>
      </c>
      <c r="I1347" s="10" t="s">
        <v>4683</v>
      </c>
      <c r="J1347" s="10" t="str">
        <f t="shared" si="6"/>
        <v>normalweight</v>
      </c>
      <c r="L1347" s="30" t="e">
        <v>#N/A</v>
      </c>
    </row>
    <row r="1348" spans="1:12" ht="15.75" customHeight="1" x14ac:dyDescent="0.3">
      <c r="A1348" s="10" t="s">
        <v>1982</v>
      </c>
      <c r="B1348" s="10">
        <v>28.69</v>
      </c>
      <c r="C1348" s="10">
        <v>5.4</v>
      </c>
      <c r="D1348" s="10" t="s">
        <v>4685</v>
      </c>
      <c r="E1348" s="10" t="s">
        <v>4683</v>
      </c>
      <c r="F1348" s="10" t="s">
        <v>4683</v>
      </c>
      <c r="G1348" s="10" t="s">
        <v>4683</v>
      </c>
      <c r="H1348" s="14">
        <v>0</v>
      </c>
      <c r="I1348" s="10" t="s">
        <v>4683</v>
      </c>
      <c r="J1348" s="10" t="str">
        <f t="shared" si="6"/>
        <v>normalweight</v>
      </c>
      <c r="L1348" s="30" t="e">
        <v>#N/A</v>
      </c>
    </row>
    <row r="1349" spans="1:12" ht="15.75" customHeight="1" x14ac:dyDescent="0.3">
      <c r="A1349" s="10" t="s">
        <v>1980</v>
      </c>
      <c r="B1349" s="10">
        <v>28.16</v>
      </c>
      <c r="C1349" s="10">
        <v>5.58</v>
      </c>
      <c r="D1349" s="10" t="s">
        <v>4685</v>
      </c>
      <c r="E1349" s="10" t="s">
        <v>4684</v>
      </c>
      <c r="F1349" s="10" t="s">
        <v>4683</v>
      </c>
      <c r="G1349" s="10" t="s">
        <v>4683</v>
      </c>
      <c r="H1349" s="14">
        <v>0</v>
      </c>
      <c r="I1349" s="10" t="s">
        <v>4683</v>
      </c>
      <c r="J1349" s="10" t="str">
        <f t="shared" si="6"/>
        <v>normalweight</v>
      </c>
      <c r="L1349" s="30" t="e">
        <v>#N/A</v>
      </c>
    </row>
    <row r="1350" spans="1:12" ht="15.75" customHeight="1" x14ac:dyDescent="0.3">
      <c r="A1350" s="10" t="s">
        <v>1978</v>
      </c>
      <c r="B1350" s="10">
        <v>45.54</v>
      </c>
      <c r="C1350" s="10">
        <v>5.84</v>
      </c>
      <c r="D1350" s="10" t="s">
        <v>4685</v>
      </c>
      <c r="E1350" s="10" t="s">
        <v>4683</v>
      </c>
      <c r="F1350" s="10" t="s">
        <v>4683</v>
      </c>
      <c r="G1350" s="10" t="s">
        <v>4686</v>
      </c>
      <c r="H1350" s="14">
        <v>1</v>
      </c>
      <c r="I1350" s="10" t="s">
        <v>4683</v>
      </c>
      <c r="J1350" s="10" t="str">
        <f t="shared" si="6"/>
        <v>normalweight</v>
      </c>
      <c r="L1350" s="30" t="e">
        <v>#N/A</v>
      </c>
    </row>
    <row r="1351" spans="1:12" ht="15.75" customHeight="1" x14ac:dyDescent="0.3">
      <c r="A1351" s="10" t="s">
        <v>1976</v>
      </c>
      <c r="B1351" s="10">
        <v>28.7</v>
      </c>
      <c r="C1351" s="10">
        <v>4.2</v>
      </c>
      <c r="D1351" s="10" t="s">
        <v>4685</v>
      </c>
      <c r="E1351" s="10" t="s">
        <v>4683</v>
      </c>
      <c r="F1351" s="10" t="s">
        <v>4683</v>
      </c>
      <c r="G1351" s="10" t="s">
        <v>4683</v>
      </c>
      <c r="H1351" s="14">
        <v>0</v>
      </c>
      <c r="I1351" s="10" t="s">
        <v>4683</v>
      </c>
      <c r="J1351" s="10" t="str">
        <f t="shared" si="6"/>
        <v>normalweight</v>
      </c>
      <c r="L1351" s="30" t="e">
        <v>#N/A</v>
      </c>
    </row>
    <row r="1352" spans="1:12" ht="15.75" customHeight="1" x14ac:dyDescent="0.3">
      <c r="A1352" s="10" t="s">
        <v>1974</v>
      </c>
      <c r="B1352" s="10">
        <v>27.74</v>
      </c>
      <c r="C1352" s="10">
        <v>6.06</v>
      </c>
      <c r="D1352" s="10" t="s">
        <v>4685</v>
      </c>
      <c r="E1352" s="10" t="s">
        <v>4684</v>
      </c>
      <c r="F1352" s="10" t="s">
        <v>4683</v>
      </c>
      <c r="G1352" s="10" t="s">
        <v>4683</v>
      </c>
      <c r="H1352" s="14">
        <v>0</v>
      </c>
      <c r="I1352" s="10" t="s">
        <v>4683</v>
      </c>
      <c r="J1352" s="10" t="str">
        <f t="shared" si="6"/>
        <v>normalweight</v>
      </c>
      <c r="L1352" s="30" t="e">
        <v>#N/A</v>
      </c>
    </row>
    <row r="1353" spans="1:12" ht="15.75" customHeight="1" x14ac:dyDescent="0.3">
      <c r="A1353" s="10" t="s">
        <v>1972</v>
      </c>
      <c r="B1353" s="10">
        <v>36.954999999999998</v>
      </c>
      <c r="C1353" s="10">
        <v>7.57</v>
      </c>
      <c r="D1353" s="16" t="s">
        <v>4682</v>
      </c>
      <c r="E1353" s="10" t="s">
        <v>4683</v>
      </c>
      <c r="F1353" s="10" t="s">
        <v>4683</v>
      </c>
      <c r="G1353" s="10" t="s">
        <v>4683</v>
      </c>
      <c r="H1353" s="14">
        <v>0</v>
      </c>
      <c r="I1353" s="10" t="s">
        <v>4683</v>
      </c>
      <c r="J1353" s="10" t="str">
        <f t="shared" si="6"/>
        <v>normalweight</v>
      </c>
      <c r="L1353" s="30" t="e">
        <v>#N/A</v>
      </c>
    </row>
    <row r="1354" spans="1:12" ht="15.75" customHeight="1" x14ac:dyDescent="0.3">
      <c r="A1354" s="10" t="s">
        <v>1970</v>
      </c>
      <c r="B1354" s="10">
        <v>30.69</v>
      </c>
      <c r="C1354" s="10">
        <v>6.15</v>
      </c>
      <c r="D1354" s="10" t="s">
        <v>4685</v>
      </c>
      <c r="E1354" s="10" t="s">
        <v>4683</v>
      </c>
      <c r="F1354" s="10" t="s">
        <v>4683</v>
      </c>
      <c r="G1354" s="10" t="s">
        <v>4683</v>
      </c>
      <c r="H1354" s="14">
        <v>0</v>
      </c>
      <c r="I1354" s="10" t="s">
        <v>4683</v>
      </c>
      <c r="J1354" s="10" t="str">
        <f t="shared" si="6"/>
        <v>normalweight</v>
      </c>
      <c r="L1354" s="30" t="e">
        <v>#N/A</v>
      </c>
    </row>
    <row r="1355" spans="1:12" ht="15.75" customHeight="1" x14ac:dyDescent="0.3">
      <c r="A1355" s="10" t="s">
        <v>1968</v>
      </c>
      <c r="B1355" s="10">
        <v>24.984999999999999</v>
      </c>
      <c r="C1355" s="10">
        <v>4.5599999999999996</v>
      </c>
      <c r="D1355" s="10" t="s">
        <v>4685</v>
      </c>
      <c r="E1355" s="10" t="s">
        <v>4683</v>
      </c>
      <c r="F1355" s="10" t="s">
        <v>4683</v>
      </c>
      <c r="G1355" s="10" t="s">
        <v>4683</v>
      </c>
      <c r="H1355" s="14">
        <v>0</v>
      </c>
      <c r="I1355" s="10" t="s">
        <v>4683</v>
      </c>
      <c r="J1355" s="10" t="str">
        <f t="shared" si="6"/>
        <v>normalweight</v>
      </c>
      <c r="L1355" s="30" t="e">
        <v>#N/A</v>
      </c>
    </row>
    <row r="1356" spans="1:12" ht="15.75" customHeight="1" x14ac:dyDescent="0.3">
      <c r="A1356" s="10" t="s">
        <v>1966</v>
      </c>
      <c r="B1356" s="10">
        <v>39.42</v>
      </c>
      <c r="C1356" s="10">
        <v>4.72</v>
      </c>
      <c r="D1356" s="10" t="s">
        <v>4685</v>
      </c>
      <c r="E1356" s="10" t="s">
        <v>4684</v>
      </c>
      <c r="F1356" s="10" t="s">
        <v>4683</v>
      </c>
      <c r="G1356" s="10" t="s">
        <v>4683</v>
      </c>
      <c r="H1356" s="14">
        <v>1</v>
      </c>
      <c r="I1356" s="10" t="s">
        <v>4683</v>
      </c>
      <c r="J1356" s="10" t="str">
        <f t="shared" si="6"/>
        <v>normalweight</v>
      </c>
      <c r="L1356" s="30" t="e">
        <v>#N/A</v>
      </c>
    </row>
    <row r="1357" spans="1:12" ht="15.75" customHeight="1" x14ac:dyDescent="0.3">
      <c r="A1357" s="10" t="s">
        <v>1964</v>
      </c>
      <c r="B1357" s="10">
        <v>16.8</v>
      </c>
      <c r="C1357" s="10">
        <v>7.98</v>
      </c>
      <c r="D1357" s="16" t="s">
        <v>4682</v>
      </c>
      <c r="E1357" s="10" t="s">
        <v>4683</v>
      </c>
      <c r="F1357" s="10" t="s">
        <v>4683</v>
      </c>
      <c r="G1357" s="10" t="s">
        <v>4683</v>
      </c>
      <c r="H1357" s="14">
        <v>0</v>
      </c>
      <c r="I1357" s="10" t="s">
        <v>4683</v>
      </c>
      <c r="J1357" s="10" t="str">
        <f t="shared" si="6"/>
        <v>underweight</v>
      </c>
      <c r="L1357" s="30" t="e">
        <v>#N/A</v>
      </c>
    </row>
    <row r="1358" spans="1:12" ht="15.75" customHeight="1" x14ac:dyDescent="0.3">
      <c r="A1358" s="10" t="s">
        <v>1962</v>
      </c>
      <c r="B1358" s="10">
        <v>23.274999999999999</v>
      </c>
      <c r="C1358" s="10">
        <v>6.26</v>
      </c>
      <c r="D1358" s="10" t="s">
        <v>4685</v>
      </c>
      <c r="E1358" s="10" t="s">
        <v>4684</v>
      </c>
      <c r="F1358" s="10" t="s">
        <v>4683</v>
      </c>
      <c r="G1358" s="10" t="s">
        <v>4686</v>
      </c>
      <c r="H1358" s="14">
        <v>1</v>
      </c>
      <c r="I1358" s="10" t="s">
        <v>4683</v>
      </c>
      <c r="J1358" s="10" t="str">
        <f t="shared" si="6"/>
        <v>normalweight</v>
      </c>
      <c r="L1358" s="30" t="e">
        <v>#N/A</v>
      </c>
    </row>
    <row r="1359" spans="1:12" ht="15.75" customHeight="1" x14ac:dyDescent="0.3">
      <c r="A1359" s="10" t="s">
        <v>1960</v>
      </c>
      <c r="B1359" s="10">
        <v>22.8</v>
      </c>
      <c r="C1359" s="10">
        <v>4.29</v>
      </c>
      <c r="D1359" s="10" t="s">
        <v>4685</v>
      </c>
      <c r="E1359" s="10" t="s">
        <v>4684</v>
      </c>
      <c r="F1359" s="10" t="s">
        <v>4683</v>
      </c>
      <c r="G1359" s="10" t="s">
        <v>4686</v>
      </c>
      <c r="H1359" s="14">
        <v>1</v>
      </c>
      <c r="I1359" s="10" t="s">
        <v>4683</v>
      </c>
      <c r="J1359" s="10" t="str">
        <f t="shared" si="6"/>
        <v>normalweight</v>
      </c>
      <c r="L1359" s="30" t="e">
        <v>#N/A</v>
      </c>
    </row>
    <row r="1360" spans="1:12" ht="15.75" customHeight="1" x14ac:dyDescent="0.3">
      <c r="A1360" s="10" t="s">
        <v>1958</v>
      </c>
      <c r="B1360" s="10">
        <v>24.3</v>
      </c>
      <c r="C1360" s="10">
        <v>5.43</v>
      </c>
      <c r="D1360" s="10" t="s">
        <v>4685</v>
      </c>
      <c r="E1360" s="10" t="s">
        <v>4683</v>
      </c>
      <c r="F1360" s="10" t="s">
        <v>4683</v>
      </c>
      <c r="G1360" s="10" t="s">
        <v>4683</v>
      </c>
      <c r="H1360" s="14">
        <v>2</v>
      </c>
      <c r="I1360" s="10" t="s">
        <v>4683</v>
      </c>
      <c r="J1360" s="10" t="str">
        <f t="shared" si="6"/>
        <v>normalweight</v>
      </c>
      <c r="L1360" s="30" t="e">
        <v>#N/A</v>
      </c>
    </row>
    <row r="1361" spans="1:12" ht="15.75" customHeight="1" x14ac:dyDescent="0.3">
      <c r="A1361" s="10" t="s">
        <v>1956</v>
      </c>
      <c r="B1361" s="10">
        <v>25.13</v>
      </c>
      <c r="C1361" s="10">
        <v>8</v>
      </c>
      <c r="D1361" s="16" t="s">
        <v>4682</v>
      </c>
      <c r="E1361" s="10" t="s">
        <v>4684</v>
      </c>
      <c r="F1361" s="10" t="s">
        <v>4683</v>
      </c>
      <c r="G1361" s="10" t="s">
        <v>4683</v>
      </c>
      <c r="H1361" s="14">
        <v>1</v>
      </c>
      <c r="I1361" s="10" t="s">
        <v>4683</v>
      </c>
      <c r="J1361" s="10" t="str">
        <f t="shared" si="6"/>
        <v>normalweight</v>
      </c>
      <c r="L1361" s="30" t="e">
        <v>#N/A</v>
      </c>
    </row>
    <row r="1362" spans="1:12" ht="15.75" customHeight="1" x14ac:dyDescent="0.3">
      <c r="A1362" s="10" t="s">
        <v>1954</v>
      </c>
      <c r="B1362" s="10">
        <v>22.72</v>
      </c>
      <c r="C1362" s="10">
        <v>9.9600000000000009</v>
      </c>
      <c r="D1362" s="16" t="s">
        <v>4682</v>
      </c>
      <c r="E1362" s="10" t="s">
        <v>4684</v>
      </c>
      <c r="F1362" s="10" t="s">
        <v>4683</v>
      </c>
      <c r="G1362" s="10" t="s">
        <v>4683</v>
      </c>
      <c r="H1362" s="14">
        <v>2</v>
      </c>
      <c r="I1362" s="10" t="s">
        <v>4683</v>
      </c>
      <c r="J1362" s="10" t="str">
        <f t="shared" si="6"/>
        <v>normalweight</v>
      </c>
      <c r="L1362" s="30" t="e">
        <v>#N/A</v>
      </c>
    </row>
    <row r="1363" spans="1:12" ht="15.75" customHeight="1" x14ac:dyDescent="0.3">
      <c r="A1363" s="10" t="s">
        <v>1952</v>
      </c>
      <c r="B1363" s="10">
        <v>32.6</v>
      </c>
      <c r="C1363" s="10">
        <v>6.8</v>
      </c>
      <c r="D1363" s="10" t="s">
        <v>4685</v>
      </c>
      <c r="E1363" s="10" t="s">
        <v>4684</v>
      </c>
      <c r="F1363" s="10" t="s">
        <v>4683</v>
      </c>
      <c r="G1363" s="10" t="s">
        <v>4683</v>
      </c>
      <c r="H1363" s="14">
        <v>0</v>
      </c>
      <c r="I1363" s="10" t="s">
        <v>4683</v>
      </c>
      <c r="J1363" s="10" t="str">
        <f t="shared" si="6"/>
        <v>normalweight</v>
      </c>
      <c r="L1363" s="30" t="e">
        <v>#N/A</v>
      </c>
    </row>
    <row r="1364" spans="1:12" ht="15.75" customHeight="1" x14ac:dyDescent="0.3">
      <c r="A1364" s="10" t="s">
        <v>1950</v>
      </c>
      <c r="B1364" s="10">
        <v>17.28</v>
      </c>
      <c r="C1364" s="10">
        <v>6.22</v>
      </c>
      <c r="D1364" s="10" t="s">
        <v>4685</v>
      </c>
      <c r="E1364" s="10" t="s">
        <v>4684</v>
      </c>
      <c r="F1364" s="10" t="s">
        <v>4683</v>
      </c>
      <c r="G1364" s="10" t="s">
        <v>4683</v>
      </c>
      <c r="H1364" s="14">
        <v>2</v>
      </c>
      <c r="I1364" s="10" t="s">
        <v>4683</v>
      </c>
      <c r="J1364" s="10" t="str">
        <f t="shared" si="6"/>
        <v>underweight</v>
      </c>
      <c r="L1364" s="30" t="e">
        <v>#N/A</v>
      </c>
    </row>
    <row r="1365" spans="1:12" ht="15.75" customHeight="1" x14ac:dyDescent="0.3">
      <c r="A1365" s="10" t="s">
        <v>1948</v>
      </c>
      <c r="B1365" s="10">
        <v>27.92</v>
      </c>
      <c r="C1365" s="10">
        <v>5.79</v>
      </c>
      <c r="D1365" s="10" t="s">
        <v>4685</v>
      </c>
      <c r="E1365" s="10" t="s">
        <v>4683</v>
      </c>
      <c r="F1365" s="10" t="s">
        <v>4683</v>
      </c>
      <c r="G1365" s="10" t="s">
        <v>4683</v>
      </c>
      <c r="H1365" s="14">
        <v>1</v>
      </c>
      <c r="I1365" s="10" t="s">
        <v>4683</v>
      </c>
      <c r="J1365" s="10" t="str">
        <f t="shared" si="6"/>
        <v>normalweight</v>
      </c>
      <c r="L1365" s="30" t="e">
        <v>#N/A</v>
      </c>
    </row>
    <row r="1366" spans="1:12" ht="15.75" customHeight="1" x14ac:dyDescent="0.3">
      <c r="A1366" s="10" t="s">
        <v>1946</v>
      </c>
      <c r="B1366" s="10">
        <v>38.284999999999997</v>
      </c>
      <c r="C1366" s="10">
        <v>5.41</v>
      </c>
      <c r="D1366" s="10" t="s">
        <v>4685</v>
      </c>
      <c r="E1366" s="10" t="s">
        <v>4683</v>
      </c>
      <c r="F1366" s="10" t="s">
        <v>4683</v>
      </c>
      <c r="G1366" s="10" t="s">
        <v>4683</v>
      </c>
      <c r="H1366" s="14">
        <v>0</v>
      </c>
      <c r="I1366" s="10" t="s">
        <v>4683</v>
      </c>
      <c r="J1366" s="10" t="str">
        <f t="shared" si="6"/>
        <v>normalweight</v>
      </c>
      <c r="L1366" s="30" t="e">
        <v>#N/A</v>
      </c>
    </row>
    <row r="1367" spans="1:12" ht="15.75" customHeight="1" x14ac:dyDescent="0.3">
      <c r="A1367" s="10" t="s">
        <v>1944</v>
      </c>
      <c r="B1367" s="10">
        <v>16.48</v>
      </c>
      <c r="C1367" s="10">
        <v>11.05</v>
      </c>
      <c r="D1367" s="16" t="s">
        <v>4682</v>
      </c>
      <c r="E1367" s="10" t="s">
        <v>4683</v>
      </c>
      <c r="F1367" s="10" t="s">
        <v>4683</v>
      </c>
      <c r="G1367" s="10" t="s">
        <v>4683</v>
      </c>
      <c r="H1367" s="14">
        <v>0</v>
      </c>
      <c r="I1367" s="10" t="s">
        <v>4683</v>
      </c>
      <c r="J1367" s="10" t="str">
        <f t="shared" si="6"/>
        <v>underweight</v>
      </c>
      <c r="L1367" s="30" t="e">
        <v>#N/A</v>
      </c>
    </row>
    <row r="1368" spans="1:12" ht="15.75" customHeight="1" x14ac:dyDescent="0.3">
      <c r="A1368" s="10" t="s">
        <v>1942</v>
      </c>
      <c r="B1368" s="10">
        <v>38.57</v>
      </c>
      <c r="C1368" s="10">
        <v>6.27</v>
      </c>
      <c r="D1368" s="10" t="s">
        <v>4685</v>
      </c>
      <c r="E1368" s="10" t="s">
        <v>4683</v>
      </c>
      <c r="F1368" s="10" t="s">
        <v>4683</v>
      </c>
      <c r="G1368" s="10" t="s">
        <v>4683</v>
      </c>
      <c r="H1368" s="14">
        <v>0</v>
      </c>
      <c r="I1368" s="10" t="s">
        <v>4683</v>
      </c>
      <c r="J1368" s="10" t="str">
        <f t="shared" si="6"/>
        <v>normalweight</v>
      </c>
      <c r="L1368" s="30" t="e">
        <v>#N/A</v>
      </c>
    </row>
    <row r="1369" spans="1:12" ht="15.75" customHeight="1" x14ac:dyDescent="0.3">
      <c r="A1369" s="10" t="s">
        <v>1940</v>
      </c>
      <c r="B1369" s="10">
        <v>43.85</v>
      </c>
      <c r="C1369" s="10">
        <v>4.7699999999999996</v>
      </c>
      <c r="D1369" s="10" t="s">
        <v>4685</v>
      </c>
      <c r="E1369" s="10" t="s">
        <v>4684</v>
      </c>
      <c r="F1369" s="10" t="s">
        <v>4683</v>
      </c>
      <c r="G1369" s="10" t="s">
        <v>4683</v>
      </c>
      <c r="H1369" s="14">
        <v>0</v>
      </c>
      <c r="I1369" s="10" t="s">
        <v>4683</v>
      </c>
      <c r="J1369" s="10" t="str">
        <f t="shared" si="6"/>
        <v>normalweight</v>
      </c>
      <c r="L1369" s="30" t="e">
        <v>#N/A</v>
      </c>
    </row>
    <row r="1370" spans="1:12" ht="15.75" customHeight="1" x14ac:dyDescent="0.3">
      <c r="A1370" s="10" t="s">
        <v>1938</v>
      </c>
      <c r="B1370" s="10">
        <v>30.11</v>
      </c>
      <c r="C1370" s="10">
        <v>4.08</v>
      </c>
      <c r="D1370" s="10" t="s">
        <v>4685</v>
      </c>
      <c r="E1370" s="10" t="s">
        <v>4683</v>
      </c>
      <c r="F1370" s="10" t="s">
        <v>4683</v>
      </c>
      <c r="G1370" s="10" t="s">
        <v>4683</v>
      </c>
      <c r="H1370" s="14">
        <v>0</v>
      </c>
      <c r="I1370" s="10" t="s">
        <v>4683</v>
      </c>
      <c r="J1370" s="10" t="str">
        <f t="shared" si="6"/>
        <v>normalweight</v>
      </c>
      <c r="L1370" s="30" t="e">
        <v>#N/A</v>
      </c>
    </row>
    <row r="1371" spans="1:12" ht="15.75" customHeight="1" x14ac:dyDescent="0.3">
      <c r="A1371" s="10" t="s">
        <v>1936</v>
      </c>
      <c r="B1371" s="10">
        <v>31.59</v>
      </c>
      <c r="C1371" s="10">
        <v>6.01</v>
      </c>
      <c r="D1371" s="10" t="s">
        <v>4685</v>
      </c>
      <c r="E1371" s="10" t="s">
        <v>4683</v>
      </c>
      <c r="F1371" s="10" t="s">
        <v>4683</v>
      </c>
      <c r="G1371" s="10" t="s">
        <v>4683</v>
      </c>
      <c r="H1371" s="14">
        <v>0</v>
      </c>
      <c r="I1371" s="10" t="s">
        <v>4683</v>
      </c>
      <c r="J1371" s="10" t="str">
        <f t="shared" si="6"/>
        <v>normalweight</v>
      </c>
      <c r="L1371" s="30" t="e">
        <v>#N/A</v>
      </c>
    </row>
    <row r="1372" spans="1:12" ht="15.75" customHeight="1" x14ac:dyDescent="0.3">
      <c r="A1372" s="10" t="s">
        <v>1934</v>
      </c>
      <c r="B1372" s="10">
        <v>40.15</v>
      </c>
      <c r="C1372" s="10">
        <v>11.84</v>
      </c>
      <c r="D1372" s="16" t="s">
        <v>4682</v>
      </c>
      <c r="E1372" s="10" t="s">
        <v>4683</v>
      </c>
      <c r="F1372" s="10" t="s">
        <v>4683</v>
      </c>
      <c r="G1372" s="10" t="s">
        <v>4683</v>
      </c>
      <c r="H1372" s="14">
        <v>0</v>
      </c>
      <c r="I1372" s="10" t="s">
        <v>4683</v>
      </c>
      <c r="J1372" s="10" t="str">
        <f t="shared" si="6"/>
        <v>normalweight</v>
      </c>
      <c r="L1372" s="30" t="e">
        <v>#N/A</v>
      </c>
    </row>
    <row r="1373" spans="1:12" ht="15.75" customHeight="1" x14ac:dyDescent="0.3">
      <c r="A1373" s="10" t="s">
        <v>1932</v>
      </c>
      <c r="B1373" s="10">
        <v>40.700000000000003</v>
      </c>
      <c r="C1373" s="10">
        <v>6.27</v>
      </c>
      <c r="D1373" s="10" t="s">
        <v>4685</v>
      </c>
      <c r="E1373" s="10" t="s">
        <v>4684</v>
      </c>
      <c r="F1373" s="10" t="s">
        <v>4683</v>
      </c>
      <c r="G1373" s="10" t="s">
        <v>4686</v>
      </c>
      <c r="H1373" s="14">
        <v>1</v>
      </c>
      <c r="I1373" s="10" t="s">
        <v>4683</v>
      </c>
      <c r="J1373" s="10" t="str">
        <f t="shared" si="6"/>
        <v>normalweight</v>
      </c>
      <c r="L1373" s="30" t="e">
        <v>#N/A</v>
      </c>
    </row>
    <row r="1374" spans="1:12" ht="15.75" customHeight="1" x14ac:dyDescent="0.3">
      <c r="A1374" s="10" t="s">
        <v>1930</v>
      </c>
      <c r="B1374" s="10">
        <v>40.76</v>
      </c>
      <c r="C1374" s="10">
        <v>5.28</v>
      </c>
      <c r="D1374" s="10" t="s">
        <v>4685</v>
      </c>
      <c r="E1374" s="10" t="s">
        <v>4683</v>
      </c>
      <c r="F1374" s="10" t="s">
        <v>4683</v>
      </c>
      <c r="G1374" s="10" t="s">
        <v>4683</v>
      </c>
      <c r="H1374" s="14">
        <v>0</v>
      </c>
      <c r="I1374" s="10" t="s">
        <v>4683</v>
      </c>
      <c r="J1374" s="10" t="str">
        <f t="shared" si="6"/>
        <v>normalweight</v>
      </c>
      <c r="L1374" s="30" t="e">
        <v>#N/A</v>
      </c>
    </row>
    <row r="1375" spans="1:12" ht="15.75" customHeight="1" x14ac:dyDescent="0.3">
      <c r="A1375" s="10" t="s">
        <v>1928</v>
      </c>
      <c r="B1375" s="10">
        <v>29.7</v>
      </c>
      <c r="C1375" s="10">
        <v>7.03</v>
      </c>
      <c r="D1375" s="16" t="s">
        <v>4682</v>
      </c>
      <c r="E1375" s="10" t="s">
        <v>4683</v>
      </c>
      <c r="F1375" s="10" t="s">
        <v>4683</v>
      </c>
      <c r="G1375" s="10" t="s">
        <v>4683</v>
      </c>
      <c r="H1375" s="14">
        <v>0</v>
      </c>
      <c r="I1375" s="10" t="s">
        <v>4683</v>
      </c>
      <c r="J1375" s="10" t="str">
        <f t="shared" si="6"/>
        <v>normalweight</v>
      </c>
      <c r="L1375" s="30" t="e">
        <v>#N/A</v>
      </c>
    </row>
    <row r="1376" spans="1:12" ht="15.75" customHeight="1" x14ac:dyDescent="0.3">
      <c r="A1376" s="10" t="s">
        <v>1926</v>
      </c>
      <c r="B1376" s="10">
        <v>40.58</v>
      </c>
      <c r="C1376" s="10">
        <v>5.32</v>
      </c>
      <c r="D1376" s="10" t="s">
        <v>4685</v>
      </c>
      <c r="E1376" s="10" t="s">
        <v>4684</v>
      </c>
      <c r="F1376" s="10" t="s">
        <v>4683</v>
      </c>
      <c r="G1376" s="10" t="s">
        <v>4686</v>
      </c>
      <c r="H1376" s="14">
        <v>1</v>
      </c>
      <c r="I1376" s="10" t="s">
        <v>4683</v>
      </c>
      <c r="J1376" s="10" t="str">
        <f t="shared" si="6"/>
        <v>normalweight</v>
      </c>
      <c r="L1376" s="30" t="e">
        <v>#N/A</v>
      </c>
    </row>
    <row r="1377" spans="1:12" ht="15.75" customHeight="1" x14ac:dyDescent="0.3">
      <c r="A1377" s="10" t="s">
        <v>1924</v>
      </c>
      <c r="B1377" s="10">
        <v>33.06</v>
      </c>
      <c r="C1377" s="10">
        <v>9.59</v>
      </c>
      <c r="D1377" s="16" t="s">
        <v>4682</v>
      </c>
      <c r="E1377" s="10" t="s">
        <v>4684</v>
      </c>
      <c r="F1377" s="10" t="s">
        <v>4683</v>
      </c>
      <c r="G1377" s="10" t="s">
        <v>4683</v>
      </c>
      <c r="H1377" s="14">
        <v>0</v>
      </c>
      <c r="I1377" s="10" t="s">
        <v>4683</v>
      </c>
      <c r="J1377" s="10" t="str">
        <f t="shared" si="6"/>
        <v>normalweight</v>
      </c>
      <c r="L1377" s="30" t="e">
        <v>#N/A</v>
      </c>
    </row>
    <row r="1378" spans="1:12" ht="15.75" customHeight="1" x14ac:dyDescent="0.3">
      <c r="A1378" s="10" t="s">
        <v>1922</v>
      </c>
      <c r="B1378" s="10">
        <v>26.62</v>
      </c>
      <c r="C1378" s="10">
        <v>6.15</v>
      </c>
      <c r="D1378" s="10" t="s">
        <v>4685</v>
      </c>
      <c r="E1378" s="10" t="s">
        <v>4684</v>
      </c>
      <c r="F1378" s="10" t="s">
        <v>4683</v>
      </c>
      <c r="G1378" s="10" t="s">
        <v>4683</v>
      </c>
      <c r="H1378" s="14">
        <v>0</v>
      </c>
      <c r="I1378" s="10" t="s">
        <v>4683</v>
      </c>
      <c r="J1378" s="10" t="str">
        <f t="shared" si="6"/>
        <v>normalweight</v>
      </c>
      <c r="L1378" s="30" t="e">
        <v>#N/A</v>
      </c>
    </row>
    <row r="1379" spans="1:12" ht="15.75" customHeight="1" x14ac:dyDescent="0.3">
      <c r="A1379" s="10" t="s">
        <v>1920</v>
      </c>
      <c r="B1379" s="10">
        <v>37.1</v>
      </c>
      <c r="C1379" s="10">
        <v>11.08</v>
      </c>
      <c r="D1379" s="16" t="s">
        <v>4682</v>
      </c>
      <c r="E1379" s="10" t="s">
        <v>4683</v>
      </c>
      <c r="F1379" s="10" t="s">
        <v>4683</v>
      </c>
      <c r="G1379" s="10" t="s">
        <v>4683</v>
      </c>
      <c r="H1379" s="14">
        <v>0</v>
      </c>
      <c r="I1379" s="10" t="s">
        <v>4683</v>
      </c>
      <c r="J1379" s="10" t="str">
        <f t="shared" si="6"/>
        <v>normalweight</v>
      </c>
      <c r="L1379" s="30" t="e">
        <v>#N/A</v>
      </c>
    </row>
    <row r="1380" spans="1:12" ht="15.75" customHeight="1" x14ac:dyDescent="0.3">
      <c r="A1380" s="10" t="s">
        <v>1918</v>
      </c>
      <c r="B1380" s="10">
        <v>18.28</v>
      </c>
      <c r="C1380" s="10">
        <v>7.95</v>
      </c>
      <c r="D1380" s="16" t="s">
        <v>4682</v>
      </c>
      <c r="E1380" s="10" t="s">
        <v>4683</v>
      </c>
      <c r="F1380" s="10" t="s">
        <v>4683</v>
      </c>
      <c r="G1380" s="10" t="s">
        <v>4683</v>
      </c>
      <c r="H1380" s="14">
        <v>0</v>
      </c>
      <c r="I1380" s="10" t="s">
        <v>4683</v>
      </c>
      <c r="J1380" s="10" t="str">
        <f t="shared" si="6"/>
        <v>underweight</v>
      </c>
      <c r="L1380" s="30" t="e">
        <v>#N/A</v>
      </c>
    </row>
    <row r="1381" spans="1:12" ht="15.75" customHeight="1" x14ac:dyDescent="0.3">
      <c r="A1381" s="10" t="s">
        <v>1916</v>
      </c>
      <c r="B1381" s="10">
        <v>35.814999999999998</v>
      </c>
      <c r="C1381" s="10">
        <v>6.23</v>
      </c>
      <c r="D1381" s="10" t="s">
        <v>4685</v>
      </c>
      <c r="E1381" s="10" t="s">
        <v>4683</v>
      </c>
      <c r="F1381" s="10" t="s">
        <v>4683</v>
      </c>
      <c r="G1381" s="10" t="s">
        <v>4683</v>
      </c>
      <c r="H1381" s="14">
        <v>0</v>
      </c>
      <c r="I1381" s="10" t="s">
        <v>4683</v>
      </c>
      <c r="J1381" s="10" t="str">
        <f t="shared" si="6"/>
        <v>normalweight</v>
      </c>
      <c r="L1381" s="30" t="e">
        <v>#N/A</v>
      </c>
    </row>
    <row r="1382" spans="1:12" ht="15.75" customHeight="1" x14ac:dyDescent="0.3">
      <c r="A1382" s="10" t="s">
        <v>1914</v>
      </c>
      <c r="B1382" s="10">
        <v>30.69</v>
      </c>
      <c r="C1382" s="10">
        <v>6.5</v>
      </c>
      <c r="D1382" s="10" t="s">
        <v>4685</v>
      </c>
      <c r="E1382" s="10" t="s">
        <v>4683</v>
      </c>
      <c r="F1382" s="10" t="s">
        <v>4683</v>
      </c>
      <c r="G1382" s="10" t="s">
        <v>4683</v>
      </c>
      <c r="H1382" s="14">
        <v>0</v>
      </c>
      <c r="I1382" s="10" t="s">
        <v>4683</v>
      </c>
      <c r="J1382" s="10" t="str">
        <f t="shared" si="6"/>
        <v>normalweight</v>
      </c>
      <c r="L1382" s="30" t="e">
        <v>#N/A</v>
      </c>
    </row>
    <row r="1383" spans="1:12" ht="15.75" customHeight="1" x14ac:dyDescent="0.3">
      <c r="A1383" s="10" t="s">
        <v>1912</v>
      </c>
      <c r="B1383" s="10">
        <v>26.125</v>
      </c>
      <c r="C1383" s="10">
        <v>5.22</v>
      </c>
      <c r="D1383" s="10" t="s">
        <v>4685</v>
      </c>
      <c r="E1383" s="10" t="s">
        <v>4683</v>
      </c>
      <c r="F1383" s="10" t="s">
        <v>4683</v>
      </c>
      <c r="G1383" s="10" t="s">
        <v>4683</v>
      </c>
      <c r="H1383" s="14">
        <v>0</v>
      </c>
      <c r="I1383" s="10" t="s">
        <v>4683</v>
      </c>
      <c r="J1383" s="10" t="str">
        <f t="shared" si="6"/>
        <v>normalweight</v>
      </c>
      <c r="L1383" s="30" t="e">
        <v>#N/A</v>
      </c>
    </row>
    <row r="1384" spans="1:12" ht="15.75" customHeight="1" x14ac:dyDescent="0.3">
      <c r="A1384" s="10" t="s">
        <v>1910</v>
      </c>
      <c r="B1384" s="10">
        <v>34.58</v>
      </c>
      <c r="C1384" s="10">
        <v>6.3</v>
      </c>
      <c r="D1384" s="10" t="s">
        <v>4685</v>
      </c>
      <c r="E1384" s="10" t="s">
        <v>4683</v>
      </c>
      <c r="F1384" s="10" t="s">
        <v>4683</v>
      </c>
      <c r="G1384" s="10" t="s">
        <v>4686</v>
      </c>
      <c r="H1384" s="14">
        <v>1</v>
      </c>
      <c r="I1384" s="10" t="s">
        <v>4683</v>
      </c>
      <c r="J1384" s="10" t="str">
        <f t="shared" si="6"/>
        <v>normalweight</v>
      </c>
      <c r="L1384" s="30" t="e">
        <v>#N/A</v>
      </c>
    </row>
    <row r="1385" spans="1:12" ht="15.75" customHeight="1" x14ac:dyDescent="0.3">
      <c r="A1385" s="10" t="s">
        <v>1908</v>
      </c>
      <c r="B1385" s="10">
        <v>27.4</v>
      </c>
      <c r="C1385" s="10">
        <v>8.84</v>
      </c>
      <c r="D1385" s="16" t="s">
        <v>4682</v>
      </c>
      <c r="E1385" s="10" t="s">
        <v>4683</v>
      </c>
      <c r="F1385" s="10" t="s">
        <v>4683</v>
      </c>
      <c r="G1385" s="10" t="s">
        <v>4683</v>
      </c>
      <c r="H1385" s="14">
        <v>0</v>
      </c>
      <c r="I1385" s="10" t="s">
        <v>4683</v>
      </c>
      <c r="J1385" s="10" t="str">
        <f t="shared" si="6"/>
        <v>normalweight</v>
      </c>
      <c r="L1385" s="30" t="e">
        <v>#N/A</v>
      </c>
    </row>
    <row r="1386" spans="1:12" ht="15.75" customHeight="1" x14ac:dyDescent="0.3">
      <c r="A1386" s="10" t="s">
        <v>1906</v>
      </c>
      <c r="B1386" s="10">
        <v>27.53</v>
      </c>
      <c r="C1386" s="10">
        <v>4.1100000000000003</v>
      </c>
      <c r="D1386" s="10" t="s">
        <v>4685</v>
      </c>
      <c r="E1386" s="10" t="s">
        <v>4683</v>
      </c>
      <c r="F1386" s="10" t="s">
        <v>4683</v>
      </c>
      <c r="G1386" s="10" t="s">
        <v>4683</v>
      </c>
      <c r="H1386" s="14">
        <v>1</v>
      </c>
      <c r="I1386" s="10" t="s">
        <v>4683</v>
      </c>
      <c r="J1386" s="10" t="str">
        <f t="shared" si="6"/>
        <v>normalweight</v>
      </c>
      <c r="L1386" s="30" t="e">
        <v>#N/A</v>
      </c>
    </row>
    <row r="1387" spans="1:12" ht="15.75" customHeight="1" x14ac:dyDescent="0.3">
      <c r="A1387" s="10" t="s">
        <v>1904</v>
      </c>
      <c r="B1387" s="10">
        <v>33</v>
      </c>
      <c r="C1387" s="10">
        <v>4.57</v>
      </c>
      <c r="D1387" s="10" t="s">
        <v>4685</v>
      </c>
      <c r="E1387" s="10" t="s">
        <v>4683</v>
      </c>
      <c r="F1387" s="10" t="s">
        <v>4683</v>
      </c>
      <c r="G1387" s="10" t="s">
        <v>4683</v>
      </c>
      <c r="H1387" s="14">
        <v>0</v>
      </c>
      <c r="I1387" s="10" t="s">
        <v>4683</v>
      </c>
      <c r="J1387" s="10" t="str">
        <f t="shared" si="6"/>
        <v>normalweight</v>
      </c>
      <c r="L1387" s="30" t="e">
        <v>#N/A</v>
      </c>
    </row>
    <row r="1388" spans="1:12" ht="15.75" customHeight="1" x14ac:dyDescent="0.3">
      <c r="A1388" s="10" t="s">
        <v>1902</v>
      </c>
      <c r="B1388" s="10">
        <v>25.78</v>
      </c>
      <c r="C1388" s="10">
        <v>11.06</v>
      </c>
      <c r="D1388" s="16" t="s">
        <v>4682</v>
      </c>
      <c r="E1388" s="10" t="s">
        <v>4684</v>
      </c>
      <c r="F1388" s="10" t="s">
        <v>4683</v>
      </c>
      <c r="G1388" s="10" t="s">
        <v>4683</v>
      </c>
      <c r="H1388" s="14">
        <v>0</v>
      </c>
      <c r="I1388" s="10" t="s">
        <v>4683</v>
      </c>
      <c r="J1388" s="10" t="str">
        <f t="shared" si="6"/>
        <v>normalweight</v>
      </c>
      <c r="L1388" s="30" t="e">
        <v>#N/A</v>
      </c>
    </row>
    <row r="1389" spans="1:12" ht="15.75" customHeight="1" x14ac:dyDescent="0.3">
      <c r="A1389" s="10" t="s">
        <v>1900</v>
      </c>
      <c r="B1389" s="10">
        <v>22.66</v>
      </c>
      <c r="C1389" s="10">
        <v>10.68</v>
      </c>
      <c r="D1389" s="16" t="s">
        <v>4682</v>
      </c>
      <c r="E1389" s="10" t="s">
        <v>4683</v>
      </c>
      <c r="F1389" s="10" t="s">
        <v>4683</v>
      </c>
      <c r="G1389" s="10" t="s">
        <v>4683</v>
      </c>
      <c r="H1389" s="14">
        <v>0</v>
      </c>
      <c r="I1389" s="10" t="s">
        <v>4683</v>
      </c>
      <c r="J1389" s="10" t="str">
        <f t="shared" si="6"/>
        <v>normalweight</v>
      </c>
      <c r="L1389" s="30" t="e">
        <v>#N/A</v>
      </c>
    </row>
    <row r="1390" spans="1:12" ht="15.75" customHeight="1" x14ac:dyDescent="0.3">
      <c r="A1390" s="10" t="s">
        <v>1898</v>
      </c>
      <c r="B1390" s="10">
        <v>38.81</v>
      </c>
      <c r="C1390" s="10">
        <v>6.14</v>
      </c>
      <c r="D1390" s="10" t="s">
        <v>4685</v>
      </c>
      <c r="E1390" s="10" t="s">
        <v>4684</v>
      </c>
      <c r="F1390" s="10" t="s">
        <v>4683</v>
      </c>
      <c r="G1390" s="10" t="s">
        <v>4683</v>
      </c>
      <c r="H1390" s="14">
        <v>1</v>
      </c>
      <c r="I1390" s="10" t="s">
        <v>4683</v>
      </c>
      <c r="J1390" s="10" t="str">
        <f t="shared" si="6"/>
        <v>normalweight</v>
      </c>
      <c r="L1390" s="30" t="e">
        <v>#N/A</v>
      </c>
    </row>
    <row r="1391" spans="1:12" ht="15.75" customHeight="1" x14ac:dyDescent="0.3">
      <c r="A1391" s="10" t="s">
        <v>1896</v>
      </c>
      <c r="B1391" s="10">
        <v>38.51</v>
      </c>
      <c r="C1391" s="10">
        <v>5.45</v>
      </c>
      <c r="D1391" s="10" t="s">
        <v>4685</v>
      </c>
      <c r="E1391" s="10" t="s">
        <v>4684</v>
      </c>
      <c r="F1391" s="10" t="s">
        <v>4683</v>
      </c>
      <c r="G1391" s="10" t="s">
        <v>4683</v>
      </c>
      <c r="H1391" s="14">
        <v>0</v>
      </c>
      <c r="I1391" s="10" t="s">
        <v>4683</v>
      </c>
      <c r="J1391" s="10" t="str">
        <f t="shared" si="6"/>
        <v>normalweight</v>
      </c>
      <c r="L1391" s="30" t="e">
        <v>#N/A</v>
      </c>
    </row>
    <row r="1392" spans="1:12" ht="15.75" customHeight="1" x14ac:dyDescent="0.3">
      <c r="A1392" s="10" t="s">
        <v>1894</v>
      </c>
      <c r="B1392" s="10">
        <v>22.98</v>
      </c>
      <c r="C1392" s="10">
        <v>6.14</v>
      </c>
      <c r="D1392" s="10" t="s">
        <v>4685</v>
      </c>
      <c r="E1392" s="10" t="s">
        <v>4684</v>
      </c>
      <c r="F1392" s="10" t="s">
        <v>4683</v>
      </c>
      <c r="G1392" s="10" t="s">
        <v>4683</v>
      </c>
      <c r="H1392" s="14">
        <v>0</v>
      </c>
      <c r="I1392" s="10" t="s">
        <v>4683</v>
      </c>
      <c r="J1392" s="10" t="str">
        <f t="shared" si="6"/>
        <v>normalweight</v>
      </c>
      <c r="L1392" s="30" t="e">
        <v>#N/A</v>
      </c>
    </row>
    <row r="1393" spans="1:12" ht="15.75" customHeight="1" x14ac:dyDescent="0.3">
      <c r="A1393" s="10" t="s">
        <v>1892</v>
      </c>
      <c r="B1393" s="10">
        <v>15.65</v>
      </c>
      <c r="C1393" s="10">
        <v>7.85</v>
      </c>
      <c r="D1393" s="16" t="s">
        <v>4682</v>
      </c>
      <c r="E1393" s="10" t="s">
        <v>4683</v>
      </c>
      <c r="F1393" s="10" t="s">
        <v>4683</v>
      </c>
      <c r="G1393" s="10" t="s">
        <v>4683</v>
      </c>
      <c r="H1393" s="14">
        <v>0</v>
      </c>
      <c r="I1393" s="10" t="s">
        <v>4683</v>
      </c>
      <c r="J1393" s="10" t="str">
        <f t="shared" si="6"/>
        <v>underweight</v>
      </c>
      <c r="L1393" s="30" t="e">
        <v>#N/A</v>
      </c>
    </row>
    <row r="1394" spans="1:12" ht="15.75" customHeight="1" x14ac:dyDescent="0.3">
      <c r="A1394" s="10" t="s">
        <v>1890</v>
      </c>
      <c r="B1394" s="10">
        <v>39.97</v>
      </c>
      <c r="C1394" s="10">
        <v>4.09</v>
      </c>
      <c r="D1394" s="10" t="s">
        <v>4685</v>
      </c>
      <c r="E1394" s="10" t="s">
        <v>4683</v>
      </c>
      <c r="F1394" s="10" t="s">
        <v>4683</v>
      </c>
      <c r="G1394" s="10" t="s">
        <v>4683</v>
      </c>
      <c r="H1394" s="14">
        <v>1</v>
      </c>
      <c r="I1394" s="10" t="s">
        <v>4683</v>
      </c>
      <c r="J1394" s="10" t="str">
        <f t="shared" si="6"/>
        <v>normalweight</v>
      </c>
      <c r="L1394" s="30" t="e">
        <v>#N/A</v>
      </c>
    </row>
    <row r="1395" spans="1:12" ht="15.75" customHeight="1" x14ac:dyDescent="0.3">
      <c r="A1395" s="10" t="s">
        <v>1888</v>
      </c>
      <c r="B1395" s="10">
        <v>37.22</v>
      </c>
      <c r="C1395" s="10">
        <v>4.62</v>
      </c>
      <c r="D1395" s="10" t="s">
        <v>4685</v>
      </c>
      <c r="E1395" s="10" t="s">
        <v>4683</v>
      </c>
      <c r="F1395" s="10" t="s">
        <v>4683</v>
      </c>
      <c r="G1395" s="10" t="s">
        <v>4686</v>
      </c>
      <c r="H1395" s="14">
        <v>1</v>
      </c>
      <c r="I1395" s="10" t="s">
        <v>4683</v>
      </c>
      <c r="J1395" s="10" t="str">
        <f t="shared" si="6"/>
        <v>normalweight</v>
      </c>
      <c r="L1395" s="30" t="e">
        <v>#N/A</v>
      </c>
    </row>
    <row r="1396" spans="1:12" ht="15.75" customHeight="1" x14ac:dyDescent="0.3">
      <c r="A1396" s="10" t="s">
        <v>1886</v>
      </c>
      <c r="B1396" s="10">
        <v>41.325000000000003</v>
      </c>
      <c r="C1396" s="10">
        <v>5.77</v>
      </c>
      <c r="D1396" s="10" t="s">
        <v>4685</v>
      </c>
      <c r="E1396" s="10" t="s">
        <v>4683</v>
      </c>
      <c r="F1396" s="10" t="s">
        <v>4683</v>
      </c>
      <c r="G1396" s="10" t="s">
        <v>4683</v>
      </c>
      <c r="H1396" s="14">
        <v>0</v>
      </c>
      <c r="I1396" s="10" t="s">
        <v>4683</v>
      </c>
      <c r="J1396" s="10" t="str">
        <f t="shared" si="6"/>
        <v>normalweight</v>
      </c>
      <c r="L1396" s="30" t="e">
        <v>#N/A</v>
      </c>
    </row>
    <row r="1397" spans="1:12" ht="15.75" customHeight="1" x14ac:dyDescent="0.3">
      <c r="A1397" s="10" t="s">
        <v>1884</v>
      </c>
      <c r="B1397" s="10">
        <v>40.31</v>
      </c>
      <c r="C1397" s="10">
        <v>5.84</v>
      </c>
      <c r="D1397" s="10" t="s">
        <v>4685</v>
      </c>
      <c r="E1397" s="10" t="s">
        <v>4683</v>
      </c>
      <c r="F1397" s="10" t="s">
        <v>4683</v>
      </c>
      <c r="G1397" s="10" t="s">
        <v>4683</v>
      </c>
      <c r="H1397" s="14">
        <v>0</v>
      </c>
      <c r="I1397" s="10" t="s">
        <v>4683</v>
      </c>
      <c r="J1397" s="10" t="str">
        <f t="shared" si="6"/>
        <v>normalweight</v>
      </c>
      <c r="L1397" s="30" t="e">
        <v>#N/A</v>
      </c>
    </row>
    <row r="1398" spans="1:12" ht="15.75" customHeight="1" x14ac:dyDescent="0.3">
      <c r="A1398" s="10" t="s">
        <v>1882</v>
      </c>
      <c r="B1398" s="10">
        <v>29.48</v>
      </c>
      <c r="C1398" s="10">
        <v>4.91</v>
      </c>
      <c r="D1398" s="10" t="s">
        <v>4685</v>
      </c>
      <c r="E1398" s="10" t="s">
        <v>4683</v>
      </c>
      <c r="F1398" s="10" t="s">
        <v>4683</v>
      </c>
      <c r="G1398" s="10" t="s">
        <v>4683</v>
      </c>
      <c r="H1398" s="14">
        <v>0</v>
      </c>
      <c r="I1398" s="10" t="s">
        <v>4683</v>
      </c>
      <c r="J1398" s="10" t="str">
        <f t="shared" si="6"/>
        <v>normalweight</v>
      </c>
      <c r="L1398" s="30" t="e">
        <v>#N/A</v>
      </c>
    </row>
    <row r="1399" spans="1:12" ht="15.75" customHeight="1" x14ac:dyDescent="0.3">
      <c r="A1399" s="10" t="s">
        <v>1880</v>
      </c>
      <c r="B1399" s="10">
        <v>33.155000000000001</v>
      </c>
      <c r="C1399" s="10">
        <v>5.07</v>
      </c>
      <c r="D1399" s="10" t="s">
        <v>4685</v>
      </c>
      <c r="E1399" s="10" t="s">
        <v>4683</v>
      </c>
      <c r="F1399" s="10" t="s">
        <v>4683</v>
      </c>
      <c r="G1399" s="10" t="s">
        <v>4683</v>
      </c>
      <c r="H1399" s="14">
        <v>0</v>
      </c>
      <c r="I1399" s="10" t="s">
        <v>4683</v>
      </c>
      <c r="J1399" s="10" t="str">
        <f t="shared" si="6"/>
        <v>normalweight</v>
      </c>
      <c r="L1399" s="30" t="e">
        <v>#N/A</v>
      </c>
    </row>
    <row r="1400" spans="1:12" ht="15.75" customHeight="1" x14ac:dyDescent="0.3">
      <c r="A1400" s="10" t="s">
        <v>1878</v>
      </c>
      <c r="B1400" s="10">
        <v>42.85</v>
      </c>
      <c r="C1400" s="10">
        <v>5.81</v>
      </c>
      <c r="D1400" s="10" t="s">
        <v>4685</v>
      </c>
      <c r="E1400" s="10" t="s">
        <v>4684</v>
      </c>
      <c r="F1400" s="10" t="s">
        <v>4683</v>
      </c>
      <c r="G1400" s="10" t="s">
        <v>4683</v>
      </c>
      <c r="H1400" s="14">
        <v>0</v>
      </c>
      <c r="I1400" s="10" t="s">
        <v>4683</v>
      </c>
      <c r="J1400" s="10" t="str">
        <f t="shared" si="6"/>
        <v>normalweight</v>
      </c>
      <c r="L1400" s="30" t="e">
        <v>#N/A</v>
      </c>
    </row>
    <row r="1401" spans="1:12" ht="15.75" customHeight="1" x14ac:dyDescent="0.3">
      <c r="A1401" s="10" t="s">
        <v>1876</v>
      </c>
      <c r="B1401" s="10">
        <v>32.340000000000003</v>
      </c>
      <c r="C1401" s="10">
        <v>11.2</v>
      </c>
      <c r="D1401" s="16" t="s">
        <v>4682</v>
      </c>
      <c r="E1401" s="10" t="s">
        <v>4683</v>
      </c>
      <c r="F1401" s="10" t="s">
        <v>4683</v>
      </c>
      <c r="G1401" s="10" t="s">
        <v>4683</v>
      </c>
      <c r="H1401" s="14">
        <v>0</v>
      </c>
      <c r="I1401" s="10" t="s">
        <v>4683</v>
      </c>
      <c r="J1401" s="10" t="str">
        <f t="shared" si="6"/>
        <v>normalweight</v>
      </c>
      <c r="L1401" s="30" t="e">
        <v>#N/A</v>
      </c>
    </row>
    <row r="1402" spans="1:12" ht="15.75" customHeight="1" x14ac:dyDescent="0.3">
      <c r="A1402" s="10" t="s">
        <v>1874</v>
      </c>
      <c r="B1402" s="10">
        <v>27.5</v>
      </c>
      <c r="C1402" s="10">
        <v>10.75</v>
      </c>
      <c r="D1402" s="16" t="s">
        <v>4682</v>
      </c>
      <c r="E1402" s="10" t="s">
        <v>4683</v>
      </c>
      <c r="F1402" s="10" t="s">
        <v>4683</v>
      </c>
      <c r="G1402" s="10" t="s">
        <v>4683</v>
      </c>
      <c r="H1402" s="14">
        <v>0</v>
      </c>
      <c r="I1402" s="10" t="s">
        <v>4683</v>
      </c>
      <c r="J1402" s="10" t="str">
        <f t="shared" si="6"/>
        <v>normalweight</v>
      </c>
      <c r="L1402" s="30" t="e">
        <v>#N/A</v>
      </c>
    </row>
    <row r="1403" spans="1:12" ht="15.75" customHeight="1" x14ac:dyDescent="0.3">
      <c r="A1403" s="10" t="s">
        <v>1872</v>
      </c>
      <c r="B1403" s="10">
        <v>25.8</v>
      </c>
      <c r="C1403" s="10">
        <v>7.8</v>
      </c>
      <c r="D1403" s="16" t="s">
        <v>4682</v>
      </c>
      <c r="E1403" s="10" t="s">
        <v>4683</v>
      </c>
      <c r="F1403" s="10" t="s">
        <v>4683</v>
      </c>
      <c r="G1403" s="10" t="s">
        <v>4683</v>
      </c>
      <c r="H1403" s="14">
        <v>0</v>
      </c>
      <c r="I1403" s="10" t="s">
        <v>4683</v>
      </c>
      <c r="J1403" s="10" t="str">
        <f t="shared" si="6"/>
        <v>normalweight</v>
      </c>
      <c r="L1403" s="30" t="e">
        <v>#N/A</v>
      </c>
    </row>
    <row r="1404" spans="1:12" ht="15.75" customHeight="1" x14ac:dyDescent="0.3">
      <c r="A1404" s="10" t="s">
        <v>1870</v>
      </c>
      <c r="B1404" s="10">
        <v>25</v>
      </c>
      <c r="C1404" s="10">
        <v>7.04</v>
      </c>
      <c r="D1404" s="16" t="s">
        <v>4682</v>
      </c>
      <c r="E1404" s="10" t="s">
        <v>4683</v>
      </c>
      <c r="F1404" s="10" t="s">
        <v>4683</v>
      </c>
      <c r="G1404" s="10" t="s">
        <v>4683</v>
      </c>
      <c r="H1404" s="14">
        <v>0</v>
      </c>
      <c r="I1404" s="10" t="s">
        <v>4683</v>
      </c>
      <c r="J1404" s="10" t="str">
        <f t="shared" si="6"/>
        <v>normalweight</v>
      </c>
      <c r="L1404" s="30" t="e">
        <v>#N/A</v>
      </c>
    </row>
    <row r="1405" spans="1:12" ht="15.75" customHeight="1" x14ac:dyDescent="0.3">
      <c r="A1405" s="10" t="s">
        <v>1868</v>
      </c>
      <c r="B1405" s="10">
        <v>41.2</v>
      </c>
      <c r="C1405" s="10">
        <v>4.18</v>
      </c>
      <c r="D1405" s="10" t="s">
        <v>4685</v>
      </c>
      <c r="E1405" s="10" t="s">
        <v>4684</v>
      </c>
      <c r="F1405" s="10" t="s">
        <v>4683</v>
      </c>
      <c r="G1405" s="10" t="s">
        <v>4683</v>
      </c>
      <c r="H1405" s="14">
        <v>0</v>
      </c>
      <c r="I1405" s="10" t="s">
        <v>4683</v>
      </c>
      <c r="J1405" s="10" t="str">
        <f t="shared" si="6"/>
        <v>normalweight</v>
      </c>
      <c r="L1405" s="30" t="e">
        <v>#N/A</v>
      </c>
    </row>
    <row r="1406" spans="1:12" ht="15.75" customHeight="1" x14ac:dyDescent="0.3">
      <c r="A1406" s="10" t="s">
        <v>1866</v>
      </c>
      <c r="B1406" s="10">
        <v>17.78</v>
      </c>
      <c r="C1406" s="10">
        <v>8.19</v>
      </c>
      <c r="D1406" s="16" t="s">
        <v>4682</v>
      </c>
      <c r="E1406" s="10" t="s">
        <v>4683</v>
      </c>
      <c r="F1406" s="10" t="s">
        <v>4683</v>
      </c>
      <c r="G1406" s="10" t="s">
        <v>4683</v>
      </c>
      <c r="H1406" s="14">
        <v>0</v>
      </c>
      <c r="I1406" s="10" t="s">
        <v>4683</v>
      </c>
      <c r="J1406" s="10" t="str">
        <f t="shared" si="6"/>
        <v>underweight</v>
      </c>
      <c r="L1406" s="30" t="e">
        <v>#N/A</v>
      </c>
    </row>
    <row r="1407" spans="1:12" ht="15.75" customHeight="1" x14ac:dyDescent="0.3">
      <c r="A1407" s="10" t="s">
        <v>1864</v>
      </c>
      <c r="B1407" s="10">
        <v>40.119999999999997</v>
      </c>
      <c r="C1407" s="10">
        <v>6.22</v>
      </c>
      <c r="D1407" s="10" t="s">
        <v>4685</v>
      </c>
      <c r="E1407" s="10" t="s">
        <v>4684</v>
      </c>
      <c r="F1407" s="10" t="s">
        <v>4683</v>
      </c>
      <c r="G1407" s="10" t="s">
        <v>4686</v>
      </c>
      <c r="H1407" s="14">
        <v>1</v>
      </c>
      <c r="I1407" s="10" t="s">
        <v>4683</v>
      </c>
      <c r="J1407" s="10" t="str">
        <f t="shared" si="6"/>
        <v>normalweight</v>
      </c>
      <c r="L1407" s="30" t="e">
        <v>#N/A</v>
      </c>
    </row>
    <row r="1408" spans="1:12" ht="15.75" customHeight="1" x14ac:dyDescent="0.3">
      <c r="A1408" s="10" t="s">
        <v>1862</v>
      </c>
      <c r="B1408" s="10">
        <v>19.350000000000001</v>
      </c>
      <c r="C1408" s="10">
        <v>8.2200000000000006</v>
      </c>
      <c r="D1408" s="16" t="s">
        <v>4682</v>
      </c>
      <c r="E1408" s="10" t="s">
        <v>4684</v>
      </c>
      <c r="F1408" s="10" t="s">
        <v>4683</v>
      </c>
      <c r="G1408" s="10" t="s">
        <v>4683</v>
      </c>
      <c r="H1408" s="14">
        <v>0</v>
      </c>
      <c r="I1408" s="10" t="s">
        <v>4683</v>
      </c>
      <c r="J1408" s="10" t="str">
        <f t="shared" si="6"/>
        <v>normalweight</v>
      </c>
      <c r="L1408" s="30" t="e">
        <v>#N/A</v>
      </c>
    </row>
    <row r="1409" spans="1:12" ht="15.75" customHeight="1" x14ac:dyDescent="0.3">
      <c r="A1409" s="10" t="s">
        <v>1860</v>
      </c>
      <c r="B1409" s="10">
        <v>36.69</v>
      </c>
      <c r="C1409" s="10">
        <v>6.15</v>
      </c>
      <c r="D1409" s="10" t="s">
        <v>4685</v>
      </c>
      <c r="E1409" s="10" t="s">
        <v>4683</v>
      </c>
      <c r="F1409" s="10" t="s">
        <v>4683</v>
      </c>
      <c r="G1409" s="10" t="s">
        <v>4683</v>
      </c>
      <c r="H1409" s="14">
        <v>0</v>
      </c>
      <c r="I1409" s="10" t="s">
        <v>4683</v>
      </c>
      <c r="J1409" s="10" t="str">
        <f t="shared" si="6"/>
        <v>normalweight</v>
      </c>
      <c r="L1409" s="30" t="e">
        <v>#N/A</v>
      </c>
    </row>
    <row r="1410" spans="1:12" ht="15.75" customHeight="1" x14ac:dyDescent="0.3">
      <c r="A1410" s="10" t="s">
        <v>1858</v>
      </c>
      <c r="B1410" s="10">
        <v>28.51</v>
      </c>
      <c r="C1410" s="10">
        <v>5.65</v>
      </c>
      <c r="D1410" s="10" t="s">
        <v>4685</v>
      </c>
      <c r="E1410" s="10" t="s">
        <v>4684</v>
      </c>
      <c r="F1410" s="10" t="s">
        <v>4683</v>
      </c>
      <c r="G1410" s="10" t="s">
        <v>4683</v>
      </c>
      <c r="H1410" s="14">
        <v>1</v>
      </c>
      <c r="I1410" s="10" t="s">
        <v>4683</v>
      </c>
      <c r="J1410" s="10" t="str">
        <f t="shared" si="6"/>
        <v>normalweight</v>
      </c>
      <c r="L1410" s="30" t="e">
        <v>#N/A</v>
      </c>
    </row>
    <row r="1411" spans="1:12" ht="15.75" customHeight="1" x14ac:dyDescent="0.3">
      <c r="A1411" s="10" t="s">
        <v>1856</v>
      </c>
      <c r="B1411" s="10">
        <v>30.21</v>
      </c>
      <c r="C1411" s="10">
        <v>5.5</v>
      </c>
      <c r="D1411" s="10" t="s">
        <v>4685</v>
      </c>
      <c r="E1411" s="10" t="s">
        <v>4683</v>
      </c>
      <c r="F1411" s="10" t="s">
        <v>4683</v>
      </c>
      <c r="G1411" s="10" t="s">
        <v>4683</v>
      </c>
      <c r="H1411" s="14">
        <v>1</v>
      </c>
      <c r="I1411" s="10" t="s">
        <v>4683</v>
      </c>
      <c r="J1411" s="10" t="str">
        <f t="shared" si="6"/>
        <v>normalweight</v>
      </c>
      <c r="L1411" s="30" t="e">
        <v>#N/A</v>
      </c>
    </row>
    <row r="1412" spans="1:12" ht="15.75" customHeight="1" x14ac:dyDescent="0.3">
      <c r="A1412" s="10" t="s">
        <v>1854</v>
      </c>
      <c r="B1412" s="10">
        <v>24.33</v>
      </c>
      <c r="C1412" s="10">
        <v>8</v>
      </c>
      <c r="D1412" s="16" t="s">
        <v>4682</v>
      </c>
      <c r="E1412" s="10" t="s">
        <v>4683</v>
      </c>
      <c r="F1412" s="10" t="s">
        <v>4683</v>
      </c>
      <c r="G1412" s="10" t="s">
        <v>4683</v>
      </c>
      <c r="H1412" s="14">
        <v>0</v>
      </c>
      <c r="I1412" s="10" t="s">
        <v>4683</v>
      </c>
      <c r="J1412" s="10" t="str">
        <f t="shared" si="6"/>
        <v>normalweight</v>
      </c>
      <c r="L1412" s="30" t="e">
        <v>#N/A</v>
      </c>
    </row>
    <row r="1413" spans="1:12" ht="15.75" customHeight="1" x14ac:dyDescent="0.3">
      <c r="A1413" s="10" t="s">
        <v>1852</v>
      </c>
      <c r="B1413" s="10">
        <v>19.855</v>
      </c>
      <c r="C1413" s="10">
        <v>5.71</v>
      </c>
      <c r="D1413" s="10" t="s">
        <v>4685</v>
      </c>
      <c r="E1413" s="10" t="s">
        <v>4684</v>
      </c>
      <c r="F1413" s="10" t="s">
        <v>4683</v>
      </c>
      <c r="G1413" s="10" t="s">
        <v>4683</v>
      </c>
      <c r="H1413" s="14">
        <v>0</v>
      </c>
      <c r="I1413" s="10" t="s">
        <v>4683</v>
      </c>
      <c r="J1413" s="10" t="str">
        <f t="shared" si="6"/>
        <v>normalweight</v>
      </c>
      <c r="L1413" s="30" t="e">
        <v>#N/A</v>
      </c>
    </row>
    <row r="1414" spans="1:12" ht="15.75" customHeight="1" x14ac:dyDescent="0.3">
      <c r="A1414" s="10" t="s">
        <v>1850</v>
      </c>
      <c r="B1414" s="10">
        <v>25.364999999999998</v>
      </c>
      <c r="C1414" s="10">
        <v>11.71</v>
      </c>
      <c r="D1414" s="16" t="s">
        <v>4682</v>
      </c>
      <c r="E1414" s="10" t="s">
        <v>4683</v>
      </c>
      <c r="F1414" s="10" t="s">
        <v>4683</v>
      </c>
      <c r="G1414" s="10" t="s">
        <v>4683</v>
      </c>
      <c r="H1414" s="14">
        <v>0</v>
      </c>
      <c r="I1414" s="10" t="s">
        <v>4683</v>
      </c>
      <c r="J1414" s="10" t="str">
        <f t="shared" si="6"/>
        <v>normalweight</v>
      </c>
      <c r="L1414" s="30" t="e">
        <v>#N/A</v>
      </c>
    </row>
    <row r="1415" spans="1:12" ht="15.75" customHeight="1" x14ac:dyDescent="0.3">
      <c r="A1415" s="10" t="s">
        <v>1848</v>
      </c>
      <c r="B1415" s="10">
        <v>29.6</v>
      </c>
      <c r="C1415" s="10">
        <v>6.17</v>
      </c>
      <c r="D1415" s="10" t="s">
        <v>4685</v>
      </c>
      <c r="E1415" s="10" t="s">
        <v>4684</v>
      </c>
      <c r="F1415" s="10" t="s">
        <v>4683</v>
      </c>
      <c r="G1415" s="10" t="s">
        <v>4686</v>
      </c>
      <c r="H1415" s="14">
        <v>1</v>
      </c>
      <c r="I1415" s="10" t="s">
        <v>4683</v>
      </c>
      <c r="J1415" s="10" t="str">
        <f t="shared" si="6"/>
        <v>normalweight</v>
      </c>
      <c r="L1415" s="30" t="e">
        <v>#N/A</v>
      </c>
    </row>
    <row r="1416" spans="1:12" ht="15.75" customHeight="1" x14ac:dyDescent="0.3">
      <c r="A1416" s="10" t="s">
        <v>1846</v>
      </c>
      <c r="B1416" s="10">
        <v>39.43</v>
      </c>
      <c r="C1416" s="10">
        <v>6.1</v>
      </c>
      <c r="D1416" s="10" t="s">
        <v>4685</v>
      </c>
      <c r="E1416" s="10" t="s">
        <v>4684</v>
      </c>
      <c r="F1416" s="10" t="s">
        <v>4683</v>
      </c>
      <c r="G1416" s="10" t="s">
        <v>4686</v>
      </c>
      <c r="H1416" s="14">
        <v>1</v>
      </c>
      <c r="I1416" s="10" t="s">
        <v>4683</v>
      </c>
      <c r="J1416" s="10" t="str">
        <f t="shared" si="6"/>
        <v>normalweight</v>
      </c>
      <c r="L1416" s="30" t="e">
        <v>#N/A</v>
      </c>
    </row>
    <row r="1417" spans="1:12" ht="15.75" customHeight="1" x14ac:dyDescent="0.3">
      <c r="A1417" s="10" t="s">
        <v>1844</v>
      </c>
      <c r="B1417" s="10">
        <v>27.34</v>
      </c>
      <c r="C1417" s="10">
        <v>5.19</v>
      </c>
      <c r="D1417" s="10" t="s">
        <v>4685</v>
      </c>
      <c r="E1417" s="10" t="s">
        <v>4684</v>
      </c>
      <c r="F1417" s="10" t="s">
        <v>4683</v>
      </c>
      <c r="G1417" s="10" t="s">
        <v>4683</v>
      </c>
      <c r="H1417" s="14">
        <v>1</v>
      </c>
      <c r="I1417" s="10" t="s">
        <v>4683</v>
      </c>
      <c r="J1417" s="10" t="str">
        <f t="shared" si="6"/>
        <v>normalweight</v>
      </c>
      <c r="L1417" s="30" t="e">
        <v>#N/A</v>
      </c>
    </row>
    <row r="1418" spans="1:12" ht="15.75" customHeight="1" x14ac:dyDescent="0.3">
      <c r="A1418" s="10" t="s">
        <v>1842</v>
      </c>
      <c r="B1418" s="10">
        <v>39.01</v>
      </c>
      <c r="C1418" s="10">
        <v>5.37</v>
      </c>
      <c r="D1418" s="10" t="s">
        <v>4685</v>
      </c>
      <c r="E1418" s="10" t="s">
        <v>4684</v>
      </c>
      <c r="F1418" s="10" t="s">
        <v>4683</v>
      </c>
      <c r="G1418" s="10" t="s">
        <v>4683</v>
      </c>
      <c r="H1418" s="14">
        <v>0</v>
      </c>
      <c r="I1418" s="10" t="s">
        <v>4683</v>
      </c>
      <c r="J1418" s="10" t="str">
        <f t="shared" si="6"/>
        <v>normalweight</v>
      </c>
      <c r="L1418" s="30" t="e">
        <v>#N/A</v>
      </c>
    </row>
    <row r="1419" spans="1:12" ht="15.75" customHeight="1" x14ac:dyDescent="0.3">
      <c r="A1419" s="10" t="s">
        <v>1840</v>
      </c>
      <c r="B1419" s="10">
        <v>18.989999999999998</v>
      </c>
      <c r="C1419" s="10">
        <v>10.82</v>
      </c>
      <c r="D1419" s="16" t="s">
        <v>4682</v>
      </c>
      <c r="E1419" s="10" t="s">
        <v>4684</v>
      </c>
      <c r="F1419" s="10" t="s">
        <v>4683</v>
      </c>
      <c r="G1419" s="10" t="s">
        <v>4683</v>
      </c>
      <c r="H1419" s="14">
        <v>0</v>
      </c>
      <c r="I1419" s="10" t="s">
        <v>4683</v>
      </c>
      <c r="J1419" s="10" t="str">
        <f t="shared" si="6"/>
        <v>normalweight</v>
      </c>
      <c r="L1419" s="30" t="e">
        <v>#N/A</v>
      </c>
    </row>
    <row r="1420" spans="1:12" ht="15.75" customHeight="1" x14ac:dyDescent="0.3">
      <c r="A1420" s="10" t="s">
        <v>1838</v>
      </c>
      <c r="B1420" s="10">
        <v>42.3</v>
      </c>
      <c r="C1420" s="10">
        <v>6.06</v>
      </c>
      <c r="D1420" s="10" t="s">
        <v>4685</v>
      </c>
      <c r="E1420" s="10" t="s">
        <v>4684</v>
      </c>
      <c r="F1420" s="10" t="s">
        <v>4683</v>
      </c>
      <c r="G1420" s="10" t="s">
        <v>4683</v>
      </c>
      <c r="H1420" s="14">
        <v>0</v>
      </c>
      <c r="I1420" s="10" t="s">
        <v>4683</v>
      </c>
      <c r="J1420" s="10" t="str">
        <f t="shared" si="6"/>
        <v>normalweight</v>
      </c>
      <c r="L1420" s="30" t="e">
        <v>#N/A</v>
      </c>
    </row>
    <row r="1421" spans="1:12" ht="15.75" customHeight="1" x14ac:dyDescent="0.3">
      <c r="A1421" s="10" t="s">
        <v>1836</v>
      </c>
      <c r="B1421" s="10">
        <v>39.805</v>
      </c>
      <c r="C1421" s="10">
        <v>5.91</v>
      </c>
      <c r="D1421" s="10" t="s">
        <v>4685</v>
      </c>
      <c r="E1421" s="10" t="s">
        <v>4683</v>
      </c>
      <c r="F1421" s="10" t="s">
        <v>4683</v>
      </c>
      <c r="G1421" s="10" t="s">
        <v>4683</v>
      </c>
      <c r="H1421" s="14">
        <v>0</v>
      </c>
      <c r="I1421" s="10" t="s">
        <v>4683</v>
      </c>
      <c r="J1421" s="10" t="str">
        <f t="shared" si="6"/>
        <v>normalweight</v>
      </c>
      <c r="L1421" s="30" t="e">
        <v>#N/A</v>
      </c>
    </row>
    <row r="1422" spans="1:12" ht="15.75" customHeight="1" x14ac:dyDescent="0.3">
      <c r="A1422" s="10" t="s">
        <v>1834</v>
      </c>
      <c r="B1422" s="10">
        <v>33.700000000000003</v>
      </c>
      <c r="C1422" s="10">
        <v>5.87</v>
      </c>
      <c r="D1422" s="10" t="s">
        <v>4685</v>
      </c>
      <c r="E1422" s="10" t="s">
        <v>4683</v>
      </c>
      <c r="F1422" s="10" t="s">
        <v>4683</v>
      </c>
      <c r="G1422" s="10" t="s">
        <v>4683</v>
      </c>
      <c r="H1422" s="14">
        <v>0</v>
      </c>
      <c r="I1422" s="10" t="s">
        <v>4683</v>
      </c>
      <c r="J1422" s="10" t="str">
        <f t="shared" si="6"/>
        <v>normalweight</v>
      </c>
      <c r="L1422" s="30" t="e">
        <v>#N/A</v>
      </c>
    </row>
    <row r="1423" spans="1:12" ht="15.75" customHeight="1" x14ac:dyDescent="0.3">
      <c r="A1423" s="10" t="s">
        <v>1832</v>
      </c>
      <c r="B1423" s="10">
        <v>36.195</v>
      </c>
      <c r="C1423" s="10">
        <v>6.22</v>
      </c>
      <c r="D1423" s="10" t="s">
        <v>4685</v>
      </c>
      <c r="E1423" s="10" t="s">
        <v>4683</v>
      </c>
      <c r="F1423" s="10" t="s">
        <v>4683</v>
      </c>
      <c r="G1423" s="10" t="s">
        <v>4683</v>
      </c>
      <c r="H1423" s="14">
        <v>0</v>
      </c>
      <c r="I1423" s="10" t="s">
        <v>4683</v>
      </c>
      <c r="J1423" s="10" t="str">
        <f t="shared" si="6"/>
        <v>normalweight</v>
      </c>
      <c r="L1423" s="30" t="e">
        <v>#N/A</v>
      </c>
    </row>
    <row r="1424" spans="1:12" ht="15.75" customHeight="1" x14ac:dyDescent="0.3">
      <c r="A1424" s="10" t="s">
        <v>1830</v>
      </c>
      <c r="B1424" s="10">
        <v>32.6</v>
      </c>
      <c r="C1424" s="10">
        <v>5.73</v>
      </c>
      <c r="D1424" s="10" t="s">
        <v>4685</v>
      </c>
      <c r="E1424" s="10" t="s">
        <v>4683</v>
      </c>
      <c r="F1424" s="10" t="s">
        <v>4683</v>
      </c>
      <c r="G1424" s="10" t="s">
        <v>4686</v>
      </c>
      <c r="H1424" s="14">
        <v>1</v>
      </c>
      <c r="I1424" s="10" t="s">
        <v>4683</v>
      </c>
      <c r="J1424" s="10" t="str">
        <f t="shared" si="6"/>
        <v>normalweight</v>
      </c>
      <c r="L1424" s="30" t="e">
        <v>#N/A</v>
      </c>
    </row>
    <row r="1425" spans="1:12" ht="15.75" customHeight="1" x14ac:dyDescent="0.3">
      <c r="A1425" s="10" t="s">
        <v>1828</v>
      </c>
      <c r="B1425" s="10">
        <v>30.2</v>
      </c>
      <c r="C1425" s="10">
        <v>5.7</v>
      </c>
      <c r="D1425" s="10" t="s">
        <v>4685</v>
      </c>
      <c r="E1425" s="10" t="s">
        <v>4683</v>
      </c>
      <c r="F1425" s="10" t="s">
        <v>4683</v>
      </c>
      <c r="G1425" s="10" t="s">
        <v>4683</v>
      </c>
      <c r="H1425" s="14">
        <v>0</v>
      </c>
      <c r="I1425" s="10" t="s">
        <v>4683</v>
      </c>
      <c r="J1425" s="10" t="str">
        <f t="shared" si="6"/>
        <v>normalweight</v>
      </c>
      <c r="L1425" s="30" t="e">
        <v>#N/A</v>
      </c>
    </row>
    <row r="1426" spans="1:12" ht="15.75" customHeight="1" x14ac:dyDescent="0.3">
      <c r="A1426" s="10" t="s">
        <v>1826</v>
      </c>
      <c r="B1426" s="10">
        <v>27.645</v>
      </c>
      <c r="C1426" s="10">
        <v>9.91</v>
      </c>
      <c r="D1426" s="16" t="s">
        <v>4682</v>
      </c>
      <c r="E1426" s="10" t="s">
        <v>4683</v>
      </c>
      <c r="F1426" s="10" t="s">
        <v>4683</v>
      </c>
      <c r="G1426" s="10" t="s">
        <v>4683</v>
      </c>
      <c r="H1426" s="14">
        <v>0</v>
      </c>
      <c r="I1426" s="10" t="s">
        <v>4683</v>
      </c>
      <c r="J1426" s="10" t="str">
        <f t="shared" si="6"/>
        <v>normalweight</v>
      </c>
      <c r="L1426" s="30" t="e">
        <v>#N/A</v>
      </c>
    </row>
    <row r="1427" spans="1:12" ht="15.75" customHeight="1" x14ac:dyDescent="0.3">
      <c r="A1427" s="10" t="s">
        <v>1824</v>
      </c>
      <c r="B1427" s="10">
        <v>26.41</v>
      </c>
      <c r="C1427" s="10">
        <v>11.4</v>
      </c>
      <c r="D1427" s="16" t="s">
        <v>4682</v>
      </c>
      <c r="E1427" s="10" t="s">
        <v>4683</v>
      </c>
      <c r="F1427" s="10" t="s">
        <v>4683</v>
      </c>
      <c r="G1427" s="10" t="s">
        <v>4683</v>
      </c>
      <c r="H1427" s="14">
        <v>0</v>
      </c>
      <c r="I1427" s="10" t="s">
        <v>4683</v>
      </c>
      <c r="J1427" s="10" t="str">
        <f t="shared" si="6"/>
        <v>normalweight</v>
      </c>
      <c r="L1427" s="30" t="e">
        <v>#N/A</v>
      </c>
    </row>
    <row r="1428" spans="1:12" ht="15.75" customHeight="1" x14ac:dyDescent="0.3">
      <c r="A1428" s="10" t="s">
        <v>1822</v>
      </c>
      <c r="B1428" s="10">
        <v>34.1</v>
      </c>
      <c r="C1428" s="10">
        <v>6.29</v>
      </c>
      <c r="D1428" s="10" t="s">
        <v>4685</v>
      </c>
      <c r="E1428" s="10" t="s">
        <v>4684</v>
      </c>
      <c r="F1428" s="10" t="s">
        <v>4683</v>
      </c>
      <c r="G1428" s="10" t="s">
        <v>4686</v>
      </c>
      <c r="H1428" s="14">
        <v>1</v>
      </c>
      <c r="I1428" s="10" t="s">
        <v>4683</v>
      </c>
      <c r="J1428" s="10" t="str">
        <f t="shared" si="6"/>
        <v>normalweight</v>
      </c>
      <c r="L1428" s="30" t="e">
        <v>#N/A</v>
      </c>
    </row>
    <row r="1429" spans="1:12" ht="15.75" customHeight="1" x14ac:dyDescent="0.3">
      <c r="A1429" s="10" t="s">
        <v>1820</v>
      </c>
      <c r="B1429" s="10">
        <v>17.3</v>
      </c>
      <c r="C1429" s="10">
        <v>9.2799999999999994</v>
      </c>
      <c r="D1429" s="16" t="s">
        <v>4682</v>
      </c>
      <c r="E1429" s="10" t="s">
        <v>4683</v>
      </c>
      <c r="F1429" s="10" t="s">
        <v>4683</v>
      </c>
      <c r="G1429" s="10" t="s">
        <v>4683</v>
      </c>
      <c r="H1429" s="14">
        <v>0</v>
      </c>
      <c r="I1429" s="10" t="s">
        <v>4683</v>
      </c>
      <c r="J1429" s="10" t="str">
        <f t="shared" si="6"/>
        <v>underweight</v>
      </c>
      <c r="L1429" s="30" t="e">
        <v>#N/A</v>
      </c>
    </row>
    <row r="1430" spans="1:12" ht="15.75" customHeight="1" x14ac:dyDescent="0.3">
      <c r="A1430" s="10" t="s">
        <v>1818</v>
      </c>
      <c r="B1430" s="10">
        <v>35.020000000000003</v>
      </c>
      <c r="C1430" s="10">
        <v>4.78</v>
      </c>
      <c r="D1430" s="10" t="s">
        <v>4685</v>
      </c>
      <c r="E1430" s="10" t="s">
        <v>4683</v>
      </c>
      <c r="F1430" s="10" t="s">
        <v>4683</v>
      </c>
      <c r="G1430" s="10" t="s">
        <v>4686</v>
      </c>
      <c r="H1430" s="14">
        <v>1</v>
      </c>
      <c r="I1430" s="10" t="s">
        <v>4683</v>
      </c>
      <c r="J1430" s="10" t="str">
        <f t="shared" si="6"/>
        <v>normalweight</v>
      </c>
      <c r="L1430" s="30" t="e">
        <v>#N/A</v>
      </c>
    </row>
    <row r="1431" spans="1:12" ht="15.75" customHeight="1" x14ac:dyDescent="0.3">
      <c r="A1431" s="10" t="s">
        <v>1816</v>
      </c>
      <c r="B1431" s="10">
        <v>37.1</v>
      </c>
      <c r="C1431" s="10">
        <v>8.8699999999999992</v>
      </c>
      <c r="D1431" s="16" t="s">
        <v>4682</v>
      </c>
      <c r="E1431" s="10" t="s">
        <v>4684</v>
      </c>
      <c r="F1431" s="10" t="s">
        <v>4683</v>
      </c>
      <c r="G1431" s="10" t="s">
        <v>4683</v>
      </c>
      <c r="H1431" s="14">
        <v>0</v>
      </c>
      <c r="I1431" s="10" t="s">
        <v>4683</v>
      </c>
      <c r="J1431" s="10" t="str">
        <f t="shared" si="6"/>
        <v>normalweight</v>
      </c>
      <c r="L1431" s="30" t="e">
        <v>#N/A</v>
      </c>
    </row>
    <row r="1432" spans="1:12" ht="15.75" customHeight="1" x14ac:dyDescent="0.3">
      <c r="A1432" s="10" t="s">
        <v>1814</v>
      </c>
      <c r="B1432" s="10">
        <v>16.79</v>
      </c>
      <c r="C1432" s="10">
        <v>11.4</v>
      </c>
      <c r="D1432" s="16" t="s">
        <v>4682</v>
      </c>
      <c r="E1432" s="10" t="s">
        <v>4683</v>
      </c>
      <c r="F1432" s="10" t="s">
        <v>4683</v>
      </c>
      <c r="G1432" s="10" t="s">
        <v>4683</v>
      </c>
      <c r="H1432" s="14">
        <v>0</v>
      </c>
      <c r="I1432" s="10" t="s">
        <v>4683</v>
      </c>
      <c r="J1432" s="10" t="str">
        <f t="shared" si="6"/>
        <v>underweight</v>
      </c>
      <c r="L1432" s="30" t="e">
        <v>#N/A</v>
      </c>
    </row>
    <row r="1433" spans="1:12" ht="15.75" customHeight="1" x14ac:dyDescent="0.3">
      <c r="A1433" s="10" t="s">
        <v>1812</v>
      </c>
      <c r="B1433" s="10">
        <v>31.635000000000002</v>
      </c>
      <c r="C1433" s="10">
        <v>9.1300000000000008</v>
      </c>
      <c r="D1433" s="16" t="s">
        <v>4682</v>
      </c>
      <c r="E1433" s="10" t="s">
        <v>4684</v>
      </c>
      <c r="F1433" s="10" t="s">
        <v>4683</v>
      </c>
      <c r="G1433" s="10" t="s">
        <v>4683</v>
      </c>
      <c r="H1433" s="14">
        <v>0</v>
      </c>
      <c r="I1433" s="10" t="s">
        <v>4683</v>
      </c>
      <c r="J1433" s="10" t="str">
        <f t="shared" si="6"/>
        <v>normalweight</v>
      </c>
      <c r="L1433" s="30" t="e">
        <v>#N/A</v>
      </c>
    </row>
    <row r="1434" spans="1:12" ht="15.75" customHeight="1" x14ac:dyDescent="0.3">
      <c r="A1434" s="10" t="s">
        <v>1810</v>
      </c>
      <c r="B1434" s="10">
        <v>24.19</v>
      </c>
      <c r="C1434" s="10">
        <v>6.22</v>
      </c>
      <c r="D1434" s="10" t="s">
        <v>4685</v>
      </c>
      <c r="E1434" s="10" t="s">
        <v>4684</v>
      </c>
      <c r="F1434" s="10" t="s">
        <v>4683</v>
      </c>
      <c r="G1434" s="10" t="s">
        <v>4686</v>
      </c>
      <c r="H1434" s="14">
        <v>1</v>
      </c>
      <c r="I1434" s="10" t="s">
        <v>4683</v>
      </c>
      <c r="J1434" s="10" t="str">
        <f t="shared" si="6"/>
        <v>normalweight</v>
      </c>
      <c r="L1434" s="30" t="e">
        <v>#N/A</v>
      </c>
    </row>
    <row r="1435" spans="1:12" ht="15.75" customHeight="1" x14ac:dyDescent="0.3">
      <c r="A1435" s="10" t="s">
        <v>1808</v>
      </c>
      <c r="B1435" s="10">
        <v>35.29</v>
      </c>
      <c r="C1435" s="10">
        <v>5.9</v>
      </c>
      <c r="D1435" s="10" t="s">
        <v>4685</v>
      </c>
      <c r="E1435" s="10" t="s">
        <v>4683</v>
      </c>
      <c r="F1435" s="10" t="s">
        <v>4683</v>
      </c>
      <c r="G1435" s="10" t="s">
        <v>4686</v>
      </c>
      <c r="H1435" s="14">
        <v>1</v>
      </c>
      <c r="I1435" s="10" t="s">
        <v>4683</v>
      </c>
      <c r="J1435" s="10" t="str">
        <f t="shared" si="6"/>
        <v>normalweight</v>
      </c>
      <c r="L1435" s="30" t="e">
        <v>#N/A</v>
      </c>
    </row>
    <row r="1436" spans="1:12" ht="15.75" customHeight="1" x14ac:dyDescent="0.3">
      <c r="A1436" s="10" t="s">
        <v>1806</v>
      </c>
      <c r="B1436" s="10">
        <v>35.299999999999997</v>
      </c>
      <c r="C1436" s="10">
        <v>4.45</v>
      </c>
      <c r="D1436" s="10" t="s">
        <v>4685</v>
      </c>
      <c r="E1436" s="10" t="s">
        <v>4683</v>
      </c>
      <c r="F1436" s="10" t="s">
        <v>4683</v>
      </c>
      <c r="G1436" s="10" t="s">
        <v>4683</v>
      </c>
      <c r="H1436" s="14">
        <v>0</v>
      </c>
      <c r="I1436" s="10" t="s">
        <v>4683</v>
      </c>
      <c r="J1436" s="10" t="str">
        <f t="shared" si="6"/>
        <v>normalweight</v>
      </c>
      <c r="L1436" s="30" t="e">
        <v>#N/A</v>
      </c>
    </row>
    <row r="1437" spans="1:12" ht="15.75" customHeight="1" x14ac:dyDescent="0.3">
      <c r="A1437" s="10" t="s">
        <v>1804</v>
      </c>
      <c r="B1437" s="10">
        <v>35.64</v>
      </c>
      <c r="C1437" s="10">
        <v>6.17</v>
      </c>
      <c r="D1437" s="10" t="s">
        <v>4685</v>
      </c>
      <c r="E1437" s="10" t="s">
        <v>4683</v>
      </c>
      <c r="F1437" s="10" t="s">
        <v>4683</v>
      </c>
      <c r="G1437" s="10" t="s">
        <v>4686</v>
      </c>
      <c r="H1437" s="14">
        <v>1</v>
      </c>
      <c r="I1437" s="10" t="s">
        <v>4683</v>
      </c>
      <c r="J1437" s="10" t="str">
        <f t="shared" si="6"/>
        <v>normalweight</v>
      </c>
      <c r="L1437" s="30" t="e">
        <v>#N/A</v>
      </c>
    </row>
    <row r="1438" spans="1:12" ht="15.75" customHeight="1" x14ac:dyDescent="0.3">
      <c r="A1438" s="10" t="s">
        <v>1802</v>
      </c>
      <c r="B1438" s="10">
        <v>33.1</v>
      </c>
      <c r="C1438" s="10">
        <v>4.93</v>
      </c>
      <c r="D1438" s="10" t="s">
        <v>4685</v>
      </c>
      <c r="E1438" s="10" t="s">
        <v>4683</v>
      </c>
      <c r="F1438" s="10" t="s">
        <v>4683</v>
      </c>
      <c r="G1438" s="10" t="s">
        <v>4683</v>
      </c>
      <c r="H1438" s="14">
        <v>0</v>
      </c>
      <c r="I1438" s="10" t="s">
        <v>4683</v>
      </c>
      <c r="J1438" s="10" t="str">
        <f t="shared" si="6"/>
        <v>normalweight</v>
      </c>
      <c r="L1438" s="30" t="e">
        <v>#N/A</v>
      </c>
    </row>
    <row r="1439" spans="1:12" ht="15.75" customHeight="1" x14ac:dyDescent="0.3">
      <c r="A1439" s="10" t="s">
        <v>1800</v>
      </c>
      <c r="B1439" s="10">
        <v>26.41</v>
      </c>
      <c r="C1439" s="10">
        <v>7.32</v>
      </c>
      <c r="D1439" s="16" t="s">
        <v>4682</v>
      </c>
      <c r="E1439" s="10" t="s">
        <v>4684</v>
      </c>
      <c r="F1439" s="10" t="s">
        <v>4683</v>
      </c>
      <c r="G1439" s="10" t="s">
        <v>4683</v>
      </c>
      <c r="H1439" s="14">
        <v>1</v>
      </c>
      <c r="I1439" s="10" t="s">
        <v>4683</v>
      </c>
      <c r="J1439" s="10" t="str">
        <f t="shared" si="6"/>
        <v>normalweight</v>
      </c>
      <c r="L1439" s="30" t="e">
        <v>#N/A</v>
      </c>
    </row>
    <row r="1440" spans="1:12" ht="15.75" customHeight="1" x14ac:dyDescent="0.3">
      <c r="A1440" s="10" t="s">
        <v>1798</v>
      </c>
      <c r="B1440" s="10">
        <v>29.9</v>
      </c>
      <c r="C1440" s="10">
        <v>5.27</v>
      </c>
      <c r="D1440" s="10" t="s">
        <v>4685</v>
      </c>
      <c r="E1440" s="10" t="s">
        <v>4683</v>
      </c>
      <c r="F1440" s="10" t="s">
        <v>4683</v>
      </c>
      <c r="G1440" s="10" t="s">
        <v>4686</v>
      </c>
      <c r="H1440" s="14">
        <v>1</v>
      </c>
      <c r="I1440" s="10" t="s">
        <v>4683</v>
      </c>
      <c r="J1440" s="10" t="str">
        <f t="shared" si="6"/>
        <v>normalweight</v>
      </c>
      <c r="L1440" s="30" t="e">
        <v>#N/A</v>
      </c>
    </row>
    <row r="1441" spans="1:12" ht="15.75" customHeight="1" x14ac:dyDescent="0.3">
      <c r="A1441" s="10" t="s">
        <v>1796</v>
      </c>
      <c r="B1441" s="10">
        <v>25.24</v>
      </c>
      <c r="C1441" s="10">
        <v>5.82</v>
      </c>
      <c r="D1441" s="10" t="s">
        <v>4685</v>
      </c>
      <c r="E1441" s="10" t="s">
        <v>4683</v>
      </c>
      <c r="F1441" s="10" t="s">
        <v>4683</v>
      </c>
      <c r="G1441" s="10" t="s">
        <v>4683</v>
      </c>
      <c r="H1441" s="14">
        <v>1</v>
      </c>
      <c r="I1441" s="10" t="s">
        <v>4683</v>
      </c>
      <c r="J1441" s="10" t="str">
        <f t="shared" si="6"/>
        <v>normalweight</v>
      </c>
      <c r="L1441" s="30" t="e">
        <v>#N/A</v>
      </c>
    </row>
    <row r="1442" spans="1:12" ht="15.75" customHeight="1" x14ac:dyDescent="0.3">
      <c r="A1442" s="10" t="s">
        <v>1794</v>
      </c>
      <c r="B1442" s="10">
        <v>25.08</v>
      </c>
      <c r="C1442" s="10">
        <v>5.8</v>
      </c>
      <c r="D1442" s="10" t="s">
        <v>4685</v>
      </c>
      <c r="E1442" s="10" t="s">
        <v>4683</v>
      </c>
      <c r="F1442" s="10" t="s">
        <v>4683</v>
      </c>
      <c r="G1442" s="10" t="s">
        <v>4686</v>
      </c>
      <c r="H1442" s="14">
        <v>1</v>
      </c>
      <c r="I1442" s="10" t="s">
        <v>4683</v>
      </c>
      <c r="J1442" s="10" t="str">
        <f t="shared" si="6"/>
        <v>normalweight</v>
      </c>
      <c r="L1442" s="30" t="e">
        <v>#N/A</v>
      </c>
    </row>
    <row r="1443" spans="1:12" ht="15.75" customHeight="1" x14ac:dyDescent="0.3">
      <c r="A1443" s="10" t="s">
        <v>1792</v>
      </c>
      <c r="B1443" s="10">
        <v>29.164999999999999</v>
      </c>
      <c r="C1443" s="10">
        <v>4.87</v>
      </c>
      <c r="D1443" s="10" t="s">
        <v>4685</v>
      </c>
      <c r="E1443" s="10" t="s">
        <v>4683</v>
      </c>
      <c r="F1443" s="10" t="s">
        <v>4684</v>
      </c>
      <c r="G1443" s="10" t="s">
        <v>4683</v>
      </c>
      <c r="H1443" s="14">
        <v>1</v>
      </c>
      <c r="I1443" s="10" t="s">
        <v>4683</v>
      </c>
      <c r="J1443" s="10" t="str">
        <f t="shared" si="6"/>
        <v>normalweight</v>
      </c>
      <c r="L1443" s="30" t="e">
        <v>#N/A</v>
      </c>
    </row>
    <row r="1444" spans="1:12" ht="15.75" customHeight="1" x14ac:dyDescent="0.3">
      <c r="A1444" s="10" t="s">
        <v>1790</v>
      </c>
      <c r="B1444" s="10">
        <v>15.05</v>
      </c>
      <c r="C1444" s="10">
        <v>8.1199999999999992</v>
      </c>
      <c r="D1444" s="16" t="s">
        <v>4682</v>
      </c>
      <c r="E1444" s="10" t="s">
        <v>4683</v>
      </c>
      <c r="F1444" s="10" t="s">
        <v>4683</v>
      </c>
      <c r="G1444" s="10" t="s">
        <v>4683</v>
      </c>
      <c r="H1444" s="14">
        <v>0</v>
      </c>
      <c r="I1444" s="10" t="s">
        <v>4683</v>
      </c>
      <c r="J1444" s="10" t="str">
        <f t="shared" si="6"/>
        <v>underweight</v>
      </c>
      <c r="L1444" s="30" t="e">
        <v>#N/A</v>
      </c>
    </row>
    <row r="1445" spans="1:12" ht="15.75" customHeight="1" x14ac:dyDescent="0.3">
      <c r="A1445" s="10" t="s">
        <v>1788</v>
      </c>
      <c r="B1445" s="10">
        <v>19.95</v>
      </c>
      <c r="C1445" s="10">
        <v>4.3600000000000003</v>
      </c>
      <c r="D1445" s="10" t="s">
        <v>4685</v>
      </c>
      <c r="E1445" s="10" t="s">
        <v>4683</v>
      </c>
      <c r="F1445" s="10" t="s">
        <v>4683</v>
      </c>
      <c r="G1445" s="10" t="s">
        <v>4683</v>
      </c>
      <c r="H1445" s="14">
        <v>2</v>
      </c>
      <c r="I1445" s="10" t="s">
        <v>4683</v>
      </c>
      <c r="J1445" s="10" t="str">
        <f t="shared" si="6"/>
        <v>normalweight</v>
      </c>
      <c r="L1445" s="30" t="e">
        <v>#N/A</v>
      </c>
    </row>
    <row r="1446" spans="1:12" ht="15.75" customHeight="1" x14ac:dyDescent="0.3">
      <c r="A1446" s="10" t="s">
        <v>1786</v>
      </c>
      <c r="B1446" s="10">
        <v>16.66</v>
      </c>
      <c r="C1446" s="10">
        <v>9.16</v>
      </c>
      <c r="D1446" s="16" t="s">
        <v>4682</v>
      </c>
      <c r="E1446" s="10" t="s">
        <v>4683</v>
      </c>
      <c r="F1446" s="10" t="s">
        <v>4683</v>
      </c>
      <c r="G1446" s="10" t="s">
        <v>4683</v>
      </c>
      <c r="H1446" s="14">
        <v>0</v>
      </c>
      <c r="I1446" s="10" t="s">
        <v>4683</v>
      </c>
      <c r="J1446" s="10" t="str">
        <f t="shared" si="6"/>
        <v>underweight</v>
      </c>
      <c r="L1446" s="30" t="e">
        <v>#N/A</v>
      </c>
    </row>
    <row r="1447" spans="1:12" ht="15.75" customHeight="1" x14ac:dyDescent="0.3">
      <c r="A1447" s="10" t="s">
        <v>1784</v>
      </c>
      <c r="B1447" s="10">
        <v>16.62</v>
      </c>
      <c r="C1447" s="10">
        <v>9.14</v>
      </c>
      <c r="D1447" s="16" t="s">
        <v>4682</v>
      </c>
      <c r="E1447" s="10" t="s">
        <v>4683</v>
      </c>
      <c r="F1447" s="10" t="s">
        <v>4683</v>
      </c>
      <c r="G1447" s="10" t="s">
        <v>4683</v>
      </c>
      <c r="H1447" s="14">
        <v>0</v>
      </c>
      <c r="I1447" s="10" t="s">
        <v>4683</v>
      </c>
      <c r="J1447" s="10" t="str">
        <f t="shared" si="6"/>
        <v>underweight</v>
      </c>
      <c r="L1447" s="30" t="e">
        <v>#N/A</v>
      </c>
    </row>
    <row r="1448" spans="1:12" ht="15.75" customHeight="1" x14ac:dyDescent="0.3">
      <c r="A1448" s="10" t="s">
        <v>1782</v>
      </c>
      <c r="B1448" s="10">
        <v>15.36</v>
      </c>
      <c r="C1448" s="10">
        <v>5.49</v>
      </c>
      <c r="D1448" s="10" t="s">
        <v>4685</v>
      </c>
      <c r="E1448" s="10" t="s">
        <v>4684</v>
      </c>
      <c r="F1448" s="10" t="s">
        <v>4683</v>
      </c>
      <c r="G1448" s="10" t="s">
        <v>4683</v>
      </c>
      <c r="H1448" s="14">
        <v>2</v>
      </c>
      <c r="I1448" s="10" t="s">
        <v>4683</v>
      </c>
      <c r="J1448" s="10" t="str">
        <f t="shared" si="6"/>
        <v>underweight</v>
      </c>
      <c r="L1448" s="30" t="e">
        <v>#N/A</v>
      </c>
    </row>
    <row r="1449" spans="1:12" ht="15.75" customHeight="1" x14ac:dyDescent="0.3">
      <c r="A1449" s="10" t="s">
        <v>1780</v>
      </c>
      <c r="B1449" s="10">
        <v>27.74</v>
      </c>
      <c r="C1449" s="10">
        <v>5.96</v>
      </c>
      <c r="D1449" s="10" t="s">
        <v>4685</v>
      </c>
      <c r="E1449" s="10" t="s">
        <v>4684</v>
      </c>
      <c r="F1449" s="10" t="s">
        <v>4683</v>
      </c>
      <c r="G1449" s="10" t="s">
        <v>4683</v>
      </c>
      <c r="H1449" s="14">
        <v>0</v>
      </c>
      <c r="I1449" s="10" t="s">
        <v>4683</v>
      </c>
      <c r="J1449" s="10" t="str">
        <f t="shared" si="6"/>
        <v>normalweight</v>
      </c>
      <c r="L1449" s="30" t="e">
        <v>#N/A</v>
      </c>
    </row>
    <row r="1450" spans="1:12" ht="15.75" customHeight="1" x14ac:dyDescent="0.3">
      <c r="A1450" s="10" t="s">
        <v>1778</v>
      </c>
      <c r="B1450" s="10">
        <v>22.44</v>
      </c>
      <c r="C1450" s="10">
        <v>4.62</v>
      </c>
      <c r="D1450" s="10" t="s">
        <v>4685</v>
      </c>
      <c r="E1450" s="10" t="s">
        <v>4684</v>
      </c>
      <c r="F1450" s="10" t="s">
        <v>4683</v>
      </c>
      <c r="G1450" s="10" t="s">
        <v>4683</v>
      </c>
      <c r="H1450" s="14">
        <v>0</v>
      </c>
      <c r="I1450" s="10" t="s">
        <v>4683</v>
      </c>
      <c r="J1450" s="10" t="str">
        <f t="shared" si="6"/>
        <v>normalweight</v>
      </c>
      <c r="L1450" s="30" t="e">
        <v>#N/A</v>
      </c>
    </row>
    <row r="1451" spans="1:12" ht="15.75" customHeight="1" x14ac:dyDescent="0.3">
      <c r="A1451" s="10" t="s">
        <v>1776</v>
      </c>
      <c r="B1451" s="10">
        <v>37.049999999999997</v>
      </c>
      <c r="C1451" s="10">
        <v>9.9600000000000009</v>
      </c>
      <c r="D1451" s="16" t="s">
        <v>4682</v>
      </c>
      <c r="E1451" s="10" t="s">
        <v>4684</v>
      </c>
      <c r="F1451" s="10" t="s">
        <v>4683</v>
      </c>
      <c r="G1451" s="10" t="s">
        <v>4683</v>
      </c>
      <c r="H1451" s="14">
        <v>0</v>
      </c>
      <c r="I1451" s="10" t="s">
        <v>4683</v>
      </c>
      <c r="J1451" s="10" t="str">
        <f t="shared" si="6"/>
        <v>normalweight</v>
      </c>
      <c r="L1451" s="30" t="e">
        <v>#N/A</v>
      </c>
    </row>
    <row r="1452" spans="1:12" ht="15.75" customHeight="1" x14ac:dyDescent="0.3">
      <c r="A1452" s="10" t="s">
        <v>1774</v>
      </c>
      <c r="B1452" s="10">
        <v>22.95</v>
      </c>
      <c r="C1452" s="10">
        <v>10.53</v>
      </c>
      <c r="D1452" s="16" t="s">
        <v>4682</v>
      </c>
      <c r="E1452" s="10" t="s">
        <v>4683</v>
      </c>
      <c r="F1452" s="10" t="s">
        <v>4683</v>
      </c>
      <c r="G1452" s="10" t="s">
        <v>4683</v>
      </c>
      <c r="H1452" s="14">
        <v>2</v>
      </c>
      <c r="I1452" s="10" t="s">
        <v>4683</v>
      </c>
      <c r="J1452" s="10" t="str">
        <f t="shared" si="6"/>
        <v>normalweight</v>
      </c>
      <c r="L1452" s="30" t="e">
        <v>#N/A</v>
      </c>
    </row>
    <row r="1453" spans="1:12" ht="15.75" customHeight="1" x14ac:dyDescent="0.3">
      <c r="A1453" s="10" t="s">
        <v>1772</v>
      </c>
      <c r="B1453" s="10">
        <v>34.200000000000003</v>
      </c>
      <c r="C1453" s="10">
        <v>6.69</v>
      </c>
      <c r="D1453" s="16" t="s">
        <v>4682</v>
      </c>
      <c r="E1453" s="10" t="s">
        <v>4684</v>
      </c>
      <c r="F1453" s="10" t="s">
        <v>4683</v>
      </c>
      <c r="G1453" s="10" t="s">
        <v>4683</v>
      </c>
      <c r="H1453" s="14">
        <v>0</v>
      </c>
      <c r="I1453" s="10" t="s">
        <v>4683</v>
      </c>
      <c r="J1453" s="10" t="str">
        <f t="shared" si="6"/>
        <v>normalweight</v>
      </c>
      <c r="L1453" s="30" t="e">
        <v>#N/A</v>
      </c>
    </row>
    <row r="1454" spans="1:12" ht="15.75" customHeight="1" x14ac:dyDescent="0.3">
      <c r="A1454" s="10" t="s">
        <v>1770</v>
      </c>
      <c r="B1454" s="10">
        <v>30.59</v>
      </c>
      <c r="C1454" s="10">
        <v>9.5500000000000007</v>
      </c>
      <c r="D1454" s="16" t="s">
        <v>4682</v>
      </c>
      <c r="E1454" s="10" t="s">
        <v>4684</v>
      </c>
      <c r="F1454" s="10" t="s">
        <v>4683</v>
      </c>
      <c r="G1454" s="10" t="s">
        <v>4683</v>
      </c>
      <c r="H1454" s="14">
        <v>0</v>
      </c>
      <c r="I1454" s="10" t="s">
        <v>4683</v>
      </c>
      <c r="J1454" s="10" t="str">
        <f t="shared" si="6"/>
        <v>normalweight</v>
      </c>
      <c r="L1454" s="30" t="e">
        <v>#N/A</v>
      </c>
    </row>
    <row r="1455" spans="1:12" ht="15.75" customHeight="1" x14ac:dyDescent="0.3">
      <c r="A1455" s="10" t="s">
        <v>1768</v>
      </c>
      <c r="B1455" s="10">
        <v>25.51</v>
      </c>
      <c r="C1455" s="10">
        <v>6.05</v>
      </c>
      <c r="D1455" s="10" t="s">
        <v>4685</v>
      </c>
      <c r="E1455" s="10" t="s">
        <v>4683</v>
      </c>
      <c r="F1455" s="10" t="s">
        <v>4683</v>
      </c>
      <c r="G1455" s="10" t="s">
        <v>4683</v>
      </c>
      <c r="H1455" s="14">
        <v>0</v>
      </c>
      <c r="I1455" s="10" t="s">
        <v>4683</v>
      </c>
      <c r="J1455" s="10" t="str">
        <f t="shared" si="6"/>
        <v>normalweight</v>
      </c>
      <c r="L1455" s="30" t="e">
        <v>#N/A</v>
      </c>
    </row>
    <row r="1456" spans="1:12" ht="15.75" customHeight="1" x14ac:dyDescent="0.3">
      <c r="A1456" s="10" t="s">
        <v>1766</v>
      </c>
      <c r="B1456" s="10">
        <v>29.04</v>
      </c>
      <c r="C1456" s="10">
        <v>10.56</v>
      </c>
      <c r="D1456" s="16" t="s">
        <v>4682</v>
      </c>
      <c r="E1456" s="10" t="s">
        <v>4684</v>
      </c>
      <c r="F1456" s="10" t="s">
        <v>4683</v>
      </c>
      <c r="G1456" s="10" t="s">
        <v>4683</v>
      </c>
      <c r="H1456" s="14">
        <v>1</v>
      </c>
      <c r="I1456" s="10" t="s">
        <v>4683</v>
      </c>
      <c r="J1456" s="10" t="str">
        <f t="shared" si="6"/>
        <v>normalweight</v>
      </c>
      <c r="L1456" s="30" t="e">
        <v>#N/A</v>
      </c>
    </row>
    <row r="1457" spans="1:12" ht="15.75" customHeight="1" x14ac:dyDescent="0.3">
      <c r="A1457" s="10" t="s">
        <v>1764</v>
      </c>
      <c r="B1457" s="10">
        <v>22.135000000000002</v>
      </c>
      <c r="C1457" s="10">
        <v>10.81</v>
      </c>
      <c r="D1457" s="16" t="s">
        <v>4682</v>
      </c>
      <c r="E1457" s="10" t="s">
        <v>4684</v>
      </c>
      <c r="F1457" s="10" t="s">
        <v>4683</v>
      </c>
      <c r="G1457" s="10" t="s">
        <v>4683</v>
      </c>
      <c r="H1457" s="14">
        <v>1</v>
      </c>
      <c r="I1457" s="10" t="s">
        <v>4683</v>
      </c>
      <c r="J1457" s="10" t="str">
        <f t="shared" si="6"/>
        <v>normalweight</v>
      </c>
      <c r="L1457" s="30" t="e">
        <v>#N/A</v>
      </c>
    </row>
    <row r="1458" spans="1:12" ht="15.75" customHeight="1" x14ac:dyDescent="0.3">
      <c r="A1458" s="10" t="s">
        <v>1762</v>
      </c>
      <c r="B1458" s="10">
        <v>21.375</v>
      </c>
      <c r="C1458" s="10">
        <v>4.32</v>
      </c>
      <c r="D1458" s="10" t="s">
        <v>4685</v>
      </c>
      <c r="E1458" s="10" t="s">
        <v>4683</v>
      </c>
      <c r="F1458" s="10" t="s">
        <v>4683</v>
      </c>
      <c r="G1458" s="10" t="s">
        <v>4683</v>
      </c>
      <c r="H1458" s="14">
        <v>0</v>
      </c>
      <c r="I1458" s="10" t="s">
        <v>4683</v>
      </c>
      <c r="J1458" s="10" t="str">
        <f t="shared" si="6"/>
        <v>normalweight</v>
      </c>
      <c r="L1458" s="30" t="e">
        <v>#N/A</v>
      </c>
    </row>
    <row r="1459" spans="1:12" ht="15.75" customHeight="1" x14ac:dyDescent="0.3">
      <c r="A1459" s="10" t="s">
        <v>1760</v>
      </c>
      <c r="B1459" s="10">
        <v>29.19</v>
      </c>
      <c r="C1459" s="10">
        <v>4.37</v>
      </c>
      <c r="D1459" s="10" t="s">
        <v>4685</v>
      </c>
      <c r="E1459" s="10" t="s">
        <v>4683</v>
      </c>
      <c r="F1459" s="10" t="s">
        <v>4683</v>
      </c>
      <c r="G1459" s="10" t="s">
        <v>4683</v>
      </c>
      <c r="H1459" s="14">
        <v>0</v>
      </c>
      <c r="I1459" s="10" t="s">
        <v>4683</v>
      </c>
      <c r="J1459" s="10" t="str">
        <f t="shared" si="6"/>
        <v>normalweight</v>
      </c>
      <c r="L1459" s="30" t="e">
        <v>#N/A</v>
      </c>
    </row>
    <row r="1460" spans="1:12" ht="15.75" customHeight="1" x14ac:dyDescent="0.3">
      <c r="A1460" s="10" t="s">
        <v>1758</v>
      </c>
      <c r="B1460" s="10">
        <v>31.92</v>
      </c>
      <c r="C1460" s="10">
        <v>4.8099999999999996</v>
      </c>
      <c r="D1460" s="10" t="s">
        <v>4685</v>
      </c>
      <c r="E1460" s="10" t="s">
        <v>4684</v>
      </c>
      <c r="F1460" s="10" t="s">
        <v>4683</v>
      </c>
      <c r="G1460" s="10" t="s">
        <v>4686</v>
      </c>
      <c r="H1460" s="14">
        <v>1</v>
      </c>
      <c r="I1460" s="10" t="s">
        <v>4683</v>
      </c>
      <c r="J1460" s="10" t="str">
        <f t="shared" si="6"/>
        <v>normalweight</v>
      </c>
      <c r="L1460" s="30" t="e">
        <v>#N/A</v>
      </c>
    </row>
    <row r="1461" spans="1:12" ht="15.75" customHeight="1" x14ac:dyDescent="0.3">
      <c r="A1461" s="10" t="s">
        <v>1756</v>
      </c>
      <c r="B1461" s="10">
        <v>26.315000000000001</v>
      </c>
      <c r="C1461" s="10">
        <v>4.5599999999999996</v>
      </c>
      <c r="D1461" s="10" t="s">
        <v>4685</v>
      </c>
      <c r="E1461" s="10" t="s">
        <v>4684</v>
      </c>
      <c r="F1461" s="10" t="s">
        <v>4683</v>
      </c>
      <c r="G1461" s="10" t="s">
        <v>4686</v>
      </c>
      <c r="H1461" s="14">
        <v>1</v>
      </c>
      <c r="I1461" s="10" t="s">
        <v>4683</v>
      </c>
      <c r="J1461" s="10" t="str">
        <f t="shared" si="6"/>
        <v>normalweight</v>
      </c>
      <c r="L1461" s="30" t="e">
        <v>#N/A</v>
      </c>
    </row>
    <row r="1462" spans="1:12" ht="15.75" customHeight="1" x14ac:dyDescent="0.3">
      <c r="A1462" s="10" t="s">
        <v>1754</v>
      </c>
      <c r="B1462" s="10">
        <v>35.299999999999997</v>
      </c>
      <c r="C1462" s="10">
        <v>4.3899999999999997</v>
      </c>
      <c r="D1462" s="10" t="s">
        <v>4685</v>
      </c>
      <c r="E1462" s="10" t="s">
        <v>4683</v>
      </c>
      <c r="F1462" s="10" t="s">
        <v>4683</v>
      </c>
      <c r="G1462" s="10" t="s">
        <v>4683</v>
      </c>
      <c r="H1462" s="14">
        <v>0</v>
      </c>
      <c r="I1462" s="10" t="s">
        <v>4683</v>
      </c>
      <c r="J1462" s="10" t="str">
        <f t="shared" si="6"/>
        <v>normalweight</v>
      </c>
      <c r="L1462" s="30" t="e">
        <v>#N/A</v>
      </c>
    </row>
    <row r="1463" spans="1:12" ht="15.75" customHeight="1" x14ac:dyDescent="0.3">
      <c r="A1463" s="10" t="s">
        <v>1752</v>
      </c>
      <c r="B1463" s="10">
        <v>18.91</v>
      </c>
      <c r="C1463" s="10">
        <v>11.44</v>
      </c>
      <c r="D1463" s="16" t="s">
        <v>4682</v>
      </c>
      <c r="E1463" s="10" t="s">
        <v>4683</v>
      </c>
      <c r="F1463" s="10" t="s">
        <v>4683</v>
      </c>
      <c r="G1463" s="10" t="s">
        <v>4683</v>
      </c>
      <c r="H1463" s="14">
        <v>0</v>
      </c>
      <c r="I1463" s="10" t="s">
        <v>4683</v>
      </c>
      <c r="J1463" s="10" t="str">
        <f t="shared" si="6"/>
        <v>normalweight</v>
      </c>
      <c r="L1463" s="30" t="e">
        <v>#N/A</v>
      </c>
    </row>
    <row r="1464" spans="1:12" ht="15.75" customHeight="1" x14ac:dyDescent="0.3">
      <c r="A1464" s="10" t="s">
        <v>1750</v>
      </c>
      <c r="B1464" s="10">
        <v>22.41</v>
      </c>
      <c r="C1464" s="10">
        <v>11.37</v>
      </c>
      <c r="D1464" s="16" t="s">
        <v>4682</v>
      </c>
      <c r="E1464" s="10" t="s">
        <v>4684</v>
      </c>
      <c r="F1464" s="10" t="s">
        <v>4683</v>
      </c>
      <c r="G1464" s="10" t="s">
        <v>4683</v>
      </c>
      <c r="H1464" s="14">
        <v>1</v>
      </c>
      <c r="I1464" s="10" t="s">
        <v>4683</v>
      </c>
      <c r="J1464" s="10" t="str">
        <f t="shared" si="6"/>
        <v>normalweight</v>
      </c>
      <c r="L1464" s="30" t="e">
        <v>#N/A</v>
      </c>
    </row>
    <row r="1465" spans="1:12" ht="15.75" customHeight="1" x14ac:dyDescent="0.3">
      <c r="A1465" s="10" t="s">
        <v>1748</v>
      </c>
      <c r="B1465" s="10">
        <v>22.704999999999998</v>
      </c>
      <c r="C1465" s="10">
        <v>6.14</v>
      </c>
      <c r="D1465" s="10" t="s">
        <v>4685</v>
      </c>
      <c r="E1465" s="10" t="s">
        <v>4683</v>
      </c>
      <c r="F1465" s="10" t="s">
        <v>4683</v>
      </c>
      <c r="G1465" s="10" t="s">
        <v>4683</v>
      </c>
      <c r="H1465" s="14">
        <v>0</v>
      </c>
      <c r="I1465" s="10" t="s">
        <v>4683</v>
      </c>
      <c r="J1465" s="10" t="str">
        <f t="shared" si="6"/>
        <v>normalweight</v>
      </c>
      <c r="L1465" s="30" t="e">
        <v>#N/A</v>
      </c>
    </row>
    <row r="1466" spans="1:12" ht="15.75" customHeight="1" x14ac:dyDescent="0.3">
      <c r="A1466" s="10" t="s">
        <v>1746</v>
      </c>
      <c r="B1466" s="10">
        <v>37.18</v>
      </c>
      <c r="C1466" s="10">
        <v>4.8899999999999997</v>
      </c>
      <c r="D1466" s="10" t="s">
        <v>4685</v>
      </c>
      <c r="E1466" s="10" t="s">
        <v>4683</v>
      </c>
      <c r="F1466" s="10" t="s">
        <v>4683</v>
      </c>
      <c r="G1466" s="10" t="s">
        <v>4683</v>
      </c>
      <c r="H1466" s="14">
        <v>0</v>
      </c>
      <c r="I1466" s="10" t="s">
        <v>4683</v>
      </c>
      <c r="J1466" s="10" t="str">
        <f t="shared" si="6"/>
        <v>normalweight</v>
      </c>
      <c r="L1466" s="30" t="e">
        <v>#N/A</v>
      </c>
    </row>
    <row r="1467" spans="1:12" ht="15.75" customHeight="1" x14ac:dyDescent="0.3">
      <c r="A1467" s="10" t="s">
        <v>1744</v>
      </c>
      <c r="B1467" s="10">
        <v>35.97</v>
      </c>
      <c r="C1467" s="10">
        <v>4.5999999999999996</v>
      </c>
      <c r="D1467" s="10" t="s">
        <v>4685</v>
      </c>
      <c r="E1467" s="10" t="s">
        <v>4683</v>
      </c>
      <c r="F1467" s="10" t="s">
        <v>4683</v>
      </c>
      <c r="G1467" s="10" t="s">
        <v>4683</v>
      </c>
      <c r="H1467" s="14">
        <v>0</v>
      </c>
      <c r="I1467" s="10" t="s">
        <v>4683</v>
      </c>
      <c r="J1467" s="10" t="str">
        <f t="shared" si="6"/>
        <v>normalweight</v>
      </c>
      <c r="L1467" s="30" t="e">
        <v>#N/A</v>
      </c>
    </row>
    <row r="1468" spans="1:12" ht="15.75" customHeight="1" x14ac:dyDescent="0.3">
      <c r="A1468" s="10" t="s">
        <v>1742</v>
      </c>
      <c r="B1468" s="10">
        <v>35.799999999999997</v>
      </c>
      <c r="C1468" s="10">
        <v>4.42</v>
      </c>
      <c r="D1468" s="10" t="s">
        <v>4685</v>
      </c>
      <c r="E1468" s="10" t="s">
        <v>4683</v>
      </c>
      <c r="F1468" s="10" t="s">
        <v>4683</v>
      </c>
      <c r="G1468" s="10" t="s">
        <v>4683</v>
      </c>
      <c r="H1468" s="14">
        <v>0</v>
      </c>
      <c r="I1468" s="10" t="s">
        <v>4683</v>
      </c>
      <c r="J1468" s="10" t="str">
        <f t="shared" si="6"/>
        <v>normalweight</v>
      </c>
      <c r="L1468" s="30" t="e">
        <v>#N/A</v>
      </c>
    </row>
    <row r="1469" spans="1:12" ht="15.75" customHeight="1" x14ac:dyDescent="0.3">
      <c r="A1469" s="10" t="s">
        <v>1740</v>
      </c>
      <c r="B1469" s="10">
        <v>28.31</v>
      </c>
      <c r="C1469" s="10">
        <v>7.48</v>
      </c>
      <c r="D1469" s="16" t="s">
        <v>4682</v>
      </c>
      <c r="E1469" s="10" t="s">
        <v>4684</v>
      </c>
      <c r="F1469" s="10" t="s">
        <v>4683</v>
      </c>
      <c r="G1469" s="10" t="s">
        <v>4683</v>
      </c>
      <c r="H1469" s="14">
        <v>0</v>
      </c>
      <c r="I1469" s="10" t="s">
        <v>4683</v>
      </c>
      <c r="J1469" s="10" t="str">
        <f t="shared" si="6"/>
        <v>normalweight</v>
      </c>
      <c r="L1469" s="30" t="e">
        <v>#N/A</v>
      </c>
    </row>
    <row r="1470" spans="1:12" ht="15.75" customHeight="1" x14ac:dyDescent="0.3">
      <c r="A1470" s="10" t="s">
        <v>1738</v>
      </c>
      <c r="B1470" s="10">
        <v>38.06</v>
      </c>
      <c r="C1470" s="10">
        <v>10.74</v>
      </c>
      <c r="D1470" s="16" t="s">
        <v>4682</v>
      </c>
      <c r="E1470" s="10" t="s">
        <v>4683</v>
      </c>
      <c r="F1470" s="10" t="s">
        <v>4683</v>
      </c>
      <c r="G1470" s="10" t="s">
        <v>4683</v>
      </c>
      <c r="H1470" s="14">
        <v>0</v>
      </c>
      <c r="I1470" s="10" t="s">
        <v>4683</v>
      </c>
      <c r="J1470" s="10" t="str">
        <f t="shared" si="6"/>
        <v>normalweight</v>
      </c>
      <c r="L1470" s="30" t="e">
        <v>#N/A</v>
      </c>
    </row>
    <row r="1471" spans="1:12" ht="15.75" customHeight="1" x14ac:dyDescent="0.3">
      <c r="A1471" s="10" t="s">
        <v>1736</v>
      </c>
      <c r="B1471" s="10">
        <v>28</v>
      </c>
      <c r="C1471" s="10">
        <v>5.19</v>
      </c>
      <c r="D1471" s="10" t="s">
        <v>4685</v>
      </c>
      <c r="E1471" s="10" t="s">
        <v>4683</v>
      </c>
      <c r="F1471" s="10" t="s">
        <v>4683</v>
      </c>
      <c r="G1471" s="10" t="s">
        <v>4683</v>
      </c>
      <c r="H1471" s="14">
        <v>1</v>
      </c>
      <c r="I1471" s="10" t="s">
        <v>4683</v>
      </c>
      <c r="J1471" s="10" t="str">
        <f t="shared" si="6"/>
        <v>normalweight</v>
      </c>
      <c r="L1471" s="30" t="e">
        <v>#N/A</v>
      </c>
    </row>
    <row r="1472" spans="1:12" ht="15.75" customHeight="1" x14ac:dyDescent="0.3">
      <c r="A1472" s="10" t="s">
        <v>1734</v>
      </c>
      <c r="B1472" s="10">
        <v>34.32</v>
      </c>
      <c r="C1472" s="10">
        <v>9.17</v>
      </c>
      <c r="D1472" s="16" t="s">
        <v>4682</v>
      </c>
      <c r="E1472" s="10" t="s">
        <v>4683</v>
      </c>
      <c r="F1472" s="10" t="s">
        <v>4683</v>
      </c>
      <c r="G1472" s="10" t="s">
        <v>4683</v>
      </c>
      <c r="H1472" s="14">
        <v>0</v>
      </c>
      <c r="I1472" s="10" t="s">
        <v>4683</v>
      </c>
      <c r="J1472" s="10" t="str">
        <f t="shared" si="6"/>
        <v>normalweight</v>
      </c>
      <c r="L1472" s="30" t="e">
        <v>#N/A</v>
      </c>
    </row>
    <row r="1473" spans="1:12" ht="15.75" customHeight="1" x14ac:dyDescent="0.3">
      <c r="A1473" s="10" t="s">
        <v>1732</v>
      </c>
      <c r="B1473" s="10">
        <v>22.3</v>
      </c>
      <c r="C1473" s="10">
        <v>4.95</v>
      </c>
      <c r="D1473" s="10" t="s">
        <v>4685</v>
      </c>
      <c r="E1473" s="10" t="s">
        <v>4684</v>
      </c>
      <c r="F1473" s="10" t="s">
        <v>4683</v>
      </c>
      <c r="G1473" s="10" t="s">
        <v>4683</v>
      </c>
      <c r="H1473" s="14">
        <v>0</v>
      </c>
      <c r="I1473" s="10" t="s">
        <v>4683</v>
      </c>
      <c r="J1473" s="10" t="str">
        <f t="shared" si="6"/>
        <v>normalweight</v>
      </c>
      <c r="L1473" s="30" t="e">
        <v>#N/A</v>
      </c>
    </row>
    <row r="1474" spans="1:12" ht="15.75" customHeight="1" x14ac:dyDescent="0.3">
      <c r="A1474" s="10" t="s">
        <v>1730</v>
      </c>
      <c r="B1474" s="10">
        <v>27.835000000000001</v>
      </c>
      <c r="C1474" s="10">
        <v>6.03</v>
      </c>
      <c r="D1474" s="10" t="s">
        <v>4685</v>
      </c>
      <c r="E1474" s="10" t="s">
        <v>4683</v>
      </c>
      <c r="F1474" s="10" t="s">
        <v>4683</v>
      </c>
      <c r="G1474" s="10" t="s">
        <v>4683</v>
      </c>
      <c r="H1474" s="14">
        <v>1</v>
      </c>
      <c r="I1474" s="10" t="s">
        <v>4683</v>
      </c>
      <c r="J1474" s="10" t="str">
        <f t="shared" si="6"/>
        <v>normalweight</v>
      </c>
      <c r="L1474" s="30" t="e">
        <v>#N/A</v>
      </c>
    </row>
    <row r="1475" spans="1:12" ht="15.75" customHeight="1" x14ac:dyDescent="0.3">
      <c r="A1475" s="10" t="s">
        <v>1728</v>
      </c>
      <c r="B1475" s="10">
        <v>39.229999999999997</v>
      </c>
      <c r="C1475" s="10">
        <v>5.36</v>
      </c>
      <c r="D1475" s="10" t="s">
        <v>4685</v>
      </c>
      <c r="E1475" s="10" t="s">
        <v>4683</v>
      </c>
      <c r="F1475" s="10" t="s">
        <v>4683</v>
      </c>
      <c r="G1475" s="10" t="s">
        <v>4683</v>
      </c>
      <c r="H1475" s="14">
        <v>0</v>
      </c>
      <c r="I1475" s="10" t="s">
        <v>4683</v>
      </c>
      <c r="J1475" s="10" t="str">
        <f t="shared" si="6"/>
        <v>normalweight</v>
      </c>
      <c r="L1475" s="30" t="e">
        <v>#N/A</v>
      </c>
    </row>
    <row r="1476" spans="1:12" ht="15.75" customHeight="1" x14ac:dyDescent="0.3">
      <c r="A1476" s="10" t="s">
        <v>1726</v>
      </c>
      <c r="B1476" s="10">
        <v>19.95</v>
      </c>
      <c r="C1476" s="10">
        <v>6.11</v>
      </c>
      <c r="D1476" s="10" t="s">
        <v>4685</v>
      </c>
      <c r="E1476" s="10" t="s">
        <v>4683</v>
      </c>
      <c r="F1476" s="10" t="s">
        <v>4683</v>
      </c>
      <c r="G1476" s="10" t="s">
        <v>4683</v>
      </c>
      <c r="H1476" s="14">
        <v>1</v>
      </c>
      <c r="I1476" s="10" t="s">
        <v>4683</v>
      </c>
      <c r="J1476" s="10" t="str">
        <f t="shared" si="6"/>
        <v>normalweight</v>
      </c>
      <c r="L1476" s="30" t="e">
        <v>#N/A</v>
      </c>
    </row>
    <row r="1477" spans="1:12" ht="15.75" customHeight="1" x14ac:dyDescent="0.3">
      <c r="A1477" s="10" t="s">
        <v>1724</v>
      </c>
      <c r="B1477" s="10">
        <v>34.64</v>
      </c>
      <c r="C1477" s="10">
        <v>4.88</v>
      </c>
      <c r="D1477" s="10" t="s">
        <v>4685</v>
      </c>
      <c r="E1477" s="10" t="s">
        <v>4683</v>
      </c>
      <c r="F1477" s="10" t="s">
        <v>4683</v>
      </c>
      <c r="G1477" s="10" t="s">
        <v>4686</v>
      </c>
      <c r="H1477" s="14">
        <v>1</v>
      </c>
      <c r="I1477" s="10" t="s">
        <v>4683</v>
      </c>
      <c r="J1477" s="10" t="str">
        <f t="shared" si="6"/>
        <v>normalweight</v>
      </c>
      <c r="L1477" s="30" t="e">
        <v>#N/A</v>
      </c>
    </row>
    <row r="1478" spans="1:12" ht="15.75" customHeight="1" x14ac:dyDescent="0.3">
      <c r="A1478" s="10" t="s">
        <v>1722</v>
      </c>
      <c r="B1478" s="10">
        <v>18.75</v>
      </c>
      <c r="C1478" s="10">
        <v>6.72</v>
      </c>
      <c r="D1478" s="16" t="s">
        <v>4682</v>
      </c>
      <c r="E1478" s="10" t="s">
        <v>4683</v>
      </c>
      <c r="F1478" s="10" t="s">
        <v>4683</v>
      </c>
      <c r="G1478" s="10" t="s">
        <v>4683</v>
      </c>
      <c r="H1478" s="14">
        <v>0</v>
      </c>
      <c r="I1478" s="10" t="s">
        <v>4683</v>
      </c>
      <c r="J1478" s="10" t="str">
        <f t="shared" si="6"/>
        <v>normalweight</v>
      </c>
      <c r="L1478" s="30" t="e">
        <v>#N/A</v>
      </c>
    </row>
    <row r="1479" spans="1:12" ht="15.75" customHeight="1" x14ac:dyDescent="0.3">
      <c r="A1479" s="10" t="s">
        <v>1720</v>
      </c>
      <c r="B1479" s="10">
        <v>26.48</v>
      </c>
      <c r="C1479" s="10">
        <v>4.2</v>
      </c>
      <c r="D1479" s="10" t="s">
        <v>4685</v>
      </c>
      <c r="E1479" s="10" t="s">
        <v>4683</v>
      </c>
      <c r="F1479" s="10" t="s">
        <v>4683</v>
      </c>
      <c r="G1479" s="10" t="s">
        <v>4683</v>
      </c>
      <c r="H1479" s="14">
        <v>1</v>
      </c>
      <c r="I1479" s="10" t="s">
        <v>4683</v>
      </c>
      <c r="J1479" s="10" t="str">
        <f t="shared" si="6"/>
        <v>normalweight</v>
      </c>
      <c r="L1479" s="30" t="e">
        <v>#N/A</v>
      </c>
    </row>
    <row r="1480" spans="1:12" ht="15.75" customHeight="1" x14ac:dyDescent="0.3">
      <c r="A1480" s="10" t="s">
        <v>1718</v>
      </c>
      <c r="B1480" s="10">
        <v>34.83</v>
      </c>
      <c r="C1480" s="10">
        <v>5.79</v>
      </c>
      <c r="D1480" s="10" t="s">
        <v>4685</v>
      </c>
      <c r="E1480" s="10" t="s">
        <v>4683</v>
      </c>
      <c r="F1480" s="10" t="s">
        <v>4683</v>
      </c>
      <c r="G1480" s="10" t="s">
        <v>4683</v>
      </c>
      <c r="H1480" s="14">
        <v>1</v>
      </c>
      <c r="I1480" s="10" t="s">
        <v>4683</v>
      </c>
      <c r="J1480" s="10" t="str">
        <f t="shared" si="6"/>
        <v>normalweight</v>
      </c>
      <c r="L1480" s="30" t="e">
        <v>#N/A</v>
      </c>
    </row>
    <row r="1481" spans="1:12" ht="15.75" customHeight="1" x14ac:dyDescent="0.3">
      <c r="A1481" s="10" t="s">
        <v>1716</v>
      </c>
      <c r="B1481" s="10">
        <v>25.46</v>
      </c>
      <c r="C1481" s="10">
        <v>4.29</v>
      </c>
      <c r="D1481" s="10" t="s">
        <v>4685</v>
      </c>
      <c r="E1481" s="10" t="s">
        <v>4683</v>
      </c>
      <c r="F1481" s="10" t="s">
        <v>4683</v>
      </c>
      <c r="G1481" s="10" t="s">
        <v>4683</v>
      </c>
      <c r="H1481" s="14">
        <v>0</v>
      </c>
      <c r="I1481" s="10" t="s">
        <v>4683</v>
      </c>
      <c r="J1481" s="10" t="str">
        <f t="shared" si="6"/>
        <v>normalweight</v>
      </c>
      <c r="L1481" s="30" t="e">
        <v>#N/A</v>
      </c>
    </row>
    <row r="1482" spans="1:12" ht="15.75" customHeight="1" x14ac:dyDescent="0.3">
      <c r="A1482" s="10" t="s">
        <v>1714</v>
      </c>
      <c r="B1482" s="10">
        <v>23.31</v>
      </c>
      <c r="C1482" s="10">
        <v>8.27</v>
      </c>
      <c r="D1482" s="16" t="s">
        <v>4682</v>
      </c>
      <c r="E1482" s="10" t="s">
        <v>4683</v>
      </c>
      <c r="F1482" s="10" t="s">
        <v>4683</v>
      </c>
      <c r="G1482" s="10" t="s">
        <v>4683</v>
      </c>
      <c r="H1482" s="14">
        <v>0</v>
      </c>
      <c r="I1482" s="10" t="s">
        <v>4683</v>
      </c>
      <c r="J1482" s="10" t="str">
        <f t="shared" si="6"/>
        <v>normalweight</v>
      </c>
      <c r="L1482" s="30" t="e">
        <v>#N/A</v>
      </c>
    </row>
    <row r="1483" spans="1:12" ht="15.75" customHeight="1" x14ac:dyDescent="0.3">
      <c r="A1483" s="10" t="s">
        <v>1712</v>
      </c>
      <c r="B1483" s="10">
        <v>29</v>
      </c>
      <c r="C1483" s="10">
        <v>4.5599999999999996</v>
      </c>
      <c r="D1483" s="10" t="s">
        <v>4685</v>
      </c>
      <c r="E1483" s="10" t="s">
        <v>4683</v>
      </c>
      <c r="F1483" s="10" t="s">
        <v>4683</v>
      </c>
      <c r="G1483" s="10" t="s">
        <v>4683</v>
      </c>
      <c r="H1483" s="14">
        <v>0</v>
      </c>
      <c r="I1483" s="10" t="s">
        <v>4683</v>
      </c>
      <c r="J1483" s="10" t="str">
        <f t="shared" si="6"/>
        <v>normalweight</v>
      </c>
      <c r="L1483" s="30" t="e">
        <v>#N/A</v>
      </c>
    </row>
    <row r="1484" spans="1:12" ht="15.75" customHeight="1" x14ac:dyDescent="0.3">
      <c r="A1484" s="10" t="s">
        <v>1710</v>
      </c>
      <c r="B1484" s="10">
        <v>32.869999999999997</v>
      </c>
      <c r="C1484" s="10">
        <v>5.33</v>
      </c>
      <c r="D1484" s="10" t="s">
        <v>4685</v>
      </c>
      <c r="E1484" s="10" t="s">
        <v>4683</v>
      </c>
      <c r="F1484" s="10" t="s">
        <v>4683</v>
      </c>
      <c r="G1484" s="10" t="s">
        <v>4683</v>
      </c>
      <c r="H1484" s="14">
        <v>0</v>
      </c>
      <c r="I1484" s="10" t="s">
        <v>4683</v>
      </c>
      <c r="J1484" s="10" t="str">
        <f t="shared" si="6"/>
        <v>normalweight</v>
      </c>
      <c r="L1484" s="30" t="e">
        <v>#N/A</v>
      </c>
    </row>
    <row r="1485" spans="1:12" ht="15.75" customHeight="1" x14ac:dyDescent="0.3">
      <c r="A1485" s="10" t="s">
        <v>1708</v>
      </c>
      <c r="B1485" s="10">
        <v>26.18</v>
      </c>
      <c r="C1485" s="10">
        <v>5.63</v>
      </c>
      <c r="D1485" s="10" t="s">
        <v>4685</v>
      </c>
      <c r="E1485" s="10" t="s">
        <v>4683</v>
      </c>
      <c r="F1485" s="10" t="s">
        <v>4683</v>
      </c>
      <c r="G1485" s="10" t="s">
        <v>4683</v>
      </c>
      <c r="H1485" s="14">
        <v>0</v>
      </c>
      <c r="I1485" s="10" t="s">
        <v>4683</v>
      </c>
      <c r="J1485" s="10" t="str">
        <f t="shared" si="6"/>
        <v>normalweight</v>
      </c>
      <c r="L1485" s="30" t="e">
        <v>#N/A</v>
      </c>
    </row>
    <row r="1486" spans="1:12" ht="15.75" customHeight="1" x14ac:dyDescent="0.3">
      <c r="A1486" s="10" t="s">
        <v>1706</v>
      </c>
      <c r="B1486" s="10">
        <v>25.3</v>
      </c>
      <c r="C1486" s="10">
        <v>5.12</v>
      </c>
      <c r="D1486" s="10" t="s">
        <v>4685</v>
      </c>
      <c r="E1486" s="10" t="s">
        <v>4683</v>
      </c>
      <c r="F1486" s="10" t="s">
        <v>4683</v>
      </c>
      <c r="G1486" s="10" t="s">
        <v>4683</v>
      </c>
      <c r="H1486" s="14">
        <v>0</v>
      </c>
      <c r="I1486" s="10" t="s">
        <v>4683</v>
      </c>
      <c r="J1486" s="10" t="str">
        <f t="shared" si="6"/>
        <v>normalweight</v>
      </c>
      <c r="L1486" s="30" t="e">
        <v>#N/A</v>
      </c>
    </row>
    <row r="1487" spans="1:12" ht="15.75" customHeight="1" x14ac:dyDescent="0.3">
      <c r="A1487" s="10" t="s">
        <v>1704</v>
      </c>
      <c r="B1487" s="10">
        <v>36.94</v>
      </c>
      <c r="C1487" s="10">
        <v>5.15</v>
      </c>
      <c r="D1487" s="10" t="s">
        <v>4685</v>
      </c>
      <c r="E1487" s="10" t="s">
        <v>4684</v>
      </c>
      <c r="F1487" s="10" t="s">
        <v>4683</v>
      </c>
      <c r="G1487" s="10" t="s">
        <v>4683</v>
      </c>
      <c r="H1487" s="14">
        <v>1</v>
      </c>
      <c r="I1487" s="10" t="s">
        <v>4683</v>
      </c>
      <c r="J1487" s="10" t="str">
        <f t="shared" si="6"/>
        <v>normalweight</v>
      </c>
      <c r="L1487" s="30" t="e">
        <v>#N/A</v>
      </c>
    </row>
    <row r="1488" spans="1:12" ht="15.75" customHeight="1" x14ac:dyDescent="0.3">
      <c r="A1488" s="10" t="s">
        <v>1702</v>
      </c>
      <c r="B1488" s="10">
        <v>22.86</v>
      </c>
      <c r="C1488" s="10">
        <v>7.5</v>
      </c>
      <c r="D1488" s="16" t="s">
        <v>4682</v>
      </c>
      <c r="E1488" s="10" t="s">
        <v>4683</v>
      </c>
      <c r="F1488" s="10" t="s">
        <v>4683</v>
      </c>
      <c r="G1488" s="10" t="s">
        <v>4683</v>
      </c>
      <c r="H1488" s="14">
        <v>0</v>
      </c>
      <c r="I1488" s="10" t="s">
        <v>4683</v>
      </c>
      <c r="J1488" s="10" t="str">
        <f t="shared" si="6"/>
        <v>normalweight</v>
      </c>
      <c r="L1488" s="30" t="e">
        <v>#N/A</v>
      </c>
    </row>
    <row r="1489" spans="1:12" ht="15.75" customHeight="1" x14ac:dyDescent="0.3">
      <c r="A1489" s="10" t="s">
        <v>1700</v>
      </c>
      <c r="B1489" s="10">
        <v>18.760000000000002</v>
      </c>
      <c r="C1489" s="10">
        <v>4.88</v>
      </c>
      <c r="D1489" s="10" t="s">
        <v>4685</v>
      </c>
      <c r="E1489" s="10" t="s">
        <v>4684</v>
      </c>
      <c r="F1489" s="10" t="s">
        <v>4683</v>
      </c>
      <c r="G1489" s="10" t="s">
        <v>4686</v>
      </c>
      <c r="H1489" s="14">
        <v>1</v>
      </c>
      <c r="I1489" s="10" t="s">
        <v>4683</v>
      </c>
      <c r="J1489" s="10" t="str">
        <f t="shared" si="6"/>
        <v>normalweight</v>
      </c>
      <c r="L1489" s="30" t="e">
        <v>#N/A</v>
      </c>
    </row>
    <row r="1490" spans="1:12" ht="15.75" customHeight="1" x14ac:dyDescent="0.3">
      <c r="A1490" s="10" t="s">
        <v>1698</v>
      </c>
      <c r="B1490" s="10">
        <v>24.36</v>
      </c>
      <c r="C1490" s="10">
        <v>5.57</v>
      </c>
      <c r="D1490" s="10" t="s">
        <v>4685</v>
      </c>
      <c r="E1490" s="10" t="s">
        <v>4683</v>
      </c>
      <c r="F1490" s="10" t="s">
        <v>4683</v>
      </c>
      <c r="G1490" s="10" t="s">
        <v>4683</v>
      </c>
      <c r="H1490" s="14">
        <v>0</v>
      </c>
      <c r="I1490" s="10" t="s">
        <v>4683</v>
      </c>
      <c r="J1490" s="10" t="str">
        <f t="shared" si="6"/>
        <v>normalweight</v>
      </c>
      <c r="L1490" s="30" t="e">
        <v>#N/A</v>
      </c>
    </row>
    <row r="1491" spans="1:12" ht="15.75" customHeight="1" x14ac:dyDescent="0.3">
      <c r="A1491" s="10" t="s">
        <v>1696</v>
      </c>
      <c r="B1491" s="10">
        <v>32.299999999999997</v>
      </c>
      <c r="C1491" s="10">
        <v>5.31</v>
      </c>
      <c r="D1491" s="10" t="s">
        <v>4685</v>
      </c>
      <c r="E1491" s="10" t="s">
        <v>4683</v>
      </c>
      <c r="F1491" s="10" t="s">
        <v>4683</v>
      </c>
      <c r="G1491" s="10" t="s">
        <v>4683</v>
      </c>
      <c r="H1491" s="14">
        <v>0</v>
      </c>
      <c r="I1491" s="10" t="s">
        <v>4683</v>
      </c>
      <c r="J1491" s="10" t="str">
        <f t="shared" si="6"/>
        <v>normalweight</v>
      </c>
      <c r="L1491" s="30" t="e">
        <v>#N/A</v>
      </c>
    </row>
    <row r="1492" spans="1:12" ht="15.75" customHeight="1" x14ac:dyDescent="0.3">
      <c r="A1492" s="10" t="s">
        <v>1694</v>
      </c>
      <c r="B1492" s="10">
        <v>22.704999999999998</v>
      </c>
      <c r="C1492" s="10">
        <v>4.57</v>
      </c>
      <c r="D1492" s="10" t="s">
        <v>4685</v>
      </c>
      <c r="E1492" s="10" t="s">
        <v>4684</v>
      </c>
      <c r="F1492" s="10" t="s">
        <v>4683</v>
      </c>
      <c r="G1492" s="10" t="s">
        <v>4683</v>
      </c>
      <c r="H1492" s="14">
        <v>0</v>
      </c>
      <c r="I1492" s="10" t="s">
        <v>4683</v>
      </c>
      <c r="J1492" s="10" t="str">
        <f t="shared" si="6"/>
        <v>normalweight</v>
      </c>
      <c r="L1492" s="30" t="e">
        <v>#N/A</v>
      </c>
    </row>
    <row r="1493" spans="1:12" ht="15.75" customHeight="1" x14ac:dyDescent="0.3">
      <c r="A1493" s="10" t="s">
        <v>1692</v>
      </c>
      <c r="B1493" s="10">
        <v>21.79</v>
      </c>
      <c r="C1493" s="10">
        <v>8.6999999999999993</v>
      </c>
      <c r="D1493" s="16" t="s">
        <v>4682</v>
      </c>
      <c r="E1493" s="10" t="s">
        <v>4684</v>
      </c>
      <c r="F1493" s="10" t="s">
        <v>4683</v>
      </c>
      <c r="G1493" s="10" t="s">
        <v>4683</v>
      </c>
      <c r="H1493" s="14">
        <v>1</v>
      </c>
      <c r="I1493" s="10" t="s">
        <v>4683</v>
      </c>
      <c r="J1493" s="10" t="str">
        <f t="shared" si="6"/>
        <v>normalweight</v>
      </c>
      <c r="L1493" s="30" t="e">
        <v>#N/A</v>
      </c>
    </row>
    <row r="1494" spans="1:12" ht="15.75" customHeight="1" x14ac:dyDescent="0.3">
      <c r="A1494" s="10" t="s">
        <v>1690</v>
      </c>
      <c r="B1494" s="10">
        <v>24.52</v>
      </c>
      <c r="C1494" s="10">
        <v>4.76</v>
      </c>
      <c r="D1494" s="10" t="s">
        <v>4685</v>
      </c>
      <c r="E1494" s="10" t="s">
        <v>4683</v>
      </c>
      <c r="F1494" s="10" t="s">
        <v>4683</v>
      </c>
      <c r="G1494" s="10" t="s">
        <v>4683</v>
      </c>
      <c r="H1494" s="14">
        <v>0</v>
      </c>
      <c r="I1494" s="10" t="s">
        <v>4683</v>
      </c>
      <c r="J1494" s="10" t="str">
        <f t="shared" si="6"/>
        <v>normalweight</v>
      </c>
      <c r="L1494" s="30" t="e">
        <v>#N/A</v>
      </c>
    </row>
    <row r="1495" spans="1:12" ht="15.75" customHeight="1" x14ac:dyDescent="0.3">
      <c r="A1495" s="10" t="s">
        <v>1688</v>
      </c>
      <c r="B1495" s="10">
        <v>39.520000000000003</v>
      </c>
      <c r="C1495" s="10">
        <v>11.81</v>
      </c>
      <c r="D1495" s="16" t="s">
        <v>4682</v>
      </c>
      <c r="E1495" s="10" t="s">
        <v>4683</v>
      </c>
      <c r="F1495" s="10" t="s">
        <v>4683</v>
      </c>
      <c r="G1495" s="10" t="s">
        <v>4683</v>
      </c>
      <c r="H1495" s="14">
        <v>0</v>
      </c>
      <c r="I1495" s="10" t="s">
        <v>4683</v>
      </c>
      <c r="J1495" s="10" t="str">
        <f t="shared" si="6"/>
        <v>normalweight</v>
      </c>
      <c r="L1495" s="30" t="e">
        <v>#N/A</v>
      </c>
    </row>
    <row r="1496" spans="1:12" ht="15.75" customHeight="1" x14ac:dyDescent="0.3">
      <c r="A1496" s="10" t="s">
        <v>1686</v>
      </c>
      <c r="B1496" s="10">
        <v>24.49</v>
      </c>
      <c r="C1496" s="10">
        <v>4.67</v>
      </c>
      <c r="D1496" s="10" t="s">
        <v>4685</v>
      </c>
      <c r="E1496" s="10" t="s">
        <v>4683</v>
      </c>
      <c r="F1496" s="10" t="s">
        <v>4683</v>
      </c>
      <c r="G1496" s="10" t="s">
        <v>4683</v>
      </c>
      <c r="H1496" s="14">
        <v>0</v>
      </c>
      <c r="I1496" s="10" t="s">
        <v>4683</v>
      </c>
      <c r="J1496" s="10" t="str">
        <f t="shared" si="6"/>
        <v>normalweight</v>
      </c>
      <c r="L1496" s="30" t="e">
        <v>#N/A</v>
      </c>
    </row>
    <row r="1497" spans="1:12" ht="15.75" customHeight="1" x14ac:dyDescent="0.3">
      <c r="A1497" s="10" t="s">
        <v>1684</v>
      </c>
      <c r="B1497" s="10">
        <v>26.315000000000001</v>
      </c>
      <c r="C1497" s="10">
        <v>6.02</v>
      </c>
      <c r="D1497" s="10" t="s">
        <v>4685</v>
      </c>
      <c r="E1497" s="10" t="s">
        <v>4683</v>
      </c>
      <c r="F1497" s="10" t="s">
        <v>4683</v>
      </c>
      <c r="G1497" s="10" t="s">
        <v>4683</v>
      </c>
      <c r="H1497" s="14">
        <v>0</v>
      </c>
      <c r="I1497" s="10" t="s">
        <v>4683</v>
      </c>
      <c r="J1497" s="10" t="str">
        <f t="shared" si="6"/>
        <v>normalweight</v>
      </c>
      <c r="L1497" s="30" t="e">
        <v>#N/A</v>
      </c>
    </row>
    <row r="1498" spans="1:12" ht="15.75" customHeight="1" x14ac:dyDescent="0.3">
      <c r="A1498" s="10" t="s">
        <v>1682</v>
      </c>
      <c r="B1498" s="10">
        <v>22.58</v>
      </c>
      <c r="C1498" s="10">
        <v>7.46</v>
      </c>
      <c r="D1498" s="16" t="s">
        <v>4682</v>
      </c>
      <c r="E1498" s="10" t="s">
        <v>4683</v>
      </c>
      <c r="F1498" s="10" t="s">
        <v>4683</v>
      </c>
      <c r="G1498" s="10" t="s">
        <v>4683</v>
      </c>
      <c r="H1498" s="14">
        <v>0</v>
      </c>
      <c r="I1498" s="10" t="s">
        <v>4683</v>
      </c>
      <c r="J1498" s="10" t="str">
        <f t="shared" si="6"/>
        <v>normalweight</v>
      </c>
      <c r="L1498" s="30" t="e">
        <v>#N/A</v>
      </c>
    </row>
    <row r="1499" spans="1:12" ht="15.75" customHeight="1" x14ac:dyDescent="0.3">
      <c r="A1499" s="10" t="s">
        <v>1680</v>
      </c>
      <c r="B1499" s="10">
        <v>19.475000000000001</v>
      </c>
      <c r="C1499" s="10">
        <v>4.74</v>
      </c>
      <c r="D1499" s="10" t="s">
        <v>4685</v>
      </c>
      <c r="E1499" s="10" t="s">
        <v>4683</v>
      </c>
      <c r="F1499" s="10" t="s">
        <v>4683</v>
      </c>
      <c r="G1499" s="10" t="s">
        <v>4683</v>
      </c>
      <c r="H1499" s="14">
        <v>1</v>
      </c>
      <c r="I1499" s="10" t="s">
        <v>4683</v>
      </c>
      <c r="J1499" s="10" t="str">
        <f t="shared" si="6"/>
        <v>normalweight</v>
      </c>
      <c r="L1499" s="30" t="e">
        <v>#N/A</v>
      </c>
    </row>
    <row r="1500" spans="1:12" ht="15.75" customHeight="1" x14ac:dyDescent="0.3">
      <c r="A1500" s="10" t="s">
        <v>1678</v>
      </c>
      <c r="B1500" s="10">
        <v>26.33</v>
      </c>
      <c r="C1500" s="10">
        <v>4.79</v>
      </c>
      <c r="D1500" s="10" t="s">
        <v>4685</v>
      </c>
      <c r="E1500" s="10" t="s">
        <v>4683</v>
      </c>
      <c r="F1500" s="10" t="s">
        <v>4683</v>
      </c>
      <c r="G1500" s="10" t="s">
        <v>4683</v>
      </c>
      <c r="H1500" s="14">
        <v>0</v>
      </c>
      <c r="I1500" s="10" t="s">
        <v>4683</v>
      </c>
      <c r="J1500" s="10" t="str">
        <f t="shared" si="6"/>
        <v>normalweight</v>
      </c>
      <c r="L1500" s="30" t="e">
        <v>#N/A</v>
      </c>
    </row>
    <row r="1501" spans="1:12" ht="15.75" customHeight="1" x14ac:dyDescent="0.3">
      <c r="A1501" s="10" t="s">
        <v>1676</v>
      </c>
      <c r="B1501" s="10">
        <v>17.29</v>
      </c>
      <c r="C1501" s="10">
        <v>5.35</v>
      </c>
      <c r="D1501" s="10" t="s">
        <v>4685</v>
      </c>
      <c r="E1501" s="10" t="s">
        <v>4684</v>
      </c>
      <c r="F1501" s="10" t="s">
        <v>4683</v>
      </c>
      <c r="G1501" s="10" t="s">
        <v>4683</v>
      </c>
      <c r="H1501" s="14">
        <v>0</v>
      </c>
      <c r="I1501" s="10" t="s">
        <v>4683</v>
      </c>
      <c r="J1501" s="10" t="str">
        <f t="shared" si="6"/>
        <v>underweight</v>
      </c>
      <c r="L1501" s="30" t="e">
        <v>#N/A</v>
      </c>
    </row>
    <row r="1502" spans="1:12" ht="15.75" customHeight="1" x14ac:dyDescent="0.3">
      <c r="A1502" s="10" t="s">
        <v>1674</v>
      </c>
      <c r="B1502" s="10">
        <v>42.88</v>
      </c>
      <c r="C1502" s="10">
        <v>4.87</v>
      </c>
      <c r="D1502" s="10" t="s">
        <v>4685</v>
      </c>
      <c r="E1502" s="10" t="s">
        <v>4683</v>
      </c>
      <c r="F1502" s="10" t="s">
        <v>4684</v>
      </c>
      <c r="G1502" s="10" t="s">
        <v>4683</v>
      </c>
      <c r="H1502" s="14">
        <v>1</v>
      </c>
      <c r="I1502" s="10" t="s">
        <v>4683</v>
      </c>
      <c r="J1502" s="10" t="str">
        <f t="shared" si="6"/>
        <v>normalweight</v>
      </c>
      <c r="L1502" s="30" t="e">
        <v>#N/A</v>
      </c>
    </row>
    <row r="1503" spans="1:12" ht="15.75" customHeight="1" x14ac:dyDescent="0.3">
      <c r="A1503" s="10" t="s">
        <v>1672</v>
      </c>
      <c r="B1503" s="10">
        <v>32.200000000000003</v>
      </c>
      <c r="C1503" s="10">
        <v>10.09</v>
      </c>
      <c r="D1503" s="16" t="s">
        <v>4682</v>
      </c>
      <c r="E1503" s="10" t="s">
        <v>4684</v>
      </c>
      <c r="F1503" s="10" t="s">
        <v>4683</v>
      </c>
      <c r="G1503" s="10" t="s">
        <v>4683</v>
      </c>
      <c r="H1503" s="14">
        <v>0</v>
      </c>
      <c r="I1503" s="10" t="s">
        <v>4683</v>
      </c>
      <c r="J1503" s="10" t="str">
        <f t="shared" si="6"/>
        <v>normalweight</v>
      </c>
      <c r="L1503" s="30" t="e">
        <v>#N/A</v>
      </c>
    </row>
    <row r="1504" spans="1:12" ht="15.75" customHeight="1" x14ac:dyDescent="0.3">
      <c r="A1504" s="10" t="s">
        <v>1670</v>
      </c>
      <c r="B1504" s="10">
        <v>18.75</v>
      </c>
      <c r="C1504" s="10">
        <v>5.47</v>
      </c>
      <c r="D1504" s="10" t="s">
        <v>4685</v>
      </c>
      <c r="E1504" s="10" t="s">
        <v>4684</v>
      </c>
      <c r="F1504" s="10" t="s">
        <v>4683</v>
      </c>
      <c r="G1504" s="10" t="s">
        <v>4686</v>
      </c>
      <c r="H1504" s="14">
        <v>1</v>
      </c>
      <c r="I1504" s="10" t="s">
        <v>4683</v>
      </c>
      <c r="J1504" s="10" t="str">
        <f t="shared" si="6"/>
        <v>normalweight</v>
      </c>
      <c r="L1504" s="30" t="e">
        <v>#N/A</v>
      </c>
    </row>
    <row r="1505" spans="1:12" ht="15.75" customHeight="1" x14ac:dyDescent="0.3">
      <c r="A1505" s="10" t="s">
        <v>1668</v>
      </c>
      <c r="B1505" s="10">
        <v>22.36</v>
      </c>
      <c r="C1505" s="10">
        <v>8.6</v>
      </c>
      <c r="D1505" s="16" t="s">
        <v>4682</v>
      </c>
      <c r="E1505" s="10" t="s">
        <v>4683</v>
      </c>
      <c r="F1505" s="10" t="s">
        <v>4683</v>
      </c>
      <c r="G1505" s="10" t="s">
        <v>4683</v>
      </c>
      <c r="H1505" s="14">
        <v>0</v>
      </c>
      <c r="I1505" s="10" t="s">
        <v>4683</v>
      </c>
      <c r="J1505" s="10" t="str">
        <f t="shared" si="6"/>
        <v>normalweight</v>
      </c>
      <c r="L1505" s="30" t="e">
        <v>#N/A</v>
      </c>
    </row>
    <row r="1506" spans="1:12" ht="15.75" customHeight="1" x14ac:dyDescent="0.3">
      <c r="A1506" s="10" t="s">
        <v>1666</v>
      </c>
      <c r="B1506" s="10">
        <v>23.94</v>
      </c>
      <c r="C1506" s="10">
        <v>10.74</v>
      </c>
      <c r="D1506" s="16" t="s">
        <v>4682</v>
      </c>
      <c r="E1506" s="10" t="s">
        <v>4684</v>
      </c>
      <c r="F1506" s="10" t="s">
        <v>4683</v>
      </c>
      <c r="G1506" s="10" t="s">
        <v>4683</v>
      </c>
      <c r="H1506" s="14">
        <v>0</v>
      </c>
      <c r="I1506" s="10" t="s">
        <v>4683</v>
      </c>
      <c r="J1506" s="10" t="str">
        <f t="shared" si="6"/>
        <v>normalweight</v>
      </c>
      <c r="L1506" s="30" t="e">
        <v>#N/A</v>
      </c>
    </row>
    <row r="1507" spans="1:12" ht="15.75" customHeight="1" x14ac:dyDescent="0.3">
      <c r="A1507" s="10" t="s">
        <v>1664</v>
      </c>
      <c r="B1507" s="10">
        <v>30.1</v>
      </c>
      <c r="C1507" s="10">
        <v>4.3899999999999997</v>
      </c>
      <c r="D1507" s="10" t="s">
        <v>4685</v>
      </c>
      <c r="E1507" s="10" t="s">
        <v>4683</v>
      </c>
      <c r="F1507" s="10" t="s">
        <v>4683</v>
      </c>
      <c r="G1507" s="10" t="s">
        <v>4686</v>
      </c>
      <c r="H1507" s="14">
        <v>1</v>
      </c>
      <c r="I1507" s="10" t="s">
        <v>4683</v>
      </c>
      <c r="J1507" s="10" t="str">
        <f t="shared" si="6"/>
        <v>normalweight</v>
      </c>
      <c r="L1507" s="30" t="e">
        <v>#N/A</v>
      </c>
    </row>
    <row r="1508" spans="1:12" ht="15.75" customHeight="1" x14ac:dyDescent="0.3">
      <c r="A1508" s="10" t="s">
        <v>1662</v>
      </c>
      <c r="B1508" s="10">
        <v>21.93</v>
      </c>
      <c r="C1508" s="10">
        <v>6.3</v>
      </c>
      <c r="D1508" s="10" t="s">
        <v>4685</v>
      </c>
      <c r="E1508" s="10" t="s">
        <v>4683</v>
      </c>
      <c r="F1508" s="10" t="s">
        <v>4683</v>
      </c>
      <c r="G1508" s="10" t="s">
        <v>4683</v>
      </c>
      <c r="H1508" s="14">
        <v>0</v>
      </c>
      <c r="I1508" s="10" t="s">
        <v>4683</v>
      </c>
      <c r="J1508" s="10" t="str">
        <f t="shared" si="6"/>
        <v>normalweight</v>
      </c>
      <c r="L1508" s="30" t="e">
        <v>#N/A</v>
      </c>
    </row>
    <row r="1509" spans="1:12" ht="15.75" customHeight="1" x14ac:dyDescent="0.3">
      <c r="A1509" s="10" t="s">
        <v>1660</v>
      </c>
      <c r="B1509" s="10">
        <v>39.75</v>
      </c>
      <c r="C1509" s="10">
        <v>5.41</v>
      </c>
      <c r="D1509" s="10" t="s">
        <v>4685</v>
      </c>
      <c r="E1509" s="10" t="s">
        <v>4683</v>
      </c>
      <c r="F1509" s="10" t="s">
        <v>4684</v>
      </c>
      <c r="G1509" s="10" t="s">
        <v>4683</v>
      </c>
      <c r="H1509" s="14">
        <v>1</v>
      </c>
      <c r="I1509" s="10" t="s">
        <v>4683</v>
      </c>
      <c r="J1509" s="10" t="str">
        <f t="shared" si="6"/>
        <v>normalweight</v>
      </c>
      <c r="L1509" s="30" t="e">
        <v>#N/A</v>
      </c>
    </row>
    <row r="1510" spans="1:12" ht="15.75" customHeight="1" x14ac:dyDescent="0.3">
      <c r="A1510" s="10" t="s">
        <v>1658</v>
      </c>
      <c r="B1510" s="10">
        <v>26.03</v>
      </c>
      <c r="C1510" s="10">
        <v>4.47</v>
      </c>
      <c r="D1510" s="10" t="s">
        <v>4685</v>
      </c>
      <c r="E1510" s="10" t="s">
        <v>4683</v>
      </c>
      <c r="F1510" s="10" t="s">
        <v>4683</v>
      </c>
      <c r="G1510" s="10" t="s">
        <v>4686</v>
      </c>
      <c r="H1510" s="14">
        <v>1</v>
      </c>
      <c r="I1510" s="10" t="s">
        <v>4683</v>
      </c>
      <c r="J1510" s="10" t="str">
        <f t="shared" si="6"/>
        <v>normalweight</v>
      </c>
      <c r="L1510" s="30" t="e">
        <v>#N/A</v>
      </c>
    </row>
    <row r="1511" spans="1:12" ht="15.75" customHeight="1" x14ac:dyDescent="0.3">
      <c r="A1511" s="10" t="s">
        <v>1656</v>
      </c>
      <c r="B1511" s="10">
        <v>34.51</v>
      </c>
      <c r="C1511" s="10">
        <v>6.26</v>
      </c>
      <c r="D1511" s="10" t="s">
        <v>4685</v>
      </c>
      <c r="E1511" s="10" t="s">
        <v>4683</v>
      </c>
      <c r="F1511" s="10" t="s">
        <v>4683</v>
      </c>
      <c r="G1511" s="10" t="s">
        <v>4683</v>
      </c>
      <c r="H1511" s="14">
        <v>0</v>
      </c>
      <c r="I1511" s="10" t="s">
        <v>4683</v>
      </c>
      <c r="J1511" s="10" t="str">
        <f t="shared" si="6"/>
        <v>normalweight</v>
      </c>
      <c r="L1511" s="30" t="e">
        <v>#N/A</v>
      </c>
    </row>
    <row r="1512" spans="1:12" ht="15.75" customHeight="1" x14ac:dyDescent="0.3">
      <c r="A1512" s="10" t="s">
        <v>1654</v>
      </c>
      <c r="B1512" s="10">
        <v>19.32</v>
      </c>
      <c r="C1512" s="10">
        <v>11.58</v>
      </c>
      <c r="D1512" s="16" t="s">
        <v>4682</v>
      </c>
      <c r="E1512" s="10" t="s">
        <v>4684</v>
      </c>
      <c r="F1512" s="10" t="s">
        <v>4683</v>
      </c>
      <c r="G1512" s="10" t="s">
        <v>4683</v>
      </c>
      <c r="H1512" s="14">
        <v>1</v>
      </c>
      <c r="I1512" s="10" t="s">
        <v>4683</v>
      </c>
      <c r="J1512" s="10" t="str">
        <f t="shared" si="6"/>
        <v>normalweight</v>
      </c>
      <c r="L1512" s="30" t="e">
        <v>#N/A</v>
      </c>
    </row>
    <row r="1513" spans="1:12" ht="15.75" customHeight="1" x14ac:dyDescent="0.3">
      <c r="A1513" s="10" t="s">
        <v>1652</v>
      </c>
      <c r="B1513" s="10">
        <v>28.5</v>
      </c>
      <c r="C1513" s="10">
        <v>4.3600000000000003</v>
      </c>
      <c r="D1513" s="10" t="s">
        <v>4685</v>
      </c>
      <c r="E1513" s="10" t="s">
        <v>4683</v>
      </c>
      <c r="F1513" s="10" t="s">
        <v>4683</v>
      </c>
      <c r="G1513" s="10" t="s">
        <v>4683</v>
      </c>
      <c r="H1513" s="14">
        <v>0</v>
      </c>
      <c r="I1513" s="10" t="s">
        <v>4683</v>
      </c>
      <c r="J1513" s="10" t="str">
        <f t="shared" si="6"/>
        <v>normalweight</v>
      </c>
      <c r="L1513" s="30" t="e">
        <v>#N/A</v>
      </c>
    </row>
    <row r="1514" spans="1:12" ht="15.75" customHeight="1" x14ac:dyDescent="0.3">
      <c r="A1514" s="10" t="s">
        <v>1650</v>
      </c>
      <c r="B1514" s="10">
        <v>30.875</v>
      </c>
      <c r="C1514" s="10">
        <v>4.1399999999999997</v>
      </c>
      <c r="D1514" s="10" t="s">
        <v>4685</v>
      </c>
      <c r="E1514" s="10" t="s">
        <v>4684</v>
      </c>
      <c r="F1514" s="10" t="s">
        <v>4683</v>
      </c>
      <c r="G1514" s="10" t="s">
        <v>4683</v>
      </c>
      <c r="H1514" s="14">
        <v>0</v>
      </c>
      <c r="I1514" s="10" t="s">
        <v>4683</v>
      </c>
      <c r="J1514" s="10" t="str">
        <f t="shared" si="6"/>
        <v>normalweight</v>
      </c>
      <c r="L1514" s="30" t="e">
        <v>#N/A</v>
      </c>
    </row>
    <row r="1515" spans="1:12" ht="15.75" customHeight="1" x14ac:dyDescent="0.3">
      <c r="A1515" s="10" t="s">
        <v>1648</v>
      </c>
      <c r="B1515" s="10">
        <v>24.02</v>
      </c>
      <c r="C1515" s="10">
        <v>4.38</v>
      </c>
      <c r="D1515" s="10" t="s">
        <v>4685</v>
      </c>
      <c r="E1515" s="10" t="s">
        <v>4683</v>
      </c>
      <c r="F1515" s="10" t="s">
        <v>4683</v>
      </c>
      <c r="G1515" s="10" t="s">
        <v>4683</v>
      </c>
      <c r="H1515" s="14">
        <v>0</v>
      </c>
      <c r="I1515" s="10" t="s">
        <v>4683</v>
      </c>
      <c r="J1515" s="10" t="str">
        <f t="shared" si="6"/>
        <v>normalweight</v>
      </c>
      <c r="L1515" s="30" t="e">
        <v>#N/A</v>
      </c>
    </row>
    <row r="1516" spans="1:12" ht="15.75" customHeight="1" x14ac:dyDescent="0.3">
      <c r="A1516" s="10" t="s">
        <v>1646</v>
      </c>
      <c r="B1516" s="10">
        <v>36.08</v>
      </c>
      <c r="C1516" s="10">
        <v>11.61</v>
      </c>
      <c r="D1516" s="16" t="s">
        <v>4682</v>
      </c>
      <c r="E1516" s="10" t="s">
        <v>4684</v>
      </c>
      <c r="F1516" s="10" t="s">
        <v>4683</v>
      </c>
      <c r="G1516" s="10" t="s">
        <v>4683</v>
      </c>
      <c r="H1516" s="14">
        <v>0</v>
      </c>
      <c r="I1516" s="10" t="s">
        <v>4683</v>
      </c>
      <c r="J1516" s="10" t="str">
        <f t="shared" si="6"/>
        <v>normalweight</v>
      </c>
      <c r="L1516" s="30" t="e">
        <v>#N/A</v>
      </c>
    </row>
    <row r="1517" spans="1:12" ht="15.75" customHeight="1" x14ac:dyDescent="0.3">
      <c r="A1517" s="10" t="s">
        <v>1644</v>
      </c>
      <c r="B1517" s="10">
        <v>32.200000000000003</v>
      </c>
      <c r="C1517" s="10">
        <v>10.59</v>
      </c>
      <c r="D1517" s="16" t="s">
        <v>4682</v>
      </c>
      <c r="E1517" s="10" t="s">
        <v>4684</v>
      </c>
      <c r="F1517" s="10" t="s">
        <v>4683</v>
      </c>
      <c r="G1517" s="10" t="s">
        <v>4683</v>
      </c>
      <c r="H1517" s="14">
        <v>0</v>
      </c>
      <c r="I1517" s="10" t="s">
        <v>4683</v>
      </c>
      <c r="J1517" s="10" t="str">
        <f t="shared" si="6"/>
        <v>normalweight</v>
      </c>
      <c r="L1517" s="30" t="e">
        <v>#N/A</v>
      </c>
    </row>
    <row r="1518" spans="1:12" ht="15.75" customHeight="1" x14ac:dyDescent="0.3">
      <c r="A1518" s="10" t="s">
        <v>1642</v>
      </c>
      <c r="B1518" s="10">
        <v>28.05</v>
      </c>
      <c r="C1518" s="10">
        <v>11.85</v>
      </c>
      <c r="D1518" s="16" t="s">
        <v>4682</v>
      </c>
      <c r="E1518" s="10" t="s">
        <v>4684</v>
      </c>
      <c r="F1518" s="10" t="s">
        <v>4683</v>
      </c>
      <c r="G1518" s="10" t="s">
        <v>4683</v>
      </c>
      <c r="H1518" s="14">
        <v>0</v>
      </c>
      <c r="I1518" s="10" t="s">
        <v>4683</v>
      </c>
      <c r="J1518" s="10" t="str">
        <f t="shared" si="6"/>
        <v>normalweight</v>
      </c>
      <c r="L1518" s="30" t="e">
        <v>#N/A</v>
      </c>
    </row>
    <row r="1519" spans="1:12" ht="15.75" customHeight="1" x14ac:dyDescent="0.3">
      <c r="A1519" s="10" t="s">
        <v>1640</v>
      </c>
      <c r="B1519" s="10">
        <v>19</v>
      </c>
      <c r="C1519" s="10">
        <v>5.46</v>
      </c>
      <c r="D1519" s="10" t="s">
        <v>4685</v>
      </c>
      <c r="E1519" s="10" t="s">
        <v>4684</v>
      </c>
      <c r="F1519" s="10" t="s">
        <v>4683</v>
      </c>
      <c r="G1519" s="10" t="s">
        <v>4683</v>
      </c>
      <c r="H1519" s="14">
        <v>1</v>
      </c>
      <c r="I1519" s="10" t="s">
        <v>4683</v>
      </c>
      <c r="J1519" s="10" t="str">
        <f t="shared" si="6"/>
        <v>normalweight</v>
      </c>
      <c r="L1519" s="30" t="e">
        <v>#N/A</v>
      </c>
    </row>
    <row r="1520" spans="1:12" ht="15.75" customHeight="1" x14ac:dyDescent="0.3">
      <c r="A1520" s="10" t="s">
        <v>1638</v>
      </c>
      <c r="B1520" s="10">
        <v>16.13</v>
      </c>
      <c r="C1520" s="10">
        <v>4.54</v>
      </c>
      <c r="D1520" s="10" t="s">
        <v>4685</v>
      </c>
      <c r="E1520" s="10" t="s">
        <v>4684</v>
      </c>
      <c r="F1520" s="10" t="s">
        <v>4683</v>
      </c>
      <c r="G1520" s="10" t="s">
        <v>4683</v>
      </c>
      <c r="H1520" s="14">
        <v>2</v>
      </c>
      <c r="I1520" s="10" t="s">
        <v>4683</v>
      </c>
      <c r="J1520" s="10" t="str">
        <f t="shared" si="6"/>
        <v>underweight</v>
      </c>
      <c r="L1520" s="30" t="e">
        <v>#N/A</v>
      </c>
    </row>
    <row r="1521" spans="1:12" ht="15.75" customHeight="1" x14ac:dyDescent="0.3">
      <c r="A1521" s="10" t="s">
        <v>1636</v>
      </c>
      <c r="B1521" s="10">
        <v>18.77</v>
      </c>
      <c r="C1521" s="10">
        <v>11.98</v>
      </c>
      <c r="D1521" s="16" t="s">
        <v>4682</v>
      </c>
      <c r="E1521" s="10" t="s">
        <v>4684</v>
      </c>
      <c r="F1521" s="10" t="s">
        <v>4683</v>
      </c>
      <c r="G1521" s="10" t="s">
        <v>4683</v>
      </c>
      <c r="H1521" s="14">
        <v>2</v>
      </c>
      <c r="I1521" s="10" t="s">
        <v>4683</v>
      </c>
      <c r="J1521" s="10" t="str">
        <f t="shared" si="6"/>
        <v>normalweight</v>
      </c>
      <c r="L1521" s="30" t="e">
        <v>#N/A</v>
      </c>
    </row>
    <row r="1522" spans="1:12" ht="15.75" customHeight="1" x14ac:dyDescent="0.3">
      <c r="A1522" s="10" t="s">
        <v>1634</v>
      </c>
      <c r="B1522" s="10">
        <v>28.88</v>
      </c>
      <c r="C1522" s="10">
        <v>6.59</v>
      </c>
      <c r="D1522" s="16" t="s">
        <v>4682</v>
      </c>
      <c r="E1522" s="10" t="s">
        <v>4684</v>
      </c>
      <c r="F1522" s="10" t="s">
        <v>4683</v>
      </c>
      <c r="G1522" s="10" t="s">
        <v>4683</v>
      </c>
      <c r="H1522" s="14">
        <v>1</v>
      </c>
      <c r="I1522" s="10" t="s">
        <v>4683</v>
      </c>
      <c r="J1522" s="10" t="str">
        <f t="shared" si="6"/>
        <v>normalweight</v>
      </c>
      <c r="L1522" s="30" t="e">
        <v>#N/A</v>
      </c>
    </row>
    <row r="1523" spans="1:12" ht="15.75" customHeight="1" x14ac:dyDescent="0.3">
      <c r="A1523" s="10" t="s">
        <v>1632</v>
      </c>
      <c r="B1523" s="10">
        <v>27.55</v>
      </c>
      <c r="C1523" s="10">
        <v>10.83</v>
      </c>
      <c r="D1523" s="16" t="s">
        <v>4682</v>
      </c>
      <c r="E1523" s="10" t="s">
        <v>4684</v>
      </c>
      <c r="F1523" s="10" t="s">
        <v>4683</v>
      </c>
      <c r="G1523" s="10" t="s">
        <v>4683</v>
      </c>
      <c r="H1523" s="14">
        <v>1</v>
      </c>
      <c r="I1523" s="10" t="s">
        <v>4683</v>
      </c>
      <c r="J1523" s="10" t="str">
        <f t="shared" si="6"/>
        <v>normalweight</v>
      </c>
      <c r="L1523" s="30" t="e">
        <v>#N/A</v>
      </c>
    </row>
    <row r="1524" spans="1:12" ht="15.75" customHeight="1" x14ac:dyDescent="0.3">
      <c r="A1524" s="10" t="s">
        <v>1630</v>
      </c>
      <c r="B1524" s="10">
        <v>15.6</v>
      </c>
      <c r="C1524" s="10">
        <v>8.6</v>
      </c>
      <c r="D1524" s="16" t="s">
        <v>4682</v>
      </c>
      <c r="E1524" s="10" t="s">
        <v>4683</v>
      </c>
      <c r="F1524" s="10" t="s">
        <v>4683</v>
      </c>
      <c r="G1524" s="10" t="s">
        <v>4683</v>
      </c>
      <c r="H1524" s="14">
        <v>0</v>
      </c>
      <c r="I1524" s="10" t="s">
        <v>4683</v>
      </c>
      <c r="J1524" s="10" t="str">
        <f t="shared" si="6"/>
        <v>underweight</v>
      </c>
      <c r="L1524" s="30" t="e">
        <v>#N/A</v>
      </c>
    </row>
    <row r="1525" spans="1:12" ht="15.75" customHeight="1" x14ac:dyDescent="0.3">
      <c r="A1525" s="10" t="s">
        <v>1628</v>
      </c>
      <c r="B1525" s="10">
        <v>21.99</v>
      </c>
      <c r="C1525" s="10">
        <v>11.17</v>
      </c>
      <c r="D1525" s="16" t="s">
        <v>4682</v>
      </c>
      <c r="E1525" s="10" t="s">
        <v>4683</v>
      </c>
      <c r="F1525" s="10" t="s">
        <v>4683</v>
      </c>
      <c r="G1525" s="10" t="s">
        <v>4683</v>
      </c>
      <c r="H1525" s="14">
        <v>0</v>
      </c>
      <c r="I1525" s="10" t="s">
        <v>4683</v>
      </c>
      <c r="J1525" s="10" t="str">
        <f t="shared" si="6"/>
        <v>normalweight</v>
      </c>
      <c r="L1525" s="30" t="e">
        <v>#N/A</v>
      </c>
    </row>
    <row r="1526" spans="1:12" ht="15.75" customHeight="1" x14ac:dyDescent="0.3">
      <c r="A1526" s="10" t="s">
        <v>1626</v>
      </c>
      <c r="B1526" s="10">
        <v>34.85</v>
      </c>
      <c r="C1526" s="10">
        <v>5.75</v>
      </c>
      <c r="D1526" s="10" t="s">
        <v>4685</v>
      </c>
      <c r="E1526" s="10" t="s">
        <v>4683</v>
      </c>
      <c r="F1526" s="10" t="s">
        <v>4683</v>
      </c>
      <c r="G1526" s="10" t="s">
        <v>4683</v>
      </c>
      <c r="H1526" s="14">
        <v>0</v>
      </c>
      <c r="I1526" s="10" t="s">
        <v>4683</v>
      </c>
      <c r="J1526" s="10" t="str">
        <f t="shared" si="6"/>
        <v>normalweight</v>
      </c>
      <c r="L1526" s="30" t="e">
        <v>#N/A</v>
      </c>
    </row>
    <row r="1527" spans="1:12" ht="15.75" customHeight="1" x14ac:dyDescent="0.3">
      <c r="A1527" s="10" t="s">
        <v>1624</v>
      </c>
      <c r="B1527" s="10">
        <v>24.51</v>
      </c>
      <c r="C1527" s="10">
        <v>4.83</v>
      </c>
      <c r="D1527" s="10" t="s">
        <v>4685</v>
      </c>
      <c r="E1527" s="10" t="s">
        <v>4684</v>
      </c>
      <c r="F1527" s="10" t="s">
        <v>4683</v>
      </c>
      <c r="G1527" s="10" t="s">
        <v>4686</v>
      </c>
      <c r="H1527" s="14">
        <v>1</v>
      </c>
      <c r="I1527" s="10" t="s">
        <v>4683</v>
      </c>
      <c r="J1527" s="10" t="str">
        <f t="shared" si="6"/>
        <v>normalweight</v>
      </c>
      <c r="L1527" s="30" t="e">
        <v>#N/A</v>
      </c>
    </row>
    <row r="1528" spans="1:12" ht="15.75" customHeight="1" x14ac:dyDescent="0.3">
      <c r="A1528" s="10" t="s">
        <v>1622</v>
      </c>
      <c r="B1528" s="10">
        <v>19.399999999999999</v>
      </c>
      <c r="C1528" s="10">
        <v>11.93</v>
      </c>
      <c r="D1528" s="16" t="s">
        <v>4682</v>
      </c>
      <c r="E1528" s="10" t="s">
        <v>4683</v>
      </c>
      <c r="F1528" s="10" t="s">
        <v>4683</v>
      </c>
      <c r="G1528" s="10" t="s">
        <v>4683</v>
      </c>
      <c r="H1528" s="14">
        <v>0</v>
      </c>
      <c r="I1528" s="10" t="s">
        <v>4683</v>
      </c>
      <c r="J1528" s="10" t="str">
        <f t="shared" si="6"/>
        <v>normalweight</v>
      </c>
      <c r="L1528" s="30" t="e">
        <v>#N/A</v>
      </c>
    </row>
    <row r="1529" spans="1:12" ht="15.75" customHeight="1" x14ac:dyDescent="0.3">
      <c r="A1529" s="10" t="s">
        <v>1620</v>
      </c>
      <c r="B1529" s="10">
        <v>15.1</v>
      </c>
      <c r="C1529" s="10">
        <v>8.41</v>
      </c>
      <c r="D1529" s="16" t="s">
        <v>4682</v>
      </c>
      <c r="E1529" s="10" t="s">
        <v>4683</v>
      </c>
      <c r="F1529" s="10" t="s">
        <v>4683</v>
      </c>
      <c r="G1529" s="10" t="s">
        <v>4683</v>
      </c>
      <c r="H1529" s="14">
        <v>0</v>
      </c>
      <c r="I1529" s="10" t="s">
        <v>4683</v>
      </c>
      <c r="J1529" s="10" t="str">
        <f t="shared" si="6"/>
        <v>underweight</v>
      </c>
      <c r="L1529" s="30" t="e">
        <v>#N/A</v>
      </c>
    </row>
    <row r="1530" spans="1:12" ht="15.75" customHeight="1" x14ac:dyDescent="0.3">
      <c r="A1530" s="10" t="s">
        <v>1618</v>
      </c>
      <c r="B1530" s="10">
        <v>23.37</v>
      </c>
      <c r="C1530" s="10">
        <v>5.59</v>
      </c>
      <c r="D1530" s="10" t="s">
        <v>4685</v>
      </c>
      <c r="E1530" s="10" t="s">
        <v>4684</v>
      </c>
      <c r="F1530" s="10" t="s">
        <v>4683</v>
      </c>
      <c r="G1530" s="10" t="s">
        <v>4683</v>
      </c>
      <c r="H1530" s="14">
        <v>0</v>
      </c>
      <c r="I1530" s="10" t="s">
        <v>4683</v>
      </c>
      <c r="J1530" s="10" t="str">
        <f t="shared" si="6"/>
        <v>normalweight</v>
      </c>
      <c r="L1530" s="30" t="e">
        <v>#N/A</v>
      </c>
    </row>
    <row r="1531" spans="1:12" ht="15.75" customHeight="1" x14ac:dyDescent="0.3">
      <c r="A1531" s="10" t="s">
        <v>1616</v>
      </c>
      <c r="B1531" s="10">
        <v>42.4</v>
      </c>
      <c r="C1531" s="10">
        <v>4.0599999999999996</v>
      </c>
      <c r="D1531" s="10" t="s">
        <v>4685</v>
      </c>
      <c r="E1531" s="10" t="s">
        <v>4683</v>
      </c>
      <c r="F1531" s="10" t="s">
        <v>4683</v>
      </c>
      <c r="G1531" s="10" t="s">
        <v>4683</v>
      </c>
      <c r="H1531" s="14">
        <v>0</v>
      </c>
      <c r="I1531" s="10" t="s">
        <v>4683</v>
      </c>
      <c r="J1531" s="10" t="str">
        <f t="shared" si="6"/>
        <v>normalweight</v>
      </c>
      <c r="L1531" s="30" t="e">
        <v>#N/A</v>
      </c>
    </row>
    <row r="1532" spans="1:12" ht="15.75" customHeight="1" x14ac:dyDescent="0.3">
      <c r="A1532" s="10" t="s">
        <v>1614</v>
      </c>
      <c r="B1532" s="10">
        <v>28.405000000000001</v>
      </c>
      <c r="C1532" s="10">
        <v>7.02</v>
      </c>
      <c r="D1532" s="16" t="s">
        <v>4682</v>
      </c>
      <c r="E1532" s="10" t="s">
        <v>4684</v>
      </c>
      <c r="F1532" s="10" t="s">
        <v>4683</v>
      </c>
      <c r="G1532" s="10" t="s">
        <v>4683</v>
      </c>
      <c r="H1532" s="14">
        <v>0</v>
      </c>
      <c r="I1532" s="10" t="s">
        <v>4683</v>
      </c>
      <c r="J1532" s="10" t="str">
        <f t="shared" si="6"/>
        <v>normalweight</v>
      </c>
      <c r="L1532" s="30" t="e">
        <v>#N/A</v>
      </c>
    </row>
    <row r="1533" spans="1:12" ht="15.75" customHeight="1" x14ac:dyDescent="0.3">
      <c r="A1533" s="10" t="s">
        <v>1612</v>
      </c>
      <c r="B1533" s="10">
        <v>23.4</v>
      </c>
      <c r="C1533" s="10">
        <v>4.47</v>
      </c>
      <c r="D1533" s="10" t="s">
        <v>4685</v>
      </c>
      <c r="E1533" s="10" t="s">
        <v>4683</v>
      </c>
      <c r="F1533" s="10" t="s">
        <v>4683</v>
      </c>
      <c r="G1533" s="10" t="s">
        <v>4683</v>
      </c>
      <c r="H1533" s="14">
        <v>0</v>
      </c>
      <c r="I1533" s="10" t="s">
        <v>4683</v>
      </c>
      <c r="J1533" s="10" t="str">
        <f t="shared" si="6"/>
        <v>normalweight</v>
      </c>
      <c r="L1533" s="30" t="e">
        <v>#N/A</v>
      </c>
    </row>
    <row r="1534" spans="1:12" ht="15.75" customHeight="1" x14ac:dyDescent="0.3">
      <c r="A1534" s="10" t="s">
        <v>1610</v>
      </c>
      <c r="B1534" s="10">
        <v>33.44</v>
      </c>
      <c r="C1534" s="10">
        <v>4.54</v>
      </c>
      <c r="D1534" s="10" t="s">
        <v>4685</v>
      </c>
      <c r="E1534" s="10" t="s">
        <v>4683</v>
      </c>
      <c r="F1534" s="10" t="s">
        <v>4683</v>
      </c>
      <c r="G1534" s="10" t="s">
        <v>4683</v>
      </c>
      <c r="H1534" s="14">
        <v>0</v>
      </c>
      <c r="I1534" s="10" t="s">
        <v>4683</v>
      </c>
      <c r="J1534" s="10" t="str">
        <f t="shared" si="6"/>
        <v>normalweight</v>
      </c>
      <c r="L1534" s="30" t="e">
        <v>#N/A</v>
      </c>
    </row>
    <row r="1535" spans="1:12" ht="15.75" customHeight="1" x14ac:dyDescent="0.3">
      <c r="A1535" s="10" t="s">
        <v>1608</v>
      </c>
      <c r="B1535" s="10">
        <v>21.12</v>
      </c>
      <c r="C1535" s="10">
        <v>4.99</v>
      </c>
      <c r="D1535" s="10" t="s">
        <v>4685</v>
      </c>
      <c r="E1535" s="10" t="s">
        <v>4683</v>
      </c>
      <c r="F1535" s="10" t="s">
        <v>4683</v>
      </c>
      <c r="G1535" s="10" t="s">
        <v>4683</v>
      </c>
      <c r="H1535" s="14">
        <v>1</v>
      </c>
      <c r="I1535" s="10" t="s">
        <v>4683</v>
      </c>
      <c r="J1535" s="10" t="str">
        <f t="shared" si="6"/>
        <v>normalweight</v>
      </c>
      <c r="L1535" s="30" t="e">
        <v>#N/A</v>
      </c>
    </row>
    <row r="1536" spans="1:12" ht="15.75" customHeight="1" x14ac:dyDescent="0.3">
      <c r="A1536" s="10" t="s">
        <v>1606</v>
      </c>
      <c r="B1536" s="10">
        <v>18.48</v>
      </c>
      <c r="C1536" s="10">
        <v>10.84</v>
      </c>
      <c r="D1536" s="16" t="s">
        <v>4682</v>
      </c>
      <c r="E1536" s="10" t="s">
        <v>4684</v>
      </c>
      <c r="F1536" s="10" t="s">
        <v>4683</v>
      </c>
      <c r="G1536" s="10" t="s">
        <v>4683</v>
      </c>
      <c r="H1536" s="14">
        <v>2</v>
      </c>
      <c r="I1536" s="10" t="s">
        <v>4683</v>
      </c>
      <c r="J1536" s="10" t="str">
        <f t="shared" si="6"/>
        <v>underweight</v>
      </c>
      <c r="L1536" s="30" t="e">
        <v>#N/A</v>
      </c>
    </row>
    <row r="1537" spans="1:12" ht="15.75" customHeight="1" x14ac:dyDescent="0.3">
      <c r="A1537" s="10" t="s">
        <v>1604</v>
      </c>
      <c r="B1537" s="10">
        <v>16.815000000000001</v>
      </c>
      <c r="C1537" s="10">
        <v>5.63</v>
      </c>
      <c r="D1537" s="10" t="s">
        <v>4685</v>
      </c>
      <c r="E1537" s="10" t="s">
        <v>4683</v>
      </c>
      <c r="F1537" s="10" t="s">
        <v>4683</v>
      </c>
      <c r="G1537" s="10" t="s">
        <v>4683</v>
      </c>
      <c r="H1537" s="14">
        <v>1</v>
      </c>
      <c r="I1537" s="10" t="s">
        <v>4683</v>
      </c>
      <c r="J1537" s="10" t="str">
        <f t="shared" si="6"/>
        <v>underweight</v>
      </c>
      <c r="L1537" s="30" t="e">
        <v>#N/A</v>
      </c>
    </row>
    <row r="1538" spans="1:12" ht="15.75" customHeight="1" x14ac:dyDescent="0.3">
      <c r="A1538" s="10" t="s">
        <v>1602</v>
      </c>
      <c r="B1538" s="10">
        <v>26.72</v>
      </c>
      <c r="C1538" s="10">
        <v>4.1399999999999997</v>
      </c>
      <c r="D1538" s="10" t="s">
        <v>4685</v>
      </c>
      <c r="E1538" s="10" t="s">
        <v>4683</v>
      </c>
      <c r="F1538" s="10" t="s">
        <v>4683</v>
      </c>
      <c r="G1538" s="10" t="s">
        <v>4683</v>
      </c>
      <c r="H1538" s="14">
        <v>0</v>
      </c>
      <c r="I1538" s="10" t="s">
        <v>4683</v>
      </c>
      <c r="J1538" s="10" t="str">
        <f t="shared" si="6"/>
        <v>normalweight</v>
      </c>
      <c r="L1538" s="30" t="e">
        <v>#N/A</v>
      </c>
    </row>
    <row r="1539" spans="1:12" ht="15.75" customHeight="1" x14ac:dyDescent="0.3">
      <c r="A1539" s="10" t="s">
        <v>1600</v>
      </c>
      <c r="B1539" s="10">
        <v>41.42</v>
      </c>
      <c r="C1539" s="10">
        <v>5.17</v>
      </c>
      <c r="D1539" s="10" t="s">
        <v>4685</v>
      </c>
      <c r="E1539" s="10" t="s">
        <v>4683</v>
      </c>
      <c r="F1539" s="10" t="s">
        <v>4683</v>
      </c>
      <c r="G1539" s="10" t="s">
        <v>4686</v>
      </c>
      <c r="H1539" s="14">
        <v>1</v>
      </c>
      <c r="I1539" s="10" t="s">
        <v>4683</v>
      </c>
      <c r="J1539" s="10" t="str">
        <f t="shared" si="6"/>
        <v>normalweight</v>
      </c>
      <c r="L1539" s="30" t="e">
        <v>#N/A</v>
      </c>
    </row>
    <row r="1540" spans="1:12" ht="15.75" customHeight="1" x14ac:dyDescent="0.3">
      <c r="A1540" s="10" t="s">
        <v>1598</v>
      </c>
      <c r="B1540" s="10">
        <v>20.69</v>
      </c>
      <c r="C1540" s="10">
        <v>6.93</v>
      </c>
      <c r="D1540" s="16" t="s">
        <v>4682</v>
      </c>
      <c r="E1540" s="10" t="s">
        <v>4683</v>
      </c>
      <c r="F1540" s="10" t="s">
        <v>4683</v>
      </c>
      <c r="G1540" s="10" t="s">
        <v>4683</v>
      </c>
      <c r="H1540" s="14">
        <v>2</v>
      </c>
      <c r="I1540" s="10" t="s">
        <v>4683</v>
      </c>
      <c r="J1540" s="10" t="str">
        <f t="shared" si="6"/>
        <v>normalweight</v>
      </c>
      <c r="L1540" s="30" t="e">
        <v>#N/A</v>
      </c>
    </row>
    <row r="1541" spans="1:12" ht="15.75" customHeight="1" x14ac:dyDescent="0.3">
      <c r="A1541" s="10" t="s">
        <v>1596</v>
      </c>
      <c r="B1541" s="10">
        <v>41.23</v>
      </c>
      <c r="C1541" s="10">
        <v>4.24</v>
      </c>
      <c r="D1541" s="10" t="s">
        <v>4685</v>
      </c>
      <c r="E1541" s="10" t="s">
        <v>4683</v>
      </c>
      <c r="F1541" s="10" t="s">
        <v>4683</v>
      </c>
      <c r="G1541" s="10" t="s">
        <v>4683</v>
      </c>
      <c r="H1541" s="14">
        <v>0</v>
      </c>
      <c r="I1541" s="10" t="s">
        <v>4683</v>
      </c>
      <c r="J1541" s="10" t="str">
        <f t="shared" si="6"/>
        <v>normalweight</v>
      </c>
      <c r="L1541" s="30" t="e">
        <v>#N/A</v>
      </c>
    </row>
    <row r="1542" spans="1:12" ht="15.75" customHeight="1" x14ac:dyDescent="0.3">
      <c r="A1542" s="10" t="s">
        <v>1594</v>
      </c>
      <c r="B1542" s="10">
        <v>29.9</v>
      </c>
      <c r="C1542" s="10">
        <v>5.91</v>
      </c>
      <c r="D1542" s="10" t="s">
        <v>4685</v>
      </c>
      <c r="E1542" s="10" t="s">
        <v>4683</v>
      </c>
      <c r="F1542" s="10" t="s">
        <v>4683</v>
      </c>
      <c r="G1542" s="10" t="s">
        <v>4683</v>
      </c>
      <c r="H1542" s="14">
        <v>0</v>
      </c>
      <c r="I1542" s="10" t="s">
        <v>4683</v>
      </c>
      <c r="J1542" s="10" t="str">
        <f t="shared" si="6"/>
        <v>normalweight</v>
      </c>
      <c r="L1542" s="30" t="e">
        <v>#N/A</v>
      </c>
    </row>
    <row r="1543" spans="1:12" ht="15.75" customHeight="1" x14ac:dyDescent="0.3">
      <c r="A1543" s="10" t="s">
        <v>1592</v>
      </c>
      <c r="B1543" s="10">
        <v>34.104999999999997</v>
      </c>
      <c r="C1543" s="10">
        <v>5.93</v>
      </c>
      <c r="D1543" s="10" t="s">
        <v>4685</v>
      </c>
      <c r="E1543" s="10" t="s">
        <v>4683</v>
      </c>
      <c r="F1543" s="10" t="s">
        <v>4683</v>
      </c>
      <c r="G1543" s="10" t="s">
        <v>4683</v>
      </c>
      <c r="H1543" s="14">
        <v>0</v>
      </c>
      <c r="I1543" s="10" t="s">
        <v>4683</v>
      </c>
      <c r="J1543" s="10" t="str">
        <f t="shared" si="6"/>
        <v>normalweight</v>
      </c>
      <c r="L1543" s="30" t="e">
        <v>#N/A</v>
      </c>
    </row>
    <row r="1544" spans="1:12" ht="15.75" customHeight="1" x14ac:dyDescent="0.3">
      <c r="A1544" s="10" t="s">
        <v>1590</v>
      </c>
      <c r="B1544" s="10">
        <v>24.97</v>
      </c>
      <c r="C1544" s="10">
        <v>5.66</v>
      </c>
      <c r="D1544" s="10" t="s">
        <v>4685</v>
      </c>
      <c r="E1544" s="10" t="s">
        <v>4683</v>
      </c>
      <c r="F1544" s="10" t="s">
        <v>4683</v>
      </c>
      <c r="G1544" s="10" t="s">
        <v>4683</v>
      </c>
      <c r="H1544" s="14">
        <v>0</v>
      </c>
      <c r="I1544" s="10" t="s">
        <v>4683</v>
      </c>
      <c r="J1544" s="10" t="str">
        <f t="shared" si="6"/>
        <v>normalweight</v>
      </c>
      <c r="L1544" s="30" t="e">
        <v>#N/A</v>
      </c>
    </row>
    <row r="1545" spans="1:12" ht="15.75" customHeight="1" x14ac:dyDescent="0.3">
      <c r="A1545" s="10" t="s">
        <v>1588</v>
      </c>
      <c r="B1545" s="10">
        <v>34.799999999999997</v>
      </c>
      <c r="C1545" s="10">
        <v>4.1900000000000004</v>
      </c>
      <c r="D1545" s="10" t="s">
        <v>4685</v>
      </c>
      <c r="E1545" s="10" t="s">
        <v>4683</v>
      </c>
      <c r="F1545" s="10" t="s">
        <v>4683</v>
      </c>
      <c r="G1545" s="10" t="s">
        <v>4683</v>
      </c>
      <c r="H1545" s="14">
        <v>1</v>
      </c>
      <c r="I1545" s="10" t="s">
        <v>4683</v>
      </c>
      <c r="J1545" s="10" t="str">
        <f t="shared" si="6"/>
        <v>normalweight</v>
      </c>
      <c r="L1545" s="30" t="e">
        <v>#N/A</v>
      </c>
    </row>
    <row r="1546" spans="1:12" ht="15.75" customHeight="1" x14ac:dyDescent="0.3">
      <c r="A1546" s="10" t="s">
        <v>1586</v>
      </c>
      <c r="B1546" s="10">
        <v>32.965000000000003</v>
      </c>
      <c r="C1546" s="10">
        <v>9.2100000000000009</v>
      </c>
      <c r="D1546" s="16" t="s">
        <v>4682</v>
      </c>
      <c r="E1546" s="10" t="s">
        <v>4684</v>
      </c>
      <c r="F1546" s="10" t="s">
        <v>4683</v>
      </c>
      <c r="G1546" s="10" t="s">
        <v>4683</v>
      </c>
      <c r="H1546" s="14">
        <v>0</v>
      </c>
      <c r="I1546" s="10" t="s">
        <v>4683</v>
      </c>
      <c r="J1546" s="10" t="str">
        <f t="shared" si="6"/>
        <v>normalweight</v>
      </c>
      <c r="L1546" s="30" t="e">
        <v>#N/A</v>
      </c>
    </row>
    <row r="1547" spans="1:12" ht="15.75" customHeight="1" x14ac:dyDescent="0.3">
      <c r="A1547" s="10" t="s">
        <v>1584</v>
      </c>
      <c r="B1547" s="10">
        <v>27.265000000000001</v>
      </c>
      <c r="C1547" s="10">
        <v>5.51</v>
      </c>
      <c r="D1547" s="10" t="s">
        <v>4685</v>
      </c>
      <c r="E1547" s="10" t="s">
        <v>4683</v>
      </c>
      <c r="F1547" s="10" t="s">
        <v>4683</v>
      </c>
      <c r="G1547" s="10" t="s">
        <v>4683</v>
      </c>
      <c r="H1547" s="14">
        <v>1</v>
      </c>
      <c r="I1547" s="10" t="s">
        <v>4683</v>
      </c>
      <c r="J1547" s="10" t="str">
        <f t="shared" si="6"/>
        <v>normalweight</v>
      </c>
      <c r="L1547" s="30" t="e">
        <v>#N/A</v>
      </c>
    </row>
    <row r="1548" spans="1:12" ht="15.75" customHeight="1" x14ac:dyDescent="0.3">
      <c r="A1548" s="10" t="s">
        <v>1582</v>
      </c>
      <c r="B1548" s="10">
        <v>17.059999999999999</v>
      </c>
      <c r="C1548" s="10">
        <v>8.5</v>
      </c>
      <c r="D1548" s="16" t="s">
        <v>4682</v>
      </c>
      <c r="E1548" s="10" t="s">
        <v>4683</v>
      </c>
      <c r="F1548" s="10" t="s">
        <v>4683</v>
      </c>
      <c r="G1548" s="10" t="s">
        <v>4683</v>
      </c>
      <c r="H1548" s="14">
        <v>0</v>
      </c>
      <c r="I1548" s="10" t="s">
        <v>4683</v>
      </c>
      <c r="J1548" s="10" t="str">
        <f t="shared" si="6"/>
        <v>underweight</v>
      </c>
      <c r="L1548" s="30" t="e">
        <v>#N/A</v>
      </c>
    </row>
    <row r="1549" spans="1:12" ht="15.75" customHeight="1" x14ac:dyDescent="0.3">
      <c r="A1549" s="10" t="s">
        <v>1580</v>
      </c>
      <c r="B1549" s="10">
        <v>36.29</v>
      </c>
      <c r="C1549" s="10">
        <v>6.23</v>
      </c>
      <c r="D1549" s="10" t="s">
        <v>4685</v>
      </c>
      <c r="E1549" s="10" t="s">
        <v>4683</v>
      </c>
      <c r="F1549" s="10" t="s">
        <v>4683</v>
      </c>
      <c r="G1549" s="10" t="s">
        <v>4683</v>
      </c>
      <c r="H1549" s="14">
        <v>0</v>
      </c>
      <c r="I1549" s="10" t="s">
        <v>4683</v>
      </c>
      <c r="J1549" s="10" t="str">
        <f t="shared" si="6"/>
        <v>normalweight</v>
      </c>
      <c r="L1549" s="30" t="e">
        <v>#N/A</v>
      </c>
    </row>
    <row r="1550" spans="1:12" ht="15.75" customHeight="1" x14ac:dyDescent="0.3">
      <c r="A1550" s="10" t="s">
        <v>1578</v>
      </c>
      <c r="B1550" s="10">
        <v>28.594999999999999</v>
      </c>
      <c r="C1550" s="10">
        <v>8.5299999999999994</v>
      </c>
      <c r="D1550" s="16" t="s">
        <v>4682</v>
      </c>
      <c r="E1550" s="10" t="s">
        <v>4684</v>
      </c>
      <c r="F1550" s="10" t="s">
        <v>4683</v>
      </c>
      <c r="G1550" s="10" t="s">
        <v>4683</v>
      </c>
      <c r="H1550" s="14">
        <v>1</v>
      </c>
      <c r="I1550" s="10" t="s">
        <v>4683</v>
      </c>
      <c r="J1550" s="10" t="str">
        <f t="shared" ref="J1550:J1804" si="7">IF(B1550&lt;=18.5,"underweight",IF(B1550&gt;=18.5-24.9,"normalweight",IF(B1550&gt;=25-29.9,"overweight","obesity")))</f>
        <v>normalweight</v>
      </c>
      <c r="L1550" s="30" t="e">
        <v>#N/A</v>
      </c>
    </row>
    <row r="1551" spans="1:12" ht="15.75" customHeight="1" x14ac:dyDescent="0.3">
      <c r="A1551" s="10" t="s">
        <v>1576</v>
      </c>
      <c r="B1551" s="10">
        <v>17.8</v>
      </c>
      <c r="C1551" s="10">
        <v>5.75</v>
      </c>
      <c r="D1551" s="10" t="s">
        <v>4685</v>
      </c>
      <c r="E1551" s="10" t="s">
        <v>4684</v>
      </c>
      <c r="F1551" s="10" t="s">
        <v>4683</v>
      </c>
      <c r="G1551" s="10" t="s">
        <v>4686</v>
      </c>
      <c r="H1551" s="14">
        <v>1</v>
      </c>
      <c r="I1551" s="10" t="s">
        <v>4683</v>
      </c>
      <c r="J1551" s="10" t="str">
        <f t="shared" si="7"/>
        <v>underweight</v>
      </c>
      <c r="L1551" s="30" t="e">
        <v>#N/A</v>
      </c>
    </row>
    <row r="1552" spans="1:12" ht="15.75" customHeight="1" x14ac:dyDescent="0.3">
      <c r="A1552" s="10" t="s">
        <v>1574</v>
      </c>
      <c r="B1552" s="10">
        <v>21.4</v>
      </c>
      <c r="C1552" s="10">
        <v>5.6</v>
      </c>
      <c r="D1552" s="10" t="s">
        <v>4685</v>
      </c>
      <c r="E1552" s="10" t="s">
        <v>4683</v>
      </c>
      <c r="F1552" s="10" t="s">
        <v>4683</v>
      </c>
      <c r="G1552" s="10" t="s">
        <v>4683</v>
      </c>
      <c r="H1552" s="14">
        <v>0</v>
      </c>
      <c r="I1552" s="10" t="s">
        <v>4683</v>
      </c>
      <c r="J1552" s="10" t="str">
        <f t="shared" si="7"/>
        <v>normalweight</v>
      </c>
      <c r="L1552" s="30" t="e">
        <v>#N/A</v>
      </c>
    </row>
    <row r="1553" spans="1:12" ht="15.75" customHeight="1" x14ac:dyDescent="0.3">
      <c r="A1553" s="10" t="s">
        <v>1572</v>
      </c>
      <c r="B1553" s="10">
        <v>23.01</v>
      </c>
      <c r="C1553" s="10">
        <v>4.68</v>
      </c>
      <c r="D1553" s="10" t="s">
        <v>4685</v>
      </c>
      <c r="E1553" s="10" t="s">
        <v>4683</v>
      </c>
      <c r="F1553" s="10" t="s">
        <v>4683</v>
      </c>
      <c r="G1553" s="10" t="s">
        <v>4683</v>
      </c>
      <c r="H1553" s="14">
        <v>0</v>
      </c>
      <c r="I1553" s="10" t="s">
        <v>4683</v>
      </c>
      <c r="J1553" s="10" t="str">
        <f t="shared" si="7"/>
        <v>normalweight</v>
      </c>
      <c r="L1553" s="30" t="e">
        <v>#N/A</v>
      </c>
    </row>
    <row r="1554" spans="1:12" ht="15.75" customHeight="1" x14ac:dyDescent="0.3">
      <c r="A1554" s="10" t="s">
        <v>1570</v>
      </c>
      <c r="B1554" s="10">
        <v>19.86</v>
      </c>
      <c r="C1554" s="10">
        <v>5.62</v>
      </c>
      <c r="D1554" s="10" t="s">
        <v>4685</v>
      </c>
      <c r="E1554" s="10" t="s">
        <v>4684</v>
      </c>
      <c r="F1554" s="10" t="s">
        <v>4683</v>
      </c>
      <c r="G1554" s="10" t="s">
        <v>4683</v>
      </c>
      <c r="H1554" s="14">
        <v>0</v>
      </c>
      <c r="I1554" s="10" t="s">
        <v>4683</v>
      </c>
      <c r="J1554" s="10" t="str">
        <f t="shared" si="7"/>
        <v>normalweight</v>
      </c>
      <c r="L1554" s="30" t="e">
        <v>#N/A</v>
      </c>
    </row>
    <row r="1555" spans="1:12" ht="15.75" customHeight="1" x14ac:dyDescent="0.3">
      <c r="A1555" s="10" t="s">
        <v>1568</v>
      </c>
      <c r="B1555" s="10">
        <v>33.58</v>
      </c>
      <c r="C1555" s="10">
        <v>5.08</v>
      </c>
      <c r="D1555" s="10" t="s">
        <v>4685</v>
      </c>
      <c r="E1555" s="10" t="s">
        <v>4683</v>
      </c>
      <c r="F1555" s="10" t="s">
        <v>4683</v>
      </c>
      <c r="G1555" s="10" t="s">
        <v>4683</v>
      </c>
      <c r="H1555" s="14">
        <v>0</v>
      </c>
      <c r="I1555" s="10" t="s">
        <v>4683</v>
      </c>
      <c r="J1555" s="10" t="str">
        <f t="shared" si="7"/>
        <v>normalweight</v>
      </c>
      <c r="L1555" s="30" t="e">
        <v>#N/A</v>
      </c>
    </row>
    <row r="1556" spans="1:12" ht="15.75" customHeight="1" x14ac:dyDescent="0.3">
      <c r="A1556" s="10" t="s">
        <v>1566</v>
      </c>
      <c r="B1556" s="10">
        <v>29.81</v>
      </c>
      <c r="C1556" s="10">
        <v>5.28</v>
      </c>
      <c r="D1556" s="10" t="s">
        <v>4685</v>
      </c>
      <c r="E1556" s="10" t="s">
        <v>4683</v>
      </c>
      <c r="F1556" s="10" t="s">
        <v>4683</v>
      </c>
      <c r="G1556" s="10" t="s">
        <v>4683</v>
      </c>
      <c r="H1556" s="14">
        <v>0</v>
      </c>
      <c r="I1556" s="10" t="s">
        <v>4683</v>
      </c>
      <c r="J1556" s="10" t="str">
        <f t="shared" si="7"/>
        <v>normalweight</v>
      </c>
      <c r="L1556" s="30" t="e">
        <v>#N/A</v>
      </c>
    </row>
    <row r="1557" spans="1:12" ht="15.75" customHeight="1" x14ac:dyDescent="0.3">
      <c r="A1557" s="10" t="s">
        <v>1564</v>
      </c>
      <c r="B1557" s="10">
        <v>27.4</v>
      </c>
      <c r="C1557" s="10">
        <v>4.6100000000000003</v>
      </c>
      <c r="D1557" s="10" t="s">
        <v>4685</v>
      </c>
      <c r="E1557" s="10" t="s">
        <v>4683</v>
      </c>
      <c r="F1557" s="10" t="s">
        <v>4683</v>
      </c>
      <c r="G1557" s="10" t="s">
        <v>4683</v>
      </c>
      <c r="H1557" s="14">
        <v>0</v>
      </c>
      <c r="I1557" s="10" t="s">
        <v>4683</v>
      </c>
      <c r="J1557" s="10" t="str">
        <f t="shared" si="7"/>
        <v>normalweight</v>
      </c>
      <c r="L1557" s="30" t="e">
        <v>#N/A</v>
      </c>
    </row>
    <row r="1558" spans="1:12" ht="15.75" customHeight="1" x14ac:dyDescent="0.3">
      <c r="A1558" s="10" t="s">
        <v>1562</v>
      </c>
      <c r="B1558" s="10">
        <v>17.98</v>
      </c>
      <c r="C1558" s="10">
        <v>6.57</v>
      </c>
      <c r="D1558" s="16" t="s">
        <v>4682</v>
      </c>
      <c r="E1558" s="10" t="s">
        <v>4684</v>
      </c>
      <c r="F1558" s="10" t="s">
        <v>4683</v>
      </c>
      <c r="G1558" s="10" t="s">
        <v>4683</v>
      </c>
      <c r="H1558" s="14">
        <v>2</v>
      </c>
      <c r="I1558" s="10" t="s">
        <v>4683</v>
      </c>
      <c r="J1558" s="10" t="str">
        <f t="shared" si="7"/>
        <v>underweight</v>
      </c>
      <c r="L1558" s="30" t="e">
        <v>#N/A</v>
      </c>
    </row>
    <row r="1559" spans="1:12" ht="15.75" customHeight="1" x14ac:dyDescent="0.3">
      <c r="A1559" s="10" t="s">
        <v>1560</v>
      </c>
      <c r="B1559" s="10">
        <v>37.9</v>
      </c>
      <c r="C1559" s="10">
        <v>5.83</v>
      </c>
      <c r="D1559" s="10" t="s">
        <v>4685</v>
      </c>
      <c r="E1559" s="10" t="s">
        <v>4683</v>
      </c>
      <c r="F1559" s="10" t="s">
        <v>4683</v>
      </c>
      <c r="G1559" s="10" t="s">
        <v>4683</v>
      </c>
      <c r="H1559" s="14">
        <v>0</v>
      </c>
      <c r="I1559" s="10" t="s">
        <v>4683</v>
      </c>
      <c r="J1559" s="10" t="str">
        <f t="shared" si="7"/>
        <v>normalweight</v>
      </c>
      <c r="L1559" s="30" t="e">
        <v>#N/A</v>
      </c>
    </row>
    <row r="1560" spans="1:12" ht="15.75" customHeight="1" x14ac:dyDescent="0.3">
      <c r="A1560" s="10" t="s">
        <v>1558</v>
      </c>
      <c r="B1560" s="10">
        <v>25.27</v>
      </c>
      <c r="C1560" s="10">
        <v>6.98</v>
      </c>
      <c r="D1560" s="16" t="s">
        <v>4682</v>
      </c>
      <c r="E1560" s="10" t="s">
        <v>4684</v>
      </c>
      <c r="F1560" s="10" t="s">
        <v>4683</v>
      </c>
      <c r="G1560" s="10" t="s">
        <v>4683</v>
      </c>
      <c r="H1560" s="14">
        <v>0</v>
      </c>
      <c r="I1560" s="10" t="s">
        <v>4683</v>
      </c>
      <c r="J1560" s="10" t="str">
        <f t="shared" si="7"/>
        <v>normalweight</v>
      </c>
      <c r="L1560" s="30" t="e">
        <v>#N/A</v>
      </c>
    </row>
    <row r="1561" spans="1:12" ht="15.75" customHeight="1" x14ac:dyDescent="0.3">
      <c r="A1561" s="10" t="s">
        <v>1556</v>
      </c>
      <c r="B1561" s="10">
        <v>29.26</v>
      </c>
      <c r="C1561" s="10">
        <v>4.03</v>
      </c>
      <c r="D1561" s="10" t="s">
        <v>4685</v>
      </c>
      <c r="E1561" s="10" t="s">
        <v>4683</v>
      </c>
      <c r="F1561" s="10" t="s">
        <v>4683</v>
      </c>
      <c r="G1561" s="10" t="s">
        <v>4683</v>
      </c>
      <c r="H1561" s="14">
        <v>1</v>
      </c>
      <c r="I1561" s="10" t="s">
        <v>4683</v>
      </c>
      <c r="J1561" s="10" t="str">
        <f t="shared" si="7"/>
        <v>normalweight</v>
      </c>
      <c r="L1561" s="30" t="e">
        <v>#N/A</v>
      </c>
    </row>
    <row r="1562" spans="1:12" ht="15.75" customHeight="1" x14ac:dyDescent="0.3">
      <c r="A1562" s="10" t="s">
        <v>1554</v>
      </c>
      <c r="B1562" s="10">
        <v>27.835000000000001</v>
      </c>
      <c r="C1562" s="10">
        <v>4.5599999999999996</v>
      </c>
      <c r="D1562" s="10" t="s">
        <v>4685</v>
      </c>
      <c r="E1562" s="10" t="s">
        <v>4683</v>
      </c>
      <c r="F1562" s="10" t="s">
        <v>4683</v>
      </c>
      <c r="G1562" s="10" t="s">
        <v>4683</v>
      </c>
      <c r="H1562" s="14">
        <v>1</v>
      </c>
      <c r="I1562" s="10" t="s">
        <v>4683</v>
      </c>
      <c r="J1562" s="10" t="str">
        <f t="shared" si="7"/>
        <v>normalweight</v>
      </c>
      <c r="L1562" s="30" t="e">
        <v>#N/A</v>
      </c>
    </row>
    <row r="1563" spans="1:12" ht="15.75" customHeight="1" x14ac:dyDescent="0.3">
      <c r="A1563" s="10" t="s">
        <v>1552</v>
      </c>
      <c r="B1563" s="10">
        <v>46.53</v>
      </c>
      <c r="C1563" s="10">
        <v>5.38</v>
      </c>
      <c r="D1563" s="10" t="s">
        <v>4685</v>
      </c>
      <c r="E1563" s="10" t="s">
        <v>4684</v>
      </c>
      <c r="F1563" s="10" t="s">
        <v>4683</v>
      </c>
      <c r="G1563" s="10" t="s">
        <v>4683</v>
      </c>
      <c r="H1563" s="14">
        <v>0</v>
      </c>
      <c r="I1563" s="10" t="s">
        <v>4683</v>
      </c>
      <c r="J1563" s="10" t="str">
        <f t="shared" si="7"/>
        <v>normalweight</v>
      </c>
      <c r="L1563" s="30" t="e">
        <v>#N/A</v>
      </c>
    </row>
    <row r="1564" spans="1:12" ht="15.75" customHeight="1" x14ac:dyDescent="0.3">
      <c r="A1564" s="10" t="s">
        <v>1550</v>
      </c>
      <c r="B1564" s="10">
        <v>20.58</v>
      </c>
      <c r="C1564" s="10">
        <v>11.04</v>
      </c>
      <c r="D1564" s="16" t="s">
        <v>4682</v>
      </c>
      <c r="E1564" s="10" t="s">
        <v>4684</v>
      </c>
      <c r="F1564" s="10" t="s">
        <v>4683</v>
      </c>
      <c r="G1564" s="10" t="s">
        <v>4683</v>
      </c>
      <c r="H1564" s="14">
        <v>1</v>
      </c>
      <c r="I1564" s="10" t="s">
        <v>4683</v>
      </c>
      <c r="J1564" s="10" t="str">
        <f t="shared" si="7"/>
        <v>normalweight</v>
      </c>
      <c r="L1564" s="30" t="e">
        <v>#N/A</v>
      </c>
    </row>
    <row r="1565" spans="1:12" ht="15.75" customHeight="1" x14ac:dyDescent="0.3">
      <c r="A1565" s="10" t="s">
        <v>1548</v>
      </c>
      <c r="B1565" s="10">
        <v>19.53</v>
      </c>
      <c r="C1565" s="10">
        <v>6.09</v>
      </c>
      <c r="D1565" s="10" t="s">
        <v>4685</v>
      </c>
      <c r="E1565" s="10" t="s">
        <v>4684</v>
      </c>
      <c r="F1565" s="10" t="s">
        <v>4683</v>
      </c>
      <c r="G1565" s="10" t="s">
        <v>4683</v>
      </c>
      <c r="H1565" s="14">
        <v>0</v>
      </c>
      <c r="I1565" s="10" t="s">
        <v>4683</v>
      </c>
      <c r="J1565" s="10" t="str">
        <f t="shared" si="7"/>
        <v>normalweight</v>
      </c>
      <c r="L1565" s="30" t="e">
        <v>#N/A</v>
      </c>
    </row>
    <row r="1566" spans="1:12" ht="15.75" customHeight="1" x14ac:dyDescent="0.3">
      <c r="A1566" s="10" t="s">
        <v>1546</v>
      </c>
      <c r="B1566" s="10">
        <v>27.7</v>
      </c>
      <c r="C1566" s="10">
        <v>4.71</v>
      </c>
      <c r="D1566" s="10" t="s">
        <v>4685</v>
      </c>
      <c r="E1566" s="10" t="s">
        <v>4683</v>
      </c>
      <c r="F1566" s="10" t="s">
        <v>4683</v>
      </c>
      <c r="G1566" s="10" t="s">
        <v>4683</v>
      </c>
      <c r="H1566" s="14">
        <v>1</v>
      </c>
      <c r="I1566" s="10" t="s">
        <v>4683</v>
      </c>
      <c r="J1566" s="10" t="str">
        <f t="shared" si="7"/>
        <v>normalweight</v>
      </c>
      <c r="L1566" s="30" t="e">
        <v>#N/A</v>
      </c>
    </row>
    <row r="1567" spans="1:12" ht="15.75" customHeight="1" x14ac:dyDescent="0.3">
      <c r="A1567" s="10" t="s">
        <v>1544</v>
      </c>
      <c r="B1567" s="10">
        <v>18.920000000000002</v>
      </c>
      <c r="C1567" s="10">
        <v>8.18</v>
      </c>
      <c r="D1567" s="16" t="s">
        <v>4682</v>
      </c>
      <c r="E1567" s="10" t="s">
        <v>4683</v>
      </c>
      <c r="F1567" s="10" t="s">
        <v>4683</v>
      </c>
      <c r="G1567" s="10" t="s">
        <v>4683</v>
      </c>
      <c r="H1567" s="14">
        <v>0</v>
      </c>
      <c r="I1567" s="10" t="s">
        <v>4683</v>
      </c>
      <c r="J1567" s="10" t="str">
        <f t="shared" si="7"/>
        <v>normalweight</v>
      </c>
      <c r="L1567" s="30" t="e">
        <v>#N/A</v>
      </c>
    </row>
    <row r="1568" spans="1:12" ht="15.75" customHeight="1" x14ac:dyDescent="0.3">
      <c r="A1568" s="10" t="s">
        <v>1542</v>
      </c>
      <c r="B1568" s="10">
        <v>17.760000000000002</v>
      </c>
      <c r="C1568" s="10">
        <v>11.18</v>
      </c>
      <c r="D1568" s="16" t="s">
        <v>4682</v>
      </c>
      <c r="E1568" s="10" t="s">
        <v>4684</v>
      </c>
      <c r="F1568" s="10" t="s">
        <v>4683</v>
      </c>
      <c r="G1568" s="10" t="s">
        <v>4683</v>
      </c>
      <c r="H1568" s="14">
        <v>2</v>
      </c>
      <c r="I1568" s="10" t="s">
        <v>4683</v>
      </c>
      <c r="J1568" s="10" t="str">
        <f t="shared" si="7"/>
        <v>underweight</v>
      </c>
      <c r="L1568" s="30" t="e">
        <v>#N/A</v>
      </c>
    </row>
    <row r="1569" spans="1:12" ht="15.75" customHeight="1" x14ac:dyDescent="0.3">
      <c r="A1569" s="10" t="s">
        <v>1540</v>
      </c>
      <c r="B1569" s="10">
        <v>29.83</v>
      </c>
      <c r="C1569" s="10">
        <v>5.03</v>
      </c>
      <c r="D1569" s="10" t="s">
        <v>4685</v>
      </c>
      <c r="E1569" s="10" t="s">
        <v>4684</v>
      </c>
      <c r="F1569" s="10" t="s">
        <v>4683</v>
      </c>
      <c r="G1569" s="10" t="s">
        <v>4683</v>
      </c>
      <c r="H1569" s="14">
        <v>0</v>
      </c>
      <c r="I1569" s="10" t="s">
        <v>4683</v>
      </c>
      <c r="J1569" s="10" t="str">
        <f t="shared" si="7"/>
        <v>normalweight</v>
      </c>
      <c r="L1569" s="30" t="e">
        <v>#N/A</v>
      </c>
    </row>
    <row r="1570" spans="1:12" ht="15.75" customHeight="1" x14ac:dyDescent="0.3">
      <c r="A1570" s="10" t="s">
        <v>1538</v>
      </c>
      <c r="B1570" s="10">
        <v>23.465</v>
      </c>
      <c r="C1570" s="10">
        <v>5.56</v>
      </c>
      <c r="D1570" s="10" t="s">
        <v>4685</v>
      </c>
      <c r="E1570" s="10" t="s">
        <v>4683</v>
      </c>
      <c r="F1570" s="10" t="s">
        <v>4683</v>
      </c>
      <c r="G1570" s="10" t="s">
        <v>4683</v>
      </c>
      <c r="H1570" s="14">
        <v>1</v>
      </c>
      <c r="I1570" s="10" t="s">
        <v>4683</v>
      </c>
      <c r="J1570" s="10" t="str">
        <f t="shared" si="7"/>
        <v>normalweight</v>
      </c>
      <c r="L1570" s="30" t="e">
        <v>#N/A</v>
      </c>
    </row>
    <row r="1571" spans="1:12" ht="15.75" customHeight="1" x14ac:dyDescent="0.3">
      <c r="A1571" s="10" t="s">
        <v>1536</v>
      </c>
      <c r="B1571" s="10">
        <v>29.355</v>
      </c>
      <c r="C1571" s="10">
        <v>4.33</v>
      </c>
      <c r="D1571" s="10" t="s">
        <v>4685</v>
      </c>
      <c r="E1571" s="10" t="s">
        <v>4683</v>
      </c>
      <c r="F1571" s="10" t="s">
        <v>4683</v>
      </c>
      <c r="G1571" s="10" t="s">
        <v>4683</v>
      </c>
      <c r="H1571" s="14">
        <v>0</v>
      </c>
      <c r="I1571" s="10" t="s">
        <v>4683</v>
      </c>
      <c r="J1571" s="10" t="str">
        <f t="shared" si="7"/>
        <v>normalweight</v>
      </c>
      <c r="L1571" s="30" t="e">
        <v>#N/A</v>
      </c>
    </row>
    <row r="1572" spans="1:12" ht="15.75" customHeight="1" x14ac:dyDescent="0.3">
      <c r="A1572" s="10" t="s">
        <v>1534</v>
      </c>
      <c r="B1572" s="10">
        <v>35.49</v>
      </c>
      <c r="C1572" s="10">
        <v>5.21</v>
      </c>
      <c r="D1572" s="10" t="s">
        <v>4685</v>
      </c>
      <c r="E1572" s="10" t="s">
        <v>4684</v>
      </c>
      <c r="F1572" s="10" t="s">
        <v>4683</v>
      </c>
      <c r="G1572" s="10" t="s">
        <v>4686</v>
      </c>
      <c r="H1572" s="14">
        <v>1</v>
      </c>
      <c r="I1572" s="10" t="s">
        <v>4683</v>
      </c>
      <c r="J1572" s="10" t="str">
        <f t="shared" si="7"/>
        <v>normalweight</v>
      </c>
      <c r="L1572" s="30" t="e">
        <v>#N/A</v>
      </c>
    </row>
    <row r="1573" spans="1:12" ht="15.75" customHeight="1" x14ac:dyDescent="0.3">
      <c r="A1573" s="10" t="s">
        <v>1532</v>
      </c>
      <c r="B1573" s="10">
        <v>26.315000000000001</v>
      </c>
      <c r="C1573" s="10">
        <v>5.89</v>
      </c>
      <c r="D1573" s="10" t="s">
        <v>4685</v>
      </c>
      <c r="E1573" s="10" t="s">
        <v>4683</v>
      </c>
      <c r="F1573" s="10" t="s">
        <v>4683</v>
      </c>
      <c r="G1573" s="10" t="s">
        <v>4683</v>
      </c>
      <c r="H1573" s="14">
        <v>0</v>
      </c>
      <c r="I1573" s="10" t="s">
        <v>4683</v>
      </c>
      <c r="J1573" s="10" t="str">
        <f t="shared" si="7"/>
        <v>normalweight</v>
      </c>
      <c r="L1573" s="30" t="e">
        <v>#N/A</v>
      </c>
    </row>
    <row r="1574" spans="1:12" ht="15.75" customHeight="1" x14ac:dyDescent="0.3">
      <c r="A1574" s="10" t="s">
        <v>1530</v>
      </c>
      <c r="B1574" s="10">
        <v>19.79</v>
      </c>
      <c r="C1574" s="10">
        <v>4.8099999999999996</v>
      </c>
      <c r="D1574" s="10" t="s">
        <v>4685</v>
      </c>
      <c r="E1574" s="10" t="s">
        <v>4684</v>
      </c>
      <c r="F1574" s="10" t="s">
        <v>4683</v>
      </c>
      <c r="G1574" s="10" t="s">
        <v>4683</v>
      </c>
      <c r="H1574" s="14">
        <v>0</v>
      </c>
      <c r="I1574" s="10" t="s">
        <v>4683</v>
      </c>
      <c r="J1574" s="10" t="str">
        <f t="shared" si="7"/>
        <v>normalweight</v>
      </c>
      <c r="L1574" s="30" t="e">
        <v>#N/A</v>
      </c>
    </row>
    <row r="1575" spans="1:12" ht="15.75" customHeight="1" x14ac:dyDescent="0.3">
      <c r="A1575" s="10" t="s">
        <v>1528</v>
      </c>
      <c r="B1575" s="10">
        <v>40.564999999999998</v>
      </c>
      <c r="C1575" s="10">
        <v>5.66</v>
      </c>
      <c r="D1575" s="10" t="s">
        <v>4685</v>
      </c>
      <c r="E1575" s="10" t="s">
        <v>4683</v>
      </c>
      <c r="F1575" s="10" t="s">
        <v>4683</v>
      </c>
      <c r="G1575" s="10" t="s">
        <v>4683</v>
      </c>
      <c r="H1575" s="14">
        <v>1</v>
      </c>
      <c r="I1575" s="10" t="s">
        <v>4683</v>
      </c>
      <c r="J1575" s="10" t="str">
        <f t="shared" si="7"/>
        <v>normalweight</v>
      </c>
      <c r="L1575" s="30" t="e">
        <v>#N/A</v>
      </c>
    </row>
    <row r="1576" spans="1:12" ht="15.75" customHeight="1" x14ac:dyDescent="0.3">
      <c r="A1576" s="10" t="s">
        <v>1526</v>
      </c>
      <c r="B1576" s="10">
        <v>18.03</v>
      </c>
      <c r="C1576" s="10">
        <v>10.66</v>
      </c>
      <c r="D1576" s="16" t="s">
        <v>4682</v>
      </c>
      <c r="E1576" s="10" t="s">
        <v>4684</v>
      </c>
      <c r="F1576" s="10" t="s">
        <v>4683</v>
      </c>
      <c r="G1576" s="10" t="s">
        <v>4683</v>
      </c>
      <c r="H1576" s="14">
        <v>2</v>
      </c>
      <c r="I1576" s="10" t="s">
        <v>4683</v>
      </c>
      <c r="J1576" s="10" t="str">
        <f t="shared" si="7"/>
        <v>underweight</v>
      </c>
      <c r="L1576" s="30" t="e">
        <v>#N/A</v>
      </c>
    </row>
    <row r="1577" spans="1:12" ht="15.75" customHeight="1" x14ac:dyDescent="0.3">
      <c r="A1577" s="10" t="s">
        <v>1524</v>
      </c>
      <c r="B1577" s="10">
        <v>34.65</v>
      </c>
      <c r="C1577" s="10">
        <v>5.98</v>
      </c>
      <c r="D1577" s="10" t="s">
        <v>4685</v>
      </c>
      <c r="E1577" s="10" t="s">
        <v>4684</v>
      </c>
      <c r="F1577" s="10" t="s">
        <v>4683</v>
      </c>
      <c r="G1577" s="10" t="s">
        <v>4683</v>
      </c>
      <c r="H1577" s="14">
        <v>0</v>
      </c>
      <c r="I1577" s="10" t="s">
        <v>4683</v>
      </c>
      <c r="J1577" s="10" t="str">
        <f t="shared" si="7"/>
        <v>normalweight</v>
      </c>
      <c r="L1577" s="30" t="e">
        <v>#N/A</v>
      </c>
    </row>
    <row r="1578" spans="1:12" ht="15.75" customHeight="1" x14ac:dyDescent="0.3">
      <c r="A1578" s="10" t="s">
        <v>1522</v>
      </c>
      <c r="B1578" s="10">
        <v>42.94</v>
      </c>
      <c r="C1578" s="10">
        <v>4.34</v>
      </c>
      <c r="D1578" s="10" t="s">
        <v>4685</v>
      </c>
      <c r="E1578" s="10" t="s">
        <v>4683</v>
      </c>
      <c r="F1578" s="10" t="s">
        <v>4683</v>
      </c>
      <c r="G1578" s="10" t="s">
        <v>4683</v>
      </c>
      <c r="H1578" s="14">
        <v>0</v>
      </c>
      <c r="I1578" s="10" t="s">
        <v>4683</v>
      </c>
      <c r="J1578" s="10" t="str">
        <f t="shared" si="7"/>
        <v>normalweight</v>
      </c>
      <c r="L1578" s="30" t="e">
        <v>#N/A</v>
      </c>
    </row>
    <row r="1579" spans="1:12" ht="15.75" customHeight="1" x14ac:dyDescent="0.3">
      <c r="A1579" s="10" t="s">
        <v>1520</v>
      </c>
      <c r="B1579" s="10">
        <v>31.254999999999999</v>
      </c>
      <c r="C1579" s="10">
        <v>5.17</v>
      </c>
      <c r="D1579" s="10" t="s">
        <v>4685</v>
      </c>
      <c r="E1579" s="10" t="s">
        <v>4683</v>
      </c>
      <c r="F1579" s="10" t="s">
        <v>4683</v>
      </c>
      <c r="G1579" s="10" t="s">
        <v>4683</v>
      </c>
      <c r="H1579" s="14">
        <v>0</v>
      </c>
      <c r="I1579" s="10" t="s">
        <v>4683</v>
      </c>
      <c r="J1579" s="10" t="str">
        <f t="shared" si="7"/>
        <v>normalweight</v>
      </c>
      <c r="L1579" s="30" t="e">
        <v>#N/A</v>
      </c>
    </row>
    <row r="1580" spans="1:12" ht="15.75" customHeight="1" x14ac:dyDescent="0.3">
      <c r="A1580" s="10" t="s">
        <v>1518</v>
      </c>
      <c r="B1580" s="10">
        <v>45.43</v>
      </c>
      <c r="C1580" s="10">
        <v>4.2300000000000004</v>
      </c>
      <c r="D1580" s="10" t="s">
        <v>4685</v>
      </c>
      <c r="E1580" s="10" t="s">
        <v>4684</v>
      </c>
      <c r="F1580" s="10" t="s">
        <v>4683</v>
      </c>
      <c r="G1580" s="10" t="s">
        <v>4686</v>
      </c>
      <c r="H1580" s="14">
        <v>1</v>
      </c>
      <c r="I1580" s="10" t="s">
        <v>4683</v>
      </c>
      <c r="J1580" s="10" t="str">
        <f t="shared" si="7"/>
        <v>normalweight</v>
      </c>
      <c r="L1580" s="30" t="e">
        <v>#N/A</v>
      </c>
    </row>
    <row r="1581" spans="1:12" ht="15.75" customHeight="1" x14ac:dyDescent="0.3">
      <c r="A1581" s="10" t="s">
        <v>1516</v>
      </c>
      <c r="B1581" s="10">
        <v>32.340000000000003</v>
      </c>
      <c r="C1581" s="10">
        <v>4.88</v>
      </c>
      <c r="D1581" s="10" t="s">
        <v>4685</v>
      </c>
      <c r="E1581" s="10" t="s">
        <v>4684</v>
      </c>
      <c r="F1581" s="10" t="s">
        <v>4683</v>
      </c>
      <c r="G1581" s="10" t="s">
        <v>4686</v>
      </c>
      <c r="H1581" s="14">
        <v>1</v>
      </c>
      <c r="I1581" s="10" t="s">
        <v>4683</v>
      </c>
      <c r="J1581" s="10" t="str">
        <f t="shared" si="7"/>
        <v>normalweight</v>
      </c>
      <c r="L1581" s="30" t="e">
        <v>#N/A</v>
      </c>
    </row>
    <row r="1582" spans="1:12" ht="15.75" customHeight="1" x14ac:dyDescent="0.3">
      <c r="A1582" s="10" t="s">
        <v>1514</v>
      </c>
      <c r="B1582" s="10">
        <v>25.46</v>
      </c>
      <c r="C1582" s="10">
        <v>9.7100000000000009</v>
      </c>
      <c r="D1582" s="16" t="s">
        <v>4682</v>
      </c>
      <c r="E1582" s="10" t="s">
        <v>4684</v>
      </c>
      <c r="F1582" s="10" t="s">
        <v>4683</v>
      </c>
      <c r="G1582" s="10" t="s">
        <v>4683</v>
      </c>
      <c r="H1582" s="14">
        <v>1</v>
      </c>
      <c r="I1582" s="10" t="s">
        <v>4683</v>
      </c>
      <c r="J1582" s="10" t="str">
        <f t="shared" si="7"/>
        <v>normalweight</v>
      </c>
      <c r="L1582" s="30" t="e">
        <v>#N/A</v>
      </c>
    </row>
    <row r="1583" spans="1:12" ht="15.75" customHeight="1" x14ac:dyDescent="0.3">
      <c r="A1583" s="10" t="s">
        <v>1512</v>
      </c>
      <c r="B1583" s="10">
        <v>37.145000000000003</v>
      </c>
      <c r="C1583" s="10">
        <v>5.32</v>
      </c>
      <c r="D1583" s="10" t="s">
        <v>4685</v>
      </c>
      <c r="E1583" s="10" t="s">
        <v>4683</v>
      </c>
      <c r="F1583" s="10" t="s">
        <v>4683</v>
      </c>
      <c r="G1583" s="10" t="s">
        <v>4683</v>
      </c>
      <c r="H1583" s="14">
        <v>0</v>
      </c>
      <c r="I1583" s="10" t="s">
        <v>4683</v>
      </c>
      <c r="J1583" s="10" t="str">
        <f t="shared" si="7"/>
        <v>normalweight</v>
      </c>
      <c r="L1583" s="30" t="e">
        <v>#N/A</v>
      </c>
    </row>
    <row r="1584" spans="1:12" ht="15.75" customHeight="1" x14ac:dyDescent="0.3">
      <c r="A1584" s="10" t="s">
        <v>1510</v>
      </c>
      <c r="B1584" s="10">
        <v>30.8</v>
      </c>
      <c r="C1584" s="10">
        <v>5.83</v>
      </c>
      <c r="D1584" s="10" t="s">
        <v>4685</v>
      </c>
      <c r="E1584" s="10" t="s">
        <v>4684</v>
      </c>
      <c r="F1584" s="10" t="s">
        <v>4683</v>
      </c>
      <c r="G1584" s="10" t="s">
        <v>4683</v>
      </c>
      <c r="H1584" s="14">
        <v>0</v>
      </c>
      <c r="I1584" s="10" t="s">
        <v>4683</v>
      </c>
      <c r="J1584" s="10" t="str">
        <f t="shared" si="7"/>
        <v>normalweight</v>
      </c>
      <c r="L1584" s="30" t="e">
        <v>#N/A</v>
      </c>
    </row>
    <row r="1585" spans="1:12" ht="15.75" customHeight="1" x14ac:dyDescent="0.3">
      <c r="A1585" s="10" t="s">
        <v>1508</v>
      </c>
      <c r="B1585" s="10">
        <v>29.5</v>
      </c>
      <c r="C1585" s="10">
        <v>5.54</v>
      </c>
      <c r="D1585" s="10" t="s">
        <v>4685</v>
      </c>
      <c r="E1585" s="10" t="s">
        <v>4684</v>
      </c>
      <c r="F1585" s="10" t="s">
        <v>4683</v>
      </c>
      <c r="G1585" s="10" t="s">
        <v>4683</v>
      </c>
      <c r="H1585" s="14">
        <v>0</v>
      </c>
      <c r="I1585" s="10" t="s">
        <v>4683</v>
      </c>
      <c r="J1585" s="10" t="str">
        <f t="shared" si="7"/>
        <v>normalweight</v>
      </c>
      <c r="L1585" s="30" t="e">
        <v>#N/A</v>
      </c>
    </row>
    <row r="1586" spans="1:12" ht="15.75" customHeight="1" x14ac:dyDescent="0.3">
      <c r="A1586" s="10" t="s">
        <v>1506</v>
      </c>
      <c r="B1586" s="10">
        <v>43.39</v>
      </c>
      <c r="C1586" s="10">
        <v>5.85</v>
      </c>
      <c r="D1586" s="10" t="s">
        <v>4685</v>
      </c>
      <c r="E1586" s="10" t="s">
        <v>4683</v>
      </c>
      <c r="F1586" s="10" t="s">
        <v>4684</v>
      </c>
      <c r="G1586" s="10" t="s">
        <v>4683</v>
      </c>
      <c r="H1586" s="14">
        <v>1</v>
      </c>
      <c r="I1586" s="10" t="s">
        <v>4683</v>
      </c>
      <c r="J1586" s="10" t="str">
        <f t="shared" si="7"/>
        <v>normalweight</v>
      </c>
      <c r="L1586" s="30" t="e">
        <v>#N/A</v>
      </c>
    </row>
    <row r="1587" spans="1:12" ht="15.75" customHeight="1" x14ac:dyDescent="0.3">
      <c r="A1587" s="10" t="s">
        <v>1504</v>
      </c>
      <c r="B1587" s="10">
        <v>15.08</v>
      </c>
      <c r="C1587" s="10">
        <v>4.8499999999999996</v>
      </c>
      <c r="D1587" s="10" t="s">
        <v>4685</v>
      </c>
      <c r="E1587" s="10" t="s">
        <v>4684</v>
      </c>
      <c r="F1587" s="10" t="s">
        <v>4683</v>
      </c>
      <c r="G1587" s="10" t="s">
        <v>4686</v>
      </c>
      <c r="H1587" s="14">
        <v>1</v>
      </c>
      <c r="I1587" s="10" t="s">
        <v>4683</v>
      </c>
      <c r="J1587" s="10" t="str">
        <f t="shared" si="7"/>
        <v>underweight</v>
      </c>
      <c r="L1587" s="30" t="e">
        <v>#N/A</v>
      </c>
    </row>
    <row r="1588" spans="1:12" ht="15.75" customHeight="1" x14ac:dyDescent="0.3">
      <c r="A1588" s="10" t="s">
        <v>1502</v>
      </c>
      <c r="B1588" s="10">
        <v>20.48</v>
      </c>
      <c r="C1588" s="10">
        <v>11.09</v>
      </c>
      <c r="D1588" s="16" t="s">
        <v>4682</v>
      </c>
      <c r="E1588" s="10" t="s">
        <v>4683</v>
      </c>
      <c r="F1588" s="10" t="s">
        <v>4683</v>
      </c>
      <c r="G1588" s="10" t="s">
        <v>4683</v>
      </c>
      <c r="H1588" s="14">
        <v>0</v>
      </c>
      <c r="I1588" s="10" t="s">
        <v>4683</v>
      </c>
      <c r="J1588" s="10" t="str">
        <f t="shared" si="7"/>
        <v>normalweight</v>
      </c>
      <c r="L1588" s="30" t="e">
        <v>#N/A</v>
      </c>
    </row>
    <row r="1589" spans="1:12" ht="15.75" customHeight="1" x14ac:dyDescent="0.3">
      <c r="A1589" s="10" t="s">
        <v>1500</v>
      </c>
      <c r="B1589" s="10">
        <v>34.450000000000003</v>
      </c>
      <c r="C1589" s="10">
        <v>5.58</v>
      </c>
      <c r="D1589" s="10" t="s">
        <v>4685</v>
      </c>
      <c r="E1589" s="10" t="s">
        <v>4684</v>
      </c>
      <c r="F1589" s="10" t="s">
        <v>4683</v>
      </c>
      <c r="G1589" s="10" t="s">
        <v>4683</v>
      </c>
      <c r="H1589" s="14">
        <v>0</v>
      </c>
      <c r="I1589" s="10" t="s">
        <v>4683</v>
      </c>
      <c r="J1589" s="10" t="str">
        <f t="shared" si="7"/>
        <v>normalweight</v>
      </c>
      <c r="L1589" s="30" t="e">
        <v>#N/A</v>
      </c>
    </row>
    <row r="1590" spans="1:12" ht="15.75" customHeight="1" x14ac:dyDescent="0.3">
      <c r="A1590" s="10" t="s">
        <v>1498</v>
      </c>
      <c r="B1590" s="10">
        <v>34.21</v>
      </c>
      <c r="C1590" s="10">
        <v>9.7200000000000006</v>
      </c>
      <c r="D1590" s="16" t="s">
        <v>4682</v>
      </c>
      <c r="E1590" s="10" t="s">
        <v>4684</v>
      </c>
      <c r="F1590" s="10" t="s">
        <v>4683</v>
      </c>
      <c r="G1590" s="10" t="s">
        <v>4683</v>
      </c>
      <c r="H1590" s="14">
        <v>0</v>
      </c>
      <c r="I1590" s="10" t="s">
        <v>4683</v>
      </c>
      <c r="J1590" s="10" t="str">
        <f t="shared" si="7"/>
        <v>normalweight</v>
      </c>
      <c r="L1590" s="30" t="e">
        <v>#N/A</v>
      </c>
    </row>
    <row r="1591" spans="1:12" ht="15.75" customHeight="1" x14ac:dyDescent="0.3">
      <c r="A1591" s="10" t="s">
        <v>1496</v>
      </c>
      <c r="B1591" s="10">
        <v>28.8</v>
      </c>
      <c r="C1591" s="10">
        <v>11.41</v>
      </c>
      <c r="D1591" s="16" t="s">
        <v>4682</v>
      </c>
      <c r="E1591" s="10" t="s">
        <v>4684</v>
      </c>
      <c r="F1591" s="10" t="s">
        <v>4683</v>
      </c>
      <c r="G1591" s="10" t="s">
        <v>4683</v>
      </c>
      <c r="H1591" s="14">
        <v>0</v>
      </c>
      <c r="I1591" s="10" t="s">
        <v>4683</v>
      </c>
      <c r="J1591" s="10" t="str">
        <f t="shared" si="7"/>
        <v>normalweight</v>
      </c>
      <c r="L1591" s="30" t="e">
        <v>#N/A</v>
      </c>
    </row>
    <row r="1592" spans="1:12" ht="15.75" customHeight="1" x14ac:dyDescent="0.3">
      <c r="A1592" s="10" t="s">
        <v>1494</v>
      </c>
      <c r="B1592" s="10">
        <v>31.74</v>
      </c>
      <c r="C1592" s="10">
        <v>4.46</v>
      </c>
      <c r="D1592" s="10" t="s">
        <v>4685</v>
      </c>
      <c r="E1592" s="10" t="s">
        <v>4683</v>
      </c>
      <c r="F1592" s="10" t="s">
        <v>4683</v>
      </c>
      <c r="G1592" s="10" t="s">
        <v>4686</v>
      </c>
      <c r="H1592" s="14">
        <v>1</v>
      </c>
      <c r="I1592" s="10" t="s">
        <v>4683</v>
      </c>
      <c r="J1592" s="10" t="str">
        <f t="shared" si="7"/>
        <v>normalweight</v>
      </c>
      <c r="L1592" s="30" t="e">
        <v>#N/A</v>
      </c>
    </row>
    <row r="1593" spans="1:12" ht="15.75" customHeight="1" x14ac:dyDescent="0.3">
      <c r="A1593" s="10" t="s">
        <v>1492</v>
      </c>
      <c r="B1593" s="10">
        <v>21.78</v>
      </c>
      <c r="C1593" s="10">
        <v>9.31</v>
      </c>
      <c r="D1593" s="16" t="s">
        <v>4682</v>
      </c>
      <c r="E1593" s="10" t="s">
        <v>4684</v>
      </c>
      <c r="F1593" s="10" t="s">
        <v>4683</v>
      </c>
      <c r="G1593" s="10" t="s">
        <v>4683</v>
      </c>
      <c r="H1593" s="14">
        <v>0</v>
      </c>
      <c r="I1593" s="10" t="s">
        <v>4683</v>
      </c>
      <c r="J1593" s="10" t="str">
        <f t="shared" si="7"/>
        <v>normalweight</v>
      </c>
      <c r="L1593" s="30" t="e">
        <v>#N/A</v>
      </c>
    </row>
    <row r="1594" spans="1:12" ht="15.75" customHeight="1" x14ac:dyDescent="0.3">
      <c r="A1594" s="10" t="s">
        <v>1490</v>
      </c>
      <c r="B1594" s="10">
        <v>23.75</v>
      </c>
      <c r="C1594" s="10">
        <v>5.03</v>
      </c>
      <c r="D1594" s="10" t="s">
        <v>4685</v>
      </c>
      <c r="E1594" s="10" t="s">
        <v>4683</v>
      </c>
      <c r="F1594" s="10" t="s">
        <v>4683</v>
      </c>
      <c r="G1594" s="10" t="s">
        <v>4683</v>
      </c>
      <c r="H1594" s="14">
        <v>1</v>
      </c>
      <c r="I1594" s="10" t="s">
        <v>4683</v>
      </c>
      <c r="J1594" s="10" t="str">
        <f t="shared" si="7"/>
        <v>normalweight</v>
      </c>
      <c r="L1594" s="30" t="e">
        <v>#N/A</v>
      </c>
    </row>
    <row r="1595" spans="1:12" ht="15.75" customHeight="1" x14ac:dyDescent="0.3">
      <c r="A1595" s="10" t="s">
        <v>1488</v>
      </c>
      <c r="B1595" s="10">
        <v>33.21</v>
      </c>
      <c r="C1595" s="10">
        <v>5.07</v>
      </c>
      <c r="D1595" s="10" t="s">
        <v>4685</v>
      </c>
      <c r="E1595" s="10" t="s">
        <v>4684</v>
      </c>
      <c r="F1595" s="10" t="s">
        <v>4683</v>
      </c>
      <c r="G1595" s="10" t="s">
        <v>4683</v>
      </c>
      <c r="H1595" s="14">
        <v>1</v>
      </c>
      <c r="I1595" s="10" t="s">
        <v>4683</v>
      </c>
      <c r="J1595" s="10" t="str">
        <f t="shared" si="7"/>
        <v>normalweight</v>
      </c>
      <c r="L1595" s="30" t="e">
        <v>#N/A</v>
      </c>
    </row>
    <row r="1596" spans="1:12" ht="15.75" customHeight="1" x14ac:dyDescent="0.3">
      <c r="A1596" s="10" t="s">
        <v>1486</v>
      </c>
      <c r="B1596" s="10">
        <v>17.7</v>
      </c>
      <c r="C1596" s="10">
        <v>10.42</v>
      </c>
      <c r="D1596" s="16" t="s">
        <v>4682</v>
      </c>
      <c r="E1596" s="10" t="s">
        <v>4684</v>
      </c>
      <c r="F1596" s="10" t="s">
        <v>4683</v>
      </c>
      <c r="G1596" s="10" t="s">
        <v>4683</v>
      </c>
      <c r="H1596" s="14">
        <v>2</v>
      </c>
      <c r="I1596" s="10" t="s">
        <v>4683</v>
      </c>
      <c r="J1596" s="10" t="str">
        <f t="shared" si="7"/>
        <v>underweight</v>
      </c>
      <c r="L1596" s="30" t="e">
        <v>#N/A</v>
      </c>
    </row>
    <row r="1597" spans="1:12" ht="15.75" customHeight="1" x14ac:dyDescent="0.3">
      <c r="A1597" s="10" t="s">
        <v>1484</v>
      </c>
      <c r="B1597" s="10">
        <v>17.2</v>
      </c>
      <c r="C1597" s="10">
        <v>6.45</v>
      </c>
      <c r="D1597" s="10" t="s">
        <v>4685</v>
      </c>
      <c r="E1597" s="10" t="s">
        <v>4683</v>
      </c>
      <c r="F1597" s="10" t="s">
        <v>4683</v>
      </c>
      <c r="G1597" s="10" t="s">
        <v>4683</v>
      </c>
      <c r="H1597" s="14">
        <v>2</v>
      </c>
      <c r="I1597" s="10" t="s">
        <v>4683</v>
      </c>
      <c r="J1597" s="10" t="str">
        <f t="shared" si="7"/>
        <v>underweight</v>
      </c>
      <c r="L1597" s="30" t="e">
        <v>#N/A</v>
      </c>
    </row>
    <row r="1598" spans="1:12" ht="15.75" customHeight="1" x14ac:dyDescent="0.3">
      <c r="A1598" s="10" t="s">
        <v>1482</v>
      </c>
      <c r="B1598" s="10">
        <v>19.21</v>
      </c>
      <c r="C1598" s="10">
        <v>5.52</v>
      </c>
      <c r="D1598" s="10" t="s">
        <v>4685</v>
      </c>
      <c r="E1598" s="10" t="s">
        <v>4683</v>
      </c>
      <c r="F1598" s="10" t="s">
        <v>4683</v>
      </c>
      <c r="G1598" s="10" t="s">
        <v>4683</v>
      </c>
      <c r="H1598" s="14">
        <v>2</v>
      </c>
      <c r="I1598" s="10" t="s">
        <v>4683</v>
      </c>
      <c r="J1598" s="10" t="str">
        <f t="shared" si="7"/>
        <v>normalweight</v>
      </c>
      <c r="L1598" s="30" t="e">
        <v>#N/A</v>
      </c>
    </row>
    <row r="1599" spans="1:12" ht="15.75" customHeight="1" x14ac:dyDescent="0.3">
      <c r="A1599" s="10" t="s">
        <v>1480</v>
      </c>
      <c r="B1599" s="10">
        <v>23.2</v>
      </c>
      <c r="C1599" s="10">
        <v>4.41</v>
      </c>
      <c r="D1599" s="10" t="s">
        <v>4685</v>
      </c>
      <c r="E1599" s="10" t="s">
        <v>4683</v>
      </c>
      <c r="F1599" s="10" t="s">
        <v>4683</v>
      </c>
      <c r="G1599" s="10" t="s">
        <v>4686</v>
      </c>
      <c r="H1599" s="14">
        <v>1</v>
      </c>
      <c r="I1599" s="10" t="s">
        <v>4683</v>
      </c>
      <c r="J1599" s="10" t="str">
        <f t="shared" si="7"/>
        <v>normalweight</v>
      </c>
      <c r="L1599" s="30" t="e">
        <v>#N/A</v>
      </c>
    </row>
    <row r="1600" spans="1:12" ht="15.75" customHeight="1" x14ac:dyDescent="0.3">
      <c r="A1600" s="10" t="s">
        <v>1478</v>
      </c>
      <c r="B1600" s="10">
        <v>32.5</v>
      </c>
      <c r="C1600" s="10">
        <v>4.6900000000000004</v>
      </c>
      <c r="D1600" s="10" t="s">
        <v>4685</v>
      </c>
      <c r="E1600" s="10" t="s">
        <v>4684</v>
      </c>
      <c r="F1600" s="10" t="s">
        <v>4683</v>
      </c>
      <c r="G1600" s="10" t="s">
        <v>4686</v>
      </c>
      <c r="H1600" s="14">
        <v>1</v>
      </c>
      <c r="I1600" s="10" t="s">
        <v>4683</v>
      </c>
      <c r="J1600" s="10" t="str">
        <f t="shared" si="7"/>
        <v>normalweight</v>
      </c>
      <c r="L1600" s="30" t="e">
        <v>#N/A</v>
      </c>
    </row>
    <row r="1601" spans="1:12" ht="15.75" customHeight="1" x14ac:dyDescent="0.3">
      <c r="A1601" s="10" t="s">
        <v>1476</v>
      </c>
      <c r="B1601" s="10">
        <v>20.9</v>
      </c>
      <c r="C1601" s="10">
        <v>6.94</v>
      </c>
      <c r="D1601" s="16" t="s">
        <v>4682</v>
      </c>
      <c r="E1601" s="10" t="s">
        <v>4683</v>
      </c>
      <c r="F1601" s="10" t="s">
        <v>4683</v>
      </c>
      <c r="G1601" s="10" t="s">
        <v>4683</v>
      </c>
      <c r="H1601" s="14">
        <v>0</v>
      </c>
      <c r="I1601" s="10" t="s">
        <v>4683</v>
      </c>
      <c r="J1601" s="10" t="str">
        <f t="shared" si="7"/>
        <v>normalweight</v>
      </c>
      <c r="L1601" s="30" t="e">
        <v>#N/A</v>
      </c>
    </row>
    <row r="1602" spans="1:12" ht="15.75" customHeight="1" x14ac:dyDescent="0.3">
      <c r="A1602" s="10" t="s">
        <v>1474</v>
      </c>
      <c r="B1602" s="10">
        <v>19.11</v>
      </c>
      <c r="C1602" s="10">
        <v>4.3499999999999996</v>
      </c>
      <c r="D1602" s="10" t="s">
        <v>4685</v>
      </c>
      <c r="E1602" s="10" t="s">
        <v>4683</v>
      </c>
      <c r="F1602" s="10" t="s">
        <v>4683</v>
      </c>
      <c r="G1602" s="10" t="s">
        <v>4683</v>
      </c>
      <c r="H1602" s="14">
        <v>2</v>
      </c>
      <c r="I1602" s="10" t="s">
        <v>4683</v>
      </c>
      <c r="J1602" s="10" t="str">
        <f t="shared" si="7"/>
        <v>normalweight</v>
      </c>
      <c r="L1602" s="30" t="e">
        <v>#N/A</v>
      </c>
    </row>
    <row r="1603" spans="1:12" ht="15.75" customHeight="1" x14ac:dyDescent="0.3">
      <c r="A1603" s="10" t="s">
        <v>1472</v>
      </c>
      <c r="B1603" s="10">
        <v>31.17</v>
      </c>
      <c r="C1603" s="10">
        <v>5.28</v>
      </c>
      <c r="D1603" s="10" t="s">
        <v>4685</v>
      </c>
      <c r="E1603" s="10" t="s">
        <v>4683</v>
      </c>
      <c r="F1603" s="10" t="s">
        <v>4683</v>
      </c>
      <c r="G1603" s="10" t="s">
        <v>4683</v>
      </c>
      <c r="H1603" s="14">
        <v>1</v>
      </c>
      <c r="I1603" s="10" t="s">
        <v>4683</v>
      </c>
      <c r="J1603" s="10" t="str">
        <f t="shared" si="7"/>
        <v>normalweight</v>
      </c>
      <c r="L1603" s="30" t="e">
        <v>#N/A</v>
      </c>
    </row>
    <row r="1604" spans="1:12" ht="15.75" customHeight="1" x14ac:dyDescent="0.3">
      <c r="A1604" s="10" t="s">
        <v>1470</v>
      </c>
      <c r="B1604" s="10">
        <v>36.08</v>
      </c>
      <c r="C1604" s="10">
        <v>4.29</v>
      </c>
      <c r="D1604" s="10" t="s">
        <v>4685</v>
      </c>
      <c r="E1604" s="10" t="s">
        <v>4683</v>
      </c>
      <c r="F1604" s="10" t="s">
        <v>4683</v>
      </c>
      <c r="G1604" s="10" t="s">
        <v>4683</v>
      </c>
      <c r="H1604" s="14">
        <v>0</v>
      </c>
      <c r="I1604" s="10" t="s">
        <v>4683</v>
      </c>
      <c r="J1604" s="10" t="str">
        <f t="shared" si="7"/>
        <v>normalweight</v>
      </c>
      <c r="L1604" s="30" t="e">
        <v>#N/A</v>
      </c>
    </row>
    <row r="1605" spans="1:12" ht="15.75" customHeight="1" x14ac:dyDescent="0.3">
      <c r="A1605" s="10" t="s">
        <v>1468</v>
      </c>
      <c r="B1605" s="10">
        <v>28.024999999999999</v>
      </c>
      <c r="C1605" s="10">
        <v>5.69</v>
      </c>
      <c r="D1605" s="10" t="s">
        <v>4685</v>
      </c>
      <c r="E1605" s="10" t="s">
        <v>4684</v>
      </c>
      <c r="F1605" s="10" t="s">
        <v>4683</v>
      </c>
      <c r="G1605" s="10" t="s">
        <v>4683</v>
      </c>
      <c r="H1605" s="14">
        <v>0</v>
      </c>
      <c r="I1605" s="10" t="s">
        <v>4683</v>
      </c>
      <c r="J1605" s="10" t="str">
        <f t="shared" si="7"/>
        <v>normalweight</v>
      </c>
      <c r="L1605" s="30" t="e">
        <v>#N/A</v>
      </c>
    </row>
    <row r="1606" spans="1:12" ht="15.75" customHeight="1" x14ac:dyDescent="0.3">
      <c r="A1606" s="10" t="s">
        <v>1466</v>
      </c>
      <c r="B1606" s="10">
        <v>24.32</v>
      </c>
      <c r="C1606" s="10">
        <v>5.56</v>
      </c>
      <c r="D1606" s="10" t="s">
        <v>4685</v>
      </c>
      <c r="E1606" s="10" t="s">
        <v>4684</v>
      </c>
      <c r="F1606" s="10" t="s">
        <v>4683</v>
      </c>
      <c r="G1606" s="10" t="s">
        <v>4683</v>
      </c>
      <c r="H1606" s="14">
        <v>0</v>
      </c>
      <c r="I1606" s="10" t="s">
        <v>4683</v>
      </c>
      <c r="J1606" s="10" t="str">
        <f t="shared" si="7"/>
        <v>normalweight</v>
      </c>
      <c r="L1606" s="30" t="e">
        <v>#N/A</v>
      </c>
    </row>
    <row r="1607" spans="1:12" ht="15.75" customHeight="1" x14ac:dyDescent="0.3">
      <c r="A1607" s="10" t="s">
        <v>1464</v>
      </c>
      <c r="B1607" s="10">
        <v>38</v>
      </c>
      <c r="C1607" s="10">
        <v>5.41</v>
      </c>
      <c r="D1607" s="10" t="s">
        <v>4685</v>
      </c>
      <c r="E1607" s="10" t="s">
        <v>4684</v>
      </c>
      <c r="F1607" s="10" t="s">
        <v>4683</v>
      </c>
      <c r="G1607" s="10" t="s">
        <v>4683</v>
      </c>
      <c r="H1607" s="14">
        <v>1</v>
      </c>
      <c r="I1607" s="10" t="s">
        <v>4683</v>
      </c>
      <c r="J1607" s="10" t="str">
        <f t="shared" si="7"/>
        <v>normalweight</v>
      </c>
      <c r="L1607" s="30" t="e">
        <v>#N/A</v>
      </c>
    </row>
    <row r="1608" spans="1:12" ht="15.75" customHeight="1" x14ac:dyDescent="0.3">
      <c r="A1608" s="10" t="s">
        <v>1462</v>
      </c>
      <c r="B1608" s="10">
        <v>31.6</v>
      </c>
      <c r="C1608" s="10">
        <v>10.85</v>
      </c>
      <c r="D1608" s="16" t="s">
        <v>4682</v>
      </c>
      <c r="E1608" s="10" t="s">
        <v>4684</v>
      </c>
      <c r="F1608" s="10" t="s">
        <v>4683</v>
      </c>
      <c r="G1608" s="10" t="s">
        <v>4683</v>
      </c>
      <c r="H1608" s="14">
        <v>0</v>
      </c>
      <c r="I1608" s="10" t="s">
        <v>4683</v>
      </c>
      <c r="J1608" s="10" t="str">
        <f t="shared" si="7"/>
        <v>normalweight</v>
      </c>
      <c r="L1608" s="30" t="e">
        <v>#N/A</v>
      </c>
    </row>
    <row r="1609" spans="1:12" ht="15.75" customHeight="1" x14ac:dyDescent="0.3">
      <c r="A1609" s="10" t="s">
        <v>1460</v>
      </c>
      <c r="B1609" s="10">
        <v>31.02</v>
      </c>
      <c r="C1609" s="10">
        <v>11.63</v>
      </c>
      <c r="D1609" s="16" t="s">
        <v>4682</v>
      </c>
      <c r="E1609" s="10" t="s">
        <v>4684</v>
      </c>
      <c r="F1609" s="10" t="s">
        <v>4683</v>
      </c>
      <c r="G1609" s="10" t="s">
        <v>4683</v>
      </c>
      <c r="H1609" s="14">
        <v>0</v>
      </c>
      <c r="I1609" s="10" t="s">
        <v>4683</v>
      </c>
      <c r="J1609" s="10" t="str">
        <f t="shared" si="7"/>
        <v>normalweight</v>
      </c>
      <c r="L1609" s="30" t="e">
        <v>#N/A</v>
      </c>
    </row>
    <row r="1610" spans="1:12" ht="15.75" customHeight="1" x14ac:dyDescent="0.3">
      <c r="A1610" s="10" t="s">
        <v>1458</v>
      </c>
      <c r="B1610" s="10">
        <v>29.26</v>
      </c>
      <c r="C1610" s="10">
        <v>5.68</v>
      </c>
      <c r="D1610" s="10" t="s">
        <v>4685</v>
      </c>
      <c r="E1610" s="10" t="s">
        <v>4684</v>
      </c>
      <c r="F1610" s="10" t="s">
        <v>4683</v>
      </c>
      <c r="G1610" s="10" t="s">
        <v>4683</v>
      </c>
      <c r="H1610" s="14">
        <v>1</v>
      </c>
      <c r="I1610" s="10" t="s">
        <v>4683</v>
      </c>
      <c r="J1610" s="10" t="str">
        <f t="shared" si="7"/>
        <v>normalweight</v>
      </c>
      <c r="L1610" s="30" t="e">
        <v>#N/A</v>
      </c>
    </row>
    <row r="1611" spans="1:12" ht="15.75" customHeight="1" x14ac:dyDescent="0.3">
      <c r="A1611" s="10" t="s">
        <v>1456</v>
      </c>
      <c r="B1611" s="10">
        <v>15.09</v>
      </c>
      <c r="C1611" s="10">
        <v>7.59</v>
      </c>
      <c r="D1611" s="10" t="s">
        <v>4685</v>
      </c>
      <c r="E1611" s="10" t="s">
        <v>4684</v>
      </c>
      <c r="F1611" s="10" t="s">
        <v>4683</v>
      </c>
      <c r="G1611" s="10" t="s">
        <v>4683</v>
      </c>
      <c r="H1611" s="14">
        <v>2</v>
      </c>
      <c r="I1611" s="10" t="s">
        <v>4683</v>
      </c>
      <c r="J1611" s="10" t="str">
        <f t="shared" si="7"/>
        <v>underweight</v>
      </c>
      <c r="L1611" s="30" t="e">
        <v>#N/A</v>
      </c>
    </row>
    <row r="1612" spans="1:12" ht="15.75" customHeight="1" x14ac:dyDescent="0.3">
      <c r="A1612" s="10" t="s">
        <v>1454</v>
      </c>
      <c r="B1612" s="10">
        <v>22.63</v>
      </c>
      <c r="C1612" s="10">
        <v>5.09</v>
      </c>
      <c r="D1612" s="10" t="s">
        <v>4685</v>
      </c>
      <c r="E1612" s="10" t="s">
        <v>4684</v>
      </c>
      <c r="F1612" s="10" t="s">
        <v>4683</v>
      </c>
      <c r="G1612" s="10" t="s">
        <v>4683</v>
      </c>
      <c r="H1612" s="14">
        <v>0</v>
      </c>
      <c r="I1612" s="10" t="s">
        <v>4683</v>
      </c>
      <c r="J1612" s="10" t="str">
        <f t="shared" si="7"/>
        <v>normalweight</v>
      </c>
      <c r="L1612" s="30" t="e">
        <v>#N/A</v>
      </c>
    </row>
    <row r="1613" spans="1:12" ht="15.75" customHeight="1" x14ac:dyDescent="0.3">
      <c r="A1613" s="10" t="s">
        <v>1452</v>
      </c>
      <c r="B1613" s="10">
        <v>23.46</v>
      </c>
      <c r="C1613" s="10">
        <v>4.21</v>
      </c>
      <c r="D1613" s="10" t="s">
        <v>4685</v>
      </c>
      <c r="E1613" s="10" t="s">
        <v>4683</v>
      </c>
      <c r="F1613" s="10" t="s">
        <v>4683</v>
      </c>
      <c r="G1613" s="10" t="s">
        <v>4683</v>
      </c>
      <c r="H1613" s="14">
        <v>1</v>
      </c>
      <c r="I1613" s="10" t="s">
        <v>4683</v>
      </c>
      <c r="J1613" s="10" t="str">
        <f t="shared" si="7"/>
        <v>normalweight</v>
      </c>
      <c r="L1613" s="30" t="e">
        <v>#N/A</v>
      </c>
    </row>
    <row r="1614" spans="1:12" ht="15.75" customHeight="1" x14ac:dyDescent="0.3">
      <c r="A1614" s="10" t="s">
        <v>1450</v>
      </c>
      <c r="B1614" s="10">
        <v>22.56</v>
      </c>
      <c r="C1614" s="10">
        <v>4.34</v>
      </c>
      <c r="D1614" s="10" t="s">
        <v>4685</v>
      </c>
      <c r="E1614" s="10" t="s">
        <v>4684</v>
      </c>
      <c r="F1614" s="10" t="s">
        <v>4683</v>
      </c>
      <c r="G1614" s="10" t="s">
        <v>4683</v>
      </c>
      <c r="H1614" s="14">
        <v>0</v>
      </c>
      <c r="I1614" s="10" t="s">
        <v>4683</v>
      </c>
      <c r="J1614" s="10" t="str">
        <f t="shared" si="7"/>
        <v>normalweight</v>
      </c>
      <c r="L1614" s="30" t="e">
        <v>#N/A</v>
      </c>
    </row>
    <row r="1615" spans="1:12" ht="15.75" customHeight="1" x14ac:dyDescent="0.3">
      <c r="A1615" s="10" t="s">
        <v>1448</v>
      </c>
      <c r="B1615" s="10">
        <v>19.28</v>
      </c>
      <c r="C1615" s="10">
        <v>11.85</v>
      </c>
      <c r="D1615" s="16" t="s">
        <v>4682</v>
      </c>
      <c r="E1615" s="10" t="s">
        <v>4683</v>
      </c>
      <c r="F1615" s="10" t="s">
        <v>4683</v>
      </c>
      <c r="G1615" s="10" t="s">
        <v>4683</v>
      </c>
      <c r="H1615" s="14">
        <v>2</v>
      </c>
      <c r="I1615" s="10" t="s">
        <v>4683</v>
      </c>
      <c r="J1615" s="10" t="str">
        <f t="shared" si="7"/>
        <v>normalweight</v>
      </c>
      <c r="L1615" s="30" t="e">
        <v>#N/A</v>
      </c>
    </row>
    <row r="1616" spans="1:12" ht="15.75" customHeight="1" x14ac:dyDescent="0.3">
      <c r="A1616" s="10" t="s">
        <v>1446</v>
      </c>
      <c r="B1616" s="10">
        <v>15.37</v>
      </c>
      <c r="C1616" s="10">
        <v>9.61</v>
      </c>
      <c r="D1616" s="16" t="s">
        <v>4682</v>
      </c>
      <c r="E1616" s="10" t="s">
        <v>4684</v>
      </c>
      <c r="F1616" s="10" t="s">
        <v>4683</v>
      </c>
      <c r="G1616" s="10" t="s">
        <v>4683</v>
      </c>
      <c r="H1616" s="14">
        <v>2</v>
      </c>
      <c r="I1616" s="10" t="s">
        <v>4683</v>
      </c>
      <c r="J1616" s="10" t="str">
        <f t="shared" si="7"/>
        <v>underweight</v>
      </c>
      <c r="L1616" s="30" t="e">
        <v>#N/A</v>
      </c>
    </row>
    <row r="1617" spans="1:12" ht="15.75" customHeight="1" x14ac:dyDescent="0.3">
      <c r="A1617" s="10" t="s">
        <v>1444</v>
      </c>
      <c r="B1617" s="10">
        <v>18.71</v>
      </c>
      <c r="C1617" s="10">
        <v>5.29</v>
      </c>
      <c r="D1617" s="10" t="s">
        <v>4685</v>
      </c>
      <c r="E1617" s="10" t="s">
        <v>4684</v>
      </c>
      <c r="F1617" s="10" t="s">
        <v>4683</v>
      </c>
      <c r="G1617" s="10" t="s">
        <v>4683</v>
      </c>
      <c r="H1617" s="14">
        <v>0</v>
      </c>
      <c r="I1617" s="10" t="s">
        <v>4683</v>
      </c>
      <c r="J1617" s="10" t="str">
        <f t="shared" si="7"/>
        <v>normalweight</v>
      </c>
      <c r="L1617" s="30" t="e">
        <v>#N/A</v>
      </c>
    </row>
    <row r="1618" spans="1:12" ht="15.75" customHeight="1" x14ac:dyDescent="0.3">
      <c r="A1618" s="10" t="s">
        <v>1442</v>
      </c>
      <c r="B1618" s="10">
        <v>20.61</v>
      </c>
      <c r="C1618" s="10">
        <v>6.89</v>
      </c>
      <c r="D1618" s="16" t="s">
        <v>4682</v>
      </c>
      <c r="E1618" s="10" t="s">
        <v>4683</v>
      </c>
      <c r="F1618" s="10" t="s">
        <v>4683</v>
      </c>
      <c r="G1618" s="10" t="s">
        <v>4683</v>
      </c>
      <c r="H1618" s="14">
        <v>0</v>
      </c>
      <c r="I1618" s="10" t="s">
        <v>4683</v>
      </c>
      <c r="J1618" s="10" t="str">
        <f t="shared" si="7"/>
        <v>normalweight</v>
      </c>
      <c r="L1618" s="30" t="e">
        <v>#N/A</v>
      </c>
    </row>
    <row r="1619" spans="1:12" ht="15.75" customHeight="1" x14ac:dyDescent="0.3">
      <c r="A1619" s="10" t="s">
        <v>1440</v>
      </c>
      <c r="B1619" s="10">
        <v>15.99</v>
      </c>
      <c r="C1619" s="10">
        <v>4.57</v>
      </c>
      <c r="D1619" s="10" t="s">
        <v>4685</v>
      </c>
      <c r="E1619" s="10" t="s">
        <v>4684</v>
      </c>
      <c r="F1619" s="10" t="s">
        <v>4683</v>
      </c>
      <c r="G1619" s="10" t="s">
        <v>4686</v>
      </c>
      <c r="H1619" s="14">
        <v>1</v>
      </c>
      <c r="I1619" s="10" t="s">
        <v>4683</v>
      </c>
      <c r="J1619" s="10" t="str">
        <f t="shared" si="7"/>
        <v>underweight</v>
      </c>
      <c r="L1619" s="30" t="e">
        <v>#N/A</v>
      </c>
    </row>
    <row r="1620" spans="1:12" ht="15.75" customHeight="1" x14ac:dyDescent="0.3">
      <c r="A1620" s="10" t="s">
        <v>1438</v>
      </c>
      <c r="B1620" s="10">
        <v>33.155000000000001</v>
      </c>
      <c r="C1620" s="10">
        <v>4.32</v>
      </c>
      <c r="D1620" s="10" t="s">
        <v>4685</v>
      </c>
      <c r="E1620" s="10" t="s">
        <v>4683</v>
      </c>
      <c r="F1620" s="10" t="s">
        <v>4683</v>
      </c>
      <c r="G1620" s="10" t="s">
        <v>4683</v>
      </c>
      <c r="H1620" s="14">
        <v>0</v>
      </c>
      <c r="I1620" s="10" t="s">
        <v>4683</v>
      </c>
      <c r="J1620" s="10" t="str">
        <f t="shared" si="7"/>
        <v>normalweight</v>
      </c>
      <c r="L1620" s="30" t="e">
        <v>#N/A</v>
      </c>
    </row>
    <row r="1621" spans="1:12" ht="15.75" customHeight="1" x14ac:dyDescent="0.3">
      <c r="A1621" s="10" t="s">
        <v>1436</v>
      </c>
      <c r="B1621" s="10">
        <v>26.22</v>
      </c>
      <c r="C1621" s="10">
        <v>5.57</v>
      </c>
      <c r="D1621" s="10" t="s">
        <v>4685</v>
      </c>
      <c r="E1621" s="10" t="s">
        <v>4684</v>
      </c>
      <c r="F1621" s="10" t="s">
        <v>4683</v>
      </c>
      <c r="G1621" s="10" t="s">
        <v>4686</v>
      </c>
      <c r="H1621" s="14">
        <v>1</v>
      </c>
      <c r="I1621" s="10" t="s">
        <v>4683</v>
      </c>
      <c r="J1621" s="10" t="str">
        <f t="shared" si="7"/>
        <v>normalweight</v>
      </c>
      <c r="L1621" s="30" t="e">
        <v>#N/A</v>
      </c>
    </row>
    <row r="1622" spans="1:12" ht="15.75" customHeight="1" x14ac:dyDescent="0.3">
      <c r="A1622" s="10" t="s">
        <v>1434</v>
      </c>
      <c r="B1622" s="10">
        <v>21.85</v>
      </c>
      <c r="C1622" s="10">
        <v>5.26</v>
      </c>
      <c r="D1622" s="10" t="s">
        <v>4685</v>
      </c>
      <c r="E1622" s="10" t="s">
        <v>4684</v>
      </c>
      <c r="F1622" s="10" t="s">
        <v>4683</v>
      </c>
      <c r="G1622" s="10" t="s">
        <v>4686</v>
      </c>
      <c r="H1622" s="14">
        <v>1</v>
      </c>
      <c r="I1622" s="10" t="s">
        <v>4683</v>
      </c>
      <c r="J1622" s="10" t="str">
        <f t="shared" si="7"/>
        <v>normalweight</v>
      </c>
      <c r="L1622" s="30" t="e">
        <v>#N/A</v>
      </c>
    </row>
    <row r="1623" spans="1:12" ht="15.75" customHeight="1" x14ac:dyDescent="0.3">
      <c r="A1623" s="10" t="s">
        <v>1432</v>
      </c>
      <c r="B1623" s="10">
        <v>30.495000000000001</v>
      </c>
      <c r="C1623" s="10">
        <v>6.25</v>
      </c>
      <c r="D1623" s="10" t="s">
        <v>4685</v>
      </c>
      <c r="E1623" s="10" t="s">
        <v>4683</v>
      </c>
      <c r="F1623" s="10" t="s">
        <v>4683</v>
      </c>
      <c r="G1623" s="10" t="s">
        <v>4683</v>
      </c>
      <c r="H1623" s="14">
        <v>0</v>
      </c>
      <c r="I1623" s="10" t="s">
        <v>4683</v>
      </c>
      <c r="J1623" s="10" t="str">
        <f t="shared" si="7"/>
        <v>normalweight</v>
      </c>
      <c r="L1623" s="30" t="e">
        <v>#N/A</v>
      </c>
    </row>
    <row r="1624" spans="1:12" ht="15.75" customHeight="1" x14ac:dyDescent="0.3">
      <c r="A1624" s="10" t="s">
        <v>1430</v>
      </c>
      <c r="B1624" s="10">
        <v>34.104999999999997</v>
      </c>
      <c r="C1624" s="10">
        <v>5.67</v>
      </c>
      <c r="D1624" s="10" t="s">
        <v>4685</v>
      </c>
      <c r="E1624" s="10" t="s">
        <v>4684</v>
      </c>
      <c r="F1624" s="10" t="s">
        <v>4683</v>
      </c>
      <c r="G1624" s="10" t="s">
        <v>4683</v>
      </c>
      <c r="H1624" s="14">
        <v>0</v>
      </c>
      <c r="I1624" s="10" t="s">
        <v>4683</v>
      </c>
      <c r="J1624" s="10" t="str">
        <f t="shared" si="7"/>
        <v>normalweight</v>
      </c>
      <c r="L1624" s="30" t="e">
        <v>#N/A</v>
      </c>
    </row>
    <row r="1625" spans="1:12" ht="15.75" customHeight="1" x14ac:dyDescent="0.3">
      <c r="A1625" s="10" t="s">
        <v>1428</v>
      </c>
      <c r="B1625" s="10">
        <v>32.770000000000003</v>
      </c>
      <c r="C1625" s="10">
        <v>4.42</v>
      </c>
      <c r="D1625" s="10" t="s">
        <v>4685</v>
      </c>
      <c r="E1625" s="10" t="s">
        <v>4684</v>
      </c>
      <c r="F1625" s="10" t="s">
        <v>4683</v>
      </c>
      <c r="G1625" s="10" t="s">
        <v>4683</v>
      </c>
      <c r="H1625" s="14">
        <v>1</v>
      </c>
      <c r="I1625" s="10" t="s">
        <v>4683</v>
      </c>
      <c r="J1625" s="10" t="str">
        <f t="shared" si="7"/>
        <v>normalweight</v>
      </c>
      <c r="L1625" s="30" t="e">
        <v>#N/A</v>
      </c>
    </row>
    <row r="1626" spans="1:12" ht="15.75" customHeight="1" x14ac:dyDescent="0.3">
      <c r="A1626" s="10" t="s">
        <v>1426</v>
      </c>
      <c r="B1626" s="10">
        <v>16.850000000000001</v>
      </c>
      <c r="C1626" s="10">
        <v>11.75</v>
      </c>
      <c r="D1626" s="16" t="s">
        <v>4682</v>
      </c>
      <c r="E1626" s="10" t="s">
        <v>4684</v>
      </c>
      <c r="F1626" s="10" t="s">
        <v>4683</v>
      </c>
      <c r="G1626" s="10" t="s">
        <v>4683</v>
      </c>
      <c r="H1626" s="14">
        <v>2</v>
      </c>
      <c r="I1626" s="10" t="s">
        <v>4683</v>
      </c>
      <c r="J1626" s="10" t="str">
        <f t="shared" si="7"/>
        <v>underweight</v>
      </c>
      <c r="L1626" s="30" t="e">
        <v>#N/A</v>
      </c>
    </row>
    <row r="1627" spans="1:12" ht="15.75" customHeight="1" x14ac:dyDescent="0.3">
      <c r="A1627" s="10" t="s">
        <v>1424</v>
      </c>
      <c r="B1627" s="10">
        <v>34.700000000000003</v>
      </c>
      <c r="C1627" s="10">
        <v>6.06</v>
      </c>
      <c r="D1627" s="10" t="s">
        <v>4685</v>
      </c>
      <c r="E1627" s="10" t="s">
        <v>4683</v>
      </c>
      <c r="F1627" s="10" t="s">
        <v>4683</v>
      </c>
      <c r="G1627" s="10" t="s">
        <v>4683</v>
      </c>
      <c r="H1627" s="14">
        <v>1</v>
      </c>
      <c r="I1627" s="10" t="s">
        <v>4683</v>
      </c>
      <c r="J1627" s="10" t="str">
        <f t="shared" si="7"/>
        <v>normalweight</v>
      </c>
      <c r="L1627" s="30" t="e">
        <v>#N/A</v>
      </c>
    </row>
    <row r="1628" spans="1:12" ht="15.75" customHeight="1" x14ac:dyDescent="0.3">
      <c r="A1628" s="10" t="s">
        <v>1422</v>
      </c>
      <c r="B1628" s="10">
        <v>37.049999999999997</v>
      </c>
      <c r="C1628" s="10">
        <v>5.48</v>
      </c>
      <c r="D1628" s="10" t="s">
        <v>4685</v>
      </c>
      <c r="E1628" s="10" t="s">
        <v>4683</v>
      </c>
      <c r="F1628" s="10" t="s">
        <v>4683</v>
      </c>
      <c r="G1628" s="10" t="s">
        <v>4683</v>
      </c>
      <c r="H1628" s="14">
        <v>1</v>
      </c>
      <c r="I1628" s="10" t="s">
        <v>4683</v>
      </c>
      <c r="J1628" s="10" t="str">
        <f t="shared" si="7"/>
        <v>normalweight</v>
      </c>
      <c r="L1628" s="30" t="e">
        <v>#N/A</v>
      </c>
    </row>
    <row r="1629" spans="1:12" ht="15.75" customHeight="1" x14ac:dyDescent="0.3">
      <c r="A1629" s="10" t="s">
        <v>1420</v>
      </c>
      <c r="B1629" s="10">
        <v>18.78</v>
      </c>
      <c r="C1629" s="10">
        <v>4.45</v>
      </c>
      <c r="D1629" s="10" t="s">
        <v>4685</v>
      </c>
      <c r="E1629" s="10" t="s">
        <v>4683</v>
      </c>
      <c r="F1629" s="10" t="s">
        <v>4683</v>
      </c>
      <c r="G1629" s="10" t="s">
        <v>4686</v>
      </c>
      <c r="H1629" s="14">
        <v>1</v>
      </c>
      <c r="I1629" s="10" t="s">
        <v>4683</v>
      </c>
      <c r="J1629" s="10" t="str">
        <f t="shared" si="7"/>
        <v>normalweight</v>
      </c>
      <c r="L1629" s="30" t="e">
        <v>#N/A</v>
      </c>
    </row>
    <row r="1630" spans="1:12" ht="15.75" customHeight="1" x14ac:dyDescent="0.3">
      <c r="A1630" s="10" t="s">
        <v>1418</v>
      </c>
      <c r="B1630" s="10">
        <v>28.024999999999999</v>
      </c>
      <c r="C1630" s="10">
        <v>5</v>
      </c>
      <c r="D1630" s="10" t="s">
        <v>4685</v>
      </c>
      <c r="E1630" s="10" t="s">
        <v>4683</v>
      </c>
      <c r="F1630" s="10" t="s">
        <v>4683</v>
      </c>
      <c r="G1630" s="10" t="s">
        <v>4683</v>
      </c>
      <c r="H1630" s="14">
        <v>1</v>
      </c>
      <c r="I1630" s="10" t="s">
        <v>4683</v>
      </c>
      <c r="J1630" s="10" t="str">
        <f t="shared" si="7"/>
        <v>normalweight</v>
      </c>
      <c r="L1630" s="30" t="e">
        <v>#N/A</v>
      </c>
    </row>
    <row r="1631" spans="1:12" ht="15.75" customHeight="1" x14ac:dyDescent="0.3">
      <c r="A1631" s="10" t="s">
        <v>1416</v>
      </c>
      <c r="B1631" s="10">
        <v>35.090000000000003</v>
      </c>
      <c r="C1631" s="10">
        <v>5.84</v>
      </c>
      <c r="D1631" s="10" t="s">
        <v>4685</v>
      </c>
      <c r="E1631" s="10" t="s">
        <v>4683</v>
      </c>
      <c r="F1631" s="10" t="s">
        <v>4683</v>
      </c>
      <c r="G1631" s="10" t="s">
        <v>4683</v>
      </c>
      <c r="H1631" s="14">
        <v>0</v>
      </c>
      <c r="I1631" s="10" t="s">
        <v>4683</v>
      </c>
      <c r="J1631" s="10" t="str">
        <f t="shared" si="7"/>
        <v>normalweight</v>
      </c>
      <c r="L1631" s="30" t="e">
        <v>#N/A</v>
      </c>
    </row>
    <row r="1632" spans="1:12" ht="15.75" customHeight="1" x14ac:dyDescent="0.3">
      <c r="A1632" s="10" t="s">
        <v>1414</v>
      </c>
      <c r="B1632" s="10">
        <v>34.42</v>
      </c>
      <c r="C1632" s="10">
        <v>5.21</v>
      </c>
      <c r="D1632" s="10" t="s">
        <v>4685</v>
      </c>
      <c r="E1632" s="10" t="s">
        <v>4684</v>
      </c>
      <c r="F1632" s="10" t="s">
        <v>4683</v>
      </c>
      <c r="G1632" s="10" t="s">
        <v>4683</v>
      </c>
      <c r="H1632" s="14">
        <v>0</v>
      </c>
      <c r="I1632" s="10" t="s">
        <v>4683</v>
      </c>
      <c r="J1632" s="10" t="str">
        <f t="shared" si="7"/>
        <v>normalweight</v>
      </c>
      <c r="L1632" s="30" t="e">
        <v>#N/A</v>
      </c>
    </row>
    <row r="1633" spans="1:12" ht="15.75" customHeight="1" x14ac:dyDescent="0.3">
      <c r="A1633" s="10" t="s">
        <v>1412</v>
      </c>
      <c r="B1633" s="10">
        <v>29.4</v>
      </c>
      <c r="C1633" s="10">
        <v>4.26</v>
      </c>
      <c r="D1633" s="10" t="s">
        <v>4685</v>
      </c>
      <c r="E1633" s="10" t="s">
        <v>4683</v>
      </c>
      <c r="F1633" s="10" t="s">
        <v>4683</v>
      </c>
      <c r="G1633" s="10" t="s">
        <v>4683</v>
      </c>
      <c r="H1633" s="14">
        <v>0</v>
      </c>
      <c r="I1633" s="10" t="s">
        <v>4683</v>
      </c>
      <c r="J1633" s="10" t="str">
        <f t="shared" si="7"/>
        <v>normalweight</v>
      </c>
      <c r="L1633" s="30" t="e">
        <v>#N/A</v>
      </c>
    </row>
    <row r="1634" spans="1:12" ht="15.75" customHeight="1" x14ac:dyDescent="0.3">
      <c r="A1634" s="10" t="s">
        <v>1410</v>
      </c>
      <c r="B1634" s="10">
        <v>21.31</v>
      </c>
      <c r="C1634" s="10">
        <v>4.17</v>
      </c>
      <c r="D1634" s="10" t="s">
        <v>4685</v>
      </c>
      <c r="E1634" s="10" t="s">
        <v>4683</v>
      </c>
      <c r="F1634" s="10" t="s">
        <v>4683</v>
      </c>
      <c r="G1634" s="10" t="s">
        <v>4683</v>
      </c>
      <c r="H1634" s="14">
        <v>0</v>
      </c>
      <c r="I1634" s="10" t="s">
        <v>4683</v>
      </c>
      <c r="J1634" s="10" t="str">
        <f t="shared" si="7"/>
        <v>normalweight</v>
      </c>
      <c r="L1634" s="30" t="e">
        <v>#N/A</v>
      </c>
    </row>
    <row r="1635" spans="1:12" ht="15.75" customHeight="1" x14ac:dyDescent="0.3">
      <c r="A1635" s="10" t="s">
        <v>1408</v>
      </c>
      <c r="B1635" s="10">
        <v>19.559999999999999</v>
      </c>
      <c r="C1635" s="10">
        <v>11.96</v>
      </c>
      <c r="D1635" s="16" t="s">
        <v>4682</v>
      </c>
      <c r="E1635" s="10" t="s">
        <v>4683</v>
      </c>
      <c r="F1635" s="10" t="s">
        <v>4683</v>
      </c>
      <c r="G1635" s="10" t="s">
        <v>4683</v>
      </c>
      <c r="H1635" s="14">
        <v>0</v>
      </c>
      <c r="I1635" s="10" t="s">
        <v>4683</v>
      </c>
      <c r="J1635" s="10" t="str">
        <f t="shared" si="7"/>
        <v>normalweight</v>
      </c>
      <c r="L1635" s="30" t="e">
        <v>#N/A</v>
      </c>
    </row>
    <row r="1636" spans="1:12" ht="15.75" customHeight="1" x14ac:dyDescent="0.3">
      <c r="A1636" s="10" t="s">
        <v>1406</v>
      </c>
      <c r="B1636" s="10">
        <v>37.335000000000001</v>
      </c>
      <c r="C1636" s="10">
        <v>6.26</v>
      </c>
      <c r="D1636" s="10" t="s">
        <v>4685</v>
      </c>
      <c r="E1636" s="10" t="s">
        <v>4684</v>
      </c>
      <c r="F1636" s="10" t="s">
        <v>4683</v>
      </c>
      <c r="G1636" s="10" t="s">
        <v>4683</v>
      </c>
      <c r="H1636" s="14">
        <v>1</v>
      </c>
      <c r="I1636" s="10" t="s">
        <v>4683</v>
      </c>
      <c r="J1636" s="10" t="str">
        <f t="shared" si="7"/>
        <v>normalweight</v>
      </c>
      <c r="L1636" s="30" t="e">
        <v>#N/A</v>
      </c>
    </row>
    <row r="1637" spans="1:12" ht="15.75" customHeight="1" x14ac:dyDescent="0.3">
      <c r="A1637" s="10" t="s">
        <v>1404</v>
      </c>
      <c r="B1637" s="10">
        <v>19.53</v>
      </c>
      <c r="C1637" s="10">
        <v>11.68</v>
      </c>
      <c r="D1637" s="16" t="s">
        <v>4682</v>
      </c>
      <c r="E1637" s="10" t="s">
        <v>4683</v>
      </c>
      <c r="F1637" s="10" t="s">
        <v>4683</v>
      </c>
      <c r="G1637" s="10" t="s">
        <v>4683</v>
      </c>
      <c r="H1637" s="14">
        <v>0</v>
      </c>
      <c r="I1637" s="10" t="s">
        <v>4683</v>
      </c>
      <c r="J1637" s="10" t="str">
        <f t="shared" si="7"/>
        <v>normalweight</v>
      </c>
      <c r="L1637" s="30" t="e">
        <v>#N/A</v>
      </c>
    </row>
    <row r="1638" spans="1:12" ht="15.75" customHeight="1" x14ac:dyDescent="0.3">
      <c r="A1638" s="10" t="s">
        <v>1402</v>
      </c>
      <c r="B1638" s="10">
        <v>34.1</v>
      </c>
      <c r="C1638" s="10">
        <v>5.16</v>
      </c>
      <c r="D1638" s="10" t="s">
        <v>4685</v>
      </c>
      <c r="E1638" s="10" t="s">
        <v>4683</v>
      </c>
      <c r="F1638" s="10" t="s">
        <v>4683</v>
      </c>
      <c r="G1638" s="10" t="s">
        <v>4683</v>
      </c>
      <c r="H1638" s="14">
        <v>0</v>
      </c>
      <c r="I1638" s="10" t="s">
        <v>4683</v>
      </c>
      <c r="J1638" s="10" t="str">
        <f t="shared" si="7"/>
        <v>normalweight</v>
      </c>
      <c r="L1638" s="30" t="e">
        <v>#N/A</v>
      </c>
    </row>
    <row r="1639" spans="1:12" ht="15.75" customHeight="1" x14ac:dyDescent="0.3">
      <c r="A1639" s="10" t="s">
        <v>1400</v>
      </c>
      <c r="B1639" s="10">
        <v>16.5</v>
      </c>
      <c r="C1639" s="10">
        <v>6.9</v>
      </c>
      <c r="D1639" s="10" t="s">
        <v>4685</v>
      </c>
      <c r="E1639" s="10" t="s">
        <v>4684</v>
      </c>
      <c r="F1639" s="10" t="s">
        <v>4683</v>
      </c>
      <c r="G1639" s="10" t="s">
        <v>4683</v>
      </c>
      <c r="H1639" s="14">
        <v>2</v>
      </c>
      <c r="I1639" s="10" t="s">
        <v>4683</v>
      </c>
      <c r="J1639" s="10" t="str">
        <f t="shared" si="7"/>
        <v>underweight</v>
      </c>
      <c r="L1639" s="30" t="e">
        <v>#N/A</v>
      </c>
    </row>
    <row r="1640" spans="1:12" ht="15.75" customHeight="1" x14ac:dyDescent="0.3">
      <c r="A1640" s="10" t="s">
        <v>1398</v>
      </c>
      <c r="B1640" s="10">
        <v>30.69</v>
      </c>
      <c r="C1640" s="10">
        <v>4.83</v>
      </c>
      <c r="D1640" s="10" t="s">
        <v>4685</v>
      </c>
      <c r="E1640" s="10" t="s">
        <v>4683</v>
      </c>
      <c r="F1640" s="10" t="s">
        <v>4683</v>
      </c>
      <c r="G1640" s="10" t="s">
        <v>4683</v>
      </c>
      <c r="H1640" s="14">
        <v>1</v>
      </c>
      <c r="I1640" s="10" t="s">
        <v>4683</v>
      </c>
      <c r="J1640" s="10" t="str">
        <f t="shared" si="7"/>
        <v>normalweight</v>
      </c>
      <c r="L1640" s="30" t="e">
        <v>#N/A</v>
      </c>
    </row>
    <row r="1641" spans="1:12" ht="15.75" customHeight="1" x14ac:dyDescent="0.3">
      <c r="A1641" s="10" t="s">
        <v>1396</v>
      </c>
      <c r="B1641" s="10">
        <v>28.93</v>
      </c>
      <c r="C1641" s="10">
        <v>4.87</v>
      </c>
      <c r="D1641" s="10" t="s">
        <v>4685</v>
      </c>
      <c r="E1641" s="10" t="s">
        <v>4683</v>
      </c>
      <c r="F1641" s="10" t="s">
        <v>4683</v>
      </c>
      <c r="G1641" s="10" t="s">
        <v>4683</v>
      </c>
      <c r="H1641" s="14">
        <v>1</v>
      </c>
      <c r="I1641" s="10" t="s">
        <v>4683</v>
      </c>
      <c r="J1641" s="10" t="str">
        <f t="shared" si="7"/>
        <v>normalweight</v>
      </c>
      <c r="L1641" s="30" t="e">
        <v>#N/A</v>
      </c>
    </row>
    <row r="1642" spans="1:12" ht="15.75" customHeight="1" x14ac:dyDescent="0.3">
      <c r="A1642" s="10" t="s">
        <v>1394</v>
      </c>
      <c r="B1642" s="10">
        <v>38.9</v>
      </c>
      <c r="C1642" s="10">
        <v>4.28</v>
      </c>
      <c r="D1642" s="10" t="s">
        <v>4685</v>
      </c>
      <c r="E1642" s="10" t="s">
        <v>4683</v>
      </c>
      <c r="F1642" s="10" t="s">
        <v>4683</v>
      </c>
      <c r="G1642" s="10" t="s">
        <v>4683</v>
      </c>
      <c r="H1642" s="14">
        <v>0</v>
      </c>
      <c r="I1642" s="10" t="s">
        <v>4683</v>
      </c>
      <c r="J1642" s="10" t="str">
        <f t="shared" si="7"/>
        <v>normalweight</v>
      </c>
      <c r="L1642" s="30" t="e">
        <v>#N/A</v>
      </c>
    </row>
    <row r="1643" spans="1:12" ht="15.75" customHeight="1" x14ac:dyDescent="0.3">
      <c r="A1643" s="10" t="s">
        <v>1392</v>
      </c>
      <c r="B1643" s="10">
        <v>26.9</v>
      </c>
      <c r="C1643" s="10">
        <v>4.07</v>
      </c>
      <c r="D1643" s="10" t="s">
        <v>4685</v>
      </c>
      <c r="E1643" s="10" t="s">
        <v>4683</v>
      </c>
      <c r="F1643" s="10" t="s">
        <v>4683</v>
      </c>
      <c r="G1643" s="10" t="s">
        <v>4683</v>
      </c>
      <c r="H1643" s="14">
        <v>0</v>
      </c>
      <c r="I1643" s="10" t="s">
        <v>4683</v>
      </c>
      <c r="J1643" s="10" t="str">
        <f t="shared" si="7"/>
        <v>normalweight</v>
      </c>
      <c r="L1643" s="30" t="e">
        <v>#N/A</v>
      </c>
    </row>
    <row r="1644" spans="1:12" ht="15.75" customHeight="1" x14ac:dyDescent="0.3">
      <c r="A1644" s="10" t="s">
        <v>1390</v>
      </c>
      <c r="B1644" s="10">
        <v>24.86</v>
      </c>
      <c r="C1644" s="10">
        <v>6.23</v>
      </c>
      <c r="D1644" s="10" t="s">
        <v>4685</v>
      </c>
      <c r="E1644" s="10" t="s">
        <v>4683</v>
      </c>
      <c r="F1644" s="10" t="s">
        <v>4683</v>
      </c>
      <c r="G1644" s="10" t="s">
        <v>4683</v>
      </c>
      <c r="H1644" s="14">
        <v>0</v>
      </c>
      <c r="I1644" s="10" t="s">
        <v>4683</v>
      </c>
      <c r="J1644" s="10" t="str">
        <f t="shared" si="7"/>
        <v>normalweight</v>
      </c>
      <c r="L1644" s="30" t="e">
        <v>#N/A</v>
      </c>
    </row>
    <row r="1645" spans="1:12" ht="15.75" customHeight="1" x14ac:dyDescent="0.3">
      <c r="A1645" s="10" t="s">
        <v>1388</v>
      </c>
      <c r="B1645" s="10">
        <v>39.14</v>
      </c>
      <c r="C1645" s="10">
        <v>6.24</v>
      </c>
      <c r="D1645" s="10" t="s">
        <v>4685</v>
      </c>
      <c r="E1645" s="10" t="s">
        <v>4683</v>
      </c>
      <c r="F1645" s="10" t="s">
        <v>4684</v>
      </c>
      <c r="G1645" s="10" t="s">
        <v>4683</v>
      </c>
      <c r="H1645" s="14">
        <v>1</v>
      </c>
      <c r="I1645" s="10" t="s">
        <v>4683</v>
      </c>
      <c r="J1645" s="10" t="str">
        <f t="shared" si="7"/>
        <v>normalweight</v>
      </c>
      <c r="L1645" s="30" t="e">
        <v>#N/A</v>
      </c>
    </row>
    <row r="1646" spans="1:12" ht="15.75" customHeight="1" x14ac:dyDescent="0.3">
      <c r="A1646" s="10" t="s">
        <v>1386</v>
      </c>
      <c r="B1646" s="10">
        <v>39.799999999999997</v>
      </c>
      <c r="C1646" s="10">
        <v>6.17</v>
      </c>
      <c r="D1646" s="10" t="s">
        <v>4685</v>
      </c>
      <c r="E1646" s="10" t="s">
        <v>4683</v>
      </c>
      <c r="F1646" s="10" t="s">
        <v>4683</v>
      </c>
      <c r="G1646" s="10" t="s">
        <v>4686</v>
      </c>
      <c r="H1646" s="14">
        <v>1</v>
      </c>
      <c r="I1646" s="10" t="s">
        <v>4683</v>
      </c>
      <c r="J1646" s="10" t="str">
        <f t="shared" si="7"/>
        <v>normalweight</v>
      </c>
      <c r="L1646" s="30" t="e">
        <v>#N/A</v>
      </c>
    </row>
    <row r="1647" spans="1:12" ht="15.75" customHeight="1" x14ac:dyDescent="0.3">
      <c r="A1647" s="10" t="s">
        <v>1384</v>
      </c>
      <c r="B1647" s="10">
        <v>34.32</v>
      </c>
      <c r="C1647" s="10">
        <v>5.16</v>
      </c>
      <c r="D1647" s="10" t="s">
        <v>4685</v>
      </c>
      <c r="E1647" s="10" t="s">
        <v>4683</v>
      </c>
      <c r="F1647" s="10" t="s">
        <v>4683</v>
      </c>
      <c r="G1647" s="10" t="s">
        <v>4683</v>
      </c>
      <c r="H1647" s="14">
        <v>1</v>
      </c>
      <c r="I1647" s="10" t="s">
        <v>4683</v>
      </c>
      <c r="J1647" s="10" t="str">
        <f t="shared" si="7"/>
        <v>normalweight</v>
      </c>
      <c r="L1647" s="30" t="e">
        <v>#N/A</v>
      </c>
    </row>
    <row r="1648" spans="1:12" ht="15.75" customHeight="1" x14ac:dyDescent="0.3">
      <c r="A1648" s="10" t="s">
        <v>1382</v>
      </c>
      <c r="B1648" s="10">
        <v>32.51</v>
      </c>
      <c r="C1648" s="10">
        <v>4.3</v>
      </c>
      <c r="D1648" s="10" t="s">
        <v>4685</v>
      </c>
      <c r="E1648" s="10" t="s">
        <v>4683</v>
      </c>
      <c r="F1648" s="10" t="s">
        <v>4683</v>
      </c>
      <c r="G1648" s="10" t="s">
        <v>4683</v>
      </c>
      <c r="H1648" s="14">
        <v>0</v>
      </c>
      <c r="I1648" s="10" t="s">
        <v>4683</v>
      </c>
      <c r="J1648" s="10" t="str">
        <f t="shared" si="7"/>
        <v>normalweight</v>
      </c>
      <c r="L1648" s="30" t="e">
        <v>#N/A</v>
      </c>
    </row>
    <row r="1649" spans="1:12" ht="15.75" customHeight="1" x14ac:dyDescent="0.3">
      <c r="A1649" s="10" t="s">
        <v>1380</v>
      </c>
      <c r="B1649" s="10">
        <v>30.71</v>
      </c>
      <c r="C1649" s="10">
        <v>6.14</v>
      </c>
      <c r="D1649" s="10" t="s">
        <v>4685</v>
      </c>
      <c r="E1649" s="10" t="s">
        <v>4683</v>
      </c>
      <c r="F1649" s="10" t="s">
        <v>4683</v>
      </c>
      <c r="G1649" s="10" t="s">
        <v>4686</v>
      </c>
      <c r="H1649" s="14">
        <v>1</v>
      </c>
      <c r="I1649" s="10" t="s">
        <v>4683</v>
      </c>
      <c r="J1649" s="10" t="str">
        <f t="shared" si="7"/>
        <v>normalweight</v>
      </c>
      <c r="L1649" s="30" t="e">
        <v>#N/A</v>
      </c>
    </row>
    <row r="1650" spans="1:12" ht="15.75" customHeight="1" x14ac:dyDescent="0.3">
      <c r="A1650" s="10" t="s">
        <v>1378</v>
      </c>
      <c r="B1650" s="10">
        <v>28.9</v>
      </c>
      <c r="C1650" s="10">
        <v>5.36</v>
      </c>
      <c r="D1650" s="10" t="s">
        <v>4685</v>
      </c>
      <c r="E1650" s="10" t="s">
        <v>4683</v>
      </c>
      <c r="F1650" s="10" t="s">
        <v>4683</v>
      </c>
      <c r="G1650" s="10" t="s">
        <v>4683</v>
      </c>
      <c r="H1650" s="14">
        <v>1</v>
      </c>
      <c r="I1650" s="10" t="s">
        <v>4683</v>
      </c>
      <c r="J1650" s="10" t="str">
        <f t="shared" si="7"/>
        <v>normalweight</v>
      </c>
      <c r="L1650" s="30" t="e">
        <v>#N/A</v>
      </c>
    </row>
    <row r="1651" spans="1:12" ht="15.75" customHeight="1" x14ac:dyDescent="0.3">
      <c r="A1651" s="10" t="s">
        <v>1376</v>
      </c>
      <c r="B1651" s="10">
        <v>36.19</v>
      </c>
      <c r="C1651" s="10">
        <v>4.3</v>
      </c>
      <c r="D1651" s="10" t="s">
        <v>4685</v>
      </c>
      <c r="E1651" s="10" t="s">
        <v>4683</v>
      </c>
      <c r="F1651" s="10" t="s">
        <v>4683</v>
      </c>
      <c r="G1651" s="10" t="s">
        <v>4683</v>
      </c>
      <c r="H1651" s="14">
        <v>0</v>
      </c>
      <c r="I1651" s="10" t="s">
        <v>4683</v>
      </c>
      <c r="J1651" s="10" t="str">
        <f t="shared" si="7"/>
        <v>normalweight</v>
      </c>
      <c r="L1651" s="30" t="e">
        <v>#N/A</v>
      </c>
    </row>
    <row r="1652" spans="1:12" ht="15.75" customHeight="1" x14ac:dyDescent="0.3">
      <c r="A1652" s="10" t="s">
        <v>1374</v>
      </c>
      <c r="B1652" s="10">
        <v>29.6</v>
      </c>
      <c r="C1652" s="10">
        <v>4.09</v>
      </c>
      <c r="D1652" s="10" t="s">
        <v>4685</v>
      </c>
      <c r="E1652" s="10" t="s">
        <v>4683</v>
      </c>
      <c r="F1652" s="10" t="s">
        <v>4683</v>
      </c>
      <c r="G1652" s="10" t="s">
        <v>4683</v>
      </c>
      <c r="H1652" s="14">
        <v>0</v>
      </c>
      <c r="I1652" s="10" t="s">
        <v>4683</v>
      </c>
      <c r="J1652" s="10" t="str">
        <f t="shared" si="7"/>
        <v>normalweight</v>
      </c>
      <c r="L1652" s="30" t="e">
        <v>#N/A</v>
      </c>
    </row>
    <row r="1653" spans="1:12" ht="15.75" customHeight="1" x14ac:dyDescent="0.3">
      <c r="A1653" s="10" t="s">
        <v>1372</v>
      </c>
      <c r="B1653" s="10">
        <v>30.95</v>
      </c>
      <c r="C1653" s="10">
        <v>6.27</v>
      </c>
      <c r="D1653" s="10" t="s">
        <v>4685</v>
      </c>
      <c r="E1653" s="10" t="s">
        <v>4683</v>
      </c>
      <c r="F1653" s="10" t="s">
        <v>4683</v>
      </c>
      <c r="G1653" s="10" t="s">
        <v>4686</v>
      </c>
      <c r="H1653" s="14">
        <v>1</v>
      </c>
      <c r="I1653" s="10" t="s">
        <v>4683</v>
      </c>
      <c r="J1653" s="10" t="str">
        <f t="shared" si="7"/>
        <v>normalweight</v>
      </c>
      <c r="L1653" s="30" t="e">
        <v>#N/A</v>
      </c>
    </row>
    <row r="1654" spans="1:12" ht="15.75" customHeight="1" x14ac:dyDescent="0.3">
      <c r="A1654" s="10" t="s">
        <v>1370</v>
      </c>
      <c r="B1654" s="10">
        <v>19.95</v>
      </c>
      <c r="C1654" s="10">
        <v>5.39</v>
      </c>
      <c r="D1654" s="10" t="s">
        <v>4685</v>
      </c>
      <c r="E1654" s="10" t="s">
        <v>4683</v>
      </c>
      <c r="F1654" s="10" t="s">
        <v>4683</v>
      </c>
      <c r="G1654" s="10" t="s">
        <v>4683</v>
      </c>
      <c r="H1654" s="14">
        <v>1</v>
      </c>
      <c r="I1654" s="10" t="s">
        <v>4683</v>
      </c>
      <c r="J1654" s="10" t="str">
        <f t="shared" si="7"/>
        <v>normalweight</v>
      </c>
      <c r="L1654" s="30" t="e">
        <v>#N/A</v>
      </c>
    </row>
    <row r="1655" spans="1:12" ht="15.75" customHeight="1" x14ac:dyDescent="0.3">
      <c r="A1655" s="10" t="s">
        <v>1368</v>
      </c>
      <c r="B1655" s="10">
        <v>23.65</v>
      </c>
      <c r="C1655" s="10">
        <v>5.75</v>
      </c>
      <c r="D1655" s="10" t="s">
        <v>4685</v>
      </c>
      <c r="E1655" s="10" t="s">
        <v>4684</v>
      </c>
      <c r="F1655" s="10" t="s">
        <v>4683</v>
      </c>
      <c r="G1655" s="10" t="s">
        <v>4683</v>
      </c>
      <c r="H1655" s="14">
        <v>0</v>
      </c>
      <c r="I1655" s="10" t="s">
        <v>4683</v>
      </c>
      <c r="J1655" s="10" t="str">
        <f t="shared" si="7"/>
        <v>normalweight</v>
      </c>
      <c r="L1655" s="30" t="e">
        <v>#N/A</v>
      </c>
    </row>
    <row r="1656" spans="1:12" ht="15.75" customHeight="1" x14ac:dyDescent="0.3">
      <c r="A1656" s="10" t="s">
        <v>1366</v>
      </c>
      <c r="B1656" s="10">
        <v>43.34</v>
      </c>
      <c r="C1656" s="10">
        <v>4.91</v>
      </c>
      <c r="D1656" s="10" t="s">
        <v>4685</v>
      </c>
      <c r="E1656" s="10" t="s">
        <v>4683</v>
      </c>
      <c r="F1656" s="10" t="s">
        <v>4683</v>
      </c>
      <c r="G1656" s="10" t="s">
        <v>4683</v>
      </c>
      <c r="H1656" s="14">
        <v>1</v>
      </c>
      <c r="I1656" s="10" t="s">
        <v>4683</v>
      </c>
      <c r="J1656" s="10" t="str">
        <f t="shared" si="7"/>
        <v>normalweight</v>
      </c>
      <c r="L1656" s="30" t="e">
        <v>#N/A</v>
      </c>
    </row>
    <row r="1657" spans="1:12" ht="15.75" customHeight="1" x14ac:dyDescent="0.3">
      <c r="A1657" s="10" t="s">
        <v>1364</v>
      </c>
      <c r="B1657" s="10">
        <v>31.98</v>
      </c>
      <c r="C1657" s="10">
        <v>4.46</v>
      </c>
      <c r="D1657" s="10" t="s">
        <v>4685</v>
      </c>
      <c r="E1657" s="10" t="s">
        <v>4684</v>
      </c>
      <c r="F1657" s="10" t="s">
        <v>4683</v>
      </c>
      <c r="G1657" s="10" t="s">
        <v>4683</v>
      </c>
      <c r="H1657" s="14">
        <v>1</v>
      </c>
      <c r="I1657" s="10" t="s">
        <v>4683</v>
      </c>
      <c r="J1657" s="10" t="str">
        <f t="shared" si="7"/>
        <v>normalweight</v>
      </c>
      <c r="L1657" s="30" t="e">
        <v>#N/A</v>
      </c>
    </row>
    <row r="1658" spans="1:12" ht="15.75" customHeight="1" x14ac:dyDescent="0.3">
      <c r="A1658" s="10" t="s">
        <v>1362</v>
      </c>
      <c r="B1658" s="10">
        <v>35.86</v>
      </c>
      <c r="C1658" s="10">
        <v>6.22</v>
      </c>
      <c r="D1658" s="10" t="s">
        <v>4685</v>
      </c>
      <c r="E1658" s="10" t="s">
        <v>4683</v>
      </c>
      <c r="F1658" s="10" t="s">
        <v>4683</v>
      </c>
      <c r="G1658" s="10" t="s">
        <v>4683</v>
      </c>
      <c r="H1658" s="14">
        <v>1</v>
      </c>
      <c r="I1658" s="10" t="s">
        <v>4683</v>
      </c>
      <c r="J1658" s="10" t="str">
        <f t="shared" si="7"/>
        <v>normalweight</v>
      </c>
      <c r="L1658" s="30" t="e">
        <v>#N/A</v>
      </c>
    </row>
    <row r="1659" spans="1:12" ht="15.75" customHeight="1" x14ac:dyDescent="0.3">
      <c r="A1659" s="10" t="s">
        <v>1360</v>
      </c>
      <c r="B1659" s="10">
        <v>15.2</v>
      </c>
      <c r="C1659" s="10">
        <v>8.82</v>
      </c>
      <c r="D1659" s="16" t="s">
        <v>4682</v>
      </c>
      <c r="E1659" s="10" t="s">
        <v>4683</v>
      </c>
      <c r="F1659" s="10" t="s">
        <v>4683</v>
      </c>
      <c r="G1659" s="10" t="s">
        <v>4683</v>
      </c>
      <c r="H1659" s="14">
        <v>0</v>
      </c>
      <c r="I1659" s="10" t="s">
        <v>4683</v>
      </c>
      <c r="J1659" s="10" t="str">
        <f t="shared" si="7"/>
        <v>underweight</v>
      </c>
      <c r="L1659" s="30" t="e">
        <v>#N/A</v>
      </c>
    </row>
    <row r="1660" spans="1:12" ht="15.75" customHeight="1" x14ac:dyDescent="0.3">
      <c r="A1660" s="10" t="s">
        <v>1358</v>
      </c>
      <c r="B1660" s="10">
        <v>37.200000000000003</v>
      </c>
      <c r="C1660" s="10">
        <v>10.14</v>
      </c>
      <c r="D1660" s="16" t="s">
        <v>4682</v>
      </c>
      <c r="E1660" s="10" t="s">
        <v>4683</v>
      </c>
      <c r="F1660" s="10" t="s">
        <v>4683</v>
      </c>
      <c r="G1660" s="10" t="s">
        <v>4683</v>
      </c>
      <c r="H1660" s="14">
        <v>0</v>
      </c>
      <c r="I1660" s="10" t="s">
        <v>4683</v>
      </c>
      <c r="J1660" s="10" t="str">
        <f t="shared" si="7"/>
        <v>normalweight</v>
      </c>
      <c r="L1660" s="30" t="e">
        <v>#N/A</v>
      </c>
    </row>
    <row r="1661" spans="1:12" ht="15.75" customHeight="1" x14ac:dyDescent="0.3">
      <c r="A1661" s="10" t="s">
        <v>1356</v>
      </c>
      <c r="B1661" s="10">
        <v>17.91</v>
      </c>
      <c r="C1661" s="10">
        <v>4.66</v>
      </c>
      <c r="D1661" s="10" t="s">
        <v>4685</v>
      </c>
      <c r="E1661" s="10" t="s">
        <v>4683</v>
      </c>
      <c r="F1661" s="10" t="s">
        <v>4683</v>
      </c>
      <c r="G1661" s="10" t="s">
        <v>4683</v>
      </c>
      <c r="H1661" s="14">
        <v>2</v>
      </c>
      <c r="I1661" s="10" t="s">
        <v>4683</v>
      </c>
      <c r="J1661" s="10" t="str">
        <f t="shared" si="7"/>
        <v>underweight</v>
      </c>
      <c r="L1661" s="30" t="e">
        <v>#N/A</v>
      </c>
    </row>
    <row r="1662" spans="1:12" ht="15.75" customHeight="1" x14ac:dyDescent="0.3">
      <c r="A1662" s="10" t="s">
        <v>1354</v>
      </c>
      <c r="B1662" s="10">
        <v>20.76</v>
      </c>
      <c r="C1662" s="10">
        <v>6.26</v>
      </c>
      <c r="D1662" s="10" t="s">
        <v>4685</v>
      </c>
      <c r="E1662" s="10" t="s">
        <v>4683</v>
      </c>
      <c r="F1662" s="10" t="s">
        <v>4683</v>
      </c>
      <c r="G1662" s="10" t="s">
        <v>4683</v>
      </c>
      <c r="H1662" s="14">
        <v>0</v>
      </c>
      <c r="I1662" s="10" t="s">
        <v>4683</v>
      </c>
      <c r="J1662" s="10" t="str">
        <f t="shared" si="7"/>
        <v>normalweight</v>
      </c>
      <c r="L1662" s="30" t="e">
        <v>#N/A</v>
      </c>
    </row>
    <row r="1663" spans="1:12" ht="15.75" customHeight="1" x14ac:dyDescent="0.3">
      <c r="A1663" s="10" t="s">
        <v>1352</v>
      </c>
      <c r="B1663" s="10">
        <v>38.99</v>
      </c>
      <c r="C1663" s="10">
        <v>5.21</v>
      </c>
      <c r="D1663" s="10" t="s">
        <v>4685</v>
      </c>
      <c r="E1663" s="10" t="s">
        <v>4683</v>
      </c>
      <c r="F1663" s="10" t="s">
        <v>4684</v>
      </c>
      <c r="G1663" s="10" t="s">
        <v>4683</v>
      </c>
      <c r="H1663" s="14">
        <v>1</v>
      </c>
      <c r="I1663" s="10" t="s">
        <v>4683</v>
      </c>
      <c r="J1663" s="10" t="str">
        <f t="shared" si="7"/>
        <v>normalweight</v>
      </c>
      <c r="L1663" s="30" t="e">
        <v>#N/A</v>
      </c>
    </row>
    <row r="1664" spans="1:12" ht="15.75" customHeight="1" x14ac:dyDescent="0.3">
      <c r="A1664" s="10" t="s">
        <v>1350</v>
      </c>
      <c r="B1664" s="10">
        <v>42.655000000000001</v>
      </c>
      <c r="C1664" s="10">
        <v>5.94</v>
      </c>
      <c r="D1664" s="10" t="s">
        <v>4685</v>
      </c>
      <c r="E1664" s="10" t="s">
        <v>4684</v>
      </c>
      <c r="F1664" s="10" t="s">
        <v>4683</v>
      </c>
      <c r="G1664" s="10" t="s">
        <v>4686</v>
      </c>
      <c r="H1664" s="14">
        <v>1</v>
      </c>
      <c r="I1664" s="10" t="s">
        <v>4683</v>
      </c>
      <c r="J1664" s="10" t="str">
        <f t="shared" si="7"/>
        <v>normalweight</v>
      </c>
      <c r="L1664" s="30" t="e">
        <v>#N/A</v>
      </c>
    </row>
    <row r="1665" spans="1:12" ht="15.75" customHeight="1" x14ac:dyDescent="0.3">
      <c r="A1665" s="10" t="s">
        <v>1348</v>
      </c>
      <c r="B1665" s="10">
        <v>30.57</v>
      </c>
      <c r="C1665" s="10">
        <v>5.34</v>
      </c>
      <c r="D1665" s="10" t="s">
        <v>4685</v>
      </c>
      <c r="E1665" s="10" t="s">
        <v>4683</v>
      </c>
      <c r="F1665" s="10" t="s">
        <v>4683</v>
      </c>
      <c r="G1665" s="10" t="s">
        <v>4686</v>
      </c>
      <c r="H1665" s="14">
        <v>1</v>
      </c>
      <c r="I1665" s="10" t="s">
        <v>4683</v>
      </c>
      <c r="J1665" s="10" t="str">
        <f t="shared" si="7"/>
        <v>normalweight</v>
      </c>
      <c r="L1665" s="30" t="e">
        <v>#N/A</v>
      </c>
    </row>
    <row r="1666" spans="1:12" ht="15.75" customHeight="1" x14ac:dyDescent="0.3">
      <c r="A1666" s="10" t="s">
        <v>1346</v>
      </c>
      <c r="B1666" s="10">
        <v>17.7</v>
      </c>
      <c r="C1666" s="10">
        <v>6.38</v>
      </c>
      <c r="D1666" s="10" t="s">
        <v>4685</v>
      </c>
      <c r="E1666" s="10" t="s">
        <v>4683</v>
      </c>
      <c r="F1666" s="10" t="s">
        <v>4683</v>
      </c>
      <c r="G1666" s="10" t="s">
        <v>4683</v>
      </c>
      <c r="H1666" s="14">
        <v>2</v>
      </c>
      <c r="I1666" s="10" t="s">
        <v>4683</v>
      </c>
      <c r="J1666" s="10" t="str">
        <f t="shared" si="7"/>
        <v>underweight</v>
      </c>
      <c r="L1666" s="30" t="e">
        <v>#N/A</v>
      </c>
    </row>
    <row r="1667" spans="1:12" ht="15.75" customHeight="1" x14ac:dyDescent="0.3">
      <c r="A1667" s="10" t="s">
        <v>1344</v>
      </c>
      <c r="B1667" s="10">
        <v>34.770000000000003</v>
      </c>
      <c r="C1667" s="10">
        <v>4.47</v>
      </c>
      <c r="D1667" s="10" t="s">
        <v>4685</v>
      </c>
      <c r="E1667" s="10" t="s">
        <v>4683</v>
      </c>
      <c r="F1667" s="10" t="s">
        <v>4683</v>
      </c>
      <c r="G1667" s="10" t="s">
        <v>4683</v>
      </c>
      <c r="H1667" s="14">
        <v>1</v>
      </c>
      <c r="I1667" s="10" t="s">
        <v>4683</v>
      </c>
      <c r="J1667" s="10" t="str">
        <f t="shared" si="7"/>
        <v>normalweight</v>
      </c>
      <c r="L1667" s="30" t="e">
        <v>#N/A</v>
      </c>
    </row>
    <row r="1668" spans="1:12" ht="15.75" customHeight="1" x14ac:dyDescent="0.3">
      <c r="A1668" s="10" t="s">
        <v>1342</v>
      </c>
      <c r="B1668" s="10">
        <v>16.88</v>
      </c>
      <c r="C1668" s="10">
        <v>9.9600000000000009</v>
      </c>
      <c r="D1668" s="16" t="s">
        <v>4682</v>
      </c>
      <c r="E1668" s="10" t="s">
        <v>4683</v>
      </c>
      <c r="F1668" s="10" t="s">
        <v>4683</v>
      </c>
      <c r="G1668" s="10" t="s">
        <v>4683</v>
      </c>
      <c r="H1668" s="14">
        <v>0</v>
      </c>
      <c r="I1668" s="10" t="s">
        <v>4683</v>
      </c>
      <c r="J1668" s="10" t="str">
        <f t="shared" si="7"/>
        <v>underweight</v>
      </c>
      <c r="L1668" s="30" t="e">
        <v>#N/A</v>
      </c>
    </row>
    <row r="1669" spans="1:12" ht="15.75" customHeight="1" x14ac:dyDescent="0.3">
      <c r="A1669" s="10" t="s">
        <v>1340</v>
      </c>
      <c r="B1669" s="10">
        <v>40.26</v>
      </c>
      <c r="C1669" s="10">
        <v>9.92</v>
      </c>
      <c r="D1669" s="16" t="s">
        <v>4682</v>
      </c>
      <c r="E1669" s="10" t="s">
        <v>4684</v>
      </c>
      <c r="F1669" s="10" t="s">
        <v>4683</v>
      </c>
      <c r="G1669" s="10" t="s">
        <v>4683</v>
      </c>
      <c r="H1669" s="14">
        <v>0</v>
      </c>
      <c r="I1669" s="10" t="s">
        <v>4683</v>
      </c>
      <c r="J1669" s="10" t="str">
        <f t="shared" si="7"/>
        <v>normalweight</v>
      </c>
      <c r="L1669" s="30" t="e">
        <v>#N/A</v>
      </c>
    </row>
    <row r="1670" spans="1:12" ht="15.75" customHeight="1" x14ac:dyDescent="0.3">
      <c r="A1670" s="10" t="s">
        <v>1338</v>
      </c>
      <c r="B1670" s="10">
        <v>25.6</v>
      </c>
      <c r="C1670" s="10">
        <v>6.03</v>
      </c>
      <c r="D1670" s="10" t="s">
        <v>4685</v>
      </c>
      <c r="E1670" s="10" t="s">
        <v>4683</v>
      </c>
      <c r="F1670" s="10" t="s">
        <v>4683</v>
      </c>
      <c r="G1670" s="10" t="s">
        <v>4686</v>
      </c>
      <c r="H1670" s="14">
        <v>1</v>
      </c>
      <c r="I1670" s="10" t="s">
        <v>4683</v>
      </c>
      <c r="J1670" s="10" t="str">
        <f t="shared" si="7"/>
        <v>normalweight</v>
      </c>
      <c r="L1670" s="30" t="e">
        <v>#N/A</v>
      </c>
    </row>
    <row r="1671" spans="1:12" ht="15.75" customHeight="1" x14ac:dyDescent="0.3">
      <c r="A1671" s="10" t="s">
        <v>1336</v>
      </c>
      <c r="B1671" s="10">
        <v>33.549999999999997</v>
      </c>
      <c r="C1671" s="10">
        <v>10.9</v>
      </c>
      <c r="D1671" s="16" t="s">
        <v>4682</v>
      </c>
      <c r="E1671" s="10" t="s">
        <v>4684</v>
      </c>
      <c r="F1671" s="10" t="s">
        <v>4683</v>
      </c>
      <c r="G1671" s="10" t="s">
        <v>4683</v>
      </c>
      <c r="H1671" s="14">
        <v>0</v>
      </c>
      <c r="I1671" s="10" t="s">
        <v>4683</v>
      </c>
      <c r="J1671" s="10" t="str">
        <f t="shared" si="7"/>
        <v>normalweight</v>
      </c>
      <c r="L1671" s="30" t="e">
        <v>#N/A</v>
      </c>
    </row>
    <row r="1672" spans="1:12" ht="15.75" customHeight="1" x14ac:dyDescent="0.3">
      <c r="A1672" s="10" t="s">
        <v>1334</v>
      </c>
      <c r="B1672" s="10">
        <v>16.690000000000001</v>
      </c>
      <c r="C1672" s="10">
        <v>10.66</v>
      </c>
      <c r="D1672" s="16" t="s">
        <v>4682</v>
      </c>
      <c r="E1672" s="10" t="s">
        <v>4683</v>
      </c>
      <c r="F1672" s="10" t="s">
        <v>4683</v>
      </c>
      <c r="G1672" s="10" t="s">
        <v>4683</v>
      </c>
      <c r="H1672" s="14">
        <v>0</v>
      </c>
      <c r="I1672" s="10" t="s">
        <v>4683</v>
      </c>
      <c r="J1672" s="10" t="str">
        <f t="shared" si="7"/>
        <v>underweight</v>
      </c>
      <c r="L1672" s="30" t="e">
        <v>#N/A</v>
      </c>
    </row>
    <row r="1673" spans="1:12" ht="15.75" customHeight="1" x14ac:dyDescent="0.3">
      <c r="A1673" s="10" t="s">
        <v>1332</v>
      </c>
      <c r="B1673" s="10">
        <v>19.95</v>
      </c>
      <c r="C1673" s="10">
        <v>4.05</v>
      </c>
      <c r="D1673" s="10" t="s">
        <v>4685</v>
      </c>
      <c r="E1673" s="10" t="s">
        <v>4683</v>
      </c>
      <c r="F1673" s="10" t="s">
        <v>4683</v>
      </c>
      <c r="G1673" s="10" t="s">
        <v>4683</v>
      </c>
      <c r="H1673" s="14">
        <v>1</v>
      </c>
      <c r="I1673" s="10" t="s">
        <v>4683</v>
      </c>
      <c r="J1673" s="10" t="str">
        <f t="shared" si="7"/>
        <v>normalweight</v>
      </c>
      <c r="L1673" s="30" t="e">
        <v>#N/A</v>
      </c>
    </row>
    <row r="1674" spans="1:12" ht="15.75" customHeight="1" x14ac:dyDescent="0.3">
      <c r="A1674" s="10" t="s">
        <v>1330</v>
      </c>
      <c r="B1674" s="10">
        <v>17.55</v>
      </c>
      <c r="C1674" s="10">
        <v>4.2300000000000004</v>
      </c>
      <c r="D1674" s="10" t="s">
        <v>4685</v>
      </c>
      <c r="E1674" s="10" t="s">
        <v>4683</v>
      </c>
      <c r="F1674" s="10" t="s">
        <v>4683</v>
      </c>
      <c r="G1674" s="10" t="s">
        <v>4683</v>
      </c>
      <c r="H1674" s="14">
        <v>2</v>
      </c>
      <c r="I1674" s="10" t="s">
        <v>4683</v>
      </c>
      <c r="J1674" s="10" t="str">
        <f t="shared" si="7"/>
        <v>underweight</v>
      </c>
      <c r="L1674" s="30" t="e">
        <v>#N/A</v>
      </c>
    </row>
    <row r="1675" spans="1:12" ht="15.75" customHeight="1" x14ac:dyDescent="0.3">
      <c r="A1675" s="10" t="s">
        <v>1328</v>
      </c>
      <c r="B1675" s="10">
        <v>22.01</v>
      </c>
      <c r="C1675" s="10">
        <v>5.01</v>
      </c>
      <c r="D1675" s="10" t="s">
        <v>4685</v>
      </c>
      <c r="E1675" s="10" t="s">
        <v>4683</v>
      </c>
      <c r="F1675" s="10" t="s">
        <v>4683</v>
      </c>
      <c r="G1675" s="10" t="s">
        <v>4683</v>
      </c>
      <c r="H1675" s="14">
        <v>1</v>
      </c>
      <c r="I1675" s="10" t="s">
        <v>4683</v>
      </c>
      <c r="J1675" s="10" t="str">
        <f t="shared" si="7"/>
        <v>normalweight</v>
      </c>
      <c r="L1675" s="30" t="e">
        <v>#N/A</v>
      </c>
    </row>
    <row r="1676" spans="1:12" ht="15.75" customHeight="1" x14ac:dyDescent="0.3">
      <c r="A1676" s="10" t="s">
        <v>1326</v>
      </c>
      <c r="B1676" s="10">
        <v>41.8</v>
      </c>
      <c r="C1676" s="10">
        <v>5.82</v>
      </c>
      <c r="D1676" s="10" t="s">
        <v>4685</v>
      </c>
      <c r="E1676" s="10" t="s">
        <v>4684</v>
      </c>
      <c r="F1676" s="10" t="s">
        <v>4683</v>
      </c>
      <c r="G1676" s="10" t="s">
        <v>4686</v>
      </c>
      <c r="H1676" s="14">
        <v>1</v>
      </c>
      <c r="I1676" s="10" t="s">
        <v>4683</v>
      </c>
      <c r="J1676" s="10" t="str">
        <f t="shared" si="7"/>
        <v>normalweight</v>
      </c>
      <c r="L1676" s="30" t="e">
        <v>#N/A</v>
      </c>
    </row>
    <row r="1677" spans="1:12" ht="15.75" customHeight="1" x14ac:dyDescent="0.3">
      <c r="A1677" s="10" t="s">
        <v>1324</v>
      </c>
      <c r="B1677" s="10">
        <v>19.170000000000002</v>
      </c>
      <c r="C1677" s="10">
        <v>7.94</v>
      </c>
      <c r="D1677" s="16" t="s">
        <v>4682</v>
      </c>
      <c r="E1677" s="10" t="s">
        <v>4683</v>
      </c>
      <c r="F1677" s="10" t="s">
        <v>4683</v>
      </c>
      <c r="G1677" s="10" t="s">
        <v>4683</v>
      </c>
      <c r="H1677" s="14">
        <v>0</v>
      </c>
      <c r="I1677" s="10" t="s">
        <v>4683</v>
      </c>
      <c r="J1677" s="10" t="str">
        <f t="shared" si="7"/>
        <v>normalweight</v>
      </c>
      <c r="L1677" s="30" t="e">
        <v>#N/A</v>
      </c>
    </row>
    <row r="1678" spans="1:12" ht="15.75" customHeight="1" x14ac:dyDescent="0.3">
      <c r="A1678" s="10" t="s">
        <v>1322</v>
      </c>
      <c r="B1678" s="10">
        <v>32.799999999999997</v>
      </c>
      <c r="C1678" s="10">
        <v>6.16</v>
      </c>
      <c r="D1678" s="10" t="s">
        <v>4685</v>
      </c>
      <c r="E1678" s="10" t="s">
        <v>4684</v>
      </c>
      <c r="F1678" s="10" t="s">
        <v>4683</v>
      </c>
      <c r="G1678" s="10" t="s">
        <v>4686</v>
      </c>
      <c r="H1678" s="14">
        <v>1</v>
      </c>
      <c r="I1678" s="10" t="s">
        <v>4683</v>
      </c>
      <c r="J1678" s="10" t="str">
        <f t="shared" si="7"/>
        <v>normalweight</v>
      </c>
      <c r="L1678" s="30" t="e">
        <v>#N/A</v>
      </c>
    </row>
    <row r="1679" spans="1:12" ht="15.75" customHeight="1" x14ac:dyDescent="0.3">
      <c r="A1679" s="10" t="s">
        <v>1320</v>
      </c>
      <c r="B1679" s="10">
        <v>35.814999999999998</v>
      </c>
      <c r="C1679" s="10">
        <v>4.1500000000000004</v>
      </c>
      <c r="D1679" s="10" t="s">
        <v>4685</v>
      </c>
      <c r="E1679" s="10" t="s">
        <v>4683</v>
      </c>
      <c r="F1679" s="10" t="s">
        <v>4683</v>
      </c>
      <c r="G1679" s="10" t="s">
        <v>4683</v>
      </c>
      <c r="H1679" s="14">
        <v>1</v>
      </c>
      <c r="I1679" s="10" t="s">
        <v>4683</v>
      </c>
      <c r="J1679" s="10" t="str">
        <f t="shared" si="7"/>
        <v>normalweight</v>
      </c>
      <c r="L1679" s="30" t="e">
        <v>#N/A</v>
      </c>
    </row>
    <row r="1680" spans="1:12" ht="15.75" customHeight="1" x14ac:dyDescent="0.3">
      <c r="A1680" s="10" t="s">
        <v>1318</v>
      </c>
      <c r="B1680" s="10">
        <v>24.3</v>
      </c>
      <c r="C1680" s="10">
        <v>6.23</v>
      </c>
      <c r="D1680" s="10" t="s">
        <v>4685</v>
      </c>
      <c r="E1680" s="10" t="s">
        <v>4683</v>
      </c>
      <c r="F1680" s="10" t="s">
        <v>4683</v>
      </c>
      <c r="G1680" s="10" t="s">
        <v>4683</v>
      </c>
      <c r="H1680" s="14">
        <v>0</v>
      </c>
      <c r="I1680" s="10" t="s">
        <v>4683</v>
      </c>
      <c r="J1680" s="10" t="str">
        <f t="shared" si="7"/>
        <v>normalweight</v>
      </c>
      <c r="L1680" s="30" t="e">
        <v>#N/A</v>
      </c>
    </row>
    <row r="1681" spans="1:12" ht="15.75" customHeight="1" x14ac:dyDescent="0.3">
      <c r="A1681" s="10" t="s">
        <v>1316</v>
      </c>
      <c r="B1681" s="10">
        <v>19.059999999999999</v>
      </c>
      <c r="C1681" s="10">
        <v>7.41</v>
      </c>
      <c r="D1681" s="16" t="s">
        <v>4682</v>
      </c>
      <c r="E1681" s="10" t="s">
        <v>4683</v>
      </c>
      <c r="F1681" s="10" t="s">
        <v>4683</v>
      </c>
      <c r="G1681" s="10" t="s">
        <v>4683</v>
      </c>
      <c r="H1681" s="14">
        <v>0</v>
      </c>
      <c r="I1681" s="10" t="s">
        <v>4683</v>
      </c>
      <c r="J1681" s="10" t="str">
        <f t="shared" si="7"/>
        <v>normalweight</v>
      </c>
      <c r="L1681" s="30" t="e">
        <v>#N/A</v>
      </c>
    </row>
    <row r="1682" spans="1:12" ht="15.75" customHeight="1" x14ac:dyDescent="0.3">
      <c r="A1682" s="10" t="s">
        <v>1314</v>
      </c>
      <c r="B1682" s="10">
        <v>33.25</v>
      </c>
      <c r="C1682" s="10">
        <v>5.62</v>
      </c>
      <c r="D1682" s="10" t="s">
        <v>4685</v>
      </c>
      <c r="E1682" s="10" t="s">
        <v>4684</v>
      </c>
      <c r="F1682" s="10" t="s">
        <v>4683</v>
      </c>
      <c r="G1682" s="10" t="s">
        <v>4683</v>
      </c>
      <c r="H1682" s="14">
        <v>1</v>
      </c>
      <c r="I1682" s="10" t="s">
        <v>4683</v>
      </c>
      <c r="J1682" s="10" t="str">
        <f t="shared" si="7"/>
        <v>normalweight</v>
      </c>
      <c r="L1682" s="30" t="e">
        <v>#N/A</v>
      </c>
    </row>
    <row r="1683" spans="1:12" ht="15.75" customHeight="1" x14ac:dyDescent="0.3">
      <c r="A1683" s="10" t="s">
        <v>1312</v>
      </c>
      <c r="B1683" s="10">
        <v>21.37</v>
      </c>
      <c r="C1683" s="10">
        <v>4.54</v>
      </c>
      <c r="D1683" s="10" t="s">
        <v>4685</v>
      </c>
      <c r="E1683" s="10" t="s">
        <v>4684</v>
      </c>
      <c r="F1683" s="10" t="s">
        <v>4683</v>
      </c>
      <c r="G1683" s="10" t="s">
        <v>4686</v>
      </c>
      <c r="H1683" s="14">
        <v>1</v>
      </c>
      <c r="I1683" s="10" t="s">
        <v>4683</v>
      </c>
      <c r="J1683" s="10" t="str">
        <f t="shared" si="7"/>
        <v>normalweight</v>
      </c>
      <c r="L1683" s="30" t="e">
        <v>#N/A</v>
      </c>
    </row>
    <row r="1684" spans="1:12" ht="15.75" customHeight="1" x14ac:dyDescent="0.3">
      <c r="A1684" s="10" t="s">
        <v>1310</v>
      </c>
      <c r="B1684" s="10">
        <v>34.43</v>
      </c>
      <c r="C1684" s="10">
        <v>8.6199999999999992</v>
      </c>
      <c r="D1684" s="16" t="s">
        <v>4682</v>
      </c>
      <c r="E1684" s="10" t="s">
        <v>4684</v>
      </c>
      <c r="F1684" s="10" t="s">
        <v>4683</v>
      </c>
      <c r="G1684" s="10" t="s">
        <v>4683</v>
      </c>
      <c r="H1684" s="14">
        <v>1</v>
      </c>
      <c r="I1684" s="10" t="s">
        <v>4683</v>
      </c>
      <c r="J1684" s="10" t="str">
        <f t="shared" si="7"/>
        <v>normalweight</v>
      </c>
      <c r="L1684" s="30" t="e">
        <v>#N/A</v>
      </c>
    </row>
    <row r="1685" spans="1:12" ht="15.75" customHeight="1" x14ac:dyDescent="0.3">
      <c r="A1685" s="10" t="s">
        <v>1308</v>
      </c>
      <c r="B1685" s="10">
        <v>20.86</v>
      </c>
      <c r="C1685" s="10">
        <v>4.3600000000000003</v>
      </c>
      <c r="D1685" s="10" t="s">
        <v>4685</v>
      </c>
      <c r="E1685" s="10" t="s">
        <v>4684</v>
      </c>
      <c r="F1685" s="10" t="s">
        <v>4683</v>
      </c>
      <c r="G1685" s="10" t="s">
        <v>4683</v>
      </c>
      <c r="H1685" s="14">
        <v>0</v>
      </c>
      <c r="I1685" s="10" t="s">
        <v>4683</v>
      </c>
      <c r="J1685" s="10" t="str">
        <f t="shared" si="7"/>
        <v>normalweight</v>
      </c>
      <c r="L1685" s="30" t="e">
        <v>#N/A</v>
      </c>
    </row>
    <row r="1686" spans="1:12" ht="15.75" customHeight="1" x14ac:dyDescent="0.3">
      <c r="A1686" s="10" t="s">
        <v>1306</v>
      </c>
      <c r="B1686" s="10">
        <v>18.34</v>
      </c>
      <c r="C1686" s="10">
        <v>10.01</v>
      </c>
      <c r="D1686" s="16" t="s">
        <v>4682</v>
      </c>
      <c r="E1686" s="10" t="s">
        <v>4683</v>
      </c>
      <c r="F1686" s="10" t="s">
        <v>4683</v>
      </c>
      <c r="G1686" s="10" t="s">
        <v>4683</v>
      </c>
      <c r="H1686" s="14">
        <v>0</v>
      </c>
      <c r="I1686" s="10" t="s">
        <v>4683</v>
      </c>
      <c r="J1686" s="10" t="str">
        <f t="shared" si="7"/>
        <v>underweight</v>
      </c>
      <c r="L1686" s="30" t="e">
        <v>#N/A</v>
      </c>
    </row>
    <row r="1687" spans="1:12" ht="15.75" customHeight="1" x14ac:dyDescent="0.3">
      <c r="A1687" s="10" t="s">
        <v>1304</v>
      </c>
      <c r="B1687" s="10">
        <v>34.15</v>
      </c>
      <c r="C1687" s="10">
        <v>5.42</v>
      </c>
      <c r="D1687" s="10" t="s">
        <v>4685</v>
      </c>
      <c r="E1687" s="10" t="s">
        <v>4683</v>
      </c>
      <c r="F1687" s="10" t="s">
        <v>4683</v>
      </c>
      <c r="G1687" s="10" t="s">
        <v>4683</v>
      </c>
      <c r="H1687" s="14">
        <v>0</v>
      </c>
      <c r="I1687" s="10" t="s">
        <v>4683</v>
      </c>
      <c r="J1687" s="10" t="str">
        <f t="shared" si="7"/>
        <v>normalweight</v>
      </c>
      <c r="L1687" s="30" t="e">
        <v>#N/A</v>
      </c>
    </row>
    <row r="1688" spans="1:12" ht="15.75" customHeight="1" x14ac:dyDescent="0.3">
      <c r="A1688" s="10" t="s">
        <v>1302</v>
      </c>
      <c r="B1688" s="10">
        <v>18.350000000000001</v>
      </c>
      <c r="C1688" s="10">
        <v>5.12</v>
      </c>
      <c r="D1688" s="10" t="s">
        <v>4685</v>
      </c>
      <c r="E1688" s="10" t="s">
        <v>4683</v>
      </c>
      <c r="F1688" s="10" t="s">
        <v>4683</v>
      </c>
      <c r="G1688" s="10" t="s">
        <v>4683</v>
      </c>
      <c r="H1688" s="14">
        <v>0</v>
      </c>
      <c r="I1688" s="10" t="s">
        <v>4683</v>
      </c>
      <c r="J1688" s="10" t="str">
        <f t="shared" si="7"/>
        <v>underweight</v>
      </c>
      <c r="L1688" s="30" t="e">
        <v>#N/A</v>
      </c>
    </row>
    <row r="1689" spans="1:12" ht="15.75" customHeight="1" x14ac:dyDescent="0.3">
      <c r="A1689" s="10" t="s">
        <v>1300</v>
      </c>
      <c r="B1689" s="10">
        <v>22.13</v>
      </c>
      <c r="C1689" s="10">
        <v>9.1999999999999993</v>
      </c>
      <c r="D1689" s="16" t="s">
        <v>4682</v>
      </c>
      <c r="E1689" s="10" t="s">
        <v>4684</v>
      </c>
      <c r="F1689" s="10" t="s">
        <v>4683</v>
      </c>
      <c r="G1689" s="10" t="s">
        <v>4683</v>
      </c>
      <c r="H1689" s="14">
        <v>0</v>
      </c>
      <c r="I1689" s="10" t="s">
        <v>4683</v>
      </c>
      <c r="J1689" s="10" t="str">
        <f t="shared" si="7"/>
        <v>normalweight</v>
      </c>
      <c r="L1689" s="30" t="e">
        <v>#N/A</v>
      </c>
    </row>
    <row r="1690" spans="1:12" ht="15.75" customHeight="1" x14ac:dyDescent="0.3">
      <c r="A1690" s="10" t="s">
        <v>1298</v>
      </c>
      <c r="B1690" s="10">
        <v>22.51</v>
      </c>
      <c r="C1690" s="10">
        <v>6.08</v>
      </c>
      <c r="D1690" s="10" t="s">
        <v>4685</v>
      </c>
      <c r="E1690" s="10" t="s">
        <v>4684</v>
      </c>
      <c r="F1690" s="10" t="s">
        <v>4683</v>
      </c>
      <c r="G1690" s="10" t="s">
        <v>4683</v>
      </c>
      <c r="H1690" s="14">
        <v>1</v>
      </c>
      <c r="I1690" s="10" t="s">
        <v>4683</v>
      </c>
      <c r="J1690" s="10" t="str">
        <f t="shared" si="7"/>
        <v>normalweight</v>
      </c>
      <c r="L1690" s="30" t="e">
        <v>#N/A</v>
      </c>
    </row>
    <row r="1691" spans="1:12" ht="15.75" customHeight="1" x14ac:dyDescent="0.3">
      <c r="A1691" s="10" t="s">
        <v>1296</v>
      </c>
      <c r="B1691" s="10">
        <v>31</v>
      </c>
      <c r="C1691" s="10">
        <v>4.7699999999999996</v>
      </c>
      <c r="D1691" s="10" t="s">
        <v>4685</v>
      </c>
      <c r="E1691" s="10" t="s">
        <v>4683</v>
      </c>
      <c r="F1691" s="10" t="s">
        <v>4683</v>
      </c>
      <c r="G1691" s="10" t="s">
        <v>4683</v>
      </c>
      <c r="H1691" s="14">
        <v>1</v>
      </c>
      <c r="I1691" s="10" t="s">
        <v>4683</v>
      </c>
      <c r="J1691" s="10" t="str">
        <f t="shared" si="7"/>
        <v>normalweight</v>
      </c>
      <c r="L1691" s="30" t="e">
        <v>#N/A</v>
      </c>
    </row>
    <row r="1692" spans="1:12" ht="15.75" customHeight="1" x14ac:dyDescent="0.3">
      <c r="A1692" s="10" t="s">
        <v>1294</v>
      </c>
      <c r="B1692" s="10">
        <v>28.27</v>
      </c>
      <c r="C1692" s="10">
        <v>4.62</v>
      </c>
      <c r="D1692" s="10" t="s">
        <v>4685</v>
      </c>
      <c r="E1692" s="10" t="s">
        <v>4683</v>
      </c>
      <c r="F1692" s="10" t="s">
        <v>4683</v>
      </c>
      <c r="G1692" s="10" t="s">
        <v>4683</v>
      </c>
      <c r="H1692" s="14">
        <v>1</v>
      </c>
      <c r="I1692" s="10" t="s">
        <v>4683</v>
      </c>
      <c r="J1692" s="10" t="str">
        <f t="shared" si="7"/>
        <v>normalweight</v>
      </c>
      <c r="L1692" s="30" t="e">
        <v>#N/A</v>
      </c>
    </row>
    <row r="1693" spans="1:12" ht="15.75" customHeight="1" x14ac:dyDescent="0.3">
      <c r="A1693" s="10" t="s">
        <v>1292</v>
      </c>
      <c r="B1693" s="10">
        <v>29.92</v>
      </c>
      <c r="C1693" s="10">
        <v>9.07</v>
      </c>
      <c r="D1693" s="16" t="s">
        <v>4682</v>
      </c>
      <c r="E1693" s="10" t="s">
        <v>4684</v>
      </c>
      <c r="F1693" s="10" t="s">
        <v>4683</v>
      </c>
      <c r="G1693" s="10" t="s">
        <v>4683</v>
      </c>
      <c r="H1693" s="14">
        <v>1</v>
      </c>
      <c r="I1693" s="10" t="s">
        <v>4683</v>
      </c>
      <c r="J1693" s="10" t="str">
        <f t="shared" si="7"/>
        <v>normalweight</v>
      </c>
      <c r="L1693" s="30" t="e">
        <v>#N/A</v>
      </c>
    </row>
    <row r="1694" spans="1:12" ht="15.75" customHeight="1" x14ac:dyDescent="0.3">
      <c r="A1694" s="10" t="s">
        <v>1290</v>
      </c>
      <c r="B1694" s="10">
        <v>25.9</v>
      </c>
      <c r="C1694" s="10">
        <v>9.1199999999999992</v>
      </c>
      <c r="D1694" s="16" t="s">
        <v>4682</v>
      </c>
      <c r="E1694" s="10" t="s">
        <v>4684</v>
      </c>
      <c r="F1694" s="10" t="s">
        <v>4683</v>
      </c>
      <c r="G1694" s="10" t="s">
        <v>4683</v>
      </c>
      <c r="H1694" s="14">
        <v>1</v>
      </c>
      <c r="I1694" s="10" t="s">
        <v>4683</v>
      </c>
      <c r="J1694" s="10" t="str">
        <f t="shared" si="7"/>
        <v>normalweight</v>
      </c>
      <c r="L1694" s="30" t="e">
        <v>#N/A</v>
      </c>
    </row>
    <row r="1695" spans="1:12" ht="15.75" customHeight="1" x14ac:dyDescent="0.3">
      <c r="A1695" s="10" t="s">
        <v>1288</v>
      </c>
      <c r="B1695" s="10">
        <v>27.74</v>
      </c>
      <c r="C1695" s="10">
        <v>7.32</v>
      </c>
      <c r="D1695" s="16" t="s">
        <v>4682</v>
      </c>
      <c r="E1695" s="10" t="s">
        <v>4684</v>
      </c>
      <c r="F1695" s="10" t="s">
        <v>4683</v>
      </c>
      <c r="G1695" s="10" t="s">
        <v>4683</v>
      </c>
      <c r="H1695" s="14">
        <v>1</v>
      </c>
      <c r="I1695" s="10" t="s">
        <v>4683</v>
      </c>
      <c r="J1695" s="10" t="str">
        <f t="shared" si="7"/>
        <v>normalweight</v>
      </c>
      <c r="L1695" s="30" t="e">
        <v>#N/A</v>
      </c>
    </row>
    <row r="1696" spans="1:12" ht="15.75" customHeight="1" x14ac:dyDescent="0.3">
      <c r="A1696" s="10" t="s">
        <v>1286</v>
      </c>
      <c r="B1696" s="10">
        <v>17.260000000000002</v>
      </c>
      <c r="C1696" s="10">
        <v>11.73</v>
      </c>
      <c r="D1696" s="16" t="s">
        <v>4682</v>
      </c>
      <c r="E1696" s="10" t="s">
        <v>4683</v>
      </c>
      <c r="F1696" s="10" t="s">
        <v>4683</v>
      </c>
      <c r="G1696" s="10" t="s">
        <v>4683</v>
      </c>
      <c r="H1696" s="14">
        <v>2</v>
      </c>
      <c r="I1696" s="10" t="s">
        <v>4683</v>
      </c>
      <c r="J1696" s="10" t="str">
        <f t="shared" si="7"/>
        <v>underweight</v>
      </c>
      <c r="L1696" s="30" t="e">
        <v>#N/A</v>
      </c>
    </row>
    <row r="1697" spans="1:12" ht="15.75" customHeight="1" x14ac:dyDescent="0.3">
      <c r="A1697" s="10" t="s">
        <v>1284</v>
      </c>
      <c r="B1697" s="10">
        <v>19.855</v>
      </c>
      <c r="C1697" s="10">
        <v>6.64</v>
      </c>
      <c r="D1697" s="16" t="s">
        <v>4682</v>
      </c>
      <c r="E1697" s="10" t="s">
        <v>4684</v>
      </c>
      <c r="F1697" s="10" t="s">
        <v>4683</v>
      </c>
      <c r="G1697" s="10" t="s">
        <v>4683</v>
      </c>
      <c r="H1697" s="14">
        <v>1</v>
      </c>
      <c r="I1697" s="10" t="s">
        <v>4683</v>
      </c>
      <c r="J1697" s="10" t="str">
        <f t="shared" si="7"/>
        <v>normalweight</v>
      </c>
      <c r="L1697" s="30" t="e">
        <v>#N/A</v>
      </c>
    </row>
    <row r="1698" spans="1:12" ht="15.75" customHeight="1" x14ac:dyDescent="0.3">
      <c r="A1698" s="10" t="s">
        <v>1282</v>
      </c>
      <c r="B1698" s="10">
        <v>41.69</v>
      </c>
      <c r="C1698" s="10">
        <v>5.78</v>
      </c>
      <c r="D1698" s="10" t="s">
        <v>4685</v>
      </c>
      <c r="E1698" s="10" t="s">
        <v>4683</v>
      </c>
      <c r="F1698" s="10" t="s">
        <v>4683</v>
      </c>
      <c r="G1698" s="10" t="s">
        <v>4683</v>
      </c>
      <c r="H1698" s="14">
        <v>0</v>
      </c>
      <c r="I1698" s="10" t="s">
        <v>4683</v>
      </c>
      <c r="J1698" s="10" t="str">
        <f t="shared" si="7"/>
        <v>normalweight</v>
      </c>
      <c r="L1698" s="30" t="e">
        <v>#N/A</v>
      </c>
    </row>
    <row r="1699" spans="1:12" ht="15.75" customHeight="1" x14ac:dyDescent="0.3">
      <c r="A1699" s="10" t="s">
        <v>1280</v>
      </c>
      <c r="B1699" s="10">
        <v>16.12</v>
      </c>
      <c r="C1699" s="10">
        <v>10.45</v>
      </c>
      <c r="D1699" s="16" t="s">
        <v>4682</v>
      </c>
      <c r="E1699" s="10" t="s">
        <v>4683</v>
      </c>
      <c r="F1699" s="10" t="s">
        <v>4683</v>
      </c>
      <c r="G1699" s="10" t="s">
        <v>4683</v>
      </c>
      <c r="H1699" s="14">
        <v>0</v>
      </c>
      <c r="I1699" s="10" t="s">
        <v>4683</v>
      </c>
      <c r="J1699" s="10" t="str">
        <f t="shared" si="7"/>
        <v>underweight</v>
      </c>
      <c r="L1699" s="30" t="e">
        <v>#N/A</v>
      </c>
    </row>
    <row r="1700" spans="1:12" ht="15.75" customHeight="1" x14ac:dyDescent="0.3">
      <c r="A1700" s="10" t="s">
        <v>1278</v>
      </c>
      <c r="B1700" s="10">
        <v>37.43</v>
      </c>
      <c r="C1700" s="10">
        <v>4.5199999999999996</v>
      </c>
      <c r="D1700" s="10" t="s">
        <v>4685</v>
      </c>
      <c r="E1700" s="10" t="s">
        <v>4683</v>
      </c>
      <c r="F1700" s="10" t="s">
        <v>4683</v>
      </c>
      <c r="G1700" s="10" t="s">
        <v>4683</v>
      </c>
      <c r="H1700" s="14">
        <v>1</v>
      </c>
      <c r="I1700" s="10" t="s">
        <v>4683</v>
      </c>
      <c r="J1700" s="10" t="str">
        <f t="shared" si="7"/>
        <v>normalweight</v>
      </c>
      <c r="L1700" s="30" t="e">
        <v>#N/A</v>
      </c>
    </row>
    <row r="1701" spans="1:12" ht="15.75" customHeight="1" x14ac:dyDescent="0.3">
      <c r="A1701" s="10" t="s">
        <v>1276</v>
      </c>
      <c r="B1701" s="10">
        <v>31.065000000000001</v>
      </c>
      <c r="C1701" s="10">
        <v>5.71</v>
      </c>
      <c r="D1701" s="10" t="s">
        <v>4685</v>
      </c>
      <c r="E1701" s="10" t="s">
        <v>4683</v>
      </c>
      <c r="F1701" s="10" t="s">
        <v>4683</v>
      </c>
      <c r="G1701" s="10" t="s">
        <v>4683</v>
      </c>
      <c r="H1701" s="14">
        <v>0</v>
      </c>
      <c r="I1701" s="10" t="s">
        <v>4683</v>
      </c>
      <c r="J1701" s="10" t="str">
        <f t="shared" si="7"/>
        <v>normalweight</v>
      </c>
      <c r="L1701" s="30" t="e">
        <v>#N/A</v>
      </c>
    </row>
    <row r="1702" spans="1:12" ht="15.75" customHeight="1" x14ac:dyDescent="0.3">
      <c r="A1702" s="10" t="s">
        <v>1274</v>
      </c>
      <c r="B1702" s="10">
        <v>25.08</v>
      </c>
      <c r="C1702" s="10">
        <v>4.7699999999999996</v>
      </c>
      <c r="D1702" s="10" t="s">
        <v>4685</v>
      </c>
      <c r="E1702" s="10" t="s">
        <v>4683</v>
      </c>
      <c r="F1702" s="10" t="s">
        <v>4683</v>
      </c>
      <c r="G1702" s="10" t="s">
        <v>4683</v>
      </c>
      <c r="H1702" s="14">
        <v>0</v>
      </c>
      <c r="I1702" s="10" t="s">
        <v>4683</v>
      </c>
      <c r="J1702" s="10" t="str">
        <f t="shared" si="7"/>
        <v>normalweight</v>
      </c>
      <c r="L1702" s="30" t="e">
        <v>#N/A</v>
      </c>
    </row>
    <row r="1703" spans="1:12" ht="15.75" customHeight="1" x14ac:dyDescent="0.3">
      <c r="A1703" s="10" t="s">
        <v>1272</v>
      </c>
      <c r="B1703" s="10">
        <v>15.2</v>
      </c>
      <c r="C1703" s="10">
        <v>7.81</v>
      </c>
      <c r="D1703" s="16" t="s">
        <v>4682</v>
      </c>
      <c r="E1703" s="10" t="s">
        <v>4684</v>
      </c>
      <c r="F1703" s="10" t="s">
        <v>4683</v>
      </c>
      <c r="G1703" s="10" t="s">
        <v>4683</v>
      </c>
      <c r="H1703" s="14">
        <v>1</v>
      </c>
      <c r="I1703" s="10" t="s">
        <v>4683</v>
      </c>
      <c r="J1703" s="10" t="str">
        <f t="shared" si="7"/>
        <v>underweight</v>
      </c>
      <c r="L1703" s="30" t="e">
        <v>#N/A</v>
      </c>
    </row>
    <row r="1704" spans="1:12" ht="15.75" customHeight="1" x14ac:dyDescent="0.3">
      <c r="A1704" s="10" t="s">
        <v>1270</v>
      </c>
      <c r="B1704" s="10">
        <v>22.34</v>
      </c>
      <c r="C1704" s="10">
        <v>5.19</v>
      </c>
      <c r="D1704" s="10" t="s">
        <v>4685</v>
      </c>
      <c r="E1704" s="10" t="s">
        <v>4684</v>
      </c>
      <c r="F1704" s="10" t="s">
        <v>4683</v>
      </c>
      <c r="G1704" s="10" t="s">
        <v>4683</v>
      </c>
      <c r="H1704" s="14">
        <v>0</v>
      </c>
      <c r="I1704" s="10" t="s">
        <v>4683</v>
      </c>
      <c r="J1704" s="10" t="str">
        <f t="shared" si="7"/>
        <v>normalweight</v>
      </c>
      <c r="L1704" s="30" t="e">
        <v>#N/A</v>
      </c>
    </row>
    <row r="1705" spans="1:12" ht="15.75" customHeight="1" x14ac:dyDescent="0.3">
      <c r="A1705" s="10" t="s">
        <v>1268</v>
      </c>
      <c r="B1705" s="10">
        <v>40.15</v>
      </c>
      <c r="C1705" s="10">
        <v>5.93</v>
      </c>
      <c r="D1705" s="10" t="s">
        <v>4685</v>
      </c>
      <c r="E1705" s="10" t="s">
        <v>4683</v>
      </c>
      <c r="F1705" s="10" t="s">
        <v>4683</v>
      </c>
      <c r="G1705" s="10" t="s">
        <v>4683</v>
      </c>
      <c r="H1705" s="14">
        <v>1</v>
      </c>
      <c r="I1705" s="10" t="s">
        <v>4683</v>
      </c>
      <c r="J1705" s="10" t="str">
        <f t="shared" si="7"/>
        <v>normalweight</v>
      </c>
      <c r="L1705" s="30" t="e">
        <v>#N/A</v>
      </c>
    </row>
    <row r="1706" spans="1:12" ht="15.75" customHeight="1" x14ac:dyDescent="0.3">
      <c r="A1706" s="10" t="s">
        <v>1266</v>
      </c>
      <c r="B1706" s="10">
        <v>37.729999999999997</v>
      </c>
      <c r="C1706" s="10">
        <v>6.29</v>
      </c>
      <c r="D1706" s="10" t="s">
        <v>4685</v>
      </c>
      <c r="E1706" s="10" t="s">
        <v>4683</v>
      </c>
      <c r="F1706" s="10" t="s">
        <v>4683</v>
      </c>
      <c r="G1706" s="10" t="s">
        <v>4683</v>
      </c>
      <c r="H1706" s="14">
        <v>1</v>
      </c>
      <c r="I1706" s="10" t="s">
        <v>4683</v>
      </c>
      <c r="J1706" s="10" t="str">
        <f t="shared" si="7"/>
        <v>normalweight</v>
      </c>
      <c r="L1706" s="30" t="e">
        <v>#N/A</v>
      </c>
    </row>
    <row r="1707" spans="1:12" ht="15.75" customHeight="1" x14ac:dyDescent="0.3">
      <c r="A1707" s="10" t="s">
        <v>1264</v>
      </c>
      <c r="B1707" s="10">
        <v>25.35</v>
      </c>
      <c r="C1707" s="10">
        <v>4.9000000000000004</v>
      </c>
      <c r="D1707" s="10" t="s">
        <v>4685</v>
      </c>
      <c r="E1707" s="10" t="s">
        <v>4683</v>
      </c>
      <c r="F1707" s="10" t="s">
        <v>4683</v>
      </c>
      <c r="G1707" s="10" t="s">
        <v>4683</v>
      </c>
      <c r="H1707" s="14">
        <v>0</v>
      </c>
      <c r="I1707" s="10" t="s">
        <v>4683</v>
      </c>
      <c r="J1707" s="10" t="str">
        <f t="shared" si="7"/>
        <v>normalweight</v>
      </c>
      <c r="L1707" s="30" t="e">
        <v>#N/A</v>
      </c>
    </row>
    <row r="1708" spans="1:12" ht="15.75" customHeight="1" x14ac:dyDescent="0.3">
      <c r="A1708" s="10" t="s">
        <v>1262</v>
      </c>
      <c r="B1708" s="10">
        <v>26.41</v>
      </c>
      <c r="C1708" s="10">
        <v>5.07</v>
      </c>
      <c r="D1708" s="10" t="s">
        <v>4685</v>
      </c>
      <c r="E1708" s="10" t="s">
        <v>4684</v>
      </c>
      <c r="F1708" s="10" t="s">
        <v>4683</v>
      </c>
      <c r="G1708" s="10" t="s">
        <v>4683</v>
      </c>
      <c r="H1708" s="14">
        <v>1</v>
      </c>
      <c r="I1708" s="10" t="s">
        <v>4683</v>
      </c>
      <c r="J1708" s="10" t="str">
        <f t="shared" si="7"/>
        <v>normalweight</v>
      </c>
      <c r="L1708" s="30" t="e">
        <v>#N/A</v>
      </c>
    </row>
    <row r="1709" spans="1:12" ht="15.75" customHeight="1" x14ac:dyDescent="0.3">
      <c r="A1709" s="10" t="s">
        <v>1260</v>
      </c>
      <c r="B1709" s="10">
        <v>27.6</v>
      </c>
      <c r="C1709" s="10">
        <v>5.33</v>
      </c>
      <c r="D1709" s="10" t="s">
        <v>4685</v>
      </c>
      <c r="E1709" s="10" t="s">
        <v>4683</v>
      </c>
      <c r="F1709" s="10" t="s">
        <v>4683</v>
      </c>
      <c r="G1709" s="10" t="s">
        <v>4683</v>
      </c>
      <c r="H1709" s="14">
        <v>1</v>
      </c>
      <c r="I1709" s="10" t="s">
        <v>4683</v>
      </c>
      <c r="J1709" s="10" t="str">
        <f t="shared" si="7"/>
        <v>normalweight</v>
      </c>
      <c r="L1709" s="30" t="e">
        <v>#N/A</v>
      </c>
    </row>
    <row r="1710" spans="1:12" ht="15.75" customHeight="1" x14ac:dyDescent="0.3">
      <c r="A1710" s="10" t="s">
        <v>1258</v>
      </c>
      <c r="B1710" s="10">
        <v>33.82</v>
      </c>
      <c r="C1710" s="10">
        <v>8.93</v>
      </c>
      <c r="D1710" s="16" t="s">
        <v>4682</v>
      </c>
      <c r="E1710" s="10" t="s">
        <v>4684</v>
      </c>
      <c r="F1710" s="10" t="s">
        <v>4683</v>
      </c>
      <c r="G1710" s="10" t="s">
        <v>4683</v>
      </c>
      <c r="H1710" s="14">
        <v>1</v>
      </c>
      <c r="I1710" s="10" t="s">
        <v>4683</v>
      </c>
      <c r="J1710" s="10" t="str">
        <f t="shared" si="7"/>
        <v>normalweight</v>
      </c>
      <c r="L1710" s="30" t="e">
        <v>#N/A</v>
      </c>
    </row>
    <row r="1711" spans="1:12" ht="15.75" customHeight="1" x14ac:dyDescent="0.3">
      <c r="A1711" s="10" t="s">
        <v>1256</v>
      </c>
      <c r="B1711" s="10">
        <v>32.9</v>
      </c>
      <c r="C1711" s="10">
        <v>4.3499999999999996</v>
      </c>
      <c r="D1711" s="10" t="s">
        <v>4685</v>
      </c>
      <c r="E1711" s="10" t="s">
        <v>4683</v>
      </c>
      <c r="F1711" s="10" t="s">
        <v>4683</v>
      </c>
      <c r="G1711" s="10" t="s">
        <v>4683</v>
      </c>
      <c r="H1711" s="14">
        <v>0</v>
      </c>
      <c r="I1711" s="10" t="s">
        <v>4683</v>
      </c>
      <c r="J1711" s="10" t="str">
        <f t="shared" si="7"/>
        <v>normalweight</v>
      </c>
      <c r="L1711" s="30" t="e">
        <v>#N/A</v>
      </c>
    </row>
    <row r="1712" spans="1:12" ht="15.75" customHeight="1" x14ac:dyDescent="0.3">
      <c r="A1712" s="10" t="s">
        <v>1254</v>
      </c>
      <c r="B1712" s="10">
        <v>30.875</v>
      </c>
      <c r="C1712" s="10">
        <v>9.5399999999999991</v>
      </c>
      <c r="D1712" s="16" t="s">
        <v>4682</v>
      </c>
      <c r="E1712" s="10" t="s">
        <v>4684</v>
      </c>
      <c r="F1712" s="10" t="s">
        <v>4683</v>
      </c>
      <c r="G1712" s="10" t="s">
        <v>4683</v>
      </c>
      <c r="H1712" s="14">
        <v>1</v>
      </c>
      <c r="I1712" s="10" t="s">
        <v>4683</v>
      </c>
      <c r="J1712" s="10" t="str">
        <f t="shared" si="7"/>
        <v>normalweight</v>
      </c>
      <c r="L1712" s="30" t="e">
        <v>#N/A</v>
      </c>
    </row>
    <row r="1713" spans="1:12" ht="15.75" customHeight="1" x14ac:dyDescent="0.3">
      <c r="A1713" s="10" t="s">
        <v>1252</v>
      </c>
      <c r="B1713" s="10">
        <v>32.64</v>
      </c>
      <c r="C1713" s="10">
        <v>5.91</v>
      </c>
      <c r="D1713" s="10" t="s">
        <v>4685</v>
      </c>
      <c r="E1713" s="10" t="s">
        <v>4683</v>
      </c>
      <c r="F1713" s="10" t="s">
        <v>4683</v>
      </c>
      <c r="G1713" s="10" t="s">
        <v>4683</v>
      </c>
      <c r="H1713" s="14">
        <v>0</v>
      </c>
      <c r="I1713" s="10" t="s">
        <v>4683</v>
      </c>
      <c r="J1713" s="10" t="str">
        <f t="shared" si="7"/>
        <v>normalweight</v>
      </c>
      <c r="L1713" s="30" t="e">
        <v>#N/A</v>
      </c>
    </row>
    <row r="1714" spans="1:12" ht="15.75" customHeight="1" x14ac:dyDescent="0.3">
      <c r="A1714" s="10" t="s">
        <v>1250</v>
      </c>
      <c r="B1714" s="10">
        <v>22.135000000000002</v>
      </c>
      <c r="C1714" s="10">
        <v>5.0999999999999996</v>
      </c>
      <c r="D1714" s="10" t="s">
        <v>4685</v>
      </c>
      <c r="E1714" s="10" t="s">
        <v>4683</v>
      </c>
      <c r="F1714" s="10" t="s">
        <v>4683</v>
      </c>
      <c r="G1714" s="10" t="s">
        <v>4683</v>
      </c>
      <c r="H1714" s="14">
        <v>0</v>
      </c>
      <c r="I1714" s="10" t="s">
        <v>4683</v>
      </c>
      <c r="J1714" s="10" t="str">
        <f t="shared" si="7"/>
        <v>normalweight</v>
      </c>
      <c r="L1714" s="30" t="e">
        <v>#N/A</v>
      </c>
    </row>
    <row r="1715" spans="1:12" ht="15.75" customHeight="1" x14ac:dyDescent="0.3">
      <c r="A1715" s="10" t="s">
        <v>1248</v>
      </c>
      <c r="B1715" s="10">
        <v>16.53</v>
      </c>
      <c r="C1715" s="10">
        <v>5.08</v>
      </c>
      <c r="D1715" s="10" t="s">
        <v>4685</v>
      </c>
      <c r="E1715" s="10" t="s">
        <v>4683</v>
      </c>
      <c r="F1715" s="10" t="s">
        <v>4683</v>
      </c>
      <c r="G1715" s="10" t="s">
        <v>4683</v>
      </c>
      <c r="H1715" s="14">
        <v>2</v>
      </c>
      <c r="I1715" s="10" t="s">
        <v>4683</v>
      </c>
      <c r="J1715" s="10" t="str">
        <f t="shared" si="7"/>
        <v>underweight</v>
      </c>
      <c r="L1715" s="30" t="e">
        <v>#N/A</v>
      </c>
    </row>
    <row r="1716" spans="1:12" ht="15.75" customHeight="1" x14ac:dyDescent="0.3">
      <c r="A1716" s="10" t="s">
        <v>1246</v>
      </c>
      <c r="B1716" s="10">
        <v>32.774999999999999</v>
      </c>
      <c r="C1716" s="10">
        <v>4.75</v>
      </c>
      <c r="D1716" s="10" t="s">
        <v>4685</v>
      </c>
      <c r="E1716" s="10" t="s">
        <v>4683</v>
      </c>
      <c r="F1716" s="10" t="s">
        <v>4683</v>
      </c>
      <c r="G1716" s="10" t="s">
        <v>4683</v>
      </c>
      <c r="H1716" s="14">
        <v>0</v>
      </c>
      <c r="I1716" s="10" t="s">
        <v>4683</v>
      </c>
      <c r="J1716" s="10" t="str">
        <f t="shared" si="7"/>
        <v>normalweight</v>
      </c>
      <c r="L1716" s="30" t="e">
        <v>#N/A</v>
      </c>
    </row>
    <row r="1717" spans="1:12" ht="15.75" customHeight="1" x14ac:dyDescent="0.3">
      <c r="A1717" s="10" t="s">
        <v>1244</v>
      </c>
      <c r="B1717" s="10">
        <v>30.9</v>
      </c>
      <c r="C1717" s="10">
        <v>6.05</v>
      </c>
      <c r="D1717" s="10" t="s">
        <v>4685</v>
      </c>
      <c r="E1717" s="10" t="s">
        <v>4683</v>
      </c>
      <c r="F1717" s="10" t="s">
        <v>4683</v>
      </c>
      <c r="G1717" s="10" t="s">
        <v>4683</v>
      </c>
      <c r="H1717" s="14">
        <v>1</v>
      </c>
      <c r="I1717" s="10" t="s">
        <v>4683</v>
      </c>
      <c r="J1717" s="10" t="str">
        <f t="shared" si="7"/>
        <v>normalweight</v>
      </c>
      <c r="L1717" s="30" t="e">
        <v>#N/A</v>
      </c>
    </row>
    <row r="1718" spans="1:12" ht="15.75" customHeight="1" x14ac:dyDescent="0.3">
      <c r="A1718" s="10" t="s">
        <v>1242</v>
      </c>
      <c r="B1718" s="10">
        <v>15.58</v>
      </c>
      <c r="C1718" s="10">
        <v>11.56</v>
      </c>
      <c r="D1718" s="16" t="s">
        <v>4682</v>
      </c>
      <c r="E1718" s="10" t="s">
        <v>4683</v>
      </c>
      <c r="F1718" s="10" t="s">
        <v>4683</v>
      </c>
      <c r="G1718" s="10" t="s">
        <v>4683</v>
      </c>
      <c r="H1718" s="14">
        <v>0</v>
      </c>
      <c r="I1718" s="10" t="s">
        <v>4683</v>
      </c>
      <c r="J1718" s="10" t="str">
        <f t="shared" si="7"/>
        <v>underweight</v>
      </c>
      <c r="L1718" s="30" t="e">
        <v>#N/A</v>
      </c>
    </row>
    <row r="1719" spans="1:12" ht="15.75" customHeight="1" x14ac:dyDescent="0.3">
      <c r="A1719" s="10" t="s">
        <v>1240</v>
      </c>
      <c r="B1719" s="10">
        <v>26.315000000000001</v>
      </c>
      <c r="C1719" s="10">
        <v>5.76</v>
      </c>
      <c r="D1719" s="10" t="s">
        <v>4685</v>
      </c>
      <c r="E1719" s="10" t="s">
        <v>4683</v>
      </c>
      <c r="F1719" s="10" t="s">
        <v>4683</v>
      </c>
      <c r="G1719" s="10" t="s">
        <v>4683</v>
      </c>
      <c r="H1719" s="14">
        <v>0</v>
      </c>
      <c r="I1719" s="10" t="s">
        <v>4683</v>
      </c>
      <c r="J1719" s="10" t="str">
        <f t="shared" si="7"/>
        <v>normalweight</v>
      </c>
      <c r="L1719" s="30" t="e">
        <v>#N/A</v>
      </c>
    </row>
    <row r="1720" spans="1:12" ht="15.75" customHeight="1" x14ac:dyDescent="0.3">
      <c r="A1720" s="10" t="s">
        <v>1238</v>
      </c>
      <c r="B1720" s="10">
        <v>35.61</v>
      </c>
      <c r="C1720" s="10">
        <v>5.65</v>
      </c>
      <c r="D1720" s="10" t="s">
        <v>4685</v>
      </c>
      <c r="E1720" s="10" t="s">
        <v>4683</v>
      </c>
      <c r="F1720" s="10" t="s">
        <v>4684</v>
      </c>
      <c r="G1720" s="10" t="s">
        <v>4683</v>
      </c>
      <c r="H1720" s="14">
        <v>1</v>
      </c>
      <c r="I1720" s="10" t="s">
        <v>4683</v>
      </c>
      <c r="J1720" s="10" t="str">
        <f t="shared" si="7"/>
        <v>normalweight</v>
      </c>
      <c r="L1720" s="30" t="e">
        <v>#N/A</v>
      </c>
    </row>
    <row r="1721" spans="1:12" ht="15.75" customHeight="1" x14ac:dyDescent="0.3">
      <c r="A1721" s="10" t="s">
        <v>1236</v>
      </c>
      <c r="B1721" s="10">
        <v>37.56</v>
      </c>
      <c r="C1721" s="10">
        <v>5.88</v>
      </c>
      <c r="D1721" s="10" t="s">
        <v>4685</v>
      </c>
      <c r="E1721" s="10" t="s">
        <v>4683</v>
      </c>
      <c r="F1721" s="10" t="s">
        <v>4684</v>
      </c>
      <c r="G1721" s="10" t="s">
        <v>4683</v>
      </c>
      <c r="H1721" s="14">
        <v>1</v>
      </c>
      <c r="I1721" s="10" t="s">
        <v>4683</v>
      </c>
      <c r="J1721" s="10" t="str">
        <f t="shared" si="7"/>
        <v>normalweight</v>
      </c>
      <c r="L1721" s="30" t="e">
        <v>#N/A</v>
      </c>
    </row>
    <row r="1722" spans="1:12" ht="15.75" customHeight="1" x14ac:dyDescent="0.3">
      <c r="A1722" s="10" t="s">
        <v>1234</v>
      </c>
      <c r="B1722" s="10">
        <v>15.49</v>
      </c>
      <c r="C1722" s="10">
        <v>9.6</v>
      </c>
      <c r="D1722" s="16" t="s">
        <v>4682</v>
      </c>
      <c r="E1722" s="10" t="s">
        <v>4683</v>
      </c>
      <c r="F1722" s="10" t="s">
        <v>4683</v>
      </c>
      <c r="G1722" s="10" t="s">
        <v>4683</v>
      </c>
      <c r="H1722" s="14">
        <v>0</v>
      </c>
      <c r="I1722" s="10" t="s">
        <v>4683</v>
      </c>
      <c r="J1722" s="10" t="str">
        <f t="shared" si="7"/>
        <v>underweight</v>
      </c>
      <c r="L1722" s="30" t="e">
        <v>#N/A</v>
      </c>
    </row>
    <row r="1723" spans="1:12" ht="15.75" customHeight="1" x14ac:dyDescent="0.3">
      <c r="A1723" s="10" t="s">
        <v>1232</v>
      </c>
      <c r="B1723" s="10">
        <v>23.48</v>
      </c>
      <c r="C1723" s="10">
        <v>6.24</v>
      </c>
      <c r="D1723" s="10" t="s">
        <v>4685</v>
      </c>
      <c r="E1723" s="10" t="s">
        <v>4683</v>
      </c>
      <c r="F1723" s="10" t="s">
        <v>4683</v>
      </c>
      <c r="G1723" s="10" t="s">
        <v>4683</v>
      </c>
      <c r="H1723" s="14">
        <v>1</v>
      </c>
      <c r="I1723" s="10" t="s">
        <v>4683</v>
      </c>
      <c r="J1723" s="10" t="str">
        <f t="shared" si="7"/>
        <v>normalweight</v>
      </c>
      <c r="L1723" s="30" t="e">
        <v>#N/A</v>
      </c>
    </row>
    <row r="1724" spans="1:12" ht="15.75" customHeight="1" x14ac:dyDescent="0.3">
      <c r="A1724" s="10" t="s">
        <v>1230</v>
      </c>
      <c r="B1724" s="10">
        <v>30.02</v>
      </c>
      <c r="C1724" s="10">
        <v>7.63</v>
      </c>
      <c r="D1724" s="16" t="s">
        <v>4682</v>
      </c>
      <c r="E1724" s="10" t="s">
        <v>4684</v>
      </c>
      <c r="F1724" s="10" t="s">
        <v>4683</v>
      </c>
      <c r="G1724" s="10" t="s">
        <v>4683</v>
      </c>
      <c r="H1724" s="14">
        <v>1</v>
      </c>
      <c r="I1724" s="10" t="s">
        <v>4683</v>
      </c>
      <c r="J1724" s="10" t="str">
        <f t="shared" si="7"/>
        <v>normalweight</v>
      </c>
      <c r="L1724" s="30" t="e">
        <v>#N/A</v>
      </c>
    </row>
    <row r="1725" spans="1:12" ht="15.75" customHeight="1" x14ac:dyDescent="0.3">
      <c r="A1725" s="10" t="s">
        <v>1228</v>
      </c>
      <c r="B1725" s="10">
        <v>26.885000000000002</v>
      </c>
      <c r="C1725" s="10">
        <v>8.66</v>
      </c>
      <c r="D1725" s="16" t="s">
        <v>4682</v>
      </c>
      <c r="E1725" s="10" t="s">
        <v>4684</v>
      </c>
      <c r="F1725" s="10" t="s">
        <v>4683</v>
      </c>
      <c r="G1725" s="10" t="s">
        <v>4683</v>
      </c>
      <c r="H1725" s="14">
        <v>1</v>
      </c>
      <c r="I1725" s="10" t="s">
        <v>4683</v>
      </c>
      <c r="J1725" s="10" t="str">
        <f t="shared" si="7"/>
        <v>normalweight</v>
      </c>
      <c r="L1725" s="30" t="e">
        <v>#N/A</v>
      </c>
    </row>
    <row r="1726" spans="1:12" ht="15.75" customHeight="1" x14ac:dyDescent="0.3">
      <c r="A1726" s="10" t="s">
        <v>1226</v>
      </c>
      <c r="B1726" s="10">
        <v>25.84</v>
      </c>
      <c r="C1726" s="10">
        <v>8.5500000000000007</v>
      </c>
      <c r="D1726" s="16" t="s">
        <v>4682</v>
      </c>
      <c r="E1726" s="10" t="s">
        <v>4684</v>
      </c>
      <c r="F1726" s="10" t="s">
        <v>4683</v>
      </c>
      <c r="G1726" s="10" t="s">
        <v>4683</v>
      </c>
      <c r="H1726" s="14">
        <v>1</v>
      </c>
      <c r="I1726" s="10" t="s">
        <v>4683</v>
      </c>
      <c r="J1726" s="10" t="str">
        <f t="shared" si="7"/>
        <v>normalweight</v>
      </c>
      <c r="L1726" s="30" t="e">
        <v>#N/A</v>
      </c>
    </row>
    <row r="1727" spans="1:12" ht="15.75" customHeight="1" x14ac:dyDescent="0.3">
      <c r="A1727" s="10" t="s">
        <v>1224</v>
      </c>
      <c r="B1727" s="10">
        <v>27.454999999999998</v>
      </c>
      <c r="C1727" s="10">
        <v>4.54</v>
      </c>
      <c r="D1727" s="10" t="s">
        <v>4685</v>
      </c>
      <c r="E1727" s="10" t="s">
        <v>4683</v>
      </c>
      <c r="F1727" s="10" t="s">
        <v>4683</v>
      </c>
      <c r="G1727" s="10" t="s">
        <v>4683</v>
      </c>
      <c r="H1727" s="14">
        <v>0</v>
      </c>
      <c r="I1727" s="10" t="s">
        <v>4683</v>
      </c>
      <c r="J1727" s="10" t="str">
        <f t="shared" si="7"/>
        <v>normalweight</v>
      </c>
      <c r="L1727" s="30" t="e">
        <v>#N/A</v>
      </c>
    </row>
    <row r="1728" spans="1:12" ht="15.75" customHeight="1" x14ac:dyDescent="0.3">
      <c r="A1728" s="10" t="s">
        <v>1222</v>
      </c>
      <c r="B1728" s="10">
        <v>24.605</v>
      </c>
      <c r="C1728" s="10">
        <v>5.7</v>
      </c>
      <c r="D1728" s="10" t="s">
        <v>4685</v>
      </c>
      <c r="E1728" s="10" t="s">
        <v>4683</v>
      </c>
      <c r="F1728" s="10" t="s">
        <v>4683</v>
      </c>
      <c r="G1728" s="10" t="s">
        <v>4683</v>
      </c>
      <c r="H1728" s="14">
        <v>0</v>
      </c>
      <c r="I1728" s="10" t="s">
        <v>4683</v>
      </c>
      <c r="J1728" s="10" t="str">
        <f t="shared" si="7"/>
        <v>normalweight</v>
      </c>
      <c r="L1728" s="30" t="e">
        <v>#N/A</v>
      </c>
    </row>
    <row r="1729" spans="1:12" ht="15.75" customHeight="1" x14ac:dyDescent="0.3">
      <c r="A1729" s="10" t="s">
        <v>1220</v>
      </c>
      <c r="B1729" s="10">
        <v>30.8</v>
      </c>
      <c r="C1729" s="10">
        <v>5.07</v>
      </c>
      <c r="D1729" s="10" t="s">
        <v>4685</v>
      </c>
      <c r="E1729" s="10" t="s">
        <v>4683</v>
      </c>
      <c r="F1729" s="10" t="s">
        <v>4683</v>
      </c>
      <c r="G1729" s="10" t="s">
        <v>4683</v>
      </c>
      <c r="H1729" s="14">
        <v>0</v>
      </c>
      <c r="I1729" s="10" t="s">
        <v>4683</v>
      </c>
      <c r="J1729" s="10" t="str">
        <f t="shared" si="7"/>
        <v>normalweight</v>
      </c>
      <c r="L1729" s="30" t="e">
        <v>#N/A</v>
      </c>
    </row>
    <row r="1730" spans="1:12" ht="15.75" customHeight="1" x14ac:dyDescent="0.3">
      <c r="A1730" s="10" t="s">
        <v>1218</v>
      </c>
      <c r="B1730" s="10">
        <v>34.799999999999997</v>
      </c>
      <c r="C1730" s="10">
        <v>4.38</v>
      </c>
      <c r="D1730" s="10" t="s">
        <v>4685</v>
      </c>
      <c r="E1730" s="10" t="s">
        <v>4683</v>
      </c>
      <c r="F1730" s="10" t="s">
        <v>4683</v>
      </c>
      <c r="G1730" s="10" t="s">
        <v>4683</v>
      </c>
      <c r="H1730" s="14">
        <v>1</v>
      </c>
      <c r="I1730" s="10" t="s">
        <v>4683</v>
      </c>
      <c r="J1730" s="10" t="str">
        <f t="shared" si="7"/>
        <v>normalweight</v>
      </c>
      <c r="L1730" s="30" t="e">
        <v>#N/A</v>
      </c>
    </row>
    <row r="1731" spans="1:12" ht="15.75" customHeight="1" x14ac:dyDescent="0.3">
      <c r="A1731" s="10" t="s">
        <v>1216</v>
      </c>
      <c r="B1731" s="10">
        <v>34.21</v>
      </c>
      <c r="C1731" s="10">
        <v>4.54</v>
      </c>
      <c r="D1731" s="10" t="s">
        <v>4685</v>
      </c>
      <c r="E1731" s="10" t="s">
        <v>4683</v>
      </c>
      <c r="F1731" s="10" t="s">
        <v>4683</v>
      </c>
      <c r="G1731" s="10" t="s">
        <v>4683</v>
      </c>
      <c r="H1731" s="14">
        <v>1</v>
      </c>
      <c r="I1731" s="10" t="s">
        <v>4683</v>
      </c>
      <c r="J1731" s="10" t="str">
        <f t="shared" si="7"/>
        <v>normalweight</v>
      </c>
      <c r="L1731" s="30" t="e">
        <v>#N/A</v>
      </c>
    </row>
    <row r="1732" spans="1:12" ht="15.75" customHeight="1" x14ac:dyDescent="0.3">
      <c r="A1732" s="10" t="s">
        <v>1214</v>
      </c>
      <c r="B1732" s="10">
        <v>31</v>
      </c>
      <c r="C1732" s="10">
        <v>5.38</v>
      </c>
      <c r="D1732" s="10" t="s">
        <v>4685</v>
      </c>
      <c r="E1732" s="10" t="s">
        <v>4683</v>
      </c>
      <c r="F1732" s="10" t="s">
        <v>4683</v>
      </c>
      <c r="G1732" s="10" t="s">
        <v>4683</v>
      </c>
      <c r="H1732" s="14">
        <v>1</v>
      </c>
      <c r="I1732" s="10" t="s">
        <v>4683</v>
      </c>
      <c r="J1732" s="10" t="str">
        <f t="shared" si="7"/>
        <v>normalweight</v>
      </c>
      <c r="L1732" s="30" t="e">
        <v>#N/A</v>
      </c>
    </row>
    <row r="1733" spans="1:12" ht="15.75" customHeight="1" x14ac:dyDescent="0.3">
      <c r="A1733" s="10" t="s">
        <v>1212</v>
      </c>
      <c r="B1733" s="10">
        <v>26.125</v>
      </c>
      <c r="C1733" s="10">
        <v>5.55</v>
      </c>
      <c r="D1733" s="10" t="s">
        <v>4685</v>
      </c>
      <c r="E1733" s="10" t="s">
        <v>4683</v>
      </c>
      <c r="F1733" s="10" t="s">
        <v>4683</v>
      </c>
      <c r="G1733" s="10" t="s">
        <v>4683</v>
      </c>
      <c r="H1733" s="14">
        <v>1</v>
      </c>
      <c r="I1733" s="10" t="s">
        <v>4683</v>
      </c>
      <c r="J1733" s="10" t="str">
        <f t="shared" si="7"/>
        <v>normalweight</v>
      </c>
      <c r="L1733" s="30" t="e">
        <v>#N/A</v>
      </c>
    </row>
    <row r="1734" spans="1:12" ht="15.75" customHeight="1" x14ac:dyDescent="0.3">
      <c r="A1734" s="10" t="s">
        <v>1210</v>
      </c>
      <c r="B1734" s="10">
        <v>30.13</v>
      </c>
      <c r="C1734" s="10">
        <v>4.03</v>
      </c>
      <c r="D1734" s="10" t="s">
        <v>4685</v>
      </c>
      <c r="E1734" s="10" t="s">
        <v>4684</v>
      </c>
      <c r="F1734" s="10" t="s">
        <v>4683</v>
      </c>
      <c r="G1734" s="10" t="s">
        <v>4683</v>
      </c>
      <c r="H1734" s="14">
        <v>1</v>
      </c>
      <c r="I1734" s="10" t="s">
        <v>4683</v>
      </c>
      <c r="J1734" s="10" t="str">
        <f t="shared" si="7"/>
        <v>normalweight</v>
      </c>
      <c r="L1734" s="30" t="e">
        <v>#N/A</v>
      </c>
    </row>
    <row r="1735" spans="1:12" ht="15.75" customHeight="1" x14ac:dyDescent="0.3">
      <c r="A1735" s="10" t="s">
        <v>1208</v>
      </c>
      <c r="B1735" s="10">
        <v>34.19</v>
      </c>
      <c r="C1735" s="10">
        <v>4.1900000000000004</v>
      </c>
      <c r="D1735" s="10" t="s">
        <v>4685</v>
      </c>
      <c r="E1735" s="10" t="s">
        <v>4683</v>
      </c>
      <c r="F1735" s="10" t="s">
        <v>4683</v>
      </c>
      <c r="G1735" s="10" t="s">
        <v>4683</v>
      </c>
      <c r="H1735" s="14">
        <v>0</v>
      </c>
      <c r="I1735" s="10" t="s">
        <v>4683</v>
      </c>
      <c r="J1735" s="10" t="str">
        <f t="shared" si="7"/>
        <v>normalweight</v>
      </c>
      <c r="L1735" s="30" t="e">
        <v>#N/A</v>
      </c>
    </row>
    <row r="1736" spans="1:12" ht="15.75" customHeight="1" x14ac:dyDescent="0.3">
      <c r="A1736" s="10" t="s">
        <v>1206</v>
      </c>
      <c r="B1736" s="10">
        <v>22.515000000000001</v>
      </c>
      <c r="C1736" s="10">
        <v>4.37</v>
      </c>
      <c r="D1736" s="10" t="s">
        <v>4685</v>
      </c>
      <c r="E1736" s="10" t="s">
        <v>4683</v>
      </c>
      <c r="F1736" s="10" t="s">
        <v>4683</v>
      </c>
      <c r="G1736" s="10" t="s">
        <v>4686</v>
      </c>
      <c r="H1736" s="14">
        <v>1</v>
      </c>
      <c r="I1736" s="10" t="s">
        <v>4683</v>
      </c>
      <c r="J1736" s="10" t="str">
        <f t="shared" si="7"/>
        <v>normalweight</v>
      </c>
      <c r="L1736" s="30" t="e">
        <v>#N/A</v>
      </c>
    </row>
    <row r="1737" spans="1:12" ht="15.75" customHeight="1" x14ac:dyDescent="0.3">
      <c r="A1737" s="10" t="s">
        <v>1204</v>
      </c>
      <c r="B1737" s="10">
        <v>18.239999999999998</v>
      </c>
      <c r="C1737" s="10">
        <v>5.31</v>
      </c>
      <c r="D1737" s="10" t="s">
        <v>4685</v>
      </c>
      <c r="E1737" s="10" t="s">
        <v>4684</v>
      </c>
      <c r="F1737" s="10" t="s">
        <v>4683</v>
      </c>
      <c r="G1737" s="10" t="s">
        <v>4686</v>
      </c>
      <c r="H1737" s="14">
        <v>1</v>
      </c>
      <c r="I1737" s="10" t="s">
        <v>4683</v>
      </c>
      <c r="J1737" s="10" t="str">
        <f t="shared" si="7"/>
        <v>underweight</v>
      </c>
      <c r="L1737" s="30" t="e">
        <v>#N/A</v>
      </c>
    </row>
    <row r="1738" spans="1:12" ht="15.75" customHeight="1" x14ac:dyDescent="0.3">
      <c r="A1738" s="10" t="s">
        <v>1202</v>
      </c>
      <c r="B1738" s="10">
        <v>37.28</v>
      </c>
      <c r="C1738" s="10">
        <v>4.66</v>
      </c>
      <c r="D1738" s="10" t="s">
        <v>4685</v>
      </c>
      <c r="E1738" s="10" t="s">
        <v>4683</v>
      </c>
      <c r="F1738" s="10" t="s">
        <v>4684</v>
      </c>
      <c r="G1738" s="10" t="s">
        <v>4683</v>
      </c>
      <c r="H1738" s="14">
        <v>1</v>
      </c>
      <c r="I1738" s="10" t="s">
        <v>4683</v>
      </c>
      <c r="J1738" s="10" t="str">
        <f t="shared" si="7"/>
        <v>normalweight</v>
      </c>
      <c r="L1738" s="30" t="e">
        <v>#N/A</v>
      </c>
    </row>
    <row r="1739" spans="1:12" ht="15.75" customHeight="1" x14ac:dyDescent="0.3">
      <c r="A1739" s="10" t="s">
        <v>1200</v>
      </c>
      <c r="B1739" s="10">
        <v>18.2</v>
      </c>
      <c r="C1739" s="10">
        <v>6.19</v>
      </c>
      <c r="D1739" s="10" t="s">
        <v>4685</v>
      </c>
      <c r="E1739" s="10" t="s">
        <v>4683</v>
      </c>
      <c r="F1739" s="10" t="s">
        <v>4683</v>
      </c>
      <c r="G1739" s="10" t="s">
        <v>4686</v>
      </c>
      <c r="H1739" s="14">
        <v>1</v>
      </c>
      <c r="I1739" s="10" t="s">
        <v>4683</v>
      </c>
      <c r="J1739" s="10" t="str">
        <f t="shared" si="7"/>
        <v>underweight</v>
      </c>
      <c r="L1739" s="30" t="e">
        <v>#N/A</v>
      </c>
    </row>
    <row r="1740" spans="1:12" ht="15.75" customHeight="1" x14ac:dyDescent="0.3">
      <c r="A1740" s="10" t="s">
        <v>1198</v>
      </c>
      <c r="B1740" s="10">
        <v>20.53</v>
      </c>
      <c r="C1740" s="10">
        <v>4.8600000000000003</v>
      </c>
      <c r="D1740" s="10" t="s">
        <v>4685</v>
      </c>
      <c r="E1740" s="10" t="s">
        <v>4683</v>
      </c>
      <c r="F1740" s="10" t="s">
        <v>4683</v>
      </c>
      <c r="G1740" s="10" t="s">
        <v>4683</v>
      </c>
      <c r="H1740" s="14">
        <v>1</v>
      </c>
      <c r="I1740" s="10" t="s">
        <v>4683</v>
      </c>
      <c r="J1740" s="10" t="str">
        <f t="shared" si="7"/>
        <v>normalweight</v>
      </c>
      <c r="L1740" s="30" t="e">
        <v>#N/A</v>
      </c>
    </row>
    <row r="1741" spans="1:12" ht="15.75" customHeight="1" x14ac:dyDescent="0.3">
      <c r="A1741" s="10" t="s">
        <v>1196</v>
      </c>
      <c r="B1741" s="10">
        <v>23.79</v>
      </c>
      <c r="C1741" s="10">
        <v>4.74</v>
      </c>
      <c r="D1741" s="10" t="s">
        <v>4685</v>
      </c>
      <c r="E1741" s="10" t="s">
        <v>4683</v>
      </c>
      <c r="F1741" s="10" t="s">
        <v>4683</v>
      </c>
      <c r="G1741" s="10" t="s">
        <v>4683</v>
      </c>
      <c r="H1741" s="14">
        <v>0</v>
      </c>
      <c r="I1741" s="10" t="s">
        <v>4683</v>
      </c>
      <c r="J1741" s="10" t="str">
        <f t="shared" si="7"/>
        <v>normalweight</v>
      </c>
      <c r="L1741" s="30" t="e">
        <v>#N/A</v>
      </c>
    </row>
    <row r="1742" spans="1:12" ht="15.75" customHeight="1" x14ac:dyDescent="0.3">
      <c r="A1742" s="10" t="s">
        <v>1194</v>
      </c>
      <c r="B1742" s="10">
        <v>29.8</v>
      </c>
      <c r="C1742" s="10">
        <v>6.03</v>
      </c>
      <c r="D1742" s="10" t="s">
        <v>4685</v>
      </c>
      <c r="E1742" s="10" t="s">
        <v>4683</v>
      </c>
      <c r="F1742" s="10" t="s">
        <v>4683</v>
      </c>
      <c r="G1742" s="10" t="s">
        <v>4683</v>
      </c>
      <c r="H1742" s="14">
        <v>0</v>
      </c>
      <c r="I1742" s="10" t="s">
        <v>4683</v>
      </c>
      <c r="J1742" s="10" t="str">
        <f t="shared" si="7"/>
        <v>normalweight</v>
      </c>
      <c r="L1742" s="30" t="e">
        <v>#N/A</v>
      </c>
    </row>
    <row r="1743" spans="1:12" ht="15.75" customHeight="1" x14ac:dyDescent="0.3">
      <c r="A1743" s="10" t="s">
        <v>1192</v>
      </c>
      <c r="B1743" s="10">
        <v>31.54</v>
      </c>
      <c r="C1743" s="10">
        <v>4.71</v>
      </c>
      <c r="D1743" s="10" t="s">
        <v>4685</v>
      </c>
      <c r="E1743" s="10" t="s">
        <v>4683</v>
      </c>
      <c r="F1743" s="10" t="s">
        <v>4683</v>
      </c>
      <c r="G1743" s="10" t="s">
        <v>4683</v>
      </c>
      <c r="H1743" s="14">
        <v>0</v>
      </c>
      <c r="I1743" s="10" t="s">
        <v>4683</v>
      </c>
      <c r="J1743" s="10" t="str">
        <f t="shared" si="7"/>
        <v>normalweight</v>
      </c>
      <c r="L1743" s="30" t="e">
        <v>#N/A</v>
      </c>
    </row>
    <row r="1744" spans="1:12" ht="15.75" customHeight="1" x14ac:dyDescent="0.3">
      <c r="A1744" s="10" t="s">
        <v>1190</v>
      </c>
      <c r="B1744" s="10">
        <v>20.82</v>
      </c>
      <c r="C1744" s="10">
        <v>5.55</v>
      </c>
      <c r="D1744" s="10" t="s">
        <v>4685</v>
      </c>
      <c r="E1744" s="10" t="s">
        <v>4683</v>
      </c>
      <c r="F1744" s="10" t="s">
        <v>4683</v>
      </c>
      <c r="G1744" s="10" t="s">
        <v>4683</v>
      </c>
      <c r="H1744" s="14">
        <v>1</v>
      </c>
      <c r="I1744" s="10" t="s">
        <v>4683</v>
      </c>
      <c r="J1744" s="10" t="str">
        <f t="shared" si="7"/>
        <v>normalweight</v>
      </c>
      <c r="L1744" s="30" t="e">
        <v>#N/A</v>
      </c>
    </row>
    <row r="1745" spans="1:12" ht="15.75" customHeight="1" x14ac:dyDescent="0.3">
      <c r="A1745" s="10" t="s">
        <v>1188</v>
      </c>
      <c r="B1745" s="10">
        <v>38.83</v>
      </c>
      <c r="C1745" s="10">
        <v>4.78</v>
      </c>
      <c r="D1745" s="10" t="s">
        <v>4685</v>
      </c>
      <c r="E1745" s="10" t="s">
        <v>4683</v>
      </c>
      <c r="F1745" s="10" t="s">
        <v>4683</v>
      </c>
      <c r="G1745" s="10" t="s">
        <v>4686</v>
      </c>
      <c r="H1745" s="14">
        <v>1</v>
      </c>
      <c r="I1745" s="10" t="s">
        <v>4683</v>
      </c>
      <c r="J1745" s="10" t="str">
        <f t="shared" si="7"/>
        <v>normalweight</v>
      </c>
      <c r="L1745" s="30" t="e">
        <v>#N/A</v>
      </c>
    </row>
    <row r="1746" spans="1:12" ht="15.75" customHeight="1" x14ac:dyDescent="0.3">
      <c r="A1746" s="10" t="s">
        <v>1186</v>
      </c>
      <c r="B1746" s="10">
        <v>23.44</v>
      </c>
      <c r="C1746" s="10">
        <v>4.6500000000000004</v>
      </c>
      <c r="D1746" s="10" t="s">
        <v>4685</v>
      </c>
      <c r="E1746" s="10" t="s">
        <v>4684</v>
      </c>
      <c r="F1746" s="10" t="s">
        <v>4683</v>
      </c>
      <c r="G1746" s="10" t="s">
        <v>4683</v>
      </c>
      <c r="H1746" s="14">
        <v>1</v>
      </c>
      <c r="I1746" s="10" t="s">
        <v>4683</v>
      </c>
      <c r="J1746" s="10" t="str">
        <f t="shared" si="7"/>
        <v>normalweight</v>
      </c>
      <c r="L1746" s="30" t="e">
        <v>#N/A</v>
      </c>
    </row>
    <row r="1747" spans="1:12" ht="15.75" customHeight="1" x14ac:dyDescent="0.3">
      <c r="A1747" s="10" t="s">
        <v>1184</v>
      </c>
      <c r="B1747" s="10">
        <v>24.13</v>
      </c>
      <c r="C1747" s="10">
        <v>5.2</v>
      </c>
      <c r="D1747" s="10" t="s">
        <v>4685</v>
      </c>
      <c r="E1747" s="10" t="s">
        <v>4683</v>
      </c>
      <c r="F1747" s="10" t="s">
        <v>4683</v>
      </c>
      <c r="G1747" s="10" t="s">
        <v>4683</v>
      </c>
      <c r="H1747" s="14">
        <v>1</v>
      </c>
      <c r="I1747" s="10" t="s">
        <v>4683</v>
      </c>
      <c r="J1747" s="10" t="str">
        <f t="shared" si="7"/>
        <v>normalweight</v>
      </c>
      <c r="L1747" s="30" t="e">
        <v>#N/A</v>
      </c>
    </row>
    <row r="1748" spans="1:12" ht="15.75" customHeight="1" x14ac:dyDescent="0.3">
      <c r="A1748" s="10" t="s">
        <v>1182</v>
      </c>
      <c r="B1748" s="10">
        <v>42.13</v>
      </c>
      <c r="C1748" s="10">
        <v>4.54</v>
      </c>
      <c r="D1748" s="10" t="s">
        <v>4685</v>
      </c>
      <c r="E1748" s="10" t="s">
        <v>4684</v>
      </c>
      <c r="F1748" s="10" t="s">
        <v>4683</v>
      </c>
      <c r="G1748" s="10" t="s">
        <v>4683</v>
      </c>
      <c r="H1748" s="14">
        <v>1</v>
      </c>
      <c r="I1748" s="10" t="s">
        <v>4683</v>
      </c>
      <c r="J1748" s="10" t="str">
        <f t="shared" si="7"/>
        <v>normalweight</v>
      </c>
      <c r="L1748" s="30" t="e">
        <v>#N/A</v>
      </c>
    </row>
    <row r="1749" spans="1:12" ht="15.75" customHeight="1" x14ac:dyDescent="0.3">
      <c r="A1749" s="10" t="s">
        <v>1180</v>
      </c>
      <c r="B1749" s="10">
        <v>17.86</v>
      </c>
      <c r="C1749" s="10">
        <v>4.1100000000000003</v>
      </c>
      <c r="D1749" s="10" t="s">
        <v>4685</v>
      </c>
      <c r="E1749" s="10" t="s">
        <v>4683</v>
      </c>
      <c r="F1749" s="10" t="s">
        <v>4683</v>
      </c>
      <c r="G1749" s="10" t="s">
        <v>4683</v>
      </c>
      <c r="H1749" s="14">
        <v>1</v>
      </c>
      <c r="I1749" s="10" t="s">
        <v>4683</v>
      </c>
      <c r="J1749" s="10" t="str">
        <f t="shared" si="7"/>
        <v>underweight</v>
      </c>
      <c r="L1749" s="30" t="e">
        <v>#N/A</v>
      </c>
    </row>
    <row r="1750" spans="1:12" ht="15.75" customHeight="1" x14ac:dyDescent="0.3">
      <c r="A1750" s="10" t="s">
        <v>1178</v>
      </c>
      <c r="B1750" s="10">
        <v>32.78</v>
      </c>
      <c r="C1750" s="10">
        <v>4.63</v>
      </c>
      <c r="D1750" s="10" t="s">
        <v>4685</v>
      </c>
      <c r="E1750" s="10" t="s">
        <v>4683</v>
      </c>
      <c r="F1750" s="10" t="s">
        <v>4683</v>
      </c>
      <c r="G1750" s="10" t="s">
        <v>4683</v>
      </c>
      <c r="H1750" s="14">
        <v>0</v>
      </c>
      <c r="I1750" s="10" t="s">
        <v>4683</v>
      </c>
      <c r="J1750" s="10" t="str">
        <f t="shared" si="7"/>
        <v>normalweight</v>
      </c>
      <c r="L1750" s="30" t="e">
        <v>#N/A</v>
      </c>
    </row>
    <row r="1751" spans="1:12" ht="15.75" customHeight="1" x14ac:dyDescent="0.3">
      <c r="A1751" s="10" t="s">
        <v>1176</v>
      </c>
      <c r="B1751" s="10">
        <v>23.9</v>
      </c>
      <c r="C1751" s="10">
        <v>6.06</v>
      </c>
      <c r="D1751" s="10" t="s">
        <v>4685</v>
      </c>
      <c r="E1751" s="10" t="s">
        <v>4684</v>
      </c>
      <c r="F1751" s="10" t="s">
        <v>4683</v>
      </c>
      <c r="G1751" s="10" t="s">
        <v>4686</v>
      </c>
      <c r="H1751" s="14">
        <v>1</v>
      </c>
      <c r="I1751" s="10" t="s">
        <v>4683</v>
      </c>
      <c r="J1751" s="10" t="str">
        <f t="shared" si="7"/>
        <v>normalweight</v>
      </c>
      <c r="L1751" s="30" t="e">
        <v>#N/A</v>
      </c>
    </row>
    <row r="1752" spans="1:12" ht="15.75" customHeight="1" x14ac:dyDescent="0.3">
      <c r="A1752" s="10" t="s">
        <v>1174</v>
      </c>
      <c r="B1752" s="10">
        <v>15.47</v>
      </c>
      <c r="C1752" s="10">
        <v>8.43</v>
      </c>
      <c r="D1752" s="16" t="s">
        <v>4682</v>
      </c>
      <c r="E1752" s="10" t="s">
        <v>4683</v>
      </c>
      <c r="F1752" s="10" t="s">
        <v>4683</v>
      </c>
      <c r="G1752" s="10" t="s">
        <v>4683</v>
      </c>
      <c r="H1752" s="14">
        <v>0</v>
      </c>
      <c r="I1752" s="10" t="s">
        <v>4683</v>
      </c>
      <c r="J1752" s="10" t="str">
        <f t="shared" si="7"/>
        <v>underweight</v>
      </c>
      <c r="L1752" s="30" t="e">
        <v>#N/A</v>
      </c>
    </row>
    <row r="1753" spans="1:12" ht="15.75" customHeight="1" x14ac:dyDescent="0.3">
      <c r="A1753" s="10" t="s">
        <v>1172</v>
      </c>
      <c r="B1753" s="10">
        <v>28.54</v>
      </c>
      <c r="C1753" s="10">
        <v>5.51</v>
      </c>
      <c r="D1753" s="10" t="s">
        <v>4685</v>
      </c>
      <c r="E1753" s="10" t="s">
        <v>4683</v>
      </c>
      <c r="F1753" s="10" t="s">
        <v>4683</v>
      </c>
      <c r="G1753" s="10" t="s">
        <v>4686</v>
      </c>
      <c r="H1753" s="14">
        <v>1</v>
      </c>
      <c r="I1753" s="10" t="s">
        <v>4683</v>
      </c>
      <c r="J1753" s="10" t="str">
        <f t="shared" si="7"/>
        <v>normalweight</v>
      </c>
      <c r="L1753" s="30" t="e">
        <v>#N/A</v>
      </c>
    </row>
    <row r="1754" spans="1:12" ht="15.75" customHeight="1" x14ac:dyDescent="0.3">
      <c r="A1754" s="10" t="s">
        <v>1170</v>
      </c>
      <c r="B1754" s="10">
        <v>18.54</v>
      </c>
      <c r="C1754" s="10">
        <v>4.95</v>
      </c>
      <c r="D1754" s="10" t="s">
        <v>4685</v>
      </c>
      <c r="E1754" s="10" t="s">
        <v>4683</v>
      </c>
      <c r="F1754" s="10" t="s">
        <v>4683</v>
      </c>
      <c r="G1754" s="10" t="s">
        <v>4683</v>
      </c>
      <c r="H1754" s="14">
        <v>0</v>
      </c>
      <c r="I1754" s="10" t="s">
        <v>4683</v>
      </c>
      <c r="J1754" s="10" t="str">
        <f t="shared" si="7"/>
        <v>normalweight</v>
      </c>
      <c r="L1754" s="30" t="e">
        <v>#N/A</v>
      </c>
    </row>
    <row r="1755" spans="1:12" ht="15.75" customHeight="1" x14ac:dyDescent="0.3">
      <c r="A1755" s="10" t="s">
        <v>1168</v>
      </c>
      <c r="B1755" s="10">
        <v>32.18</v>
      </c>
      <c r="C1755" s="10">
        <v>6.44</v>
      </c>
      <c r="D1755" s="10" t="s">
        <v>4685</v>
      </c>
      <c r="E1755" s="10" t="s">
        <v>4684</v>
      </c>
      <c r="F1755" s="10" t="s">
        <v>4683</v>
      </c>
      <c r="G1755" s="10" t="s">
        <v>4686</v>
      </c>
      <c r="H1755" s="14">
        <v>1</v>
      </c>
      <c r="I1755" s="10" t="s">
        <v>4683</v>
      </c>
      <c r="J1755" s="10" t="str">
        <f t="shared" si="7"/>
        <v>normalweight</v>
      </c>
      <c r="L1755" s="30" t="e">
        <v>#N/A</v>
      </c>
    </row>
    <row r="1756" spans="1:12" ht="15.75" customHeight="1" x14ac:dyDescent="0.3">
      <c r="A1756" s="10" t="s">
        <v>1166</v>
      </c>
      <c r="B1756" s="10">
        <v>37.380000000000003</v>
      </c>
      <c r="C1756" s="10">
        <v>6.05</v>
      </c>
      <c r="D1756" s="10" t="s">
        <v>4685</v>
      </c>
      <c r="E1756" s="10" t="s">
        <v>4684</v>
      </c>
      <c r="F1756" s="10" t="s">
        <v>4683</v>
      </c>
      <c r="G1756" s="10" t="s">
        <v>4683</v>
      </c>
      <c r="H1756" s="14">
        <v>0</v>
      </c>
      <c r="I1756" s="10" t="s">
        <v>4683</v>
      </c>
      <c r="J1756" s="10" t="str">
        <f t="shared" si="7"/>
        <v>normalweight</v>
      </c>
      <c r="L1756" s="30" t="e">
        <v>#N/A</v>
      </c>
    </row>
    <row r="1757" spans="1:12" ht="15.75" customHeight="1" x14ac:dyDescent="0.3">
      <c r="A1757" s="10" t="s">
        <v>1164</v>
      </c>
      <c r="B1757" s="10">
        <v>31.12</v>
      </c>
      <c r="C1757" s="10">
        <v>4.76</v>
      </c>
      <c r="D1757" s="10" t="s">
        <v>4685</v>
      </c>
      <c r="E1757" s="10" t="s">
        <v>4684</v>
      </c>
      <c r="F1757" s="10" t="s">
        <v>4683</v>
      </c>
      <c r="G1757" s="10" t="s">
        <v>4686</v>
      </c>
      <c r="H1757" s="14">
        <v>1</v>
      </c>
      <c r="I1757" s="10" t="s">
        <v>4683</v>
      </c>
      <c r="J1757" s="10" t="str">
        <f t="shared" si="7"/>
        <v>normalweight</v>
      </c>
      <c r="L1757" s="30" t="e">
        <v>#N/A</v>
      </c>
    </row>
    <row r="1758" spans="1:12" ht="15.75" customHeight="1" x14ac:dyDescent="0.3">
      <c r="A1758" s="10" t="s">
        <v>1162</v>
      </c>
      <c r="B1758" s="10">
        <v>22.01</v>
      </c>
      <c r="C1758" s="10">
        <v>6.72</v>
      </c>
      <c r="D1758" s="16" t="s">
        <v>4682</v>
      </c>
      <c r="E1758" s="10" t="s">
        <v>4684</v>
      </c>
      <c r="F1758" s="10" t="s">
        <v>4683</v>
      </c>
      <c r="G1758" s="10" t="s">
        <v>4683</v>
      </c>
      <c r="H1758" s="14">
        <v>1</v>
      </c>
      <c r="I1758" s="10" t="s">
        <v>4683</v>
      </c>
      <c r="J1758" s="10" t="str">
        <f t="shared" si="7"/>
        <v>normalweight</v>
      </c>
      <c r="L1758" s="30" t="e">
        <v>#N/A</v>
      </c>
    </row>
    <row r="1759" spans="1:12" ht="15.75" customHeight="1" x14ac:dyDescent="0.3">
      <c r="A1759" s="10" t="s">
        <v>1160</v>
      </c>
      <c r="B1759" s="10">
        <v>27.645</v>
      </c>
      <c r="C1759" s="10">
        <v>5.7</v>
      </c>
      <c r="D1759" s="10" t="s">
        <v>4685</v>
      </c>
      <c r="E1759" s="10" t="s">
        <v>4683</v>
      </c>
      <c r="F1759" s="10" t="s">
        <v>4683</v>
      </c>
      <c r="G1759" s="10" t="s">
        <v>4683</v>
      </c>
      <c r="H1759" s="14">
        <v>0</v>
      </c>
      <c r="I1759" s="10" t="s">
        <v>4683</v>
      </c>
      <c r="J1759" s="10" t="str">
        <f t="shared" si="7"/>
        <v>normalweight</v>
      </c>
      <c r="L1759" s="30" t="e">
        <v>#N/A</v>
      </c>
    </row>
    <row r="1760" spans="1:12" ht="15.75" customHeight="1" x14ac:dyDescent="0.3">
      <c r="A1760" s="10" t="s">
        <v>1158</v>
      </c>
      <c r="B1760" s="10">
        <v>29.64</v>
      </c>
      <c r="C1760" s="10">
        <v>5.31</v>
      </c>
      <c r="D1760" s="10" t="s">
        <v>4685</v>
      </c>
      <c r="E1760" s="10" t="s">
        <v>4684</v>
      </c>
      <c r="F1760" s="10" t="s">
        <v>4683</v>
      </c>
      <c r="G1760" s="10" t="s">
        <v>4683</v>
      </c>
      <c r="H1760" s="14">
        <v>0</v>
      </c>
      <c r="I1760" s="10" t="s">
        <v>4683</v>
      </c>
      <c r="J1760" s="10" t="str">
        <f t="shared" si="7"/>
        <v>normalweight</v>
      </c>
      <c r="L1760" s="30" t="e">
        <v>#N/A</v>
      </c>
    </row>
    <row r="1761" spans="1:12" ht="15.75" customHeight="1" x14ac:dyDescent="0.3">
      <c r="A1761" s="10" t="s">
        <v>1156</v>
      </c>
      <c r="B1761" s="10">
        <v>33.700000000000003</v>
      </c>
      <c r="C1761" s="10">
        <v>4.32</v>
      </c>
      <c r="D1761" s="10" t="s">
        <v>4685</v>
      </c>
      <c r="E1761" s="10" t="s">
        <v>4684</v>
      </c>
      <c r="F1761" s="10" t="s">
        <v>4683</v>
      </c>
      <c r="G1761" s="10" t="s">
        <v>4683</v>
      </c>
      <c r="H1761" s="14">
        <v>1</v>
      </c>
      <c r="I1761" s="10" t="s">
        <v>4683</v>
      </c>
      <c r="J1761" s="10" t="str">
        <f t="shared" si="7"/>
        <v>normalweight</v>
      </c>
      <c r="L1761" s="30" t="e">
        <v>#N/A</v>
      </c>
    </row>
    <row r="1762" spans="1:12" ht="15.75" customHeight="1" x14ac:dyDescent="0.3">
      <c r="A1762" s="10" t="s">
        <v>1154</v>
      </c>
      <c r="B1762" s="10">
        <v>27.5</v>
      </c>
      <c r="C1762" s="10">
        <v>4.2300000000000004</v>
      </c>
      <c r="D1762" s="10" t="s">
        <v>4685</v>
      </c>
      <c r="E1762" s="10" t="s">
        <v>4684</v>
      </c>
      <c r="F1762" s="10" t="s">
        <v>4683</v>
      </c>
      <c r="G1762" s="10" t="s">
        <v>4683</v>
      </c>
      <c r="H1762" s="14">
        <v>1</v>
      </c>
      <c r="I1762" s="10" t="s">
        <v>4683</v>
      </c>
      <c r="J1762" s="10" t="str">
        <f t="shared" si="7"/>
        <v>normalweight</v>
      </c>
      <c r="L1762" s="30" t="e">
        <v>#N/A</v>
      </c>
    </row>
    <row r="1763" spans="1:12" ht="15.75" customHeight="1" x14ac:dyDescent="0.3">
      <c r="A1763" s="10" t="s">
        <v>1152</v>
      </c>
      <c r="B1763" s="10">
        <v>16.12</v>
      </c>
      <c r="C1763" s="10">
        <v>6.09</v>
      </c>
      <c r="D1763" s="10" t="s">
        <v>4685</v>
      </c>
      <c r="E1763" s="10" t="s">
        <v>4683</v>
      </c>
      <c r="F1763" s="10" t="s">
        <v>4683</v>
      </c>
      <c r="G1763" s="10" t="s">
        <v>4683</v>
      </c>
      <c r="H1763" s="14">
        <v>0</v>
      </c>
      <c r="I1763" s="10" t="s">
        <v>4683</v>
      </c>
      <c r="J1763" s="10" t="str">
        <f t="shared" si="7"/>
        <v>underweight</v>
      </c>
      <c r="L1763" s="30" t="e">
        <v>#N/A</v>
      </c>
    </row>
    <row r="1764" spans="1:12" ht="15.75" customHeight="1" x14ac:dyDescent="0.3">
      <c r="A1764" s="10" t="s">
        <v>1150</v>
      </c>
      <c r="B1764" s="10">
        <v>26.73</v>
      </c>
      <c r="C1764" s="10">
        <v>4.74</v>
      </c>
      <c r="D1764" s="10" t="s">
        <v>4685</v>
      </c>
      <c r="E1764" s="10" t="s">
        <v>4684</v>
      </c>
      <c r="F1764" s="10" t="s">
        <v>4683</v>
      </c>
      <c r="G1764" s="10" t="s">
        <v>4683</v>
      </c>
      <c r="H1764" s="14">
        <v>1</v>
      </c>
      <c r="I1764" s="10" t="s">
        <v>4683</v>
      </c>
      <c r="J1764" s="10" t="str">
        <f t="shared" si="7"/>
        <v>normalweight</v>
      </c>
      <c r="L1764" s="30" t="e">
        <v>#N/A</v>
      </c>
    </row>
    <row r="1765" spans="1:12" ht="15.75" customHeight="1" x14ac:dyDescent="0.3">
      <c r="A1765" s="10" t="s">
        <v>1148</v>
      </c>
      <c r="B1765" s="10">
        <v>37.25</v>
      </c>
      <c r="C1765" s="10">
        <v>6.23</v>
      </c>
      <c r="D1765" s="10" t="s">
        <v>4685</v>
      </c>
      <c r="E1765" s="10" t="s">
        <v>4684</v>
      </c>
      <c r="F1765" s="10" t="s">
        <v>4683</v>
      </c>
      <c r="G1765" s="10" t="s">
        <v>4683</v>
      </c>
      <c r="H1765" s="14">
        <v>0</v>
      </c>
      <c r="I1765" s="10" t="s">
        <v>4683</v>
      </c>
      <c r="J1765" s="10" t="str">
        <f t="shared" si="7"/>
        <v>normalweight</v>
      </c>
      <c r="L1765" s="30" t="e">
        <v>#N/A</v>
      </c>
    </row>
    <row r="1766" spans="1:12" ht="15.75" customHeight="1" x14ac:dyDescent="0.3">
      <c r="A1766" s="10" t="s">
        <v>1146</v>
      </c>
      <c r="B1766" s="10">
        <v>23.56</v>
      </c>
      <c r="C1766" s="10">
        <v>5.45</v>
      </c>
      <c r="D1766" s="10" t="s">
        <v>4685</v>
      </c>
      <c r="E1766" s="10" t="s">
        <v>4684</v>
      </c>
      <c r="F1766" s="10" t="s">
        <v>4683</v>
      </c>
      <c r="G1766" s="10" t="s">
        <v>4683</v>
      </c>
      <c r="H1766" s="14">
        <v>1</v>
      </c>
      <c r="I1766" s="10" t="s">
        <v>4683</v>
      </c>
      <c r="J1766" s="10" t="str">
        <f t="shared" si="7"/>
        <v>normalweight</v>
      </c>
      <c r="L1766" s="30" t="e">
        <v>#N/A</v>
      </c>
    </row>
    <row r="1767" spans="1:12" ht="15.75" customHeight="1" x14ac:dyDescent="0.3">
      <c r="A1767" s="10" t="s">
        <v>1144</v>
      </c>
      <c r="B1767" s="10">
        <v>15.84</v>
      </c>
      <c r="C1767" s="10">
        <v>10.34</v>
      </c>
      <c r="D1767" s="16" t="s">
        <v>4682</v>
      </c>
      <c r="E1767" s="10" t="s">
        <v>4683</v>
      </c>
      <c r="F1767" s="10" t="s">
        <v>4683</v>
      </c>
      <c r="G1767" s="10" t="s">
        <v>4683</v>
      </c>
      <c r="H1767" s="14">
        <v>2</v>
      </c>
      <c r="I1767" s="10" t="s">
        <v>4683</v>
      </c>
      <c r="J1767" s="10" t="str">
        <f t="shared" si="7"/>
        <v>underweight</v>
      </c>
      <c r="L1767" s="30" t="e">
        <v>#N/A</v>
      </c>
    </row>
    <row r="1768" spans="1:12" ht="15.75" customHeight="1" x14ac:dyDescent="0.3">
      <c r="A1768" s="10" t="s">
        <v>1142</v>
      </c>
      <c r="B1768" s="10">
        <v>36.630000000000003</v>
      </c>
      <c r="C1768" s="10">
        <v>5.15</v>
      </c>
      <c r="D1768" s="10" t="s">
        <v>4685</v>
      </c>
      <c r="E1768" s="10" t="s">
        <v>4683</v>
      </c>
      <c r="F1768" s="10" t="s">
        <v>4683</v>
      </c>
      <c r="G1768" s="10" t="s">
        <v>4683</v>
      </c>
      <c r="H1768" s="14">
        <v>0</v>
      </c>
      <c r="I1768" s="10" t="s">
        <v>4683</v>
      </c>
      <c r="J1768" s="10" t="str">
        <f t="shared" si="7"/>
        <v>normalweight</v>
      </c>
      <c r="L1768" s="30" t="e">
        <v>#N/A</v>
      </c>
    </row>
    <row r="1769" spans="1:12" ht="15.75" customHeight="1" x14ac:dyDescent="0.3">
      <c r="A1769" s="10" t="s">
        <v>1140</v>
      </c>
      <c r="B1769" s="10">
        <v>16.47</v>
      </c>
      <c r="C1769" s="10">
        <v>11.72</v>
      </c>
      <c r="D1769" s="16" t="s">
        <v>4682</v>
      </c>
      <c r="E1769" s="10" t="s">
        <v>4683</v>
      </c>
      <c r="F1769" s="10" t="s">
        <v>4683</v>
      </c>
      <c r="G1769" s="10" t="s">
        <v>4683</v>
      </c>
      <c r="H1769" s="14">
        <v>0</v>
      </c>
      <c r="I1769" s="10" t="s">
        <v>4683</v>
      </c>
      <c r="J1769" s="10" t="str">
        <f t="shared" si="7"/>
        <v>underweight</v>
      </c>
      <c r="L1769" s="30" t="e">
        <v>#N/A</v>
      </c>
    </row>
    <row r="1770" spans="1:12" ht="15.75" customHeight="1" x14ac:dyDescent="0.3">
      <c r="A1770" s="10" t="s">
        <v>1138</v>
      </c>
      <c r="B1770" s="10">
        <v>25.8</v>
      </c>
      <c r="C1770" s="10">
        <v>5.29</v>
      </c>
      <c r="D1770" s="10" t="s">
        <v>4685</v>
      </c>
      <c r="E1770" s="10" t="s">
        <v>4683</v>
      </c>
      <c r="F1770" s="10" t="s">
        <v>4683</v>
      </c>
      <c r="G1770" s="10" t="s">
        <v>4683</v>
      </c>
      <c r="H1770" s="14">
        <v>0</v>
      </c>
      <c r="I1770" s="10" t="s">
        <v>4683</v>
      </c>
      <c r="J1770" s="10" t="str">
        <f t="shared" si="7"/>
        <v>normalweight</v>
      </c>
      <c r="L1770" s="30" t="e">
        <v>#N/A</v>
      </c>
    </row>
    <row r="1771" spans="1:12" ht="15.75" customHeight="1" x14ac:dyDescent="0.3">
      <c r="A1771" s="10" t="s">
        <v>1136</v>
      </c>
      <c r="B1771" s="10">
        <v>23.6</v>
      </c>
      <c r="C1771" s="10">
        <v>4.33</v>
      </c>
      <c r="D1771" s="10" t="s">
        <v>4685</v>
      </c>
      <c r="E1771" s="10" t="s">
        <v>4683</v>
      </c>
      <c r="F1771" s="10" t="s">
        <v>4683</v>
      </c>
      <c r="G1771" s="10" t="s">
        <v>4683</v>
      </c>
      <c r="H1771" s="14">
        <v>0</v>
      </c>
      <c r="I1771" s="10" t="s">
        <v>4683</v>
      </c>
      <c r="J1771" s="10" t="str">
        <f t="shared" si="7"/>
        <v>normalweight</v>
      </c>
      <c r="L1771" s="30" t="e">
        <v>#N/A</v>
      </c>
    </row>
    <row r="1772" spans="1:12" ht="15.75" customHeight="1" x14ac:dyDescent="0.3">
      <c r="A1772" s="10" t="s">
        <v>1134</v>
      </c>
      <c r="B1772" s="10">
        <v>32.11</v>
      </c>
      <c r="C1772" s="10">
        <v>6.24</v>
      </c>
      <c r="D1772" s="10" t="s">
        <v>4685</v>
      </c>
      <c r="E1772" s="10" t="s">
        <v>4683</v>
      </c>
      <c r="F1772" s="10" t="s">
        <v>4683</v>
      </c>
      <c r="G1772" s="10" t="s">
        <v>4686</v>
      </c>
      <c r="H1772" s="14">
        <v>1</v>
      </c>
      <c r="I1772" s="10" t="s">
        <v>4683</v>
      </c>
      <c r="J1772" s="10" t="str">
        <f t="shared" si="7"/>
        <v>normalweight</v>
      </c>
      <c r="L1772" s="30" t="e">
        <v>#N/A</v>
      </c>
    </row>
    <row r="1773" spans="1:12" ht="15.75" customHeight="1" x14ac:dyDescent="0.3">
      <c r="A1773" s="10" t="s">
        <v>1132</v>
      </c>
      <c r="B1773" s="10">
        <v>30.114999999999998</v>
      </c>
      <c r="C1773" s="10">
        <v>11.61</v>
      </c>
      <c r="D1773" s="16" t="s">
        <v>4682</v>
      </c>
      <c r="E1773" s="10" t="s">
        <v>4683</v>
      </c>
      <c r="F1773" s="10" t="s">
        <v>4683</v>
      </c>
      <c r="G1773" s="10" t="s">
        <v>4683</v>
      </c>
      <c r="H1773" s="14">
        <v>0</v>
      </c>
      <c r="I1773" s="10" t="s">
        <v>4683</v>
      </c>
      <c r="J1773" s="10" t="str">
        <f t="shared" si="7"/>
        <v>normalweight</v>
      </c>
      <c r="L1773" s="30" t="e">
        <v>#N/A</v>
      </c>
    </row>
    <row r="1774" spans="1:12" ht="15.75" customHeight="1" x14ac:dyDescent="0.3">
      <c r="A1774" s="10" t="s">
        <v>1130</v>
      </c>
      <c r="B1774" s="10">
        <v>20.28</v>
      </c>
      <c r="C1774" s="10">
        <v>11.07</v>
      </c>
      <c r="D1774" s="16" t="s">
        <v>4682</v>
      </c>
      <c r="E1774" s="10" t="s">
        <v>4684</v>
      </c>
      <c r="F1774" s="10" t="s">
        <v>4683</v>
      </c>
      <c r="G1774" s="10" t="s">
        <v>4683</v>
      </c>
      <c r="H1774" s="14">
        <v>0</v>
      </c>
      <c r="I1774" s="10" t="s">
        <v>4683</v>
      </c>
      <c r="J1774" s="10" t="str">
        <f t="shared" si="7"/>
        <v>normalweight</v>
      </c>
      <c r="L1774" s="30" t="e">
        <v>#N/A</v>
      </c>
    </row>
    <row r="1775" spans="1:12" ht="15.75" customHeight="1" x14ac:dyDescent="0.3">
      <c r="A1775" s="10" t="s">
        <v>1128</v>
      </c>
      <c r="B1775" s="10">
        <v>20.234999999999999</v>
      </c>
      <c r="C1775" s="10">
        <v>5.19</v>
      </c>
      <c r="D1775" s="10" t="s">
        <v>4685</v>
      </c>
      <c r="E1775" s="10" t="s">
        <v>4683</v>
      </c>
      <c r="F1775" s="10" t="s">
        <v>4683</v>
      </c>
      <c r="G1775" s="10" t="s">
        <v>4686</v>
      </c>
      <c r="H1775" s="14">
        <v>1</v>
      </c>
      <c r="I1775" s="10" t="s">
        <v>4683</v>
      </c>
      <c r="J1775" s="10" t="str">
        <f t="shared" si="7"/>
        <v>normalweight</v>
      </c>
      <c r="L1775" s="30" t="e">
        <v>#N/A</v>
      </c>
    </row>
    <row r="1776" spans="1:12" ht="15.75" customHeight="1" x14ac:dyDescent="0.3">
      <c r="A1776" s="10" t="s">
        <v>1126</v>
      </c>
      <c r="B1776" s="10">
        <v>25.27</v>
      </c>
      <c r="C1776" s="10">
        <v>5.7</v>
      </c>
      <c r="D1776" s="10" t="s">
        <v>4685</v>
      </c>
      <c r="E1776" s="10" t="s">
        <v>4684</v>
      </c>
      <c r="F1776" s="10" t="s">
        <v>4683</v>
      </c>
      <c r="G1776" s="10" t="s">
        <v>4683</v>
      </c>
      <c r="H1776" s="14">
        <v>1</v>
      </c>
      <c r="I1776" s="10" t="s">
        <v>4683</v>
      </c>
      <c r="J1776" s="10" t="str">
        <f t="shared" si="7"/>
        <v>normalweight</v>
      </c>
      <c r="L1776" s="30" t="e">
        <v>#N/A</v>
      </c>
    </row>
    <row r="1777" spans="1:12" ht="15.75" customHeight="1" x14ac:dyDescent="0.3">
      <c r="A1777" s="10" t="s">
        <v>1124</v>
      </c>
      <c r="B1777" s="10">
        <v>24.24</v>
      </c>
      <c r="C1777" s="10">
        <v>6.15</v>
      </c>
      <c r="D1777" s="10" t="s">
        <v>4685</v>
      </c>
      <c r="E1777" s="10" t="s">
        <v>4683</v>
      </c>
      <c r="F1777" s="10" t="s">
        <v>4683</v>
      </c>
      <c r="G1777" s="10" t="s">
        <v>4683</v>
      </c>
      <c r="H1777" s="14">
        <v>0</v>
      </c>
      <c r="I1777" s="10" t="s">
        <v>4683</v>
      </c>
      <c r="J1777" s="10" t="str">
        <f t="shared" si="7"/>
        <v>normalweight</v>
      </c>
      <c r="L1777" s="30" t="e">
        <v>#N/A</v>
      </c>
    </row>
    <row r="1778" spans="1:12" ht="15.75" customHeight="1" x14ac:dyDescent="0.3">
      <c r="A1778" s="10" t="s">
        <v>1122</v>
      </c>
      <c r="B1778" s="10">
        <v>35.75</v>
      </c>
      <c r="C1778" s="10">
        <v>5.07</v>
      </c>
      <c r="D1778" s="10" t="s">
        <v>4685</v>
      </c>
      <c r="E1778" s="10" t="s">
        <v>4683</v>
      </c>
      <c r="F1778" s="10" t="s">
        <v>4683</v>
      </c>
      <c r="G1778" s="10" t="s">
        <v>4683</v>
      </c>
      <c r="H1778" s="14">
        <v>0</v>
      </c>
      <c r="I1778" s="10" t="s">
        <v>4683</v>
      </c>
      <c r="J1778" s="10" t="str">
        <f t="shared" si="7"/>
        <v>normalweight</v>
      </c>
      <c r="L1778" s="30" t="e">
        <v>#N/A</v>
      </c>
    </row>
    <row r="1779" spans="1:12" ht="15.75" customHeight="1" x14ac:dyDescent="0.3">
      <c r="A1779" s="10" t="s">
        <v>1120</v>
      </c>
      <c r="B1779" s="10">
        <v>29.92</v>
      </c>
      <c r="C1779" s="10">
        <v>10.97</v>
      </c>
      <c r="D1779" s="16" t="s">
        <v>4682</v>
      </c>
      <c r="E1779" s="10" t="s">
        <v>4684</v>
      </c>
      <c r="F1779" s="10" t="s">
        <v>4683</v>
      </c>
      <c r="G1779" s="10" t="s">
        <v>4683</v>
      </c>
      <c r="H1779" s="14">
        <v>1</v>
      </c>
      <c r="I1779" s="10" t="s">
        <v>4683</v>
      </c>
      <c r="J1779" s="10" t="str">
        <f t="shared" si="7"/>
        <v>normalweight</v>
      </c>
      <c r="L1779" s="30" t="e">
        <v>#N/A</v>
      </c>
    </row>
    <row r="1780" spans="1:12" ht="15.75" customHeight="1" x14ac:dyDescent="0.3">
      <c r="A1780" s="10" t="s">
        <v>1118</v>
      </c>
      <c r="B1780" s="10">
        <v>26.2</v>
      </c>
      <c r="C1780" s="10">
        <v>10.93</v>
      </c>
      <c r="D1780" s="16" t="s">
        <v>4682</v>
      </c>
      <c r="E1780" s="10" t="s">
        <v>4684</v>
      </c>
      <c r="F1780" s="10" t="s">
        <v>4683</v>
      </c>
      <c r="G1780" s="10" t="s">
        <v>4683</v>
      </c>
      <c r="H1780" s="14">
        <v>1</v>
      </c>
      <c r="I1780" s="10" t="s">
        <v>4683</v>
      </c>
      <c r="J1780" s="10" t="str">
        <f t="shared" si="7"/>
        <v>normalweight</v>
      </c>
      <c r="L1780" s="30" t="e">
        <v>#N/A</v>
      </c>
    </row>
    <row r="1781" spans="1:12" ht="15.75" customHeight="1" x14ac:dyDescent="0.3">
      <c r="A1781" s="10" t="s">
        <v>1116</v>
      </c>
      <c r="B1781" s="10">
        <v>26.695</v>
      </c>
      <c r="C1781" s="10">
        <v>4.21</v>
      </c>
      <c r="D1781" s="10" t="s">
        <v>4685</v>
      </c>
      <c r="E1781" s="10" t="s">
        <v>4684</v>
      </c>
      <c r="F1781" s="10" t="s">
        <v>4683</v>
      </c>
      <c r="G1781" s="10" t="s">
        <v>4686</v>
      </c>
      <c r="H1781" s="14">
        <v>1</v>
      </c>
      <c r="I1781" s="10" t="s">
        <v>4683</v>
      </c>
      <c r="J1781" s="10" t="str">
        <f t="shared" si="7"/>
        <v>normalweight</v>
      </c>
      <c r="L1781" s="30" t="e">
        <v>#N/A</v>
      </c>
    </row>
    <row r="1782" spans="1:12" ht="15.75" customHeight="1" x14ac:dyDescent="0.3">
      <c r="A1782" s="10" t="s">
        <v>1114</v>
      </c>
      <c r="B1782" s="10">
        <v>23.16</v>
      </c>
      <c r="C1782" s="10">
        <v>5.5</v>
      </c>
      <c r="D1782" s="10" t="s">
        <v>4685</v>
      </c>
      <c r="E1782" s="10" t="s">
        <v>4683</v>
      </c>
      <c r="F1782" s="10" t="s">
        <v>4683</v>
      </c>
      <c r="G1782" s="10" t="s">
        <v>4683</v>
      </c>
      <c r="H1782" s="14">
        <v>0</v>
      </c>
      <c r="I1782" s="10" t="s">
        <v>4683</v>
      </c>
      <c r="J1782" s="10" t="str">
        <f t="shared" si="7"/>
        <v>normalweight</v>
      </c>
      <c r="L1782" s="30" t="e">
        <v>#N/A</v>
      </c>
    </row>
    <row r="1783" spans="1:12" ht="15.75" customHeight="1" x14ac:dyDescent="0.3">
      <c r="A1783" s="10" t="s">
        <v>1112</v>
      </c>
      <c r="B1783" s="10">
        <v>32.585000000000001</v>
      </c>
      <c r="C1783" s="10">
        <v>4.93</v>
      </c>
      <c r="D1783" s="10" t="s">
        <v>4685</v>
      </c>
      <c r="E1783" s="10" t="s">
        <v>4684</v>
      </c>
      <c r="F1783" s="10" t="s">
        <v>4683</v>
      </c>
      <c r="G1783" s="10" t="s">
        <v>4683</v>
      </c>
      <c r="H1783" s="14">
        <v>1</v>
      </c>
      <c r="I1783" s="10" t="s">
        <v>4683</v>
      </c>
      <c r="J1783" s="10" t="str">
        <f t="shared" si="7"/>
        <v>normalweight</v>
      </c>
      <c r="L1783" s="30" t="e">
        <v>#N/A</v>
      </c>
    </row>
    <row r="1784" spans="1:12" ht="15.75" customHeight="1" x14ac:dyDescent="0.3">
      <c r="A1784" s="10" t="s">
        <v>1110</v>
      </c>
      <c r="B1784" s="10">
        <v>33.97</v>
      </c>
      <c r="C1784" s="10">
        <v>5.6</v>
      </c>
      <c r="D1784" s="10" t="s">
        <v>4685</v>
      </c>
      <c r="E1784" s="10" t="s">
        <v>4684</v>
      </c>
      <c r="F1784" s="10" t="s">
        <v>4683</v>
      </c>
      <c r="G1784" s="10" t="s">
        <v>4683</v>
      </c>
      <c r="H1784" s="14">
        <v>0</v>
      </c>
      <c r="I1784" s="10" t="s">
        <v>4683</v>
      </c>
      <c r="J1784" s="10" t="str">
        <f t="shared" si="7"/>
        <v>normalweight</v>
      </c>
      <c r="L1784" s="30" t="e">
        <v>#N/A</v>
      </c>
    </row>
    <row r="1785" spans="1:12" ht="15.75" customHeight="1" x14ac:dyDescent="0.3">
      <c r="A1785" s="10" t="s">
        <v>1108</v>
      </c>
      <c r="B1785" s="10">
        <v>16.57</v>
      </c>
      <c r="C1785" s="10">
        <v>9.99</v>
      </c>
      <c r="D1785" s="16" t="s">
        <v>4682</v>
      </c>
      <c r="E1785" s="10" t="s">
        <v>4683</v>
      </c>
      <c r="F1785" s="10" t="s">
        <v>4683</v>
      </c>
      <c r="G1785" s="10" t="s">
        <v>4683</v>
      </c>
      <c r="H1785" s="14">
        <v>0</v>
      </c>
      <c r="I1785" s="10" t="s">
        <v>4683</v>
      </c>
      <c r="J1785" s="10" t="str">
        <f t="shared" si="7"/>
        <v>underweight</v>
      </c>
      <c r="L1785" s="30" t="e">
        <v>#N/A</v>
      </c>
    </row>
    <row r="1786" spans="1:12" ht="15.75" customHeight="1" x14ac:dyDescent="0.3">
      <c r="A1786" s="10" t="s">
        <v>1106</v>
      </c>
      <c r="B1786" s="10">
        <v>17.55</v>
      </c>
      <c r="C1786" s="10">
        <v>5.93</v>
      </c>
      <c r="D1786" s="10" t="s">
        <v>4685</v>
      </c>
      <c r="E1786" s="10" t="s">
        <v>4683</v>
      </c>
      <c r="F1786" s="10" t="s">
        <v>4683</v>
      </c>
      <c r="G1786" s="10" t="s">
        <v>4686</v>
      </c>
      <c r="H1786" s="14">
        <v>1</v>
      </c>
      <c r="I1786" s="10" t="s">
        <v>4683</v>
      </c>
      <c r="J1786" s="10" t="str">
        <f t="shared" si="7"/>
        <v>underweight</v>
      </c>
      <c r="L1786" s="30" t="e">
        <v>#N/A</v>
      </c>
    </row>
    <row r="1787" spans="1:12" ht="15.75" customHeight="1" x14ac:dyDescent="0.3">
      <c r="A1787" s="10" t="s">
        <v>1104</v>
      </c>
      <c r="B1787" s="10">
        <v>29.41</v>
      </c>
      <c r="C1787" s="10">
        <v>6.29</v>
      </c>
      <c r="D1787" s="10" t="s">
        <v>4685</v>
      </c>
      <c r="E1787" s="10" t="s">
        <v>4684</v>
      </c>
      <c r="F1787" s="10" t="s">
        <v>4683</v>
      </c>
      <c r="G1787" s="10" t="s">
        <v>4683</v>
      </c>
      <c r="H1787" s="14">
        <v>1</v>
      </c>
      <c r="I1787" s="10" t="s">
        <v>4683</v>
      </c>
      <c r="J1787" s="10" t="str">
        <f t="shared" si="7"/>
        <v>normalweight</v>
      </c>
      <c r="L1787" s="30" t="e">
        <v>#N/A</v>
      </c>
    </row>
    <row r="1788" spans="1:12" ht="15.75" customHeight="1" x14ac:dyDescent="0.3">
      <c r="A1788" s="10" t="s">
        <v>1102</v>
      </c>
      <c r="B1788" s="10">
        <v>17.91</v>
      </c>
      <c r="C1788" s="10">
        <v>5.65</v>
      </c>
      <c r="D1788" s="10" t="s">
        <v>4685</v>
      </c>
      <c r="E1788" s="10" t="s">
        <v>4683</v>
      </c>
      <c r="F1788" s="10" t="s">
        <v>4683</v>
      </c>
      <c r="G1788" s="10" t="s">
        <v>4683</v>
      </c>
      <c r="H1788" s="14">
        <v>1</v>
      </c>
      <c r="I1788" s="10" t="s">
        <v>4683</v>
      </c>
      <c r="J1788" s="10" t="str">
        <f t="shared" si="7"/>
        <v>underweight</v>
      </c>
      <c r="L1788" s="30" t="e">
        <v>#N/A</v>
      </c>
    </row>
    <row r="1789" spans="1:12" ht="15.75" customHeight="1" x14ac:dyDescent="0.3">
      <c r="A1789" s="10" t="s">
        <v>1100</v>
      </c>
      <c r="B1789" s="10">
        <v>31.57</v>
      </c>
      <c r="C1789" s="10">
        <v>6.15</v>
      </c>
      <c r="D1789" s="10" t="s">
        <v>4685</v>
      </c>
      <c r="E1789" s="10" t="s">
        <v>4683</v>
      </c>
      <c r="F1789" s="10" t="s">
        <v>4683</v>
      </c>
      <c r="G1789" s="10" t="s">
        <v>4683</v>
      </c>
      <c r="H1789" s="14">
        <v>1</v>
      </c>
      <c r="I1789" s="10" t="s">
        <v>4683</v>
      </c>
      <c r="J1789" s="10" t="str">
        <f t="shared" si="7"/>
        <v>normalweight</v>
      </c>
      <c r="L1789" s="30" t="e">
        <v>#N/A</v>
      </c>
    </row>
    <row r="1790" spans="1:12" ht="15.75" customHeight="1" x14ac:dyDescent="0.3">
      <c r="A1790" s="10" t="s">
        <v>1098</v>
      </c>
      <c r="B1790" s="10">
        <v>33.18</v>
      </c>
      <c r="C1790" s="10">
        <v>5.22</v>
      </c>
      <c r="D1790" s="10" t="s">
        <v>4685</v>
      </c>
      <c r="E1790" s="10" t="s">
        <v>4683</v>
      </c>
      <c r="F1790" s="10" t="s">
        <v>4684</v>
      </c>
      <c r="G1790" s="10" t="s">
        <v>4683</v>
      </c>
      <c r="H1790" s="14">
        <v>1</v>
      </c>
      <c r="I1790" s="10" t="s">
        <v>4683</v>
      </c>
      <c r="J1790" s="10" t="str">
        <f t="shared" si="7"/>
        <v>normalweight</v>
      </c>
      <c r="L1790" s="30" t="e">
        <v>#N/A</v>
      </c>
    </row>
    <row r="1791" spans="1:12" ht="15.75" customHeight="1" x14ac:dyDescent="0.3">
      <c r="A1791" s="10" t="s">
        <v>1096</v>
      </c>
      <c r="B1791" s="10">
        <v>37</v>
      </c>
      <c r="C1791" s="10">
        <v>11.66</v>
      </c>
      <c r="D1791" s="16" t="s">
        <v>4682</v>
      </c>
      <c r="E1791" s="10" t="s">
        <v>4683</v>
      </c>
      <c r="F1791" s="10" t="s">
        <v>4683</v>
      </c>
      <c r="G1791" s="10" t="s">
        <v>4683</v>
      </c>
      <c r="H1791" s="14">
        <v>0</v>
      </c>
      <c r="I1791" s="10" t="s">
        <v>4683</v>
      </c>
      <c r="J1791" s="10" t="str">
        <f t="shared" si="7"/>
        <v>normalweight</v>
      </c>
      <c r="L1791" s="30" t="e">
        <v>#N/A</v>
      </c>
    </row>
    <row r="1792" spans="1:12" ht="15.75" customHeight="1" x14ac:dyDescent="0.3">
      <c r="A1792" s="10" t="s">
        <v>1094</v>
      </c>
      <c r="B1792" s="10">
        <v>18.905000000000001</v>
      </c>
      <c r="C1792" s="10">
        <v>4.91</v>
      </c>
      <c r="D1792" s="10" t="s">
        <v>4685</v>
      </c>
      <c r="E1792" s="10" t="s">
        <v>4684</v>
      </c>
      <c r="F1792" s="10" t="s">
        <v>4683</v>
      </c>
      <c r="G1792" s="10" t="s">
        <v>4683</v>
      </c>
      <c r="H1792" s="14">
        <v>1</v>
      </c>
      <c r="I1792" s="10" t="s">
        <v>4683</v>
      </c>
      <c r="J1792" s="10" t="str">
        <f t="shared" si="7"/>
        <v>normalweight</v>
      </c>
      <c r="L1792" s="30" t="e">
        <v>#N/A</v>
      </c>
    </row>
    <row r="1793" spans="1:12" ht="15.75" customHeight="1" x14ac:dyDescent="0.3">
      <c r="A1793" s="10" t="s">
        <v>1092</v>
      </c>
      <c r="B1793" s="10">
        <v>20.03</v>
      </c>
      <c r="C1793" s="10">
        <v>9.25</v>
      </c>
      <c r="D1793" s="16" t="s">
        <v>4682</v>
      </c>
      <c r="E1793" s="10" t="s">
        <v>4684</v>
      </c>
      <c r="F1793" s="10" t="s">
        <v>4683</v>
      </c>
      <c r="G1793" s="10" t="s">
        <v>4683</v>
      </c>
      <c r="H1793" s="14">
        <v>0</v>
      </c>
      <c r="I1793" s="10" t="s">
        <v>4683</v>
      </c>
      <c r="J1793" s="10" t="str">
        <f t="shared" si="7"/>
        <v>normalweight</v>
      </c>
      <c r="L1793" s="30" t="e">
        <v>#N/A</v>
      </c>
    </row>
    <row r="1794" spans="1:12" ht="15.75" customHeight="1" x14ac:dyDescent="0.3">
      <c r="A1794" s="10" t="s">
        <v>1090</v>
      </c>
      <c r="B1794" s="10">
        <v>16.7</v>
      </c>
      <c r="C1794" s="10">
        <v>11.48</v>
      </c>
      <c r="D1794" s="16" t="s">
        <v>4682</v>
      </c>
      <c r="E1794" s="10" t="s">
        <v>4683</v>
      </c>
      <c r="F1794" s="10" t="s">
        <v>4683</v>
      </c>
      <c r="G1794" s="10" t="s">
        <v>4683</v>
      </c>
      <c r="H1794" s="14">
        <v>0</v>
      </c>
      <c r="I1794" s="10" t="s">
        <v>4683</v>
      </c>
      <c r="J1794" s="10" t="str">
        <f t="shared" si="7"/>
        <v>underweight</v>
      </c>
      <c r="L1794" s="30" t="e">
        <v>#N/A</v>
      </c>
    </row>
    <row r="1795" spans="1:12" ht="15.75" customHeight="1" x14ac:dyDescent="0.3">
      <c r="A1795" s="10" t="s">
        <v>1088</v>
      </c>
      <c r="B1795" s="10">
        <v>39.82</v>
      </c>
      <c r="C1795" s="10">
        <v>6.06</v>
      </c>
      <c r="D1795" s="16" t="s">
        <v>4685</v>
      </c>
      <c r="E1795" s="10" t="s">
        <v>4683</v>
      </c>
      <c r="F1795" s="10" t="s">
        <v>4683</v>
      </c>
      <c r="G1795" s="10" t="s">
        <v>4683</v>
      </c>
      <c r="H1795" s="14">
        <v>0</v>
      </c>
      <c r="I1795" s="10" t="s">
        <v>4683</v>
      </c>
      <c r="J1795" s="10" t="str">
        <f t="shared" si="7"/>
        <v>normalweight</v>
      </c>
      <c r="L1795" s="30" t="e">
        <v>#N/A</v>
      </c>
    </row>
    <row r="1796" spans="1:12" ht="15.75" customHeight="1" x14ac:dyDescent="0.3">
      <c r="A1796" s="10" t="s">
        <v>1086</v>
      </c>
      <c r="B1796" s="10">
        <v>22.04</v>
      </c>
      <c r="C1796" s="10">
        <v>5.86</v>
      </c>
      <c r="D1796" s="16" t="s">
        <v>4685</v>
      </c>
      <c r="E1796" s="10" t="s">
        <v>4683</v>
      </c>
      <c r="F1796" s="10" t="s">
        <v>4683</v>
      </c>
      <c r="G1796" s="10" t="s">
        <v>4683</v>
      </c>
      <c r="H1796" s="14">
        <v>1</v>
      </c>
      <c r="I1796" s="10" t="s">
        <v>4683</v>
      </c>
      <c r="J1796" s="10" t="str">
        <f t="shared" si="7"/>
        <v>normalweight</v>
      </c>
      <c r="L1796" s="30" t="e">
        <v>#N/A</v>
      </c>
    </row>
    <row r="1797" spans="1:12" ht="15.75" customHeight="1" x14ac:dyDescent="0.3">
      <c r="A1797" s="10" t="s">
        <v>1084</v>
      </c>
      <c r="B1797" s="10">
        <v>28.27</v>
      </c>
      <c r="C1797" s="10">
        <v>5.33</v>
      </c>
      <c r="D1797" s="16" t="s">
        <v>4687</v>
      </c>
      <c r="E1797" s="10" t="s">
        <v>4683</v>
      </c>
      <c r="F1797" s="10" t="s">
        <v>4683</v>
      </c>
      <c r="G1797" s="10" t="s">
        <v>4683</v>
      </c>
      <c r="H1797" s="14">
        <v>0</v>
      </c>
      <c r="I1797" s="10" t="s">
        <v>4683</v>
      </c>
      <c r="J1797" s="10" t="str">
        <f t="shared" si="7"/>
        <v>normalweight</v>
      </c>
      <c r="L1797" s="30" t="e">
        <v>#N/A</v>
      </c>
    </row>
    <row r="1798" spans="1:12" ht="15.75" customHeight="1" x14ac:dyDescent="0.3">
      <c r="A1798" s="10" t="s">
        <v>1082</v>
      </c>
      <c r="B1798" s="10">
        <v>18.5</v>
      </c>
      <c r="C1798" s="10">
        <v>5.33</v>
      </c>
      <c r="D1798" s="16" t="s">
        <v>4687</v>
      </c>
      <c r="E1798" s="10" t="s">
        <v>4683</v>
      </c>
      <c r="F1798" s="10" t="s">
        <v>4683</v>
      </c>
      <c r="G1798" s="10" t="s">
        <v>4683</v>
      </c>
      <c r="H1798" s="14">
        <v>0</v>
      </c>
      <c r="I1798" s="10" t="s">
        <v>4683</v>
      </c>
      <c r="J1798" s="10" t="str">
        <f t="shared" si="7"/>
        <v>underweight</v>
      </c>
      <c r="L1798" s="30" t="e">
        <v>#N/A</v>
      </c>
    </row>
    <row r="1799" spans="1:12" ht="15.75" customHeight="1" x14ac:dyDescent="0.3">
      <c r="A1799" s="10" t="s">
        <v>1080</v>
      </c>
      <c r="B1799" s="10">
        <v>38.6</v>
      </c>
      <c r="C1799" s="10">
        <v>6.02</v>
      </c>
      <c r="D1799" s="16" t="s">
        <v>4685</v>
      </c>
      <c r="E1799" s="10" t="s">
        <v>4683</v>
      </c>
      <c r="F1799" s="10" t="s">
        <v>4683</v>
      </c>
      <c r="G1799" s="10" t="s">
        <v>4683</v>
      </c>
      <c r="H1799" s="14">
        <v>1</v>
      </c>
      <c r="I1799" s="10" t="s">
        <v>4683</v>
      </c>
      <c r="J1799" s="10" t="str">
        <f t="shared" si="7"/>
        <v>normalweight</v>
      </c>
      <c r="L1799" s="30" t="e">
        <v>#N/A</v>
      </c>
    </row>
    <row r="1800" spans="1:12" ht="15.75" customHeight="1" x14ac:dyDescent="0.3">
      <c r="A1800" s="10" t="s">
        <v>1078</v>
      </c>
      <c r="B1800" s="10">
        <v>43.12</v>
      </c>
      <c r="C1800" s="10">
        <v>6.25</v>
      </c>
      <c r="D1800" s="16" t="s">
        <v>4685</v>
      </c>
      <c r="E1800" s="10" t="s">
        <v>4683</v>
      </c>
      <c r="F1800" s="10" t="s">
        <v>4683</v>
      </c>
      <c r="G1800" s="10" t="s">
        <v>4683</v>
      </c>
      <c r="H1800" s="14">
        <v>1</v>
      </c>
      <c r="I1800" s="10" t="s">
        <v>4683</v>
      </c>
      <c r="J1800" s="10" t="str">
        <f t="shared" si="7"/>
        <v>normalweight</v>
      </c>
      <c r="L1800" s="30" t="e">
        <v>#N/A</v>
      </c>
    </row>
    <row r="1801" spans="1:12" ht="15.75" customHeight="1" x14ac:dyDescent="0.3">
      <c r="A1801" s="10" t="s">
        <v>1076</v>
      </c>
      <c r="B1801" s="10">
        <v>30.5</v>
      </c>
      <c r="C1801" s="10">
        <v>4.8099999999999996</v>
      </c>
      <c r="D1801" s="16" t="s">
        <v>4687</v>
      </c>
      <c r="E1801" s="10" t="s">
        <v>4683</v>
      </c>
      <c r="F1801" s="10" t="s">
        <v>4683</v>
      </c>
      <c r="G1801" s="10" t="s">
        <v>4683</v>
      </c>
      <c r="H1801" s="14">
        <v>1</v>
      </c>
      <c r="I1801" s="10" t="s">
        <v>4683</v>
      </c>
      <c r="J1801" s="10" t="str">
        <f t="shared" si="7"/>
        <v>normalweight</v>
      </c>
      <c r="L1801" s="30" t="e">
        <v>#N/A</v>
      </c>
    </row>
    <row r="1802" spans="1:12" ht="15.75" customHeight="1" x14ac:dyDescent="0.3">
      <c r="A1802" s="10" t="s">
        <v>1074</v>
      </c>
      <c r="B1802" s="10">
        <v>27.61</v>
      </c>
      <c r="C1802" s="10">
        <v>4.5999999999999996</v>
      </c>
      <c r="D1802" s="16" t="s">
        <v>4687</v>
      </c>
      <c r="E1802" s="10" t="s">
        <v>4683</v>
      </c>
      <c r="F1802" s="10" t="s">
        <v>4683</v>
      </c>
      <c r="G1802" s="10" t="s">
        <v>4683</v>
      </c>
      <c r="H1802" s="14">
        <v>1</v>
      </c>
      <c r="I1802" s="10" t="s">
        <v>4683</v>
      </c>
      <c r="J1802" s="10" t="str">
        <f t="shared" si="7"/>
        <v>normalweight</v>
      </c>
      <c r="L1802" s="30" t="e">
        <v>#N/A</v>
      </c>
    </row>
    <row r="1803" spans="1:12" ht="15.75" customHeight="1" x14ac:dyDescent="0.3">
      <c r="A1803" s="10" t="s">
        <v>1072</v>
      </c>
      <c r="B1803" s="10">
        <v>27.1</v>
      </c>
      <c r="C1803" s="10">
        <v>5.08</v>
      </c>
      <c r="D1803" s="16" t="s">
        <v>4687</v>
      </c>
      <c r="E1803" s="10" t="s">
        <v>4683</v>
      </c>
      <c r="F1803" s="10" t="s">
        <v>4683</v>
      </c>
      <c r="G1803" s="10" t="s">
        <v>4683</v>
      </c>
      <c r="H1803" s="14">
        <v>1</v>
      </c>
      <c r="I1803" s="10" t="s">
        <v>4683</v>
      </c>
      <c r="J1803" s="10" t="str">
        <f t="shared" si="7"/>
        <v>normalweight</v>
      </c>
      <c r="L1803" s="30" t="e">
        <v>#N/A</v>
      </c>
    </row>
    <row r="1804" spans="1:12" ht="15.75" customHeight="1" x14ac:dyDescent="0.3">
      <c r="A1804" s="10" t="s">
        <v>1070</v>
      </c>
      <c r="B1804" s="10">
        <v>35.93</v>
      </c>
      <c r="C1804" s="10">
        <v>5.43</v>
      </c>
      <c r="D1804" s="16" t="s">
        <v>4687</v>
      </c>
      <c r="E1804" s="10" t="s">
        <v>4683</v>
      </c>
      <c r="F1804" s="10" t="s">
        <v>4684</v>
      </c>
      <c r="G1804" s="10" t="s">
        <v>4683</v>
      </c>
      <c r="H1804" s="14">
        <v>1</v>
      </c>
      <c r="I1804" s="10" t="s">
        <v>4683</v>
      </c>
      <c r="J1804" s="10" t="str">
        <f t="shared" si="7"/>
        <v>normalweight</v>
      </c>
      <c r="L1804" s="30" t="e">
        <v>#N/A</v>
      </c>
    </row>
    <row r="1805" spans="1:12" ht="15.75" customHeight="1" x14ac:dyDescent="0.3">
      <c r="A1805" s="10" t="s">
        <v>1068</v>
      </c>
      <c r="B1805" s="10">
        <v>32.68</v>
      </c>
      <c r="C1805" s="10">
        <v>5.44</v>
      </c>
      <c r="D1805" s="16" t="s">
        <v>4687</v>
      </c>
      <c r="E1805" s="10" t="s">
        <v>4683</v>
      </c>
      <c r="F1805" s="10" t="s">
        <v>4683</v>
      </c>
      <c r="G1805" s="10" t="s">
        <v>4683</v>
      </c>
      <c r="H1805" s="14">
        <v>0</v>
      </c>
      <c r="I1805" s="10" t="s">
        <v>4683</v>
      </c>
      <c r="J1805" s="10" t="str">
        <f t="shared" ref="J1805:J2059" si="8">IF(B1805&lt;=18.5,"underweight",IF(B1805&gt;=18.5-24.9,"normalweight",IF(B1805&gt;=25-29.9,"overweight","obesity")))</f>
        <v>normalweight</v>
      </c>
      <c r="L1805" s="30" t="e">
        <v>#N/A</v>
      </c>
    </row>
    <row r="1806" spans="1:12" ht="15.75" customHeight="1" x14ac:dyDescent="0.3">
      <c r="A1806" s="10" t="s">
        <v>1066</v>
      </c>
      <c r="B1806" s="10">
        <v>20.74</v>
      </c>
      <c r="C1806" s="10">
        <v>11.69</v>
      </c>
      <c r="D1806" s="16" t="s">
        <v>4682</v>
      </c>
      <c r="E1806" s="10" t="s">
        <v>4684</v>
      </c>
      <c r="F1806" s="10" t="s">
        <v>4683</v>
      </c>
      <c r="G1806" s="10" t="s">
        <v>4683</v>
      </c>
      <c r="H1806" s="14">
        <v>1</v>
      </c>
      <c r="I1806" s="10" t="s">
        <v>4683</v>
      </c>
      <c r="J1806" s="10" t="str">
        <f t="shared" si="8"/>
        <v>normalweight</v>
      </c>
      <c r="L1806" s="30" t="e">
        <v>#N/A</v>
      </c>
    </row>
    <row r="1807" spans="1:12" ht="15.75" customHeight="1" x14ac:dyDescent="0.3">
      <c r="A1807" s="10" t="s">
        <v>1064</v>
      </c>
      <c r="B1807" s="10">
        <v>15.57</v>
      </c>
      <c r="C1807" s="10">
        <v>6.07</v>
      </c>
      <c r="D1807" s="16" t="s">
        <v>4685</v>
      </c>
      <c r="E1807" s="10" t="s">
        <v>4683</v>
      </c>
      <c r="F1807" s="10" t="s">
        <v>4683</v>
      </c>
      <c r="G1807" s="10" t="s">
        <v>4683</v>
      </c>
      <c r="H1807" s="14">
        <v>0</v>
      </c>
      <c r="I1807" s="10" t="s">
        <v>4683</v>
      </c>
      <c r="J1807" s="10" t="str">
        <f t="shared" si="8"/>
        <v>underweight</v>
      </c>
      <c r="L1807" s="30" t="e">
        <v>#N/A</v>
      </c>
    </row>
    <row r="1808" spans="1:12" ht="15.75" customHeight="1" x14ac:dyDescent="0.3">
      <c r="A1808" s="10" t="s">
        <v>1062</v>
      </c>
      <c r="B1808" s="10">
        <v>23.844999999999999</v>
      </c>
      <c r="C1808" s="10">
        <v>4.3600000000000003</v>
      </c>
      <c r="D1808" s="16" t="s">
        <v>4687</v>
      </c>
      <c r="E1808" s="10" t="s">
        <v>4683</v>
      </c>
      <c r="F1808" s="10" t="s">
        <v>4683</v>
      </c>
      <c r="G1808" s="10" t="s">
        <v>4683</v>
      </c>
      <c r="H1808" s="14">
        <v>0</v>
      </c>
      <c r="I1808" s="10" t="s">
        <v>4683</v>
      </c>
      <c r="J1808" s="10" t="str">
        <f t="shared" si="8"/>
        <v>normalweight</v>
      </c>
      <c r="L1808" s="30" t="e">
        <v>#N/A</v>
      </c>
    </row>
    <row r="1809" spans="1:12" ht="15.75" customHeight="1" x14ac:dyDescent="0.3">
      <c r="A1809" s="10" t="s">
        <v>1060</v>
      </c>
      <c r="B1809" s="10">
        <v>22.895</v>
      </c>
      <c r="C1809" s="10">
        <v>5.24</v>
      </c>
      <c r="D1809" s="16" t="s">
        <v>4687</v>
      </c>
      <c r="E1809" s="10" t="s">
        <v>4683</v>
      </c>
      <c r="F1809" s="10" t="s">
        <v>4683</v>
      </c>
      <c r="G1809" s="10" t="s">
        <v>4683</v>
      </c>
      <c r="H1809" s="14">
        <v>1</v>
      </c>
      <c r="I1809" s="10" t="s">
        <v>4683</v>
      </c>
      <c r="J1809" s="10" t="str">
        <f t="shared" si="8"/>
        <v>normalweight</v>
      </c>
      <c r="L1809" s="30" t="e">
        <v>#N/A</v>
      </c>
    </row>
    <row r="1810" spans="1:12" ht="15.75" customHeight="1" x14ac:dyDescent="0.3">
      <c r="A1810" s="10" t="s">
        <v>1058</v>
      </c>
      <c r="B1810" s="10">
        <v>21.945</v>
      </c>
      <c r="C1810" s="10">
        <v>5.37</v>
      </c>
      <c r="D1810" s="16" t="s">
        <v>4687</v>
      </c>
      <c r="E1810" s="10" t="s">
        <v>4683</v>
      </c>
      <c r="F1810" s="10" t="s">
        <v>4683</v>
      </c>
      <c r="G1810" s="10" t="s">
        <v>4683</v>
      </c>
      <c r="H1810" s="14">
        <v>1</v>
      </c>
      <c r="I1810" s="10" t="s">
        <v>4683</v>
      </c>
      <c r="J1810" s="10" t="str">
        <f t="shared" si="8"/>
        <v>normalweight</v>
      </c>
      <c r="L1810" s="30" t="e">
        <v>#N/A</v>
      </c>
    </row>
    <row r="1811" spans="1:12" ht="15.75" customHeight="1" x14ac:dyDescent="0.3">
      <c r="A1811" s="10" t="s">
        <v>1056</v>
      </c>
      <c r="B1811" s="10">
        <v>19.47</v>
      </c>
      <c r="C1811" s="10">
        <v>6.6</v>
      </c>
      <c r="D1811" s="16" t="s">
        <v>4685</v>
      </c>
      <c r="E1811" s="10" t="s">
        <v>4684</v>
      </c>
      <c r="F1811" s="10" t="s">
        <v>4683</v>
      </c>
      <c r="G1811" s="10" t="s">
        <v>4683</v>
      </c>
      <c r="H1811" s="14">
        <v>0</v>
      </c>
      <c r="I1811" s="10" t="s">
        <v>4683</v>
      </c>
      <c r="J1811" s="10" t="str">
        <f t="shared" si="8"/>
        <v>normalweight</v>
      </c>
      <c r="L1811" s="30" t="e">
        <v>#N/A</v>
      </c>
    </row>
    <row r="1812" spans="1:12" ht="15.75" customHeight="1" x14ac:dyDescent="0.3">
      <c r="A1812" s="10" t="s">
        <v>1054</v>
      </c>
      <c r="B1812" s="10">
        <v>15.61</v>
      </c>
      <c r="C1812" s="10">
        <v>5.77</v>
      </c>
      <c r="D1812" s="16" t="s">
        <v>4685</v>
      </c>
      <c r="E1812" s="10" t="s">
        <v>4683</v>
      </c>
      <c r="F1812" s="10" t="s">
        <v>4683</v>
      </c>
      <c r="G1812" s="10" t="s">
        <v>4683</v>
      </c>
      <c r="H1812" s="14">
        <v>0</v>
      </c>
      <c r="I1812" s="10" t="s">
        <v>4683</v>
      </c>
      <c r="J1812" s="10" t="str">
        <f t="shared" si="8"/>
        <v>underweight</v>
      </c>
      <c r="L1812" s="30" t="e">
        <v>#N/A</v>
      </c>
    </row>
    <row r="1813" spans="1:12" ht="15.75" customHeight="1" x14ac:dyDescent="0.3">
      <c r="A1813" s="10" t="s">
        <v>1052</v>
      </c>
      <c r="B1813" s="10">
        <v>28.6</v>
      </c>
      <c r="C1813" s="10">
        <v>6.08</v>
      </c>
      <c r="D1813" s="16" t="s">
        <v>4685</v>
      </c>
      <c r="E1813" s="10" t="s">
        <v>4683</v>
      </c>
      <c r="F1813" s="10" t="s">
        <v>4683</v>
      </c>
      <c r="G1813" s="10" t="s">
        <v>4686</v>
      </c>
      <c r="H1813" s="14">
        <v>1</v>
      </c>
      <c r="I1813" s="10" t="s">
        <v>4683</v>
      </c>
      <c r="J1813" s="10" t="str">
        <f t="shared" si="8"/>
        <v>normalweight</v>
      </c>
      <c r="L1813" s="30" t="e">
        <v>#N/A</v>
      </c>
    </row>
    <row r="1814" spans="1:12" ht="15.75" customHeight="1" x14ac:dyDescent="0.3">
      <c r="A1814" s="10" t="s">
        <v>1050</v>
      </c>
      <c r="B1814" s="10">
        <v>46.53</v>
      </c>
      <c r="C1814" s="10">
        <v>4.16</v>
      </c>
      <c r="D1814" s="16" t="s">
        <v>4687</v>
      </c>
      <c r="E1814" s="10" t="s">
        <v>4683</v>
      </c>
      <c r="F1814" s="10" t="s">
        <v>4683</v>
      </c>
      <c r="G1814" s="10" t="s">
        <v>4683</v>
      </c>
      <c r="H1814" s="14">
        <v>0</v>
      </c>
      <c r="I1814" s="10" t="s">
        <v>4683</v>
      </c>
      <c r="J1814" s="10" t="str">
        <f t="shared" si="8"/>
        <v>normalweight</v>
      </c>
      <c r="L1814" s="30" t="e">
        <v>#N/A</v>
      </c>
    </row>
    <row r="1815" spans="1:12" ht="15.75" customHeight="1" x14ac:dyDescent="0.3">
      <c r="A1815" s="10" t="s">
        <v>1048</v>
      </c>
      <c r="B1815" s="10">
        <v>34.99</v>
      </c>
      <c r="C1815" s="10">
        <v>5.0999999999999996</v>
      </c>
      <c r="D1815" s="16" t="s">
        <v>4687</v>
      </c>
      <c r="E1815" s="10" t="s">
        <v>4683</v>
      </c>
      <c r="F1815" s="10" t="s">
        <v>4683</v>
      </c>
      <c r="G1815" s="10" t="s">
        <v>4686</v>
      </c>
      <c r="H1815" s="14">
        <v>1</v>
      </c>
      <c r="I1815" s="10" t="s">
        <v>4683</v>
      </c>
      <c r="J1815" s="10" t="str">
        <f t="shared" si="8"/>
        <v>normalweight</v>
      </c>
      <c r="L1815" s="30" t="e">
        <v>#N/A</v>
      </c>
    </row>
    <row r="1816" spans="1:12" ht="15.75" customHeight="1" x14ac:dyDescent="0.3">
      <c r="A1816" s="10" t="s">
        <v>1046</v>
      </c>
      <c r="B1816" s="10">
        <v>17.05</v>
      </c>
      <c r="C1816" s="10">
        <v>5.3</v>
      </c>
      <c r="D1816" s="16" t="s">
        <v>4687</v>
      </c>
      <c r="E1816" s="10" t="s">
        <v>4683</v>
      </c>
      <c r="F1816" s="10" t="s">
        <v>4683</v>
      </c>
      <c r="G1816" s="10" t="s">
        <v>4686</v>
      </c>
      <c r="H1816" s="14">
        <v>1</v>
      </c>
      <c r="I1816" s="10" t="s">
        <v>4683</v>
      </c>
      <c r="J1816" s="10" t="str">
        <f t="shared" si="8"/>
        <v>underweight</v>
      </c>
      <c r="L1816" s="30" t="e">
        <v>#N/A</v>
      </c>
    </row>
    <row r="1817" spans="1:12" ht="15.75" customHeight="1" x14ac:dyDescent="0.3">
      <c r="A1817" s="10" t="s">
        <v>1044</v>
      </c>
      <c r="B1817" s="10">
        <v>37.18</v>
      </c>
      <c r="C1817" s="10">
        <v>4.9000000000000004</v>
      </c>
      <c r="D1817" s="16" t="s">
        <v>4687</v>
      </c>
      <c r="E1817" s="10" t="s">
        <v>4683</v>
      </c>
      <c r="F1817" s="10" t="s">
        <v>4683</v>
      </c>
      <c r="G1817" s="10" t="s">
        <v>4683</v>
      </c>
      <c r="H1817" s="14">
        <v>0</v>
      </c>
      <c r="I1817" s="10" t="s">
        <v>4683</v>
      </c>
      <c r="J1817" s="10" t="str">
        <f t="shared" si="8"/>
        <v>normalweight</v>
      </c>
      <c r="L1817" s="30" t="e">
        <v>#N/A</v>
      </c>
    </row>
    <row r="1818" spans="1:12" ht="15.75" customHeight="1" x14ac:dyDescent="0.3">
      <c r="A1818" s="10" t="s">
        <v>1042</v>
      </c>
      <c r="B1818" s="10">
        <v>35.200000000000003</v>
      </c>
      <c r="C1818" s="10">
        <v>5.55</v>
      </c>
      <c r="D1818" s="16" t="s">
        <v>4687</v>
      </c>
      <c r="E1818" s="10" t="s">
        <v>4683</v>
      </c>
      <c r="F1818" s="10" t="s">
        <v>4683</v>
      </c>
      <c r="G1818" s="10" t="s">
        <v>4683</v>
      </c>
      <c r="H1818" s="14">
        <v>0</v>
      </c>
      <c r="I1818" s="10" t="s">
        <v>4683</v>
      </c>
      <c r="J1818" s="10" t="str">
        <f t="shared" si="8"/>
        <v>normalweight</v>
      </c>
      <c r="L1818" s="30" t="e">
        <v>#N/A</v>
      </c>
    </row>
    <row r="1819" spans="1:12" ht="15.75" customHeight="1" x14ac:dyDescent="0.3">
      <c r="A1819" s="10" t="s">
        <v>1040</v>
      </c>
      <c r="B1819" s="10">
        <v>37.335000000000001</v>
      </c>
      <c r="C1819" s="10">
        <v>4.95</v>
      </c>
      <c r="D1819" s="16" t="s">
        <v>4687</v>
      </c>
      <c r="E1819" s="10" t="s">
        <v>4683</v>
      </c>
      <c r="F1819" s="10" t="s">
        <v>4683</v>
      </c>
      <c r="G1819" s="10" t="s">
        <v>4683</v>
      </c>
      <c r="H1819" s="14">
        <v>0</v>
      </c>
      <c r="I1819" s="10" t="s">
        <v>4683</v>
      </c>
      <c r="J1819" s="10" t="str">
        <f t="shared" si="8"/>
        <v>normalweight</v>
      </c>
      <c r="L1819" s="30" t="e">
        <v>#N/A</v>
      </c>
    </row>
    <row r="1820" spans="1:12" ht="15.75" customHeight="1" x14ac:dyDescent="0.3">
      <c r="A1820" s="10" t="s">
        <v>1038</v>
      </c>
      <c r="B1820" s="10">
        <v>27.265000000000001</v>
      </c>
      <c r="C1820" s="10">
        <v>6.46</v>
      </c>
      <c r="D1820" s="16" t="s">
        <v>4685</v>
      </c>
      <c r="E1820" s="10" t="s">
        <v>4684</v>
      </c>
      <c r="F1820" s="10" t="s">
        <v>4683</v>
      </c>
      <c r="G1820" s="10" t="s">
        <v>4683</v>
      </c>
      <c r="H1820" s="14">
        <v>0</v>
      </c>
      <c r="I1820" s="10" t="s">
        <v>4683</v>
      </c>
      <c r="J1820" s="10" t="str">
        <f t="shared" si="8"/>
        <v>normalweight</v>
      </c>
      <c r="L1820" s="30" t="e">
        <v>#N/A</v>
      </c>
    </row>
    <row r="1821" spans="1:12" ht="15.75" customHeight="1" x14ac:dyDescent="0.3">
      <c r="A1821" s="10" t="s">
        <v>1036</v>
      </c>
      <c r="B1821" s="10">
        <v>30.8</v>
      </c>
      <c r="C1821" s="10">
        <v>4.9000000000000004</v>
      </c>
      <c r="D1821" s="16" t="s">
        <v>4687</v>
      </c>
      <c r="E1821" s="10" t="s">
        <v>4684</v>
      </c>
      <c r="F1821" s="10" t="s">
        <v>4683</v>
      </c>
      <c r="G1821" s="10" t="s">
        <v>4683</v>
      </c>
      <c r="H1821" s="14">
        <v>0</v>
      </c>
      <c r="I1821" s="10" t="s">
        <v>4683</v>
      </c>
      <c r="J1821" s="10" t="str">
        <f t="shared" si="8"/>
        <v>normalweight</v>
      </c>
      <c r="L1821" s="30" t="e">
        <v>#N/A</v>
      </c>
    </row>
    <row r="1822" spans="1:12" ht="15.75" customHeight="1" x14ac:dyDescent="0.3">
      <c r="A1822" s="10" t="s">
        <v>1034</v>
      </c>
      <c r="B1822" s="10">
        <v>30.21</v>
      </c>
      <c r="C1822" s="10">
        <v>5.21</v>
      </c>
      <c r="D1822" s="16" t="s">
        <v>4687</v>
      </c>
      <c r="E1822" s="10" t="s">
        <v>4683</v>
      </c>
      <c r="F1822" s="10" t="s">
        <v>4683</v>
      </c>
      <c r="G1822" s="10" t="s">
        <v>4683</v>
      </c>
      <c r="H1822" s="14">
        <v>1</v>
      </c>
      <c r="I1822" s="10" t="s">
        <v>4683</v>
      </c>
      <c r="J1822" s="10" t="str">
        <f t="shared" si="8"/>
        <v>normalweight</v>
      </c>
      <c r="L1822" s="30" t="e">
        <v>#N/A</v>
      </c>
    </row>
    <row r="1823" spans="1:12" ht="15.75" customHeight="1" x14ac:dyDescent="0.3">
      <c r="A1823" s="10" t="s">
        <v>1032</v>
      </c>
      <c r="B1823" s="10">
        <v>35.340000000000003</v>
      </c>
      <c r="C1823" s="10">
        <v>4.13</v>
      </c>
      <c r="D1823" s="16" t="s">
        <v>4687</v>
      </c>
      <c r="E1823" s="10" t="s">
        <v>4683</v>
      </c>
      <c r="F1823" s="10" t="s">
        <v>4684</v>
      </c>
      <c r="G1823" s="10" t="s">
        <v>4683</v>
      </c>
      <c r="H1823" s="14">
        <v>1</v>
      </c>
      <c r="I1823" s="10" t="s">
        <v>4683</v>
      </c>
      <c r="J1823" s="10" t="str">
        <f t="shared" si="8"/>
        <v>normalweight</v>
      </c>
      <c r="L1823" s="30" t="e">
        <v>#N/A</v>
      </c>
    </row>
    <row r="1824" spans="1:12" ht="15.75" customHeight="1" x14ac:dyDescent="0.3">
      <c r="A1824" s="10" t="s">
        <v>1030</v>
      </c>
      <c r="B1824" s="10">
        <v>26.695</v>
      </c>
      <c r="C1824" s="10">
        <v>5.28</v>
      </c>
      <c r="D1824" s="16" t="s">
        <v>4687</v>
      </c>
      <c r="E1824" s="10" t="s">
        <v>4683</v>
      </c>
      <c r="F1824" s="10" t="s">
        <v>4683</v>
      </c>
      <c r="G1824" s="10" t="s">
        <v>4683</v>
      </c>
      <c r="H1824" s="14">
        <v>0</v>
      </c>
      <c r="I1824" s="10" t="s">
        <v>4683</v>
      </c>
      <c r="J1824" s="10" t="str">
        <f t="shared" si="8"/>
        <v>normalweight</v>
      </c>
      <c r="L1824" s="30" t="e">
        <v>#N/A</v>
      </c>
    </row>
    <row r="1825" spans="1:12" ht="15.75" customHeight="1" x14ac:dyDescent="0.3">
      <c r="A1825" s="10" t="s">
        <v>1028</v>
      </c>
      <c r="B1825" s="10">
        <v>29.355</v>
      </c>
      <c r="C1825" s="10">
        <v>4.68</v>
      </c>
      <c r="D1825" s="16" t="s">
        <v>4687</v>
      </c>
      <c r="E1825" s="10" t="s">
        <v>4684</v>
      </c>
      <c r="F1825" s="10" t="s">
        <v>4683</v>
      </c>
      <c r="G1825" s="10" t="s">
        <v>4683</v>
      </c>
      <c r="H1825" s="14">
        <v>0</v>
      </c>
      <c r="I1825" s="10" t="s">
        <v>4683</v>
      </c>
      <c r="J1825" s="10" t="str">
        <f t="shared" si="8"/>
        <v>normalweight</v>
      </c>
      <c r="L1825" s="30" t="e">
        <v>#N/A</v>
      </c>
    </row>
    <row r="1826" spans="1:12" ht="15.75" customHeight="1" x14ac:dyDescent="0.3">
      <c r="A1826" s="10" t="s">
        <v>1026</v>
      </c>
      <c r="B1826" s="10">
        <v>29.59</v>
      </c>
      <c r="C1826" s="10">
        <v>4.0599999999999996</v>
      </c>
      <c r="D1826" s="16" t="s">
        <v>4687</v>
      </c>
      <c r="E1826" s="10" t="s">
        <v>4683</v>
      </c>
      <c r="F1826" s="10" t="s">
        <v>4683</v>
      </c>
      <c r="G1826" s="10" t="s">
        <v>4683</v>
      </c>
      <c r="H1826" s="14">
        <v>0</v>
      </c>
      <c r="I1826" s="10" t="s">
        <v>4683</v>
      </c>
      <c r="J1826" s="10" t="str">
        <f t="shared" si="8"/>
        <v>normalweight</v>
      </c>
      <c r="L1826" s="30" t="e">
        <v>#N/A</v>
      </c>
    </row>
    <row r="1827" spans="1:12" ht="15.75" customHeight="1" x14ac:dyDescent="0.3">
      <c r="A1827" s="10" t="s">
        <v>1024</v>
      </c>
      <c r="B1827" s="10">
        <v>31.35</v>
      </c>
      <c r="C1827" s="10">
        <v>4.2</v>
      </c>
      <c r="D1827" s="16" t="s">
        <v>4687</v>
      </c>
      <c r="E1827" s="10" t="s">
        <v>4683</v>
      </c>
      <c r="F1827" s="10" t="s">
        <v>4684</v>
      </c>
      <c r="G1827" s="10" t="s">
        <v>4683</v>
      </c>
      <c r="H1827" s="14">
        <v>1</v>
      </c>
      <c r="I1827" s="10" t="s">
        <v>4683</v>
      </c>
      <c r="J1827" s="10" t="str">
        <f t="shared" si="8"/>
        <v>normalweight</v>
      </c>
      <c r="L1827" s="30" t="e">
        <v>#N/A</v>
      </c>
    </row>
    <row r="1828" spans="1:12" ht="15.75" customHeight="1" x14ac:dyDescent="0.3">
      <c r="A1828" s="10" t="s">
        <v>1022</v>
      </c>
      <c r="B1828" s="10">
        <v>20.52</v>
      </c>
      <c r="C1828" s="10">
        <v>4.83</v>
      </c>
      <c r="D1828" s="16" t="s">
        <v>4687</v>
      </c>
      <c r="E1828" s="10" t="s">
        <v>4683</v>
      </c>
      <c r="F1828" s="10" t="s">
        <v>4683</v>
      </c>
      <c r="G1828" s="10" t="s">
        <v>4683</v>
      </c>
      <c r="H1828" s="14">
        <v>0</v>
      </c>
      <c r="I1828" s="10" t="s">
        <v>4683</v>
      </c>
      <c r="J1828" s="10" t="str">
        <f t="shared" si="8"/>
        <v>normalweight</v>
      </c>
      <c r="L1828" s="30" t="e">
        <v>#N/A</v>
      </c>
    </row>
    <row r="1829" spans="1:12" ht="15.75" customHeight="1" x14ac:dyDescent="0.3">
      <c r="A1829" s="10" t="s">
        <v>1020</v>
      </c>
      <c r="B1829" s="10">
        <v>42.9</v>
      </c>
      <c r="C1829" s="10">
        <v>4.87</v>
      </c>
      <c r="D1829" s="16" t="s">
        <v>4687</v>
      </c>
      <c r="E1829" s="10" t="s">
        <v>4684</v>
      </c>
      <c r="F1829" s="10" t="s">
        <v>4683</v>
      </c>
      <c r="G1829" s="10" t="s">
        <v>4683</v>
      </c>
      <c r="H1829" s="14">
        <v>1</v>
      </c>
      <c r="I1829" s="10" t="s">
        <v>4683</v>
      </c>
      <c r="J1829" s="10" t="str">
        <f t="shared" si="8"/>
        <v>normalweight</v>
      </c>
      <c r="L1829" s="30" t="e">
        <v>#N/A</v>
      </c>
    </row>
    <row r="1830" spans="1:12" ht="15.75" customHeight="1" x14ac:dyDescent="0.3">
      <c r="A1830" s="10" t="s">
        <v>1018</v>
      </c>
      <c r="B1830" s="10">
        <v>24.6</v>
      </c>
      <c r="C1830" s="10">
        <v>5.86</v>
      </c>
      <c r="D1830" s="16" t="s">
        <v>4685</v>
      </c>
      <c r="E1830" s="10" t="s">
        <v>4683</v>
      </c>
      <c r="F1830" s="10" t="s">
        <v>4683</v>
      </c>
      <c r="G1830" s="10" t="s">
        <v>4686</v>
      </c>
      <c r="H1830" s="14">
        <v>1</v>
      </c>
      <c r="I1830" s="10" t="s">
        <v>4683</v>
      </c>
      <c r="J1830" s="10" t="str">
        <f t="shared" si="8"/>
        <v>normalweight</v>
      </c>
      <c r="L1830" s="30" t="e">
        <v>#N/A</v>
      </c>
    </row>
    <row r="1831" spans="1:12" ht="15.75" customHeight="1" x14ac:dyDescent="0.3">
      <c r="A1831" s="10" t="s">
        <v>1016</v>
      </c>
      <c r="B1831" s="10">
        <v>28.405000000000001</v>
      </c>
      <c r="C1831" s="10">
        <v>4.12</v>
      </c>
      <c r="D1831" s="16" t="s">
        <v>4687</v>
      </c>
      <c r="E1831" s="10" t="s">
        <v>4683</v>
      </c>
      <c r="F1831" s="10" t="s">
        <v>4683</v>
      </c>
      <c r="G1831" s="10" t="s">
        <v>4683</v>
      </c>
      <c r="H1831" s="14">
        <v>1</v>
      </c>
      <c r="I1831" s="10" t="s">
        <v>4683</v>
      </c>
      <c r="J1831" s="10" t="str">
        <f t="shared" si="8"/>
        <v>normalweight</v>
      </c>
      <c r="L1831" s="30" t="e">
        <v>#N/A</v>
      </c>
    </row>
    <row r="1832" spans="1:12" ht="15.75" customHeight="1" x14ac:dyDescent="0.3">
      <c r="A1832" s="10" t="s">
        <v>1014</v>
      </c>
      <c r="B1832" s="10">
        <v>34.674999999999997</v>
      </c>
      <c r="C1832" s="10">
        <v>5.71</v>
      </c>
      <c r="D1832" s="16" t="s">
        <v>4685</v>
      </c>
      <c r="E1832" s="10" t="s">
        <v>4684</v>
      </c>
      <c r="F1832" s="10" t="s">
        <v>4683</v>
      </c>
      <c r="G1832" s="10" t="s">
        <v>4683</v>
      </c>
      <c r="H1832" s="14">
        <v>1</v>
      </c>
      <c r="I1832" s="10" t="s">
        <v>4683</v>
      </c>
      <c r="J1832" s="10" t="str">
        <f t="shared" si="8"/>
        <v>normalweight</v>
      </c>
      <c r="L1832" s="30" t="e">
        <v>#N/A</v>
      </c>
    </row>
    <row r="1833" spans="1:12" ht="15.75" customHeight="1" x14ac:dyDescent="0.3">
      <c r="A1833" s="10" t="s">
        <v>1012</v>
      </c>
      <c r="B1833" s="10">
        <v>18.850000000000001</v>
      </c>
      <c r="C1833" s="10">
        <v>6.03</v>
      </c>
      <c r="D1833" s="16" t="s">
        <v>4685</v>
      </c>
      <c r="E1833" s="10" t="s">
        <v>4683</v>
      </c>
      <c r="F1833" s="10" t="s">
        <v>4683</v>
      </c>
      <c r="G1833" s="10" t="s">
        <v>4683</v>
      </c>
      <c r="H1833" s="14">
        <v>1</v>
      </c>
      <c r="I1833" s="10" t="s">
        <v>4683</v>
      </c>
      <c r="J1833" s="10" t="str">
        <f t="shared" si="8"/>
        <v>normalweight</v>
      </c>
      <c r="L1833" s="30" t="e">
        <v>#N/A</v>
      </c>
    </row>
    <row r="1834" spans="1:12" ht="15.75" customHeight="1" x14ac:dyDescent="0.3">
      <c r="A1834" s="10" t="s">
        <v>1010</v>
      </c>
      <c r="B1834" s="10">
        <v>34.130000000000003</v>
      </c>
      <c r="C1834" s="10">
        <v>5.65</v>
      </c>
      <c r="D1834" s="16" t="s">
        <v>4685</v>
      </c>
      <c r="E1834" s="10" t="s">
        <v>4683</v>
      </c>
      <c r="F1834" s="10" t="s">
        <v>4683</v>
      </c>
      <c r="G1834" s="10" t="s">
        <v>4686</v>
      </c>
      <c r="H1834" s="14">
        <v>1</v>
      </c>
      <c r="I1834" s="10" t="s">
        <v>4683</v>
      </c>
      <c r="J1834" s="10" t="str">
        <f t="shared" si="8"/>
        <v>normalweight</v>
      </c>
      <c r="L1834" s="30" t="e">
        <v>#N/A</v>
      </c>
    </row>
    <row r="1835" spans="1:12" ht="15.75" customHeight="1" x14ac:dyDescent="0.3">
      <c r="A1835" s="10" t="s">
        <v>1008</v>
      </c>
      <c r="B1835" s="10">
        <v>17.34</v>
      </c>
      <c r="C1835" s="10">
        <v>5.05</v>
      </c>
      <c r="D1835" s="16" t="s">
        <v>4687</v>
      </c>
      <c r="E1835" s="10" t="s">
        <v>4683</v>
      </c>
      <c r="F1835" s="10" t="s">
        <v>4683</v>
      </c>
      <c r="G1835" s="10" t="s">
        <v>4683</v>
      </c>
      <c r="H1835" s="14">
        <v>0</v>
      </c>
      <c r="I1835" s="10" t="s">
        <v>4683</v>
      </c>
      <c r="J1835" s="10" t="str">
        <f t="shared" si="8"/>
        <v>underweight</v>
      </c>
      <c r="L1835" s="30" t="e">
        <v>#N/A</v>
      </c>
    </row>
    <row r="1836" spans="1:12" ht="15.75" customHeight="1" x14ac:dyDescent="0.3">
      <c r="A1836" s="10" t="s">
        <v>1006</v>
      </c>
      <c r="B1836" s="10">
        <v>17.440000000000001</v>
      </c>
      <c r="C1836" s="10">
        <v>6.26</v>
      </c>
      <c r="D1836" s="16" t="s">
        <v>4685</v>
      </c>
      <c r="E1836" s="10" t="s">
        <v>4683</v>
      </c>
      <c r="F1836" s="10" t="s">
        <v>4683</v>
      </c>
      <c r="G1836" s="10" t="s">
        <v>4683</v>
      </c>
      <c r="H1836" s="14">
        <v>0</v>
      </c>
      <c r="I1836" s="10" t="s">
        <v>4683</v>
      </c>
      <c r="J1836" s="10" t="str">
        <f t="shared" si="8"/>
        <v>underweight</v>
      </c>
      <c r="L1836" s="30" t="e">
        <v>#N/A</v>
      </c>
    </row>
    <row r="1837" spans="1:12" ht="15.75" customHeight="1" x14ac:dyDescent="0.3">
      <c r="A1837" s="10" t="s">
        <v>1004</v>
      </c>
      <c r="B1837" s="10">
        <v>33.659999999999997</v>
      </c>
      <c r="C1837" s="10">
        <v>4.08</v>
      </c>
      <c r="D1837" s="16" t="s">
        <v>4687</v>
      </c>
      <c r="E1837" s="10" t="s">
        <v>4684</v>
      </c>
      <c r="F1837" s="10" t="s">
        <v>4683</v>
      </c>
      <c r="G1837" s="10" t="s">
        <v>4686</v>
      </c>
      <c r="H1837" s="14">
        <v>1</v>
      </c>
      <c r="I1837" s="10" t="s">
        <v>4683</v>
      </c>
      <c r="J1837" s="10" t="str">
        <f t="shared" si="8"/>
        <v>normalweight</v>
      </c>
      <c r="L1837" s="30" t="e">
        <v>#N/A</v>
      </c>
    </row>
    <row r="1838" spans="1:12" ht="15.75" customHeight="1" x14ac:dyDescent="0.3">
      <c r="A1838" s="10" t="s">
        <v>1002</v>
      </c>
      <c r="B1838" s="10">
        <v>21.375</v>
      </c>
      <c r="C1838" s="10">
        <v>6.19</v>
      </c>
      <c r="D1838" s="16" t="s">
        <v>4685</v>
      </c>
      <c r="E1838" s="10" t="s">
        <v>4684</v>
      </c>
      <c r="F1838" s="10" t="s">
        <v>4683</v>
      </c>
      <c r="G1838" s="10" t="s">
        <v>4683</v>
      </c>
      <c r="H1838" s="14">
        <v>1</v>
      </c>
      <c r="I1838" s="10" t="s">
        <v>4683</v>
      </c>
      <c r="J1838" s="10" t="str">
        <f t="shared" si="8"/>
        <v>normalweight</v>
      </c>
      <c r="L1838" s="30" t="e">
        <v>#N/A</v>
      </c>
    </row>
    <row r="1839" spans="1:12" ht="15.75" customHeight="1" x14ac:dyDescent="0.3">
      <c r="A1839" s="10" t="s">
        <v>1000</v>
      </c>
      <c r="B1839" s="10">
        <v>27.14</v>
      </c>
      <c r="C1839" s="10">
        <v>6.01</v>
      </c>
      <c r="D1839" s="16" t="s">
        <v>4685</v>
      </c>
      <c r="E1839" s="10" t="s">
        <v>4683</v>
      </c>
      <c r="F1839" s="10" t="s">
        <v>4683</v>
      </c>
      <c r="G1839" s="10" t="s">
        <v>4683</v>
      </c>
      <c r="H1839" s="14">
        <v>1</v>
      </c>
      <c r="I1839" s="10" t="s">
        <v>4683</v>
      </c>
      <c r="J1839" s="10" t="str">
        <f t="shared" si="8"/>
        <v>normalweight</v>
      </c>
      <c r="L1839" s="30" t="e">
        <v>#N/A</v>
      </c>
    </row>
    <row r="1840" spans="1:12" ht="15.75" customHeight="1" x14ac:dyDescent="0.3">
      <c r="A1840" s="10" t="s">
        <v>998</v>
      </c>
      <c r="B1840" s="10">
        <v>35.78</v>
      </c>
      <c r="C1840" s="10">
        <v>6.07</v>
      </c>
      <c r="D1840" s="16" t="s">
        <v>4685</v>
      </c>
      <c r="E1840" s="10" t="s">
        <v>4683</v>
      </c>
      <c r="F1840" s="10" t="s">
        <v>4684</v>
      </c>
      <c r="G1840" s="10" t="s">
        <v>4683</v>
      </c>
      <c r="H1840" s="14">
        <v>1</v>
      </c>
      <c r="I1840" s="10" t="s">
        <v>4683</v>
      </c>
      <c r="J1840" s="10" t="str">
        <f t="shared" si="8"/>
        <v>normalweight</v>
      </c>
      <c r="L1840" s="30" t="e">
        <v>#N/A</v>
      </c>
    </row>
    <row r="1841" spans="1:12" ht="15.75" customHeight="1" x14ac:dyDescent="0.3">
      <c r="A1841" s="10" t="s">
        <v>996</v>
      </c>
      <c r="B1841" s="10">
        <v>34.96</v>
      </c>
      <c r="C1841" s="10">
        <v>5.63</v>
      </c>
      <c r="D1841" s="16" t="s">
        <v>4685</v>
      </c>
      <c r="E1841" s="10" t="s">
        <v>4683</v>
      </c>
      <c r="F1841" s="10" t="s">
        <v>4683</v>
      </c>
      <c r="G1841" s="10" t="s">
        <v>4683</v>
      </c>
      <c r="H1841" s="14">
        <v>0</v>
      </c>
      <c r="I1841" s="10" t="s">
        <v>4683</v>
      </c>
      <c r="J1841" s="10" t="str">
        <f t="shared" si="8"/>
        <v>normalweight</v>
      </c>
      <c r="L1841" s="30" t="e">
        <v>#N/A</v>
      </c>
    </row>
    <row r="1842" spans="1:12" ht="15.75" customHeight="1" x14ac:dyDescent="0.3">
      <c r="A1842" s="10" t="s">
        <v>994</v>
      </c>
      <c r="B1842" s="10">
        <v>38.39</v>
      </c>
      <c r="C1842" s="10">
        <v>6.05</v>
      </c>
      <c r="D1842" s="16" t="s">
        <v>4685</v>
      </c>
      <c r="E1842" s="10" t="s">
        <v>4683</v>
      </c>
      <c r="F1842" s="10" t="s">
        <v>4683</v>
      </c>
      <c r="G1842" s="10" t="s">
        <v>4683</v>
      </c>
      <c r="H1842" s="14">
        <v>0</v>
      </c>
      <c r="I1842" s="10" t="s">
        <v>4683</v>
      </c>
      <c r="J1842" s="10" t="str">
        <f t="shared" si="8"/>
        <v>normalweight</v>
      </c>
      <c r="L1842" s="30" t="e">
        <v>#N/A</v>
      </c>
    </row>
    <row r="1843" spans="1:12" ht="15.75" customHeight="1" x14ac:dyDescent="0.3">
      <c r="A1843" s="10" t="s">
        <v>992</v>
      </c>
      <c r="B1843" s="10">
        <v>33.82</v>
      </c>
      <c r="C1843" s="10">
        <v>4.6500000000000004</v>
      </c>
      <c r="D1843" s="16" t="s">
        <v>4687</v>
      </c>
      <c r="E1843" s="10" t="s">
        <v>4683</v>
      </c>
      <c r="F1843" s="10" t="s">
        <v>4683</v>
      </c>
      <c r="G1843" s="10" t="s">
        <v>4683</v>
      </c>
      <c r="H1843" s="14">
        <v>0</v>
      </c>
      <c r="I1843" s="10" t="s">
        <v>4683</v>
      </c>
      <c r="J1843" s="10" t="str">
        <f t="shared" si="8"/>
        <v>normalweight</v>
      </c>
      <c r="L1843" s="30" t="e">
        <v>#N/A</v>
      </c>
    </row>
    <row r="1844" spans="1:12" ht="15.75" customHeight="1" x14ac:dyDescent="0.3">
      <c r="A1844" s="10" t="s">
        <v>990</v>
      </c>
      <c r="B1844" s="10">
        <v>27.835000000000001</v>
      </c>
      <c r="C1844" s="10">
        <v>5.37</v>
      </c>
      <c r="D1844" s="16" t="s">
        <v>4687</v>
      </c>
      <c r="E1844" s="10" t="s">
        <v>4683</v>
      </c>
      <c r="F1844" s="10" t="s">
        <v>4683</v>
      </c>
      <c r="G1844" s="10" t="s">
        <v>4683</v>
      </c>
      <c r="H1844" s="14">
        <v>0</v>
      </c>
      <c r="I1844" s="10" t="s">
        <v>4683</v>
      </c>
      <c r="J1844" s="10" t="str">
        <f t="shared" si="8"/>
        <v>normalweight</v>
      </c>
      <c r="L1844" s="30" t="e">
        <v>#N/A</v>
      </c>
    </row>
    <row r="1845" spans="1:12" ht="15.75" customHeight="1" x14ac:dyDescent="0.3">
      <c r="A1845" s="10" t="s">
        <v>988</v>
      </c>
      <c r="B1845" s="10">
        <v>33</v>
      </c>
      <c r="C1845" s="10">
        <v>5.39</v>
      </c>
      <c r="D1845" s="16" t="s">
        <v>4685</v>
      </c>
      <c r="E1845" s="10" t="s">
        <v>4683</v>
      </c>
      <c r="F1845" s="10" t="s">
        <v>4683</v>
      </c>
      <c r="G1845" s="10" t="s">
        <v>4683</v>
      </c>
      <c r="H1845" s="14">
        <v>0</v>
      </c>
      <c r="I1845" s="10" t="s">
        <v>4683</v>
      </c>
      <c r="J1845" s="10" t="str">
        <f t="shared" si="8"/>
        <v>normalweight</v>
      </c>
      <c r="L1845" s="30" t="e">
        <v>#N/A</v>
      </c>
    </row>
    <row r="1846" spans="1:12" ht="15.75" customHeight="1" x14ac:dyDescent="0.3">
      <c r="A1846" s="10" t="s">
        <v>986</v>
      </c>
      <c r="B1846" s="10">
        <v>26.885000000000002</v>
      </c>
      <c r="C1846" s="10">
        <v>5.86</v>
      </c>
      <c r="D1846" s="16" t="s">
        <v>4685</v>
      </c>
      <c r="E1846" s="10" t="s">
        <v>4683</v>
      </c>
      <c r="F1846" s="10" t="s">
        <v>4683</v>
      </c>
      <c r="G1846" s="10" t="s">
        <v>4683</v>
      </c>
      <c r="H1846" s="14">
        <v>0</v>
      </c>
      <c r="I1846" s="10" t="s">
        <v>4683</v>
      </c>
      <c r="J1846" s="10" t="str">
        <f t="shared" si="8"/>
        <v>normalweight</v>
      </c>
      <c r="L1846" s="30" t="e">
        <v>#N/A</v>
      </c>
    </row>
    <row r="1847" spans="1:12" ht="15.75" customHeight="1" x14ac:dyDescent="0.3">
      <c r="A1847" s="10" t="s">
        <v>984</v>
      </c>
      <c r="B1847" s="10">
        <v>29.26</v>
      </c>
      <c r="C1847" s="10">
        <v>4.4400000000000004</v>
      </c>
      <c r="D1847" s="16" t="s">
        <v>4687</v>
      </c>
      <c r="E1847" s="10" t="s">
        <v>4683</v>
      </c>
      <c r="F1847" s="10" t="s">
        <v>4683</v>
      </c>
      <c r="G1847" s="10" t="s">
        <v>4683</v>
      </c>
      <c r="H1847" s="14">
        <v>0</v>
      </c>
      <c r="I1847" s="10" t="s">
        <v>4683</v>
      </c>
      <c r="J1847" s="10" t="str">
        <f t="shared" si="8"/>
        <v>normalweight</v>
      </c>
      <c r="L1847" s="30" t="e">
        <v>#N/A</v>
      </c>
    </row>
    <row r="1848" spans="1:12" ht="15.75" customHeight="1" x14ac:dyDescent="0.3">
      <c r="A1848" s="10" t="s">
        <v>982</v>
      </c>
      <c r="B1848" s="10">
        <v>26.98</v>
      </c>
      <c r="C1848" s="10">
        <v>4.41</v>
      </c>
      <c r="D1848" s="16" t="s">
        <v>4687</v>
      </c>
      <c r="E1848" s="10" t="s">
        <v>4683</v>
      </c>
      <c r="F1848" s="10" t="s">
        <v>4683</v>
      </c>
      <c r="G1848" s="10" t="s">
        <v>4683</v>
      </c>
      <c r="H1848" s="14">
        <v>0</v>
      </c>
      <c r="I1848" s="10" t="s">
        <v>4683</v>
      </c>
      <c r="J1848" s="10" t="str">
        <f t="shared" si="8"/>
        <v>normalweight</v>
      </c>
      <c r="L1848" s="30" t="e">
        <v>#N/A</v>
      </c>
    </row>
    <row r="1849" spans="1:12" ht="15.75" customHeight="1" x14ac:dyDescent="0.3">
      <c r="A1849" s="10" t="s">
        <v>980</v>
      </c>
      <c r="B1849" s="10">
        <v>32.11</v>
      </c>
      <c r="C1849" s="10">
        <v>5.19</v>
      </c>
      <c r="D1849" s="16" t="s">
        <v>4687</v>
      </c>
      <c r="E1849" s="10" t="s">
        <v>4683</v>
      </c>
      <c r="F1849" s="10" t="s">
        <v>4683</v>
      </c>
      <c r="G1849" s="10" t="s">
        <v>4686</v>
      </c>
      <c r="H1849" s="14">
        <v>1</v>
      </c>
      <c r="I1849" s="10" t="s">
        <v>4683</v>
      </c>
      <c r="J1849" s="10" t="str">
        <f t="shared" si="8"/>
        <v>normalweight</v>
      </c>
      <c r="L1849" s="30" t="e">
        <v>#N/A</v>
      </c>
    </row>
    <row r="1850" spans="1:12" ht="15.75" customHeight="1" x14ac:dyDescent="0.3">
      <c r="A1850" s="10" t="s">
        <v>978</v>
      </c>
      <c r="B1850" s="10">
        <v>31.73</v>
      </c>
      <c r="C1850" s="10">
        <v>5.16</v>
      </c>
      <c r="D1850" s="16" t="s">
        <v>4687</v>
      </c>
      <c r="E1850" s="10" t="s">
        <v>4683</v>
      </c>
      <c r="F1850" s="10" t="s">
        <v>4683</v>
      </c>
      <c r="G1850" s="10" t="s">
        <v>4686</v>
      </c>
      <c r="H1850" s="14">
        <v>1</v>
      </c>
      <c r="I1850" s="10" t="s">
        <v>4683</v>
      </c>
      <c r="J1850" s="10" t="str">
        <f t="shared" si="8"/>
        <v>normalweight</v>
      </c>
      <c r="L1850" s="30" t="e">
        <v>#N/A</v>
      </c>
    </row>
    <row r="1851" spans="1:12" ht="15.75" customHeight="1" x14ac:dyDescent="0.3">
      <c r="A1851" s="10" t="s">
        <v>976</v>
      </c>
      <c r="B1851" s="10">
        <v>22.515000000000001</v>
      </c>
      <c r="C1851" s="10">
        <v>4.24</v>
      </c>
      <c r="D1851" s="16" t="s">
        <v>4687</v>
      </c>
      <c r="E1851" s="10" t="s">
        <v>4683</v>
      </c>
      <c r="F1851" s="10" t="s">
        <v>4683</v>
      </c>
      <c r="G1851" s="10" t="s">
        <v>4683</v>
      </c>
      <c r="H1851" s="14">
        <v>0</v>
      </c>
      <c r="I1851" s="10" t="s">
        <v>4683</v>
      </c>
      <c r="J1851" s="10" t="str">
        <f t="shared" si="8"/>
        <v>normalweight</v>
      </c>
      <c r="L1851" s="30" t="e">
        <v>#N/A</v>
      </c>
    </row>
    <row r="1852" spans="1:12" ht="15.75" customHeight="1" x14ac:dyDescent="0.3">
      <c r="A1852" s="10" t="s">
        <v>974</v>
      </c>
      <c r="B1852" s="10">
        <v>25.9</v>
      </c>
      <c r="C1852" s="10">
        <v>5.45</v>
      </c>
      <c r="D1852" s="16" t="s">
        <v>4687</v>
      </c>
      <c r="E1852" s="10" t="s">
        <v>4683</v>
      </c>
      <c r="F1852" s="10" t="s">
        <v>4683</v>
      </c>
      <c r="G1852" s="10" t="s">
        <v>4683</v>
      </c>
      <c r="H1852" s="14">
        <v>1</v>
      </c>
      <c r="I1852" s="10" t="s">
        <v>4683</v>
      </c>
      <c r="J1852" s="10" t="str">
        <f t="shared" si="8"/>
        <v>normalweight</v>
      </c>
      <c r="L1852" s="30" t="e">
        <v>#N/A</v>
      </c>
    </row>
    <row r="1853" spans="1:12" ht="15.75" customHeight="1" x14ac:dyDescent="0.3">
      <c r="A1853" s="10" t="s">
        <v>972</v>
      </c>
      <c r="B1853" s="10">
        <v>27.72</v>
      </c>
      <c r="C1853" s="10">
        <v>5.03</v>
      </c>
      <c r="D1853" s="16" t="s">
        <v>4687</v>
      </c>
      <c r="E1853" s="10" t="s">
        <v>4684</v>
      </c>
      <c r="F1853" s="10" t="s">
        <v>4683</v>
      </c>
      <c r="G1853" s="10" t="s">
        <v>4683</v>
      </c>
      <c r="H1853" s="14">
        <v>1</v>
      </c>
      <c r="I1853" s="10" t="s">
        <v>4683</v>
      </c>
      <c r="J1853" s="10" t="str">
        <f t="shared" si="8"/>
        <v>normalweight</v>
      </c>
      <c r="L1853" s="30" t="e">
        <v>#N/A</v>
      </c>
    </row>
    <row r="1854" spans="1:12" ht="15.75" customHeight="1" x14ac:dyDescent="0.3">
      <c r="A1854" s="10" t="s">
        <v>970</v>
      </c>
      <c r="B1854" s="10">
        <v>31.5</v>
      </c>
      <c r="C1854" s="10">
        <v>9.6199999999999992</v>
      </c>
      <c r="D1854" s="16" t="s">
        <v>4682</v>
      </c>
      <c r="E1854" s="10" t="s">
        <v>4684</v>
      </c>
      <c r="F1854" s="10" t="s">
        <v>4683</v>
      </c>
      <c r="G1854" s="10" t="s">
        <v>4683</v>
      </c>
      <c r="H1854" s="14">
        <v>1</v>
      </c>
      <c r="I1854" s="10" t="s">
        <v>4683</v>
      </c>
      <c r="J1854" s="10" t="str">
        <f t="shared" si="8"/>
        <v>normalweight</v>
      </c>
      <c r="L1854" s="30" t="e">
        <v>#N/A</v>
      </c>
    </row>
    <row r="1855" spans="1:12" ht="15.75" customHeight="1" x14ac:dyDescent="0.3">
      <c r="A1855" s="10" t="s">
        <v>968</v>
      </c>
      <c r="B1855" s="10">
        <v>29.7</v>
      </c>
      <c r="C1855" s="10">
        <v>6.77</v>
      </c>
      <c r="D1855" s="16" t="s">
        <v>4682</v>
      </c>
      <c r="E1855" s="10" t="s">
        <v>4684</v>
      </c>
      <c r="F1855" s="10" t="s">
        <v>4683</v>
      </c>
      <c r="G1855" s="10" t="s">
        <v>4683</v>
      </c>
      <c r="H1855" s="14">
        <v>1</v>
      </c>
      <c r="I1855" s="10" t="s">
        <v>4683</v>
      </c>
      <c r="J1855" s="10" t="str">
        <f t="shared" si="8"/>
        <v>normalweight</v>
      </c>
      <c r="L1855" s="30" t="e">
        <v>#N/A</v>
      </c>
    </row>
    <row r="1856" spans="1:12" ht="15.75" customHeight="1" x14ac:dyDescent="0.3">
      <c r="A1856" s="10" t="s">
        <v>966</v>
      </c>
      <c r="B1856" s="10">
        <v>21.26</v>
      </c>
      <c r="C1856" s="10">
        <v>5.36</v>
      </c>
      <c r="D1856" s="16" t="s">
        <v>4687</v>
      </c>
      <c r="E1856" s="10" t="s">
        <v>4684</v>
      </c>
      <c r="F1856" s="10" t="s">
        <v>4683</v>
      </c>
      <c r="G1856" s="10" t="s">
        <v>4683</v>
      </c>
      <c r="H1856" s="14">
        <v>1</v>
      </c>
      <c r="I1856" s="10" t="s">
        <v>4683</v>
      </c>
      <c r="J1856" s="10" t="str">
        <f t="shared" si="8"/>
        <v>normalweight</v>
      </c>
      <c r="L1856" s="30" t="e">
        <v>#N/A</v>
      </c>
    </row>
    <row r="1857" spans="1:12" ht="15.75" customHeight="1" x14ac:dyDescent="0.3">
      <c r="A1857" s="10" t="s">
        <v>964</v>
      </c>
      <c r="B1857" s="10">
        <v>17.09</v>
      </c>
      <c r="C1857" s="10">
        <v>5.69</v>
      </c>
      <c r="D1857" s="16" t="s">
        <v>4685</v>
      </c>
      <c r="E1857" s="10" t="s">
        <v>4683</v>
      </c>
      <c r="F1857" s="10" t="s">
        <v>4683</v>
      </c>
      <c r="G1857" s="10" t="s">
        <v>4683</v>
      </c>
      <c r="H1857" s="14">
        <v>0</v>
      </c>
      <c r="I1857" s="10" t="s">
        <v>4683</v>
      </c>
      <c r="J1857" s="10" t="str">
        <f t="shared" si="8"/>
        <v>underweight</v>
      </c>
      <c r="L1857" s="30" t="e">
        <v>#N/A</v>
      </c>
    </row>
    <row r="1858" spans="1:12" ht="15.75" customHeight="1" x14ac:dyDescent="0.3">
      <c r="A1858" s="10" t="s">
        <v>962</v>
      </c>
      <c r="B1858" s="10">
        <v>24.3</v>
      </c>
      <c r="C1858" s="10">
        <v>4.9000000000000004</v>
      </c>
      <c r="D1858" s="16" t="s">
        <v>4687</v>
      </c>
      <c r="E1858" s="10" t="s">
        <v>4684</v>
      </c>
      <c r="F1858" s="10" t="s">
        <v>4683</v>
      </c>
      <c r="G1858" s="10" t="s">
        <v>4686</v>
      </c>
      <c r="H1858" s="14">
        <v>1</v>
      </c>
      <c r="I1858" s="10" t="s">
        <v>4683</v>
      </c>
      <c r="J1858" s="10" t="str">
        <f t="shared" si="8"/>
        <v>normalweight</v>
      </c>
      <c r="L1858" s="30" t="e">
        <v>#N/A</v>
      </c>
    </row>
    <row r="1859" spans="1:12" ht="15.75" customHeight="1" x14ac:dyDescent="0.3">
      <c r="A1859" s="10" t="s">
        <v>960</v>
      </c>
      <c r="B1859" s="10">
        <v>29.734999999999999</v>
      </c>
      <c r="C1859" s="10">
        <v>5.78</v>
      </c>
      <c r="D1859" s="16" t="s">
        <v>4685</v>
      </c>
      <c r="E1859" s="10" t="s">
        <v>4683</v>
      </c>
      <c r="F1859" s="10" t="s">
        <v>4683</v>
      </c>
      <c r="G1859" s="10" t="s">
        <v>4683</v>
      </c>
      <c r="H1859" s="14">
        <v>0</v>
      </c>
      <c r="I1859" s="10" t="s">
        <v>4683</v>
      </c>
      <c r="J1859" s="10" t="str">
        <f t="shared" si="8"/>
        <v>normalweight</v>
      </c>
      <c r="L1859" s="30" t="e">
        <v>#N/A</v>
      </c>
    </row>
    <row r="1860" spans="1:12" ht="15.75" customHeight="1" x14ac:dyDescent="0.3">
      <c r="A1860" s="10" t="s">
        <v>958</v>
      </c>
      <c r="B1860" s="10">
        <v>29.26</v>
      </c>
      <c r="C1860" s="10">
        <v>4.7</v>
      </c>
      <c r="D1860" s="16" t="s">
        <v>4687</v>
      </c>
      <c r="E1860" s="10" t="s">
        <v>4683</v>
      </c>
      <c r="F1860" s="10" t="s">
        <v>4683</v>
      </c>
      <c r="G1860" s="10" t="s">
        <v>4683</v>
      </c>
      <c r="H1860" s="14">
        <v>0</v>
      </c>
      <c r="I1860" s="10" t="s">
        <v>4683</v>
      </c>
      <c r="J1860" s="10" t="str">
        <f t="shared" si="8"/>
        <v>normalweight</v>
      </c>
      <c r="L1860" s="30" t="e">
        <v>#N/A</v>
      </c>
    </row>
    <row r="1861" spans="1:12" ht="15.75" customHeight="1" x14ac:dyDescent="0.3">
      <c r="A1861" s="10" t="s">
        <v>956</v>
      </c>
      <c r="B1861" s="10">
        <v>33</v>
      </c>
      <c r="C1861" s="10">
        <v>6.28</v>
      </c>
      <c r="D1861" s="16" t="s">
        <v>4685</v>
      </c>
      <c r="E1861" s="10" t="s">
        <v>4683</v>
      </c>
      <c r="F1861" s="10" t="s">
        <v>4683</v>
      </c>
      <c r="G1861" s="10" t="s">
        <v>4683</v>
      </c>
      <c r="H1861" s="14">
        <v>0</v>
      </c>
      <c r="I1861" s="10" t="s">
        <v>4683</v>
      </c>
      <c r="J1861" s="10" t="str">
        <f t="shared" si="8"/>
        <v>normalweight</v>
      </c>
      <c r="L1861" s="30" t="e">
        <v>#N/A</v>
      </c>
    </row>
    <row r="1862" spans="1:12" ht="15.75" customHeight="1" x14ac:dyDescent="0.3">
      <c r="A1862" s="10" t="s">
        <v>954</v>
      </c>
      <c r="B1862" s="10">
        <v>31.065000000000001</v>
      </c>
      <c r="C1862" s="10">
        <v>4.2300000000000004</v>
      </c>
      <c r="D1862" s="16" t="s">
        <v>4687</v>
      </c>
      <c r="E1862" s="10" t="s">
        <v>4683</v>
      </c>
      <c r="F1862" s="10" t="s">
        <v>4683</v>
      </c>
      <c r="G1862" s="10" t="s">
        <v>4683</v>
      </c>
      <c r="H1862" s="14">
        <v>0</v>
      </c>
      <c r="I1862" s="10" t="s">
        <v>4683</v>
      </c>
      <c r="J1862" s="10" t="str">
        <f t="shared" si="8"/>
        <v>normalweight</v>
      </c>
      <c r="L1862" s="30" t="e">
        <v>#N/A</v>
      </c>
    </row>
    <row r="1863" spans="1:12" ht="15.75" customHeight="1" x14ac:dyDescent="0.3">
      <c r="A1863" s="10" t="s">
        <v>4688</v>
      </c>
      <c r="B1863" s="10">
        <v>26.51</v>
      </c>
      <c r="C1863" s="10">
        <v>6.17</v>
      </c>
      <c r="D1863" s="16" t="s">
        <v>4685</v>
      </c>
      <c r="E1863" s="10" t="s">
        <v>4683</v>
      </c>
      <c r="F1863" s="10" t="s">
        <v>4683</v>
      </c>
      <c r="G1863" s="10" t="s">
        <v>4683</v>
      </c>
      <c r="H1863" s="14">
        <v>0</v>
      </c>
      <c r="I1863" s="10" t="s">
        <v>4683</v>
      </c>
      <c r="J1863" s="10" t="str">
        <f t="shared" si="8"/>
        <v>normalweight</v>
      </c>
      <c r="L1863" s="30" t="e">
        <v>#N/A</v>
      </c>
    </row>
    <row r="1864" spans="1:12" ht="15.75" customHeight="1" x14ac:dyDescent="0.3">
      <c r="A1864" s="10" t="s">
        <v>952</v>
      </c>
      <c r="B1864" s="10">
        <v>28.88</v>
      </c>
      <c r="C1864" s="10">
        <v>4.96</v>
      </c>
      <c r="D1864" s="16" t="s">
        <v>4685</v>
      </c>
      <c r="E1864" s="10" t="s">
        <v>4683</v>
      </c>
      <c r="F1864" s="10" t="s">
        <v>4683</v>
      </c>
      <c r="G1864" s="10" t="s">
        <v>4683</v>
      </c>
      <c r="H1864" s="14">
        <v>0</v>
      </c>
      <c r="I1864" s="10" t="s">
        <v>4683</v>
      </c>
      <c r="J1864" s="10" t="str">
        <f t="shared" si="8"/>
        <v>normalweight</v>
      </c>
      <c r="L1864" s="30" t="e">
        <v>#N/A</v>
      </c>
    </row>
    <row r="1865" spans="1:12" ht="15.75" customHeight="1" x14ac:dyDescent="0.3">
      <c r="A1865" s="10" t="s">
        <v>950</v>
      </c>
      <c r="B1865" s="10">
        <v>35.814999999999998</v>
      </c>
      <c r="C1865" s="10">
        <v>5.1100000000000003</v>
      </c>
      <c r="D1865" s="16" t="s">
        <v>4687</v>
      </c>
      <c r="E1865" s="10" t="s">
        <v>4684</v>
      </c>
      <c r="F1865" s="10" t="s">
        <v>4683</v>
      </c>
      <c r="G1865" s="10" t="s">
        <v>4683</v>
      </c>
      <c r="H1865" s="14">
        <v>1</v>
      </c>
      <c r="I1865" s="10" t="s">
        <v>4683</v>
      </c>
      <c r="J1865" s="10" t="str">
        <f t="shared" si="8"/>
        <v>normalweight</v>
      </c>
      <c r="L1865" s="30" t="e">
        <v>#N/A</v>
      </c>
    </row>
    <row r="1866" spans="1:12" ht="15.75" customHeight="1" x14ac:dyDescent="0.3">
      <c r="A1866" s="10" t="s">
        <v>948</v>
      </c>
      <c r="B1866" s="10">
        <v>21.28</v>
      </c>
      <c r="C1866" s="10">
        <v>4.05</v>
      </c>
      <c r="D1866" s="16" t="s">
        <v>4687</v>
      </c>
      <c r="E1866" s="10" t="s">
        <v>4683</v>
      </c>
      <c r="F1866" s="10" t="s">
        <v>4684</v>
      </c>
      <c r="G1866" s="10" t="s">
        <v>4683</v>
      </c>
      <c r="H1866" s="14">
        <v>1</v>
      </c>
      <c r="I1866" s="10" t="s">
        <v>4683</v>
      </c>
      <c r="J1866" s="10" t="str">
        <f t="shared" si="8"/>
        <v>normalweight</v>
      </c>
      <c r="L1866" s="30" t="e">
        <v>#N/A</v>
      </c>
    </row>
    <row r="1867" spans="1:12" ht="15.75" customHeight="1" x14ac:dyDescent="0.3">
      <c r="A1867" s="10" t="s">
        <v>946</v>
      </c>
      <c r="B1867" s="10">
        <v>33.81</v>
      </c>
      <c r="C1867" s="10">
        <v>6.49</v>
      </c>
      <c r="D1867" s="16" t="s">
        <v>4685</v>
      </c>
      <c r="E1867" s="10" t="s">
        <v>4683</v>
      </c>
      <c r="F1867" s="10" t="s">
        <v>4683</v>
      </c>
      <c r="G1867" s="10" t="s">
        <v>4686</v>
      </c>
      <c r="H1867" s="14">
        <v>1</v>
      </c>
      <c r="I1867" s="10" t="s">
        <v>4683</v>
      </c>
      <c r="J1867" s="10" t="str">
        <f t="shared" si="8"/>
        <v>normalweight</v>
      </c>
      <c r="L1867" s="30" t="e">
        <v>#N/A</v>
      </c>
    </row>
    <row r="1868" spans="1:12" ht="15.75" customHeight="1" x14ac:dyDescent="0.3">
      <c r="A1868" s="10" t="s">
        <v>944</v>
      </c>
      <c r="B1868" s="10">
        <v>44.22</v>
      </c>
      <c r="C1868" s="10">
        <v>4.1900000000000004</v>
      </c>
      <c r="D1868" s="16" t="s">
        <v>4687</v>
      </c>
      <c r="E1868" s="10" t="s">
        <v>4683</v>
      </c>
      <c r="F1868" s="10" t="s">
        <v>4683</v>
      </c>
      <c r="G1868" s="10" t="s">
        <v>4683</v>
      </c>
      <c r="H1868" s="14">
        <v>1</v>
      </c>
      <c r="I1868" s="10" t="s">
        <v>4683</v>
      </c>
      <c r="J1868" s="10" t="str">
        <f t="shared" si="8"/>
        <v>normalweight</v>
      </c>
      <c r="L1868" s="30" t="e">
        <v>#N/A</v>
      </c>
    </row>
    <row r="1869" spans="1:12" ht="15.75" customHeight="1" x14ac:dyDescent="0.3">
      <c r="A1869" s="10" t="s">
        <v>942</v>
      </c>
      <c r="B1869" s="10">
        <v>15.46</v>
      </c>
      <c r="C1869" s="10">
        <v>4.99</v>
      </c>
      <c r="D1869" s="16" t="s">
        <v>4687</v>
      </c>
      <c r="E1869" s="10" t="s">
        <v>4684</v>
      </c>
      <c r="F1869" s="10" t="s">
        <v>4683</v>
      </c>
      <c r="G1869" s="10" t="s">
        <v>4686</v>
      </c>
      <c r="H1869" s="14">
        <v>1</v>
      </c>
      <c r="I1869" s="10" t="s">
        <v>4683</v>
      </c>
      <c r="J1869" s="10" t="str">
        <f t="shared" si="8"/>
        <v>underweight</v>
      </c>
      <c r="L1869" s="30" t="e">
        <v>#N/A</v>
      </c>
    </row>
    <row r="1870" spans="1:12" ht="15.75" customHeight="1" x14ac:dyDescent="0.3">
      <c r="A1870" s="10" t="s">
        <v>940</v>
      </c>
      <c r="B1870" s="10">
        <v>30.3</v>
      </c>
      <c r="C1870" s="10">
        <v>4.7699999999999996</v>
      </c>
      <c r="D1870" s="16" t="s">
        <v>4687</v>
      </c>
      <c r="E1870" s="10" t="s">
        <v>4684</v>
      </c>
      <c r="F1870" s="10" t="s">
        <v>4683</v>
      </c>
      <c r="G1870" s="10" t="s">
        <v>4683</v>
      </c>
      <c r="H1870" s="14">
        <v>1</v>
      </c>
      <c r="I1870" s="10" t="s">
        <v>4683</v>
      </c>
      <c r="J1870" s="10" t="str">
        <f t="shared" si="8"/>
        <v>normalweight</v>
      </c>
      <c r="L1870" s="30" t="e">
        <v>#N/A</v>
      </c>
    </row>
    <row r="1871" spans="1:12" ht="15.75" customHeight="1" x14ac:dyDescent="0.3">
      <c r="A1871" s="10" t="s">
        <v>938</v>
      </c>
      <c r="B1871" s="10">
        <v>16.670000000000002</v>
      </c>
      <c r="C1871" s="10">
        <v>5.46</v>
      </c>
      <c r="D1871" s="16" t="s">
        <v>4687</v>
      </c>
      <c r="E1871" s="10" t="s">
        <v>4683</v>
      </c>
      <c r="F1871" s="10" t="s">
        <v>4683</v>
      </c>
      <c r="G1871" s="10" t="s">
        <v>4683</v>
      </c>
      <c r="H1871" s="14">
        <v>0</v>
      </c>
      <c r="I1871" s="10" t="s">
        <v>4683</v>
      </c>
      <c r="J1871" s="10" t="str">
        <f t="shared" si="8"/>
        <v>underweight</v>
      </c>
      <c r="L1871" s="30" t="e">
        <v>#N/A</v>
      </c>
    </row>
    <row r="1872" spans="1:12" ht="15.75" customHeight="1" x14ac:dyDescent="0.3">
      <c r="A1872" s="10" t="s">
        <v>936</v>
      </c>
      <c r="B1872" s="10">
        <v>28.594999999999999</v>
      </c>
      <c r="C1872" s="10">
        <v>5.43</v>
      </c>
      <c r="D1872" s="16" t="s">
        <v>4687</v>
      </c>
      <c r="E1872" s="10" t="s">
        <v>4683</v>
      </c>
      <c r="F1872" s="10" t="s">
        <v>4683</v>
      </c>
      <c r="G1872" s="10" t="s">
        <v>4683</v>
      </c>
      <c r="H1872" s="14">
        <v>0</v>
      </c>
      <c r="I1872" s="10" t="s">
        <v>4683</v>
      </c>
      <c r="J1872" s="10" t="str">
        <f t="shared" si="8"/>
        <v>normalweight</v>
      </c>
      <c r="L1872" s="30" t="e">
        <v>#N/A</v>
      </c>
    </row>
    <row r="1873" spans="1:12" ht="15.75" customHeight="1" x14ac:dyDescent="0.3">
      <c r="A1873" s="10" t="s">
        <v>934</v>
      </c>
      <c r="B1873" s="10">
        <v>25.934999999999999</v>
      </c>
      <c r="C1873" s="10">
        <v>4.29</v>
      </c>
      <c r="D1873" s="16" t="s">
        <v>4687</v>
      </c>
      <c r="E1873" s="10" t="s">
        <v>4683</v>
      </c>
      <c r="F1873" s="10" t="s">
        <v>4683</v>
      </c>
      <c r="G1873" s="10" t="s">
        <v>4683</v>
      </c>
      <c r="H1873" s="14">
        <v>0</v>
      </c>
      <c r="I1873" s="10" t="s">
        <v>4683</v>
      </c>
      <c r="J1873" s="10" t="str">
        <f t="shared" si="8"/>
        <v>normalweight</v>
      </c>
      <c r="L1873" s="30" t="e">
        <v>#N/A</v>
      </c>
    </row>
    <row r="1874" spans="1:12" ht="15.75" customHeight="1" x14ac:dyDescent="0.3">
      <c r="A1874" s="10" t="s">
        <v>932</v>
      </c>
      <c r="B1874" s="10">
        <v>27.645</v>
      </c>
      <c r="C1874" s="10">
        <v>5.25</v>
      </c>
      <c r="D1874" s="16" t="s">
        <v>4687</v>
      </c>
      <c r="E1874" s="10" t="s">
        <v>4683</v>
      </c>
      <c r="F1874" s="10" t="s">
        <v>4683</v>
      </c>
      <c r="G1874" s="10" t="s">
        <v>4683</v>
      </c>
      <c r="H1874" s="14">
        <v>1</v>
      </c>
      <c r="I1874" s="10" t="s">
        <v>4683</v>
      </c>
      <c r="J1874" s="10" t="str">
        <f t="shared" si="8"/>
        <v>normalweight</v>
      </c>
      <c r="L1874" s="30" t="e">
        <v>#N/A</v>
      </c>
    </row>
    <row r="1875" spans="1:12" ht="15.75" customHeight="1" x14ac:dyDescent="0.3">
      <c r="A1875" s="10" t="s">
        <v>930</v>
      </c>
      <c r="B1875" s="10">
        <v>30.1</v>
      </c>
      <c r="C1875" s="10">
        <v>4.04</v>
      </c>
      <c r="D1875" s="16" t="s">
        <v>4687</v>
      </c>
      <c r="E1875" s="10" t="s">
        <v>4683</v>
      </c>
      <c r="F1875" s="10" t="s">
        <v>4683</v>
      </c>
      <c r="G1875" s="10" t="s">
        <v>4683</v>
      </c>
      <c r="H1875" s="14">
        <v>1</v>
      </c>
      <c r="I1875" s="10" t="s">
        <v>4683</v>
      </c>
      <c r="J1875" s="10" t="str">
        <f t="shared" si="8"/>
        <v>normalweight</v>
      </c>
      <c r="L1875" s="30" t="e">
        <v>#N/A</v>
      </c>
    </row>
    <row r="1876" spans="1:12" ht="15.75" customHeight="1" x14ac:dyDescent="0.3">
      <c r="A1876" s="10" t="s">
        <v>928</v>
      </c>
      <c r="B1876" s="10">
        <v>26.79</v>
      </c>
      <c r="C1876" s="10">
        <v>5</v>
      </c>
      <c r="D1876" s="16" t="s">
        <v>4687</v>
      </c>
      <c r="E1876" s="10" t="s">
        <v>4684</v>
      </c>
      <c r="F1876" s="10" t="s">
        <v>4683</v>
      </c>
      <c r="G1876" s="10" t="s">
        <v>4686</v>
      </c>
      <c r="H1876" s="14">
        <v>1</v>
      </c>
      <c r="I1876" s="10" t="s">
        <v>4683</v>
      </c>
      <c r="J1876" s="10" t="str">
        <f t="shared" si="8"/>
        <v>normalweight</v>
      </c>
      <c r="L1876" s="30" t="e">
        <v>#N/A</v>
      </c>
    </row>
    <row r="1877" spans="1:12" ht="15.75" customHeight="1" x14ac:dyDescent="0.3">
      <c r="A1877" s="10" t="s">
        <v>926</v>
      </c>
      <c r="B1877" s="10">
        <v>27.1</v>
      </c>
      <c r="C1877" s="10">
        <v>4.01</v>
      </c>
      <c r="D1877" s="16" t="s">
        <v>4687</v>
      </c>
      <c r="E1877" s="10" t="s">
        <v>4684</v>
      </c>
      <c r="F1877" s="10" t="s">
        <v>4683</v>
      </c>
      <c r="G1877" s="10" t="s">
        <v>4683</v>
      </c>
      <c r="H1877" s="14">
        <v>1</v>
      </c>
      <c r="I1877" s="10" t="s">
        <v>4683</v>
      </c>
      <c r="J1877" s="10" t="str">
        <f t="shared" si="8"/>
        <v>normalweight</v>
      </c>
      <c r="L1877" s="30" t="e">
        <v>#N/A</v>
      </c>
    </row>
    <row r="1878" spans="1:12" ht="15.75" customHeight="1" x14ac:dyDescent="0.3">
      <c r="A1878" s="10" t="s">
        <v>924</v>
      </c>
      <c r="B1878" s="10">
        <v>24.31</v>
      </c>
      <c r="C1878" s="10">
        <v>5.4</v>
      </c>
      <c r="D1878" s="16" t="s">
        <v>4687</v>
      </c>
      <c r="E1878" s="10" t="s">
        <v>4683</v>
      </c>
      <c r="F1878" s="10" t="s">
        <v>4683</v>
      </c>
      <c r="G1878" s="10" t="s">
        <v>4683</v>
      </c>
      <c r="H1878" s="14">
        <v>0</v>
      </c>
      <c r="I1878" s="10" t="s">
        <v>4683</v>
      </c>
      <c r="J1878" s="10" t="str">
        <f t="shared" si="8"/>
        <v>normalweight</v>
      </c>
      <c r="L1878" s="30" t="e">
        <v>#N/A</v>
      </c>
    </row>
    <row r="1879" spans="1:12" ht="15.75" customHeight="1" x14ac:dyDescent="0.3">
      <c r="A1879" s="10" t="s">
        <v>922</v>
      </c>
      <c r="B1879" s="10">
        <v>15.53</v>
      </c>
      <c r="C1879" s="10">
        <v>5.81</v>
      </c>
      <c r="D1879" s="16" t="s">
        <v>4685</v>
      </c>
      <c r="E1879" s="10" t="s">
        <v>4683</v>
      </c>
      <c r="F1879" s="10" t="s">
        <v>4683</v>
      </c>
      <c r="G1879" s="10" t="s">
        <v>4683</v>
      </c>
      <c r="H1879" s="14">
        <v>1</v>
      </c>
      <c r="I1879" s="10" t="s">
        <v>4683</v>
      </c>
      <c r="J1879" s="10" t="str">
        <f t="shared" si="8"/>
        <v>underweight</v>
      </c>
      <c r="L1879" s="30" t="e">
        <v>#N/A</v>
      </c>
    </row>
    <row r="1880" spans="1:12" ht="15.75" customHeight="1" x14ac:dyDescent="0.3">
      <c r="A1880" s="10" t="s">
        <v>920</v>
      </c>
      <c r="B1880" s="10">
        <v>30.7</v>
      </c>
      <c r="C1880" s="10">
        <v>5.82</v>
      </c>
      <c r="D1880" s="16" t="s">
        <v>4685</v>
      </c>
      <c r="E1880" s="10" t="s">
        <v>4683</v>
      </c>
      <c r="F1880" s="10" t="s">
        <v>4683</v>
      </c>
      <c r="G1880" s="10" t="s">
        <v>4683</v>
      </c>
      <c r="H1880" s="14">
        <v>1</v>
      </c>
      <c r="I1880" s="10" t="s">
        <v>4683</v>
      </c>
      <c r="J1880" s="10" t="str">
        <f t="shared" si="8"/>
        <v>normalweight</v>
      </c>
      <c r="L1880" s="30" t="e">
        <v>#N/A</v>
      </c>
    </row>
    <row r="1881" spans="1:12" ht="15.75" customHeight="1" x14ac:dyDescent="0.3">
      <c r="A1881" s="10" t="s">
        <v>918</v>
      </c>
      <c r="B1881" s="10">
        <v>33.33</v>
      </c>
      <c r="C1881" s="10">
        <v>4.82</v>
      </c>
      <c r="D1881" s="16" t="s">
        <v>4687</v>
      </c>
      <c r="E1881" s="10" t="s">
        <v>4683</v>
      </c>
      <c r="F1881" s="10" t="s">
        <v>4683</v>
      </c>
      <c r="G1881" s="10" t="s">
        <v>4683</v>
      </c>
      <c r="H1881" s="14">
        <v>1</v>
      </c>
      <c r="I1881" s="10" t="s">
        <v>4683</v>
      </c>
      <c r="J1881" s="10" t="str">
        <f t="shared" si="8"/>
        <v>normalweight</v>
      </c>
      <c r="L1881" s="30" t="e">
        <v>#N/A</v>
      </c>
    </row>
    <row r="1882" spans="1:12" ht="15.75" customHeight="1" x14ac:dyDescent="0.3">
      <c r="A1882" s="10" t="s">
        <v>916</v>
      </c>
      <c r="B1882" s="10">
        <v>32.4</v>
      </c>
      <c r="C1882" s="10">
        <v>5.08</v>
      </c>
      <c r="D1882" s="16" t="s">
        <v>4687</v>
      </c>
      <c r="E1882" s="10" t="s">
        <v>4683</v>
      </c>
      <c r="F1882" s="10" t="s">
        <v>4683</v>
      </c>
      <c r="G1882" s="10" t="s">
        <v>4683</v>
      </c>
      <c r="H1882" s="14">
        <v>1</v>
      </c>
      <c r="I1882" s="10" t="s">
        <v>4683</v>
      </c>
      <c r="J1882" s="10" t="str">
        <f t="shared" si="8"/>
        <v>normalweight</v>
      </c>
      <c r="L1882" s="30" t="e">
        <v>#N/A</v>
      </c>
    </row>
    <row r="1883" spans="1:12" ht="15.75" customHeight="1" x14ac:dyDescent="0.3">
      <c r="A1883" s="10" t="s">
        <v>914</v>
      </c>
      <c r="B1883" s="10">
        <v>27.93</v>
      </c>
      <c r="C1883" s="10">
        <v>5.59</v>
      </c>
      <c r="D1883" s="16" t="s">
        <v>4685</v>
      </c>
      <c r="E1883" s="10" t="s">
        <v>4683</v>
      </c>
      <c r="F1883" s="10" t="s">
        <v>4683</v>
      </c>
      <c r="G1883" s="10" t="s">
        <v>4683</v>
      </c>
      <c r="H1883" s="14">
        <v>1</v>
      </c>
      <c r="I1883" s="10" t="s">
        <v>4683</v>
      </c>
      <c r="J1883" s="10" t="str">
        <f t="shared" si="8"/>
        <v>normalweight</v>
      </c>
      <c r="L1883" s="30" t="e">
        <v>#N/A</v>
      </c>
    </row>
    <row r="1884" spans="1:12" ht="15.75" customHeight="1" x14ac:dyDescent="0.3">
      <c r="A1884" s="10" t="s">
        <v>912</v>
      </c>
      <c r="B1884" s="10">
        <v>21.754999999999999</v>
      </c>
      <c r="C1884" s="10">
        <v>5.12</v>
      </c>
      <c r="D1884" s="16" t="s">
        <v>4687</v>
      </c>
      <c r="E1884" s="10" t="s">
        <v>4683</v>
      </c>
      <c r="F1884" s="10" t="s">
        <v>4683</v>
      </c>
      <c r="G1884" s="10" t="s">
        <v>4683</v>
      </c>
      <c r="H1884" s="14">
        <v>0</v>
      </c>
      <c r="I1884" s="10" t="s">
        <v>4683</v>
      </c>
      <c r="J1884" s="10" t="str">
        <f t="shared" si="8"/>
        <v>normalweight</v>
      </c>
      <c r="L1884" s="30" t="e">
        <v>#N/A</v>
      </c>
    </row>
    <row r="1885" spans="1:12" ht="15.75" customHeight="1" x14ac:dyDescent="0.3">
      <c r="A1885" s="10" t="s">
        <v>910</v>
      </c>
      <c r="B1885" s="10">
        <v>25.934999999999999</v>
      </c>
      <c r="C1885" s="10">
        <v>4.95</v>
      </c>
      <c r="D1885" s="16" t="s">
        <v>4687</v>
      </c>
      <c r="E1885" s="10" t="s">
        <v>4683</v>
      </c>
      <c r="F1885" s="10" t="s">
        <v>4683</v>
      </c>
      <c r="G1885" s="10" t="s">
        <v>4683</v>
      </c>
      <c r="H1885" s="14">
        <v>0</v>
      </c>
      <c r="I1885" s="10" t="s">
        <v>4683</v>
      </c>
      <c r="J1885" s="10" t="str">
        <f t="shared" si="8"/>
        <v>normalweight</v>
      </c>
      <c r="L1885" s="30" t="e">
        <v>#N/A</v>
      </c>
    </row>
    <row r="1886" spans="1:12" ht="15.75" customHeight="1" x14ac:dyDescent="0.3">
      <c r="A1886" s="10" t="s">
        <v>908</v>
      </c>
      <c r="B1886" s="10">
        <v>31.5</v>
      </c>
      <c r="C1886" s="10">
        <v>6.16</v>
      </c>
      <c r="D1886" s="16" t="s">
        <v>4685</v>
      </c>
      <c r="E1886" s="10" t="s">
        <v>4683</v>
      </c>
      <c r="F1886" s="10" t="s">
        <v>4683</v>
      </c>
      <c r="G1886" s="10" t="s">
        <v>4683</v>
      </c>
      <c r="H1886" s="14">
        <v>0</v>
      </c>
      <c r="I1886" s="10" t="s">
        <v>4683</v>
      </c>
      <c r="J1886" s="10" t="str">
        <f t="shared" si="8"/>
        <v>normalweight</v>
      </c>
      <c r="L1886" s="30" t="e">
        <v>#N/A</v>
      </c>
    </row>
    <row r="1887" spans="1:12" ht="15.75" customHeight="1" x14ac:dyDescent="0.3">
      <c r="A1887" s="10" t="s">
        <v>906</v>
      </c>
      <c r="B1887" s="10">
        <v>30.03</v>
      </c>
      <c r="C1887" s="10">
        <v>6.41</v>
      </c>
      <c r="D1887" s="16" t="s">
        <v>4685</v>
      </c>
      <c r="E1887" s="10" t="s">
        <v>4683</v>
      </c>
      <c r="F1887" s="10" t="s">
        <v>4683</v>
      </c>
      <c r="G1887" s="10" t="s">
        <v>4683</v>
      </c>
      <c r="H1887" s="14">
        <v>0</v>
      </c>
      <c r="I1887" s="10" t="s">
        <v>4683</v>
      </c>
      <c r="J1887" s="10" t="str">
        <f t="shared" si="8"/>
        <v>normalweight</v>
      </c>
      <c r="L1887" s="30" t="e">
        <v>#N/A</v>
      </c>
    </row>
    <row r="1888" spans="1:12" ht="15.75" customHeight="1" x14ac:dyDescent="0.3">
      <c r="A1888" s="10" t="s">
        <v>904</v>
      </c>
      <c r="B1888" s="10">
        <v>33.479999999999997</v>
      </c>
      <c r="C1888" s="10">
        <v>8.94</v>
      </c>
      <c r="D1888" s="16" t="s">
        <v>4682</v>
      </c>
      <c r="E1888" s="10" t="s">
        <v>4683</v>
      </c>
      <c r="F1888" s="10" t="s">
        <v>4683</v>
      </c>
      <c r="G1888" s="10" t="s">
        <v>4683</v>
      </c>
      <c r="H1888" s="14">
        <v>0</v>
      </c>
      <c r="I1888" s="10" t="s">
        <v>4683</v>
      </c>
      <c r="J1888" s="10" t="str">
        <f t="shared" si="8"/>
        <v>normalweight</v>
      </c>
      <c r="L1888" s="30" t="e">
        <v>#N/A</v>
      </c>
    </row>
    <row r="1889" spans="1:12" ht="15.75" customHeight="1" x14ac:dyDescent="0.3">
      <c r="A1889" s="10" t="s">
        <v>902</v>
      </c>
      <c r="B1889" s="10">
        <v>16.510000000000002</v>
      </c>
      <c r="C1889" s="10">
        <v>4.42</v>
      </c>
      <c r="D1889" s="16" t="s">
        <v>4687</v>
      </c>
      <c r="E1889" s="10" t="s">
        <v>4684</v>
      </c>
      <c r="F1889" s="10" t="s">
        <v>4683</v>
      </c>
      <c r="G1889" s="10" t="s">
        <v>4686</v>
      </c>
      <c r="H1889" s="14">
        <v>1</v>
      </c>
      <c r="I1889" s="10" t="s">
        <v>4683</v>
      </c>
      <c r="J1889" s="10" t="str">
        <f t="shared" si="8"/>
        <v>underweight</v>
      </c>
      <c r="L1889" s="30" t="e">
        <v>#N/A</v>
      </c>
    </row>
    <row r="1890" spans="1:12" ht="15.75" customHeight="1" x14ac:dyDescent="0.3">
      <c r="A1890" s="10" t="s">
        <v>900</v>
      </c>
      <c r="B1890" s="10">
        <v>33.155000000000001</v>
      </c>
      <c r="C1890" s="10">
        <v>5.3</v>
      </c>
      <c r="D1890" s="16" t="s">
        <v>4687</v>
      </c>
      <c r="E1890" s="10" t="s">
        <v>4684</v>
      </c>
      <c r="F1890" s="10" t="s">
        <v>4683</v>
      </c>
      <c r="G1890" s="10" t="s">
        <v>4683</v>
      </c>
      <c r="H1890" s="14">
        <v>1</v>
      </c>
      <c r="I1890" s="10" t="s">
        <v>4683</v>
      </c>
      <c r="J1890" s="10" t="str">
        <f t="shared" si="8"/>
        <v>normalweight</v>
      </c>
      <c r="L1890" s="30" t="e">
        <v>#N/A</v>
      </c>
    </row>
    <row r="1891" spans="1:12" ht="15.75" customHeight="1" x14ac:dyDescent="0.3">
      <c r="A1891" s="10" t="s">
        <v>898</v>
      </c>
      <c r="B1891" s="10">
        <v>37.29</v>
      </c>
      <c r="C1891" s="10">
        <v>4.6399999999999997</v>
      </c>
      <c r="D1891" s="16" t="s">
        <v>4687</v>
      </c>
      <c r="E1891" s="10" t="s">
        <v>4683</v>
      </c>
      <c r="F1891" s="10" t="s">
        <v>4683</v>
      </c>
      <c r="G1891" s="10" t="s">
        <v>4686</v>
      </c>
      <c r="H1891" s="14">
        <v>1</v>
      </c>
      <c r="I1891" s="10" t="s">
        <v>4683</v>
      </c>
      <c r="J1891" s="10" t="str">
        <f t="shared" si="8"/>
        <v>normalweight</v>
      </c>
      <c r="L1891" s="30" t="e">
        <v>#N/A</v>
      </c>
    </row>
    <row r="1892" spans="1:12" ht="15.75" customHeight="1" x14ac:dyDescent="0.3">
      <c r="A1892" s="10" t="s">
        <v>896</v>
      </c>
      <c r="B1892" s="10">
        <v>20.23</v>
      </c>
      <c r="C1892" s="10">
        <v>6.16</v>
      </c>
      <c r="D1892" s="16" t="s">
        <v>4685</v>
      </c>
      <c r="E1892" s="10" t="s">
        <v>4684</v>
      </c>
      <c r="F1892" s="10" t="s">
        <v>4683</v>
      </c>
      <c r="G1892" s="10" t="s">
        <v>4683</v>
      </c>
      <c r="H1892" s="14">
        <v>1</v>
      </c>
      <c r="I1892" s="10" t="s">
        <v>4683</v>
      </c>
      <c r="J1892" s="10" t="str">
        <f t="shared" si="8"/>
        <v>normalweight</v>
      </c>
      <c r="L1892" s="30" t="e">
        <v>#N/A</v>
      </c>
    </row>
    <row r="1893" spans="1:12" ht="15.75" customHeight="1" x14ac:dyDescent="0.3">
      <c r="A1893" s="10" t="s">
        <v>894</v>
      </c>
      <c r="B1893" s="10">
        <v>28.975000000000001</v>
      </c>
      <c r="C1893" s="10">
        <v>4.12</v>
      </c>
      <c r="D1893" s="16" t="s">
        <v>4687</v>
      </c>
      <c r="E1893" s="10" t="s">
        <v>4683</v>
      </c>
      <c r="F1893" s="10" t="s">
        <v>4683</v>
      </c>
      <c r="G1893" s="10" t="s">
        <v>4686</v>
      </c>
      <c r="H1893" s="14">
        <v>1</v>
      </c>
      <c r="I1893" s="10" t="s">
        <v>4683</v>
      </c>
      <c r="J1893" s="10" t="str">
        <f t="shared" si="8"/>
        <v>normalweight</v>
      </c>
      <c r="L1893" s="30" t="e">
        <v>#N/A</v>
      </c>
    </row>
    <row r="1894" spans="1:12" ht="15.75" customHeight="1" x14ac:dyDescent="0.3">
      <c r="A1894" s="10" t="s">
        <v>892</v>
      </c>
      <c r="B1894" s="10">
        <v>16.420000000000002</v>
      </c>
      <c r="C1894" s="10">
        <v>5.77</v>
      </c>
      <c r="D1894" s="16" t="s">
        <v>4685</v>
      </c>
      <c r="E1894" s="10" t="s">
        <v>4684</v>
      </c>
      <c r="F1894" s="10" t="s">
        <v>4683</v>
      </c>
      <c r="G1894" s="10" t="s">
        <v>4686</v>
      </c>
      <c r="H1894" s="14">
        <v>1</v>
      </c>
      <c r="I1894" s="10" t="s">
        <v>4683</v>
      </c>
      <c r="J1894" s="10" t="str">
        <f t="shared" si="8"/>
        <v>underweight</v>
      </c>
      <c r="L1894" s="30" t="e">
        <v>#N/A</v>
      </c>
    </row>
    <row r="1895" spans="1:12" ht="15.75" customHeight="1" x14ac:dyDescent="0.3">
      <c r="A1895" s="10" t="s">
        <v>890</v>
      </c>
      <c r="B1895" s="10">
        <v>17.559999999999999</v>
      </c>
      <c r="C1895" s="10">
        <v>6.2</v>
      </c>
      <c r="D1895" s="16" t="s">
        <v>4685</v>
      </c>
      <c r="E1895" s="10" t="s">
        <v>4683</v>
      </c>
      <c r="F1895" s="10" t="s">
        <v>4683</v>
      </c>
      <c r="G1895" s="10" t="s">
        <v>4683</v>
      </c>
      <c r="H1895" s="14">
        <v>1</v>
      </c>
      <c r="I1895" s="10" t="s">
        <v>4683</v>
      </c>
      <c r="J1895" s="10" t="str">
        <f t="shared" si="8"/>
        <v>underweight</v>
      </c>
      <c r="L1895" s="30" t="e">
        <v>#N/A</v>
      </c>
    </row>
    <row r="1896" spans="1:12" ht="15.75" customHeight="1" x14ac:dyDescent="0.3">
      <c r="A1896" s="10" t="s">
        <v>888</v>
      </c>
      <c r="B1896" s="10">
        <v>24.13</v>
      </c>
      <c r="C1896" s="10">
        <v>4.3899999999999997</v>
      </c>
      <c r="D1896" s="16" t="s">
        <v>4687</v>
      </c>
      <c r="E1896" s="10" t="s">
        <v>4683</v>
      </c>
      <c r="F1896" s="10" t="s">
        <v>4683</v>
      </c>
      <c r="G1896" s="10" t="s">
        <v>4683</v>
      </c>
      <c r="H1896" s="14">
        <v>1</v>
      </c>
      <c r="I1896" s="10" t="s">
        <v>4683</v>
      </c>
      <c r="J1896" s="10" t="str">
        <f t="shared" si="8"/>
        <v>normalweight</v>
      </c>
      <c r="L1896" s="30" t="e">
        <v>#N/A</v>
      </c>
    </row>
    <row r="1897" spans="1:12" ht="15.75" customHeight="1" x14ac:dyDescent="0.3">
      <c r="A1897" s="10" t="s">
        <v>886</v>
      </c>
      <c r="B1897" s="10">
        <v>19.95</v>
      </c>
      <c r="C1897" s="10">
        <v>5.13</v>
      </c>
      <c r="D1897" s="16" t="s">
        <v>4687</v>
      </c>
      <c r="E1897" s="10" t="s">
        <v>4683</v>
      </c>
      <c r="F1897" s="10" t="s">
        <v>4684</v>
      </c>
      <c r="G1897" s="10" t="s">
        <v>4683</v>
      </c>
      <c r="H1897" s="14">
        <v>2</v>
      </c>
      <c r="I1897" s="10" t="s">
        <v>4683</v>
      </c>
      <c r="J1897" s="10" t="str">
        <f t="shared" si="8"/>
        <v>normalweight</v>
      </c>
      <c r="L1897" s="30" t="e">
        <v>#N/A</v>
      </c>
    </row>
    <row r="1898" spans="1:12" ht="15.75" customHeight="1" x14ac:dyDescent="0.3">
      <c r="A1898" s="10" t="s">
        <v>884</v>
      </c>
      <c r="B1898" s="10">
        <v>21.24</v>
      </c>
      <c r="C1898" s="10">
        <v>4.49</v>
      </c>
      <c r="D1898" s="16" t="s">
        <v>4687</v>
      </c>
      <c r="E1898" s="10" t="s">
        <v>4683</v>
      </c>
      <c r="F1898" s="10" t="s">
        <v>4683</v>
      </c>
      <c r="G1898" s="10" t="s">
        <v>4683</v>
      </c>
      <c r="H1898" s="14">
        <v>0</v>
      </c>
      <c r="I1898" s="10" t="s">
        <v>4683</v>
      </c>
      <c r="J1898" s="10" t="str">
        <f t="shared" si="8"/>
        <v>normalweight</v>
      </c>
      <c r="L1898" s="30" t="e">
        <v>#N/A</v>
      </c>
    </row>
    <row r="1899" spans="1:12" ht="15.75" customHeight="1" x14ac:dyDescent="0.3">
      <c r="A1899" s="10" t="s">
        <v>882</v>
      </c>
      <c r="B1899" s="10">
        <v>44.22</v>
      </c>
      <c r="C1899" s="10">
        <v>6.35</v>
      </c>
      <c r="D1899" s="16" t="s">
        <v>4685</v>
      </c>
      <c r="E1899" s="10" t="s">
        <v>4683</v>
      </c>
      <c r="F1899" s="10" t="s">
        <v>4683</v>
      </c>
      <c r="G1899" s="10" t="s">
        <v>4683</v>
      </c>
      <c r="H1899" s="14">
        <v>0</v>
      </c>
      <c r="I1899" s="10" t="s">
        <v>4683</v>
      </c>
      <c r="J1899" s="10" t="str">
        <f t="shared" si="8"/>
        <v>normalweight</v>
      </c>
      <c r="L1899" s="30" t="e">
        <v>#N/A</v>
      </c>
    </row>
    <row r="1900" spans="1:12" ht="15.75" customHeight="1" x14ac:dyDescent="0.3">
      <c r="A1900" s="10" t="s">
        <v>880</v>
      </c>
      <c r="B1900" s="10">
        <v>41.1</v>
      </c>
      <c r="C1900" s="10">
        <v>5.79</v>
      </c>
      <c r="D1900" s="16" t="s">
        <v>4685</v>
      </c>
      <c r="E1900" s="10" t="s">
        <v>4683</v>
      </c>
      <c r="F1900" s="10" t="s">
        <v>4683</v>
      </c>
      <c r="G1900" s="10" t="s">
        <v>4683</v>
      </c>
      <c r="H1900" s="14">
        <v>0</v>
      </c>
      <c r="I1900" s="10" t="s">
        <v>4683</v>
      </c>
      <c r="J1900" s="10" t="str">
        <f t="shared" si="8"/>
        <v>normalweight</v>
      </c>
      <c r="L1900" s="30" t="e">
        <v>#N/A</v>
      </c>
    </row>
    <row r="1901" spans="1:12" ht="15.75" customHeight="1" x14ac:dyDescent="0.3">
      <c r="A1901" s="10" t="s">
        <v>878</v>
      </c>
      <c r="B1901" s="10">
        <v>34.200000000000003</v>
      </c>
      <c r="C1901" s="10">
        <v>4.78</v>
      </c>
      <c r="D1901" s="16" t="s">
        <v>4687</v>
      </c>
      <c r="E1901" s="10" t="s">
        <v>4684</v>
      </c>
      <c r="F1901" s="10" t="s">
        <v>4683</v>
      </c>
      <c r="G1901" s="10" t="s">
        <v>4683</v>
      </c>
      <c r="H1901" s="14">
        <v>0</v>
      </c>
      <c r="I1901" s="10" t="s">
        <v>4683</v>
      </c>
      <c r="J1901" s="10" t="str">
        <f t="shared" si="8"/>
        <v>normalweight</v>
      </c>
      <c r="L1901" s="30" t="e">
        <v>#N/A</v>
      </c>
    </row>
    <row r="1902" spans="1:12" ht="15.75" customHeight="1" x14ac:dyDescent="0.3">
      <c r="A1902" s="10" t="s">
        <v>876</v>
      </c>
      <c r="B1902" s="10">
        <v>29.92</v>
      </c>
      <c r="C1902" s="10">
        <v>6.02</v>
      </c>
      <c r="D1902" s="16" t="s">
        <v>4685</v>
      </c>
      <c r="E1902" s="10" t="s">
        <v>4684</v>
      </c>
      <c r="F1902" s="10" t="s">
        <v>4683</v>
      </c>
      <c r="G1902" s="10" t="s">
        <v>4683</v>
      </c>
      <c r="H1902" s="14">
        <v>0</v>
      </c>
      <c r="I1902" s="10" t="s">
        <v>4683</v>
      </c>
      <c r="J1902" s="10" t="str">
        <f t="shared" si="8"/>
        <v>normalweight</v>
      </c>
      <c r="L1902" s="30" t="e">
        <v>#N/A</v>
      </c>
    </row>
    <row r="1903" spans="1:12" ht="15.75" customHeight="1" x14ac:dyDescent="0.3">
      <c r="A1903" s="10" t="s">
        <v>874</v>
      </c>
      <c r="B1903" s="10">
        <v>28.93</v>
      </c>
      <c r="C1903" s="10">
        <v>4.4400000000000004</v>
      </c>
      <c r="D1903" s="16" t="s">
        <v>4687</v>
      </c>
      <c r="E1903" s="10" t="s">
        <v>4683</v>
      </c>
      <c r="F1903" s="10" t="s">
        <v>4683</v>
      </c>
      <c r="G1903" s="10" t="s">
        <v>4683</v>
      </c>
      <c r="H1903" s="14">
        <v>0</v>
      </c>
      <c r="I1903" s="10" t="s">
        <v>4683</v>
      </c>
      <c r="J1903" s="10" t="str">
        <f t="shared" si="8"/>
        <v>normalweight</v>
      </c>
      <c r="L1903" s="30" t="e">
        <v>#N/A</v>
      </c>
    </row>
    <row r="1904" spans="1:12" ht="15.75" customHeight="1" x14ac:dyDescent="0.3">
      <c r="A1904" s="10" t="s">
        <v>872</v>
      </c>
      <c r="B1904" s="10">
        <v>31.254999999999999</v>
      </c>
      <c r="C1904" s="10">
        <v>5.84</v>
      </c>
      <c r="D1904" s="16" t="s">
        <v>4685</v>
      </c>
      <c r="E1904" s="10" t="s">
        <v>4684</v>
      </c>
      <c r="F1904" s="10" t="s">
        <v>4683</v>
      </c>
      <c r="G1904" s="10" t="s">
        <v>4683</v>
      </c>
      <c r="H1904" s="14">
        <v>1</v>
      </c>
      <c r="I1904" s="10" t="s">
        <v>4683</v>
      </c>
      <c r="J1904" s="10" t="str">
        <f t="shared" si="8"/>
        <v>normalweight</v>
      </c>
      <c r="L1904" s="30" t="e">
        <v>#N/A</v>
      </c>
    </row>
    <row r="1905" spans="1:12" ht="15.75" customHeight="1" x14ac:dyDescent="0.3">
      <c r="A1905" s="10" t="s">
        <v>870</v>
      </c>
      <c r="B1905" s="10">
        <v>29.83</v>
      </c>
      <c r="C1905" s="10">
        <v>5.39</v>
      </c>
      <c r="D1905" s="16" t="s">
        <v>4687</v>
      </c>
      <c r="E1905" s="10" t="s">
        <v>4683</v>
      </c>
      <c r="F1905" s="10" t="s">
        <v>4683</v>
      </c>
      <c r="G1905" s="10" t="s">
        <v>4683</v>
      </c>
      <c r="H1905" s="14">
        <v>0</v>
      </c>
      <c r="I1905" s="10" t="s">
        <v>4683</v>
      </c>
      <c r="J1905" s="10" t="str">
        <f t="shared" si="8"/>
        <v>normalweight</v>
      </c>
      <c r="L1905" s="30" t="e">
        <v>#N/A</v>
      </c>
    </row>
    <row r="1906" spans="1:12" ht="15.75" customHeight="1" x14ac:dyDescent="0.3">
      <c r="A1906" s="10" t="s">
        <v>868</v>
      </c>
      <c r="B1906" s="10">
        <v>29.59</v>
      </c>
      <c r="C1906" s="10">
        <v>6.16</v>
      </c>
      <c r="D1906" s="16" t="s">
        <v>4685</v>
      </c>
      <c r="E1906" s="10" t="s">
        <v>4683</v>
      </c>
      <c r="F1906" s="10" t="s">
        <v>4683</v>
      </c>
      <c r="G1906" s="10" t="s">
        <v>4686</v>
      </c>
      <c r="H1906" s="14">
        <v>1</v>
      </c>
      <c r="I1906" s="10" t="s">
        <v>4683</v>
      </c>
      <c r="J1906" s="10" t="str">
        <f t="shared" si="8"/>
        <v>normalweight</v>
      </c>
      <c r="L1906" s="30" t="e">
        <v>#N/A</v>
      </c>
    </row>
    <row r="1907" spans="1:12" ht="15.75" customHeight="1" x14ac:dyDescent="0.3">
      <c r="A1907" s="10" t="s">
        <v>866</v>
      </c>
      <c r="B1907" s="10">
        <v>31.16</v>
      </c>
      <c r="C1907" s="10">
        <v>4.49</v>
      </c>
      <c r="D1907" s="16" t="s">
        <v>4687</v>
      </c>
      <c r="E1907" s="10" t="s">
        <v>4683</v>
      </c>
      <c r="F1907" s="10" t="s">
        <v>4683</v>
      </c>
      <c r="G1907" s="10" t="s">
        <v>4686</v>
      </c>
      <c r="H1907" s="14">
        <v>1</v>
      </c>
      <c r="I1907" s="10" t="s">
        <v>4683</v>
      </c>
      <c r="J1907" s="10" t="str">
        <f t="shared" si="8"/>
        <v>normalweight</v>
      </c>
      <c r="L1907" s="30" t="e">
        <v>#N/A</v>
      </c>
    </row>
    <row r="1908" spans="1:12" ht="15.75" customHeight="1" x14ac:dyDescent="0.3">
      <c r="A1908" s="10" t="s">
        <v>864</v>
      </c>
      <c r="B1908" s="10">
        <v>34.21</v>
      </c>
      <c r="C1908" s="10">
        <v>4.4800000000000004</v>
      </c>
      <c r="D1908" s="16" t="s">
        <v>4687</v>
      </c>
      <c r="E1908" s="10" t="s">
        <v>4684</v>
      </c>
      <c r="F1908" s="10" t="s">
        <v>4683</v>
      </c>
      <c r="G1908" s="10" t="s">
        <v>4683</v>
      </c>
      <c r="H1908" s="14">
        <v>1</v>
      </c>
      <c r="I1908" s="10" t="s">
        <v>4683</v>
      </c>
      <c r="J1908" s="10" t="str">
        <f t="shared" si="8"/>
        <v>normalweight</v>
      </c>
      <c r="L1908" s="30" t="e">
        <v>#N/A</v>
      </c>
    </row>
    <row r="1909" spans="1:12" ht="15.75" customHeight="1" x14ac:dyDescent="0.3">
      <c r="A1909" s="10" t="s">
        <v>862</v>
      </c>
      <c r="B1909" s="10">
        <v>34.86</v>
      </c>
      <c r="C1909" s="10">
        <v>10.97</v>
      </c>
      <c r="D1909" s="16" t="s">
        <v>4682</v>
      </c>
      <c r="E1909" s="10" t="s">
        <v>4683</v>
      </c>
      <c r="F1909" s="10" t="s">
        <v>4683</v>
      </c>
      <c r="G1909" s="10" t="s">
        <v>4683</v>
      </c>
      <c r="H1909" s="14">
        <v>0</v>
      </c>
      <c r="I1909" s="10" t="s">
        <v>4683</v>
      </c>
      <c r="J1909" s="10" t="str">
        <f t="shared" si="8"/>
        <v>normalweight</v>
      </c>
      <c r="L1909" s="30" t="e">
        <v>#N/A</v>
      </c>
    </row>
    <row r="1910" spans="1:12" ht="15.75" customHeight="1" x14ac:dyDescent="0.3">
      <c r="A1910" s="10" t="s">
        <v>860</v>
      </c>
      <c r="B1910" s="10">
        <v>34.58</v>
      </c>
      <c r="C1910" s="10">
        <v>5.14</v>
      </c>
      <c r="D1910" s="16" t="s">
        <v>4687</v>
      </c>
      <c r="E1910" s="10" t="s">
        <v>4683</v>
      </c>
      <c r="F1910" s="10" t="s">
        <v>4684</v>
      </c>
      <c r="G1910" s="10" t="s">
        <v>4683</v>
      </c>
      <c r="H1910" s="14">
        <v>2</v>
      </c>
      <c r="I1910" s="10" t="s">
        <v>4683</v>
      </c>
      <c r="J1910" s="10" t="str">
        <f t="shared" si="8"/>
        <v>normalweight</v>
      </c>
      <c r="L1910" s="30" t="e">
        <v>#N/A</v>
      </c>
    </row>
    <row r="1911" spans="1:12" ht="15.75" customHeight="1" x14ac:dyDescent="0.3">
      <c r="A1911" s="10" t="s">
        <v>858</v>
      </c>
      <c r="B1911" s="10">
        <v>17.940000000000001</v>
      </c>
      <c r="C1911" s="10">
        <v>5.17</v>
      </c>
      <c r="D1911" s="16" t="s">
        <v>4687</v>
      </c>
      <c r="E1911" s="10" t="s">
        <v>4684</v>
      </c>
      <c r="F1911" s="10" t="s">
        <v>4683</v>
      </c>
      <c r="G1911" s="10" t="s">
        <v>4683</v>
      </c>
      <c r="H1911" s="14">
        <v>0</v>
      </c>
      <c r="I1911" s="10" t="s">
        <v>4683</v>
      </c>
      <c r="J1911" s="10" t="str">
        <f t="shared" si="8"/>
        <v>underweight</v>
      </c>
      <c r="L1911" s="30" t="e">
        <v>#N/A</v>
      </c>
    </row>
    <row r="1912" spans="1:12" ht="15.75" customHeight="1" x14ac:dyDescent="0.3">
      <c r="A1912" s="10" t="s">
        <v>856</v>
      </c>
      <c r="B1912" s="10">
        <v>26.8</v>
      </c>
      <c r="C1912" s="10">
        <v>6.18</v>
      </c>
      <c r="D1912" s="16" t="s">
        <v>4685</v>
      </c>
      <c r="E1912" s="10" t="s">
        <v>4684</v>
      </c>
      <c r="F1912" s="10" t="s">
        <v>4683</v>
      </c>
      <c r="G1912" s="10" t="s">
        <v>4686</v>
      </c>
      <c r="H1912" s="14">
        <v>1</v>
      </c>
      <c r="I1912" s="10" t="s">
        <v>4683</v>
      </c>
      <c r="J1912" s="10" t="str">
        <f t="shared" si="8"/>
        <v>normalweight</v>
      </c>
      <c r="L1912" s="30" t="e">
        <v>#N/A</v>
      </c>
    </row>
    <row r="1913" spans="1:12" ht="15.75" customHeight="1" x14ac:dyDescent="0.3">
      <c r="A1913" s="10" t="s">
        <v>854</v>
      </c>
      <c r="B1913" s="10">
        <v>17.690000000000001</v>
      </c>
      <c r="C1913" s="10">
        <v>9.07</v>
      </c>
      <c r="D1913" s="16" t="s">
        <v>4682</v>
      </c>
      <c r="E1913" s="10" t="s">
        <v>4684</v>
      </c>
      <c r="F1913" s="10" t="s">
        <v>4683</v>
      </c>
      <c r="G1913" s="10" t="s">
        <v>4683</v>
      </c>
      <c r="H1913" s="14">
        <v>0</v>
      </c>
      <c r="I1913" s="10" t="s">
        <v>4683</v>
      </c>
      <c r="J1913" s="10" t="str">
        <f t="shared" si="8"/>
        <v>underweight</v>
      </c>
      <c r="L1913" s="30" t="e">
        <v>#N/A</v>
      </c>
    </row>
    <row r="1914" spans="1:12" ht="15.75" customHeight="1" x14ac:dyDescent="0.3">
      <c r="A1914" s="10" t="s">
        <v>852</v>
      </c>
      <c r="B1914" s="10">
        <v>25.77</v>
      </c>
      <c r="C1914" s="10">
        <v>4.43</v>
      </c>
      <c r="D1914" s="16" t="s">
        <v>4687</v>
      </c>
      <c r="E1914" s="10" t="s">
        <v>4683</v>
      </c>
      <c r="F1914" s="10" t="s">
        <v>4683</v>
      </c>
      <c r="G1914" s="10" t="s">
        <v>4686</v>
      </c>
      <c r="H1914" s="14">
        <v>1</v>
      </c>
      <c r="I1914" s="10" t="s">
        <v>4683</v>
      </c>
      <c r="J1914" s="10" t="str">
        <f t="shared" si="8"/>
        <v>normalweight</v>
      </c>
      <c r="L1914" s="30" t="e">
        <v>#N/A</v>
      </c>
    </row>
    <row r="1915" spans="1:12" ht="15.75" customHeight="1" x14ac:dyDescent="0.3">
      <c r="A1915" s="10" t="s">
        <v>850</v>
      </c>
      <c r="B1915" s="10">
        <v>34.46</v>
      </c>
      <c r="C1915" s="10">
        <v>4.17</v>
      </c>
      <c r="D1915" s="16" t="s">
        <v>4687</v>
      </c>
      <c r="E1915" s="10" t="s">
        <v>4683</v>
      </c>
      <c r="F1915" s="10" t="s">
        <v>4684</v>
      </c>
      <c r="G1915" s="10" t="s">
        <v>4683</v>
      </c>
      <c r="H1915" s="14">
        <v>1</v>
      </c>
      <c r="I1915" s="10" t="s">
        <v>4683</v>
      </c>
      <c r="J1915" s="10" t="str">
        <f t="shared" si="8"/>
        <v>normalweight</v>
      </c>
      <c r="L1915" s="30" t="e">
        <v>#N/A</v>
      </c>
    </row>
    <row r="1916" spans="1:12" ht="15.75" customHeight="1" x14ac:dyDescent="0.3">
      <c r="A1916" s="10" t="s">
        <v>848</v>
      </c>
      <c r="B1916" s="10">
        <v>30.875</v>
      </c>
      <c r="C1916" s="10">
        <v>4.95</v>
      </c>
      <c r="D1916" s="16" t="s">
        <v>4687</v>
      </c>
      <c r="E1916" s="10" t="s">
        <v>4684</v>
      </c>
      <c r="F1916" s="10" t="s">
        <v>4683</v>
      </c>
      <c r="G1916" s="10" t="s">
        <v>4683</v>
      </c>
      <c r="H1916" s="14">
        <v>0</v>
      </c>
      <c r="I1916" s="10" t="s">
        <v>4683</v>
      </c>
      <c r="J1916" s="10" t="str">
        <f t="shared" si="8"/>
        <v>normalweight</v>
      </c>
      <c r="L1916" s="30" t="e">
        <v>#N/A</v>
      </c>
    </row>
    <row r="1917" spans="1:12" ht="15.75" customHeight="1" x14ac:dyDescent="0.3">
      <c r="A1917" s="10" t="s">
        <v>846</v>
      </c>
      <c r="B1917" s="10">
        <v>39.49</v>
      </c>
      <c r="C1917" s="10">
        <v>5.13</v>
      </c>
      <c r="D1917" s="16" t="s">
        <v>4687</v>
      </c>
      <c r="E1917" s="10" t="s">
        <v>4683</v>
      </c>
      <c r="F1917" s="10" t="s">
        <v>4683</v>
      </c>
      <c r="G1917" s="10" t="s">
        <v>4683</v>
      </c>
      <c r="H1917" s="14">
        <v>0</v>
      </c>
      <c r="I1917" s="10" t="s">
        <v>4683</v>
      </c>
      <c r="J1917" s="10" t="str">
        <f t="shared" si="8"/>
        <v>normalweight</v>
      </c>
      <c r="L1917" s="30" t="e">
        <v>#N/A</v>
      </c>
    </row>
    <row r="1918" spans="1:12" ht="15.75" customHeight="1" x14ac:dyDescent="0.3">
      <c r="A1918" s="10" t="s">
        <v>844</v>
      </c>
      <c r="B1918" s="10">
        <v>28.88</v>
      </c>
      <c r="C1918" s="10">
        <v>4.0999999999999996</v>
      </c>
      <c r="D1918" s="16" t="s">
        <v>4687</v>
      </c>
      <c r="E1918" s="10" t="s">
        <v>4683</v>
      </c>
      <c r="F1918" s="10" t="s">
        <v>4683</v>
      </c>
      <c r="G1918" s="10" t="s">
        <v>4683</v>
      </c>
      <c r="H1918" s="14">
        <v>0</v>
      </c>
      <c r="I1918" s="10" t="s">
        <v>4683</v>
      </c>
      <c r="J1918" s="10" t="str">
        <f t="shared" si="8"/>
        <v>normalweight</v>
      </c>
      <c r="L1918" s="30" t="e">
        <v>#N/A</v>
      </c>
    </row>
    <row r="1919" spans="1:12" ht="15.75" customHeight="1" x14ac:dyDescent="0.3">
      <c r="A1919" s="10" t="s">
        <v>842</v>
      </c>
      <c r="B1919" s="10">
        <v>20.234999999999999</v>
      </c>
      <c r="C1919" s="10">
        <v>5.01</v>
      </c>
      <c r="D1919" s="16" t="s">
        <v>4687</v>
      </c>
      <c r="E1919" s="10" t="s">
        <v>4684</v>
      </c>
      <c r="F1919" s="10" t="s">
        <v>4683</v>
      </c>
      <c r="G1919" s="10" t="s">
        <v>4683</v>
      </c>
      <c r="H1919" s="14">
        <v>0</v>
      </c>
      <c r="I1919" s="10" t="s">
        <v>4683</v>
      </c>
      <c r="J1919" s="10" t="str">
        <f t="shared" si="8"/>
        <v>normalweight</v>
      </c>
      <c r="L1919" s="30" t="e">
        <v>#N/A</v>
      </c>
    </row>
    <row r="1920" spans="1:12" ht="15.75" customHeight="1" x14ac:dyDescent="0.3">
      <c r="A1920" s="10" t="s">
        <v>840</v>
      </c>
      <c r="B1920" s="10">
        <v>30.67</v>
      </c>
      <c r="C1920" s="10">
        <v>5.09</v>
      </c>
      <c r="D1920" s="16" t="s">
        <v>4687</v>
      </c>
      <c r="E1920" s="10" t="s">
        <v>4684</v>
      </c>
      <c r="F1920" s="10" t="s">
        <v>4683</v>
      </c>
      <c r="G1920" s="10" t="s">
        <v>4683</v>
      </c>
      <c r="H1920" s="14">
        <v>0</v>
      </c>
      <c r="I1920" s="10" t="s">
        <v>4683</v>
      </c>
      <c r="J1920" s="10" t="str">
        <f t="shared" si="8"/>
        <v>normalweight</v>
      </c>
      <c r="L1920" s="30" t="e">
        <v>#N/A</v>
      </c>
    </row>
    <row r="1921" spans="1:12" ht="15.75" customHeight="1" x14ac:dyDescent="0.3">
      <c r="A1921" s="10" t="s">
        <v>838</v>
      </c>
      <c r="B1921" s="10">
        <v>30.875</v>
      </c>
      <c r="C1921" s="10">
        <v>6.49</v>
      </c>
      <c r="D1921" s="16" t="s">
        <v>4685</v>
      </c>
      <c r="E1921" s="10" t="s">
        <v>4683</v>
      </c>
      <c r="F1921" s="10" t="s">
        <v>4683</v>
      </c>
      <c r="G1921" s="10" t="s">
        <v>4683</v>
      </c>
      <c r="H1921" s="14">
        <v>0</v>
      </c>
      <c r="I1921" s="10" t="s">
        <v>4683</v>
      </c>
      <c r="J1921" s="10" t="str">
        <f t="shared" si="8"/>
        <v>normalweight</v>
      </c>
      <c r="L1921" s="30" t="e">
        <v>#N/A</v>
      </c>
    </row>
    <row r="1922" spans="1:12" ht="15.75" customHeight="1" x14ac:dyDescent="0.3">
      <c r="A1922" s="10" t="s">
        <v>836</v>
      </c>
      <c r="B1922" s="10">
        <v>23.8</v>
      </c>
      <c r="C1922" s="10">
        <v>4.08</v>
      </c>
      <c r="D1922" s="16" t="s">
        <v>4687</v>
      </c>
      <c r="E1922" s="10" t="s">
        <v>4683</v>
      </c>
      <c r="F1922" s="10" t="s">
        <v>4683</v>
      </c>
      <c r="G1922" s="10" t="s">
        <v>4683</v>
      </c>
      <c r="H1922" s="14">
        <v>0</v>
      </c>
      <c r="I1922" s="10" t="s">
        <v>4683</v>
      </c>
      <c r="J1922" s="10" t="str">
        <f t="shared" si="8"/>
        <v>normalweight</v>
      </c>
      <c r="L1922" s="30" t="e">
        <v>#N/A</v>
      </c>
    </row>
    <row r="1923" spans="1:12" ht="15.75" customHeight="1" x14ac:dyDescent="0.3">
      <c r="A1923" s="10" t="s">
        <v>834</v>
      </c>
      <c r="B1923" s="10">
        <v>15.37</v>
      </c>
      <c r="C1923" s="10">
        <v>8.6300000000000008</v>
      </c>
      <c r="D1923" s="16" t="s">
        <v>4682</v>
      </c>
      <c r="E1923" s="10" t="s">
        <v>4684</v>
      </c>
      <c r="F1923" s="10" t="s">
        <v>4683</v>
      </c>
      <c r="G1923" s="10" t="s">
        <v>4683</v>
      </c>
      <c r="H1923" s="14">
        <v>0</v>
      </c>
      <c r="I1923" s="10" t="s">
        <v>4683</v>
      </c>
      <c r="J1923" s="10" t="str">
        <f t="shared" si="8"/>
        <v>underweight</v>
      </c>
      <c r="L1923" s="30" t="e">
        <v>#N/A</v>
      </c>
    </row>
    <row r="1924" spans="1:12" ht="15.75" customHeight="1" x14ac:dyDescent="0.3">
      <c r="A1924" s="10" t="s">
        <v>832</v>
      </c>
      <c r="B1924" s="10">
        <v>30.4</v>
      </c>
      <c r="C1924" s="10">
        <v>5.28</v>
      </c>
      <c r="D1924" s="16" t="s">
        <v>4687</v>
      </c>
      <c r="E1924" s="10" t="s">
        <v>4683</v>
      </c>
      <c r="F1924" s="10" t="s">
        <v>4683</v>
      </c>
      <c r="G1924" s="10" t="s">
        <v>4683</v>
      </c>
      <c r="H1924" s="14">
        <v>0</v>
      </c>
      <c r="I1924" s="10" t="s">
        <v>4683</v>
      </c>
      <c r="J1924" s="10" t="str">
        <f t="shared" si="8"/>
        <v>normalweight</v>
      </c>
      <c r="L1924" s="30" t="e">
        <v>#N/A</v>
      </c>
    </row>
    <row r="1925" spans="1:12" ht="15.75" customHeight="1" x14ac:dyDescent="0.3">
      <c r="A1925" s="10" t="s">
        <v>830</v>
      </c>
      <c r="B1925" s="10">
        <v>19.48</v>
      </c>
      <c r="C1925" s="10">
        <v>5.63</v>
      </c>
      <c r="D1925" s="16" t="s">
        <v>4685</v>
      </c>
      <c r="E1925" s="10" t="s">
        <v>4684</v>
      </c>
      <c r="F1925" s="10" t="s">
        <v>4683</v>
      </c>
      <c r="G1925" s="10" t="s">
        <v>4683</v>
      </c>
      <c r="H1925" s="14">
        <v>1</v>
      </c>
      <c r="I1925" s="10" t="s">
        <v>4683</v>
      </c>
      <c r="J1925" s="10" t="str">
        <f t="shared" si="8"/>
        <v>normalweight</v>
      </c>
      <c r="L1925" s="30" t="e">
        <v>#N/A</v>
      </c>
    </row>
    <row r="1926" spans="1:12" ht="15.75" customHeight="1" x14ac:dyDescent="0.3">
      <c r="A1926" s="10" t="s">
        <v>828</v>
      </c>
      <c r="B1926" s="10">
        <v>16.96</v>
      </c>
      <c r="C1926" s="10">
        <v>11.47</v>
      </c>
      <c r="D1926" s="16" t="s">
        <v>4682</v>
      </c>
      <c r="E1926" s="10" t="s">
        <v>4684</v>
      </c>
      <c r="F1926" s="10" t="s">
        <v>4683</v>
      </c>
      <c r="G1926" s="10" t="s">
        <v>4683</v>
      </c>
      <c r="H1926" s="14">
        <v>0</v>
      </c>
      <c r="I1926" s="10" t="s">
        <v>4683</v>
      </c>
      <c r="J1926" s="10" t="str">
        <f t="shared" si="8"/>
        <v>underweight</v>
      </c>
      <c r="L1926" s="30" t="e">
        <v>#N/A</v>
      </c>
    </row>
    <row r="1927" spans="1:12" ht="15.75" customHeight="1" x14ac:dyDescent="0.3">
      <c r="A1927" s="10" t="s">
        <v>826</v>
      </c>
      <c r="B1927" s="10">
        <v>19.05</v>
      </c>
      <c r="C1927" s="10">
        <v>4.92</v>
      </c>
      <c r="D1927" s="16" t="s">
        <v>4687</v>
      </c>
      <c r="E1927" s="10" t="s">
        <v>4683</v>
      </c>
      <c r="F1927" s="10" t="s">
        <v>4683</v>
      </c>
      <c r="G1927" s="10" t="s">
        <v>4683</v>
      </c>
      <c r="H1927" s="14">
        <v>1</v>
      </c>
      <c r="I1927" s="10" t="s">
        <v>4683</v>
      </c>
      <c r="J1927" s="10" t="str">
        <f t="shared" si="8"/>
        <v>normalweight</v>
      </c>
      <c r="L1927" s="30" t="e">
        <v>#N/A</v>
      </c>
    </row>
    <row r="1928" spans="1:12" ht="15.75" customHeight="1" x14ac:dyDescent="0.3">
      <c r="A1928" s="10" t="s">
        <v>824</v>
      </c>
      <c r="B1928" s="10">
        <v>37.619999999999997</v>
      </c>
      <c r="C1928" s="10">
        <v>4.18</v>
      </c>
      <c r="D1928" s="16" t="s">
        <v>4687</v>
      </c>
      <c r="E1928" s="10" t="s">
        <v>4683</v>
      </c>
      <c r="F1928" s="10" t="s">
        <v>4683</v>
      </c>
      <c r="G1928" s="10" t="s">
        <v>4683</v>
      </c>
      <c r="H1928" s="14">
        <v>0</v>
      </c>
      <c r="I1928" s="10" t="s">
        <v>4683</v>
      </c>
      <c r="J1928" s="10" t="str">
        <f t="shared" si="8"/>
        <v>normalweight</v>
      </c>
      <c r="L1928" s="30" t="e">
        <v>#N/A</v>
      </c>
    </row>
    <row r="1929" spans="1:12" ht="15.75" customHeight="1" x14ac:dyDescent="0.3">
      <c r="A1929" s="10" t="s">
        <v>822</v>
      </c>
      <c r="B1929" s="10">
        <v>29.1</v>
      </c>
      <c r="C1929" s="10">
        <v>4.67</v>
      </c>
      <c r="D1929" s="16" t="s">
        <v>4687</v>
      </c>
      <c r="E1929" s="10" t="s">
        <v>4683</v>
      </c>
      <c r="F1929" s="10" t="s">
        <v>4683</v>
      </c>
      <c r="G1929" s="10" t="s">
        <v>4683</v>
      </c>
      <c r="H1929" s="14">
        <v>0</v>
      </c>
      <c r="I1929" s="10" t="s">
        <v>4683</v>
      </c>
      <c r="J1929" s="10" t="str">
        <f t="shared" si="8"/>
        <v>normalweight</v>
      </c>
      <c r="L1929" s="30" t="e">
        <v>#N/A</v>
      </c>
    </row>
    <row r="1930" spans="1:12" ht="15.75" customHeight="1" x14ac:dyDescent="0.3">
      <c r="A1930" s="10" t="s">
        <v>820</v>
      </c>
      <c r="B1930" s="10">
        <v>26.62</v>
      </c>
      <c r="C1930" s="10">
        <v>6.24</v>
      </c>
      <c r="D1930" s="16" t="s">
        <v>4685</v>
      </c>
      <c r="E1930" s="10" t="s">
        <v>4683</v>
      </c>
      <c r="F1930" s="10" t="s">
        <v>4683</v>
      </c>
      <c r="G1930" s="10" t="s">
        <v>4683</v>
      </c>
      <c r="H1930" s="14">
        <v>0</v>
      </c>
      <c r="I1930" s="10" t="s">
        <v>4683</v>
      </c>
      <c r="J1930" s="10" t="str">
        <f t="shared" si="8"/>
        <v>normalweight</v>
      </c>
      <c r="L1930" s="30" t="e">
        <v>#N/A</v>
      </c>
    </row>
    <row r="1931" spans="1:12" ht="15.75" customHeight="1" x14ac:dyDescent="0.3">
      <c r="A1931" s="10" t="s">
        <v>818</v>
      </c>
      <c r="B1931" s="10">
        <v>25.74</v>
      </c>
      <c r="C1931" s="10">
        <v>5.99</v>
      </c>
      <c r="D1931" s="16" t="s">
        <v>4685</v>
      </c>
      <c r="E1931" s="10" t="s">
        <v>4683</v>
      </c>
      <c r="F1931" s="10" t="s">
        <v>4683</v>
      </c>
      <c r="G1931" s="10" t="s">
        <v>4683</v>
      </c>
      <c r="H1931" s="14">
        <v>0</v>
      </c>
      <c r="I1931" s="10" t="s">
        <v>4683</v>
      </c>
      <c r="J1931" s="10" t="str">
        <f t="shared" si="8"/>
        <v>normalweight</v>
      </c>
      <c r="L1931" s="30" t="e">
        <v>#N/A</v>
      </c>
    </row>
    <row r="1932" spans="1:12" ht="15.75" customHeight="1" x14ac:dyDescent="0.3">
      <c r="A1932" s="10" t="s">
        <v>816</v>
      </c>
      <c r="B1932" s="10">
        <v>18.22</v>
      </c>
      <c r="C1932" s="10">
        <v>10.27</v>
      </c>
      <c r="D1932" s="16" t="s">
        <v>4682</v>
      </c>
      <c r="E1932" s="10" t="s">
        <v>4684</v>
      </c>
      <c r="F1932" s="10" t="s">
        <v>4683</v>
      </c>
      <c r="G1932" s="10" t="s">
        <v>4683</v>
      </c>
      <c r="H1932" s="14">
        <v>1</v>
      </c>
      <c r="I1932" s="10" t="s">
        <v>4683</v>
      </c>
      <c r="J1932" s="10" t="str">
        <f t="shared" si="8"/>
        <v>underweight</v>
      </c>
      <c r="L1932" s="30" t="e">
        <v>#N/A</v>
      </c>
    </row>
    <row r="1933" spans="1:12" ht="15.75" customHeight="1" x14ac:dyDescent="0.3">
      <c r="A1933" s="10" t="s">
        <v>814</v>
      </c>
      <c r="B1933" s="10">
        <v>26.03</v>
      </c>
      <c r="C1933" s="10">
        <v>5.97</v>
      </c>
      <c r="D1933" s="16" t="s">
        <v>4685</v>
      </c>
      <c r="E1933" s="10" t="s">
        <v>4683</v>
      </c>
      <c r="F1933" s="10" t="s">
        <v>4683</v>
      </c>
      <c r="G1933" s="10" t="s">
        <v>4686</v>
      </c>
      <c r="H1933" s="14">
        <v>1</v>
      </c>
      <c r="I1933" s="10" t="s">
        <v>4683</v>
      </c>
      <c r="J1933" s="10" t="str">
        <f t="shared" si="8"/>
        <v>normalweight</v>
      </c>
      <c r="L1933" s="30" t="e">
        <v>#N/A</v>
      </c>
    </row>
    <row r="1934" spans="1:12" ht="15.75" customHeight="1" x14ac:dyDescent="0.3">
      <c r="A1934" s="10" t="s">
        <v>812</v>
      </c>
      <c r="B1934" s="10">
        <v>17.29</v>
      </c>
      <c r="C1934" s="10">
        <v>4.9800000000000004</v>
      </c>
      <c r="D1934" s="16" t="s">
        <v>4687</v>
      </c>
      <c r="E1934" s="10" t="s">
        <v>4683</v>
      </c>
      <c r="F1934" s="10" t="s">
        <v>4683</v>
      </c>
      <c r="G1934" s="10" t="s">
        <v>4683</v>
      </c>
      <c r="H1934" s="14">
        <v>0</v>
      </c>
      <c r="I1934" s="10" t="s">
        <v>4683</v>
      </c>
      <c r="J1934" s="10" t="str">
        <f t="shared" si="8"/>
        <v>underweight</v>
      </c>
      <c r="L1934" s="30" t="e">
        <v>#N/A</v>
      </c>
    </row>
    <row r="1935" spans="1:12" ht="15.75" customHeight="1" x14ac:dyDescent="0.3">
      <c r="A1935" s="10" t="s">
        <v>810</v>
      </c>
      <c r="B1935" s="10">
        <v>18.170000000000002</v>
      </c>
      <c r="C1935" s="10">
        <v>6.91</v>
      </c>
      <c r="D1935" s="16" t="s">
        <v>4682</v>
      </c>
      <c r="E1935" s="10" t="s">
        <v>4684</v>
      </c>
      <c r="F1935" s="10" t="s">
        <v>4683</v>
      </c>
      <c r="G1935" s="10" t="s">
        <v>4683</v>
      </c>
      <c r="H1935" s="14">
        <v>1</v>
      </c>
      <c r="I1935" s="10" t="s">
        <v>4683</v>
      </c>
      <c r="J1935" s="10" t="str">
        <f t="shared" si="8"/>
        <v>underweight</v>
      </c>
      <c r="L1935" s="30" t="e">
        <v>#N/A</v>
      </c>
    </row>
    <row r="1936" spans="1:12" ht="15.75" customHeight="1" x14ac:dyDescent="0.3">
      <c r="A1936" s="10" t="s">
        <v>808</v>
      </c>
      <c r="B1936" s="10">
        <v>32.54</v>
      </c>
      <c r="C1936" s="10">
        <v>6.38</v>
      </c>
      <c r="D1936" s="16" t="s">
        <v>4685</v>
      </c>
      <c r="E1936" s="10" t="s">
        <v>4683</v>
      </c>
      <c r="F1936" s="10" t="s">
        <v>4684</v>
      </c>
      <c r="G1936" s="10" t="s">
        <v>4683</v>
      </c>
      <c r="H1936" s="14">
        <v>1</v>
      </c>
      <c r="I1936" s="10" t="s">
        <v>4683</v>
      </c>
      <c r="J1936" s="10" t="str">
        <f t="shared" si="8"/>
        <v>normalweight</v>
      </c>
      <c r="L1936" s="30" t="e">
        <v>#N/A</v>
      </c>
    </row>
    <row r="1937" spans="1:12" ht="15.75" customHeight="1" x14ac:dyDescent="0.3">
      <c r="A1937" s="10" t="s">
        <v>806</v>
      </c>
      <c r="B1937" s="10">
        <v>30.25</v>
      </c>
      <c r="C1937" s="10">
        <v>4.7699999999999996</v>
      </c>
      <c r="D1937" s="16" t="s">
        <v>4687</v>
      </c>
      <c r="E1937" s="10" t="s">
        <v>4683</v>
      </c>
      <c r="F1937" s="10" t="s">
        <v>4683</v>
      </c>
      <c r="G1937" s="10" t="s">
        <v>4683</v>
      </c>
      <c r="H1937" s="14">
        <v>0</v>
      </c>
      <c r="I1937" s="10" t="s">
        <v>4683</v>
      </c>
      <c r="J1937" s="10" t="str">
        <f t="shared" si="8"/>
        <v>normalweight</v>
      </c>
      <c r="L1937" s="30" t="e">
        <v>#N/A</v>
      </c>
    </row>
    <row r="1938" spans="1:12" ht="15.75" customHeight="1" x14ac:dyDescent="0.3">
      <c r="A1938" s="10" t="s">
        <v>804</v>
      </c>
      <c r="B1938" s="10">
        <v>19.59</v>
      </c>
      <c r="C1938" s="10">
        <v>6.04</v>
      </c>
      <c r="D1938" s="16" t="s">
        <v>4685</v>
      </c>
      <c r="E1938" s="10" t="s">
        <v>4684</v>
      </c>
      <c r="F1938" s="10" t="s">
        <v>4683</v>
      </c>
      <c r="G1938" s="10" t="s">
        <v>4683</v>
      </c>
      <c r="H1938" s="14">
        <v>1</v>
      </c>
      <c r="I1938" s="10" t="s">
        <v>4683</v>
      </c>
      <c r="J1938" s="10" t="str">
        <f t="shared" si="8"/>
        <v>normalweight</v>
      </c>
      <c r="L1938" s="30" t="e">
        <v>#N/A</v>
      </c>
    </row>
    <row r="1939" spans="1:12" ht="15.75" customHeight="1" x14ac:dyDescent="0.3">
      <c r="A1939" s="10" t="s">
        <v>802</v>
      </c>
      <c r="B1939" s="10">
        <v>45.9</v>
      </c>
      <c r="C1939" s="10">
        <v>4.3</v>
      </c>
      <c r="D1939" s="16" t="s">
        <v>4687</v>
      </c>
      <c r="E1939" s="10" t="s">
        <v>4684</v>
      </c>
      <c r="F1939" s="10" t="s">
        <v>4683</v>
      </c>
      <c r="G1939" s="10" t="s">
        <v>4683</v>
      </c>
      <c r="H1939" s="14">
        <v>1</v>
      </c>
      <c r="I1939" s="10" t="s">
        <v>4683</v>
      </c>
      <c r="J1939" s="10" t="str">
        <f t="shared" si="8"/>
        <v>normalweight</v>
      </c>
      <c r="L1939" s="30" t="e">
        <v>#N/A</v>
      </c>
    </row>
    <row r="1940" spans="1:12" ht="15.75" customHeight="1" x14ac:dyDescent="0.3">
      <c r="A1940" s="10" t="s">
        <v>800</v>
      </c>
      <c r="B1940" s="10">
        <v>17.059999999999999</v>
      </c>
      <c r="C1940" s="10">
        <v>8.75</v>
      </c>
      <c r="D1940" s="16" t="s">
        <v>4682</v>
      </c>
      <c r="E1940" s="10" t="s">
        <v>4684</v>
      </c>
      <c r="F1940" s="10" t="s">
        <v>4683</v>
      </c>
      <c r="G1940" s="10" t="s">
        <v>4683</v>
      </c>
      <c r="H1940" s="14">
        <v>0</v>
      </c>
      <c r="I1940" s="10" t="s">
        <v>4683</v>
      </c>
      <c r="J1940" s="10" t="str">
        <f t="shared" si="8"/>
        <v>underweight</v>
      </c>
      <c r="L1940" s="30" t="e">
        <v>#N/A</v>
      </c>
    </row>
    <row r="1941" spans="1:12" ht="15.75" customHeight="1" x14ac:dyDescent="0.3">
      <c r="A1941" s="10" t="s">
        <v>798</v>
      </c>
      <c r="B1941" s="10">
        <v>32.07</v>
      </c>
      <c r="C1941" s="10">
        <v>5.25</v>
      </c>
      <c r="D1941" s="16" t="s">
        <v>4687</v>
      </c>
      <c r="E1941" s="10" t="s">
        <v>4683</v>
      </c>
      <c r="F1941" s="10" t="s">
        <v>4683</v>
      </c>
      <c r="G1941" s="10" t="s">
        <v>4686</v>
      </c>
      <c r="H1941" s="14">
        <v>1</v>
      </c>
      <c r="I1941" s="10" t="s">
        <v>4683</v>
      </c>
      <c r="J1941" s="10" t="str">
        <f t="shared" si="8"/>
        <v>normalweight</v>
      </c>
      <c r="L1941" s="30" t="e">
        <v>#N/A</v>
      </c>
    </row>
    <row r="1942" spans="1:12" ht="15.75" customHeight="1" x14ac:dyDescent="0.3">
      <c r="A1942" s="10" t="s">
        <v>796</v>
      </c>
      <c r="B1942" s="10">
        <v>16.5</v>
      </c>
      <c r="C1942" s="10">
        <v>5.03</v>
      </c>
      <c r="D1942" s="16" t="s">
        <v>4687</v>
      </c>
      <c r="E1942" s="10" t="s">
        <v>4683</v>
      </c>
      <c r="F1942" s="10" t="s">
        <v>4683</v>
      </c>
      <c r="G1942" s="10" t="s">
        <v>4683</v>
      </c>
      <c r="H1942" s="14">
        <v>1</v>
      </c>
      <c r="I1942" s="10" t="s">
        <v>4683</v>
      </c>
      <c r="J1942" s="10" t="str">
        <f t="shared" si="8"/>
        <v>underweight</v>
      </c>
      <c r="L1942" s="30" t="e">
        <v>#N/A</v>
      </c>
    </row>
    <row r="1943" spans="1:12" ht="15.75" customHeight="1" x14ac:dyDescent="0.3">
      <c r="A1943" s="10" t="s">
        <v>794</v>
      </c>
      <c r="B1943" s="10">
        <v>31.4</v>
      </c>
      <c r="C1943" s="10">
        <v>5.88</v>
      </c>
      <c r="D1943" s="16" t="s">
        <v>4685</v>
      </c>
      <c r="E1943" s="10" t="s">
        <v>4683</v>
      </c>
      <c r="F1943" s="10" t="s">
        <v>4683</v>
      </c>
      <c r="G1943" s="10" t="s">
        <v>4683</v>
      </c>
      <c r="H1943" s="14">
        <v>1</v>
      </c>
      <c r="I1943" s="10" t="s">
        <v>4683</v>
      </c>
      <c r="J1943" s="10" t="str">
        <f t="shared" si="8"/>
        <v>normalweight</v>
      </c>
      <c r="L1943" s="30" t="e">
        <v>#N/A</v>
      </c>
    </row>
    <row r="1944" spans="1:12" ht="15.75" customHeight="1" x14ac:dyDescent="0.3">
      <c r="A1944" s="10" t="s">
        <v>792</v>
      </c>
      <c r="B1944" s="10">
        <v>20.36</v>
      </c>
      <c r="C1944" s="10">
        <v>4.49</v>
      </c>
      <c r="D1944" s="16" t="s">
        <v>4687</v>
      </c>
      <c r="E1944" s="10" t="s">
        <v>4683</v>
      </c>
      <c r="F1944" s="10" t="s">
        <v>4683</v>
      </c>
      <c r="G1944" s="10" t="s">
        <v>4683</v>
      </c>
      <c r="H1944" s="14">
        <v>0</v>
      </c>
      <c r="I1944" s="10" t="s">
        <v>4683</v>
      </c>
      <c r="J1944" s="10" t="str">
        <f t="shared" si="8"/>
        <v>normalweight</v>
      </c>
      <c r="L1944" s="30" t="e">
        <v>#N/A</v>
      </c>
    </row>
    <row r="1945" spans="1:12" ht="15.75" customHeight="1" x14ac:dyDescent="0.3">
      <c r="A1945" s="10" t="s">
        <v>790</v>
      </c>
      <c r="B1945" s="10">
        <v>25.46</v>
      </c>
      <c r="C1945" s="10">
        <v>4.1399999999999997</v>
      </c>
      <c r="D1945" s="16" t="s">
        <v>4687</v>
      </c>
      <c r="E1945" s="10" t="s">
        <v>4683</v>
      </c>
      <c r="F1945" s="10" t="s">
        <v>4683</v>
      </c>
      <c r="G1945" s="10" t="s">
        <v>4683</v>
      </c>
      <c r="H1945" s="14">
        <v>1</v>
      </c>
      <c r="I1945" s="10" t="s">
        <v>4683</v>
      </c>
      <c r="J1945" s="10" t="str">
        <f t="shared" si="8"/>
        <v>normalweight</v>
      </c>
      <c r="L1945" s="30" t="e">
        <v>#N/A</v>
      </c>
    </row>
    <row r="1946" spans="1:12" ht="15.75" customHeight="1" x14ac:dyDescent="0.3">
      <c r="A1946" s="10" t="s">
        <v>788</v>
      </c>
      <c r="B1946" s="10">
        <v>17.09</v>
      </c>
      <c r="C1946" s="10">
        <v>5.8</v>
      </c>
      <c r="D1946" s="16" t="s">
        <v>4685</v>
      </c>
      <c r="E1946" s="10" t="s">
        <v>4684</v>
      </c>
      <c r="F1946" s="10" t="s">
        <v>4683</v>
      </c>
      <c r="G1946" s="10" t="s">
        <v>4683</v>
      </c>
      <c r="H1946" s="14">
        <v>0</v>
      </c>
      <c r="I1946" s="10" t="s">
        <v>4683</v>
      </c>
      <c r="J1946" s="10" t="str">
        <f t="shared" si="8"/>
        <v>underweight</v>
      </c>
      <c r="L1946" s="30" t="e">
        <v>#N/A</v>
      </c>
    </row>
    <row r="1947" spans="1:12" ht="15.75" customHeight="1" x14ac:dyDescent="0.3">
      <c r="A1947" s="10" t="s">
        <v>786</v>
      </c>
      <c r="B1947" s="10">
        <v>20.83</v>
      </c>
      <c r="C1947" s="10">
        <v>5.12</v>
      </c>
      <c r="D1947" s="16" t="s">
        <v>4687</v>
      </c>
      <c r="E1947" s="10" t="s">
        <v>4683</v>
      </c>
      <c r="F1947" s="10" t="s">
        <v>4683</v>
      </c>
      <c r="G1947" s="10" t="s">
        <v>4683</v>
      </c>
      <c r="H1947" s="14">
        <v>0</v>
      </c>
      <c r="I1947" s="10" t="s">
        <v>4683</v>
      </c>
      <c r="J1947" s="10" t="str">
        <f t="shared" si="8"/>
        <v>normalweight</v>
      </c>
      <c r="L1947" s="30" t="e">
        <v>#N/A</v>
      </c>
    </row>
    <row r="1948" spans="1:12" ht="15.75" customHeight="1" x14ac:dyDescent="0.3">
      <c r="A1948" s="10" t="s">
        <v>784</v>
      </c>
      <c r="B1948" s="10">
        <v>18.920000000000002</v>
      </c>
      <c r="C1948" s="10">
        <v>5.98</v>
      </c>
      <c r="D1948" s="16" t="s">
        <v>4685</v>
      </c>
      <c r="E1948" s="10" t="s">
        <v>4684</v>
      </c>
      <c r="F1948" s="10" t="s">
        <v>4683</v>
      </c>
      <c r="G1948" s="10" t="s">
        <v>4683</v>
      </c>
      <c r="H1948" s="14">
        <v>1</v>
      </c>
      <c r="I1948" s="10" t="s">
        <v>4683</v>
      </c>
      <c r="J1948" s="10" t="str">
        <f t="shared" si="8"/>
        <v>normalweight</v>
      </c>
      <c r="L1948" s="30" t="e">
        <v>#N/A</v>
      </c>
    </row>
    <row r="1949" spans="1:12" ht="15.75" customHeight="1" x14ac:dyDescent="0.3">
      <c r="A1949" s="10" t="s">
        <v>782</v>
      </c>
      <c r="B1949" s="10">
        <v>37.1</v>
      </c>
      <c r="C1949" s="10">
        <v>5.46</v>
      </c>
      <c r="D1949" s="16" t="s">
        <v>4687</v>
      </c>
      <c r="E1949" s="10" t="s">
        <v>4683</v>
      </c>
      <c r="F1949" s="10" t="s">
        <v>4683</v>
      </c>
      <c r="G1949" s="10" t="s">
        <v>4683</v>
      </c>
      <c r="H1949" s="14">
        <v>0</v>
      </c>
      <c r="I1949" s="10" t="s">
        <v>4683</v>
      </c>
      <c r="J1949" s="10" t="str">
        <f t="shared" si="8"/>
        <v>normalweight</v>
      </c>
      <c r="L1949" s="30" t="e">
        <v>#N/A</v>
      </c>
    </row>
    <row r="1950" spans="1:12" ht="15.75" customHeight="1" x14ac:dyDescent="0.3">
      <c r="A1950" s="10" t="s">
        <v>780</v>
      </c>
      <c r="B1950" s="10">
        <v>22.515000000000001</v>
      </c>
      <c r="C1950" s="10">
        <v>4.91</v>
      </c>
      <c r="D1950" s="16" t="s">
        <v>4687</v>
      </c>
      <c r="E1950" s="10" t="s">
        <v>4684</v>
      </c>
      <c r="F1950" s="10" t="s">
        <v>4683</v>
      </c>
      <c r="G1950" s="10" t="s">
        <v>4686</v>
      </c>
      <c r="H1950" s="14">
        <v>1</v>
      </c>
      <c r="I1950" s="10" t="s">
        <v>4683</v>
      </c>
      <c r="J1950" s="10" t="str">
        <f t="shared" si="8"/>
        <v>normalweight</v>
      </c>
      <c r="L1950" s="30" t="e">
        <v>#N/A</v>
      </c>
    </row>
    <row r="1951" spans="1:12" ht="15.75" customHeight="1" x14ac:dyDescent="0.3">
      <c r="A1951" s="10" t="s">
        <v>778</v>
      </c>
      <c r="B1951" s="10">
        <v>32.700000000000003</v>
      </c>
      <c r="C1951" s="10">
        <v>4.66</v>
      </c>
      <c r="D1951" s="16" t="s">
        <v>4687</v>
      </c>
      <c r="E1951" s="10" t="s">
        <v>4683</v>
      </c>
      <c r="F1951" s="10" t="s">
        <v>4683</v>
      </c>
      <c r="G1951" s="10" t="s">
        <v>4683</v>
      </c>
      <c r="H1951" s="14">
        <v>0</v>
      </c>
      <c r="I1951" s="10" t="s">
        <v>4683</v>
      </c>
      <c r="J1951" s="10" t="str">
        <f t="shared" si="8"/>
        <v>normalweight</v>
      </c>
      <c r="L1951" s="30" t="e">
        <v>#N/A</v>
      </c>
    </row>
    <row r="1952" spans="1:12" ht="15.75" customHeight="1" x14ac:dyDescent="0.3">
      <c r="A1952" s="10" t="s">
        <v>776</v>
      </c>
      <c r="B1952" s="10">
        <v>17.75</v>
      </c>
      <c r="C1952" s="10">
        <v>6.8</v>
      </c>
      <c r="D1952" s="16" t="s">
        <v>4682</v>
      </c>
      <c r="E1952" s="10" t="s">
        <v>4684</v>
      </c>
      <c r="F1952" s="10" t="s">
        <v>4683</v>
      </c>
      <c r="G1952" s="10" t="s">
        <v>4683</v>
      </c>
      <c r="H1952" s="14">
        <v>1</v>
      </c>
      <c r="I1952" s="10" t="s">
        <v>4683</v>
      </c>
      <c r="J1952" s="10" t="str">
        <f t="shared" si="8"/>
        <v>underweight</v>
      </c>
      <c r="L1952" s="30" t="e">
        <v>#N/A</v>
      </c>
    </row>
    <row r="1953" spans="1:12" ht="15.75" customHeight="1" x14ac:dyDescent="0.3">
      <c r="A1953" s="10" t="s">
        <v>774</v>
      </c>
      <c r="B1953" s="10">
        <v>33.630000000000003</v>
      </c>
      <c r="C1953" s="10">
        <v>4.47</v>
      </c>
      <c r="D1953" s="16" t="s">
        <v>4687</v>
      </c>
      <c r="E1953" s="10" t="s">
        <v>4684</v>
      </c>
      <c r="F1953" s="10" t="s">
        <v>4683</v>
      </c>
      <c r="G1953" s="10" t="s">
        <v>4683</v>
      </c>
      <c r="H1953" s="14">
        <v>0</v>
      </c>
      <c r="I1953" s="10" t="s">
        <v>4683</v>
      </c>
      <c r="J1953" s="10" t="str">
        <f t="shared" si="8"/>
        <v>normalweight</v>
      </c>
      <c r="L1953" s="30" t="e">
        <v>#N/A</v>
      </c>
    </row>
    <row r="1954" spans="1:12" ht="15.75" customHeight="1" x14ac:dyDescent="0.3">
      <c r="A1954" s="10" t="s">
        <v>772</v>
      </c>
      <c r="B1954" s="10">
        <v>34.799999999999997</v>
      </c>
      <c r="C1954" s="10">
        <v>4.08</v>
      </c>
      <c r="D1954" s="16" t="s">
        <v>4687</v>
      </c>
      <c r="E1954" s="10" t="s">
        <v>4684</v>
      </c>
      <c r="F1954" s="10" t="s">
        <v>4683</v>
      </c>
      <c r="G1954" s="10" t="s">
        <v>4683</v>
      </c>
      <c r="H1954" s="14">
        <v>1</v>
      </c>
      <c r="I1954" s="10" t="s">
        <v>4683</v>
      </c>
      <c r="J1954" s="10" t="str">
        <f t="shared" si="8"/>
        <v>normalweight</v>
      </c>
      <c r="L1954" s="30" t="e">
        <v>#N/A</v>
      </c>
    </row>
    <row r="1955" spans="1:12" ht="15.75" customHeight="1" x14ac:dyDescent="0.3">
      <c r="A1955" s="10" t="s">
        <v>770</v>
      </c>
      <c r="B1955" s="10">
        <v>16.809999999999999</v>
      </c>
      <c r="C1955" s="10">
        <v>5.51</v>
      </c>
      <c r="D1955" s="16" t="s">
        <v>4687</v>
      </c>
      <c r="E1955" s="10" t="s">
        <v>4684</v>
      </c>
      <c r="F1955" s="10" t="s">
        <v>4683</v>
      </c>
      <c r="G1955" s="10" t="s">
        <v>4683</v>
      </c>
      <c r="H1955" s="14">
        <v>1</v>
      </c>
      <c r="I1955" s="10" t="s">
        <v>4683</v>
      </c>
      <c r="J1955" s="10" t="str">
        <f t="shared" si="8"/>
        <v>underweight</v>
      </c>
      <c r="L1955" s="30" t="e">
        <v>#N/A</v>
      </c>
    </row>
    <row r="1956" spans="1:12" ht="15.75" customHeight="1" x14ac:dyDescent="0.3">
      <c r="A1956" s="10" t="s">
        <v>768</v>
      </c>
      <c r="B1956" s="10">
        <v>16.690000000000001</v>
      </c>
      <c r="C1956" s="10">
        <v>8.4</v>
      </c>
      <c r="D1956" s="16" t="s">
        <v>4682</v>
      </c>
      <c r="E1956" s="10" t="s">
        <v>4684</v>
      </c>
      <c r="F1956" s="10" t="s">
        <v>4683</v>
      </c>
      <c r="G1956" s="10" t="s">
        <v>4683</v>
      </c>
      <c r="H1956" s="14">
        <v>0</v>
      </c>
      <c r="I1956" s="10" t="s">
        <v>4683</v>
      </c>
      <c r="J1956" s="10" t="str">
        <f t="shared" si="8"/>
        <v>underweight</v>
      </c>
      <c r="L1956" s="30" t="e">
        <v>#N/A</v>
      </c>
    </row>
    <row r="1957" spans="1:12" ht="15.75" customHeight="1" x14ac:dyDescent="0.3">
      <c r="A1957" s="10" t="s">
        <v>766</v>
      </c>
      <c r="B1957" s="10">
        <v>23.21</v>
      </c>
      <c r="C1957" s="10">
        <v>5.14</v>
      </c>
      <c r="D1957" s="16" t="s">
        <v>4687</v>
      </c>
      <c r="E1957" s="10" t="s">
        <v>4684</v>
      </c>
      <c r="F1957" s="10" t="s">
        <v>4683</v>
      </c>
      <c r="G1957" s="10" t="s">
        <v>4683</v>
      </c>
      <c r="H1957" s="14">
        <v>1</v>
      </c>
      <c r="I1957" s="10" t="s">
        <v>4683</v>
      </c>
      <c r="J1957" s="10" t="str">
        <f t="shared" si="8"/>
        <v>normalweight</v>
      </c>
      <c r="L1957" s="30" t="e">
        <v>#N/A</v>
      </c>
    </row>
    <row r="1958" spans="1:12" ht="15.75" customHeight="1" x14ac:dyDescent="0.3">
      <c r="A1958" s="10" t="s">
        <v>764</v>
      </c>
      <c r="B1958" s="10">
        <v>25.175000000000001</v>
      </c>
      <c r="C1958" s="10">
        <v>5.21</v>
      </c>
      <c r="D1958" s="16" t="s">
        <v>4687</v>
      </c>
      <c r="E1958" s="10" t="s">
        <v>4684</v>
      </c>
      <c r="F1958" s="10" t="s">
        <v>4683</v>
      </c>
      <c r="G1958" s="10" t="s">
        <v>4683</v>
      </c>
      <c r="H1958" s="14">
        <v>1</v>
      </c>
      <c r="I1958" s="10" t="s">
        <v>4683</v>
      </c>
      <c r="J1958" s="10" t="str">
        <f t="shared" si="8"/>
        <v>normalweight</v>
      </c>
      <c r="L1958" s="30" t="e">
        <v>#N/A</v>
      </c>
    </row>
    <row r="1959" spans="1:12" ht="15.75" customHeight="1" x14ac:dyDescent="0.3">
      <c r="A1959" s="10" t="s">
        <v>762</v>
      </c>
      <c r="B1959" s="10">
        <v>34.770000000000003</v>
      </c>
      <c r="C1959" s="10">
        <v>6.23</v>
      </c>
      <c r="D1959" s="16" t="s">
        <v>4685</v>
      </c>
      <c r="E1959" s="10" t="s">
        <v>4683</v>
      </c>
      <c r="F1959" s="10" t="s">
        <v>4683</v>
      </c>
      <c r="G1959" s="10" t="s">
        <v>4683</v>
      </c>
      <c r="H1959" s="14">
        <v>0</v>
      </c>
      <c r="I1959" s="10" t="s">
        <v>4683</v>
      </c>
      <c r="J1959" s="10" t="str">
        <f t="shared" si="8"/>
        <v>normalweight</v>
      </c>
      <c r="L1959" s="30" t="e">
        <v>#N/A</v>
      </c>
    </row>
    <row r="1960" spans="1:12" ht="15.75" customHeight="1" x14ac:dyDescent="0.3">
      <c r="A1960" s="10" t="s">
        <v>760</v>
      </c>
      <c r="B1960" s="10">
        <v>27.7</v>
      </c>
      <c r="C1960" s="10">
        <v>5.6</v>
      </c>
      <c r="D1960" s="16" t="s">
        <v>4685</v>
      </c>
      <c r="E1960" s="10" t="s">
        <v>4683</v>
      </c>
      <c r="F1960" s="10" t="s">
        <v>4683</v>
      </c>
      <c r="G1960" s="10" t="s">
        <v>4683</v>
      </c>
      <c r="H1960" s="14">
        <v>1</v>
      </c>
      <c r="I1960" s="10" t="s">
        <v>4683</v>
      </c>
      <c r="J1960" s="10" t="str">
        <f t="shared" si="8"/>
        <v>normalweight</v>
      </c>
      <c r="L1960" s="30" t="e">
        <v>#N/A</v>
      </c>
    </row>
    <row r="1961" spans="1:12" ht="15.75" customHeight="1" x14ac:dyDescent="0.3">
      <c r="A1961" s="10" t="s">
        <v>758</v>
      </c>
      <c r="B1961" s="10">
        <v>19.12</v>
      </c>
      <c r="C1961" s="10">
        <v>4.72</v>
      </c>
      <c r="D1961" s="16" t="s">
        <v>4687</v>
      </c>
      <c r="E1961" s="10" t="s">
        <v>4684</v>
      </c>
      <c r="F1961" s="10" t="s">
        <v>4683</v>
      </c>
      <c r="G1961" s="10" t="s">
        <v>4683</v>
      </c>
      <c r="H1961" s="14">
        <v>1</v>
      </c>
      <c r="I1961" s="10" t="s">
        <v>4683</v>
      </c>
      <c r="J1961" s="10" t="str">
        <f t="shared" si="8"/>
        <v>normalweight</v>
      </c>
      <c r="L1961" s="30" t="e">
        <v>#N/A</v>
      </c>
    </row>
    <row r="1962" spans="1:12" ht="15.75" customHeight="1" x14ac:dyDescent="0.3">
      <c r="A1962" s="10" t="s">
        <v>756</v>
      </c>
      <c r="B1962" s="10">
        <v>32.67</v>
      </c>
      <c r="C1962" s="10">
        <v>4.67</v>
      </c>
      <c r="D1962" s="16" t="s">
        <v>4687</v>
      </c>
      <c r="E1962" s="10" t="s">
        <v>4683</v>
      </c>
      <c r="F1962" s="10" t="s">
        <v>4683</v>
      </c>
      <c r="G1962" s="10" t="s">
        <v>4686</v>
      </c>
      <c r="H1962" s="14">
        <v>1</v>
      </c>
      <c r="I1962" s="10" t="s">
        <v>4683</v>
      </c>
      <c r="J1962" s="10" t="str">
        <f t="shared" si="8"/>
        <v>normalweight</v>
      </c>
      <c r="L1962" s="30" t="e">
        <v>#N/A</v>
      </c>
    </row>
    <row r="1963" spans="1:12" ht="15.75" customHeight="1" x14ac:dyDescent="0.3">
      <c r="A1963" s="10" t="s">
        <v>754</v>
      </c>
      <c r="B1963" s="10">
        <v>28.5</v>
      </c>
      <c r="C1963" s="10">
        <v>6.11</v>
      </c>
      <c r="D1963" s="16" t="s">
        <v>4685</v>
      </c>
      <c r="E1963" s="10" t="s">
        <v>4683</v>
      </c>
      <c r="F1963" s="10" t="s">
        <v>4683</v>
      </c>
      <c r="G1963" s="10" t="s">
        <v>4683</v>
      </c>
      <c r="H1963" s="14">
        <v>1</v>
      </c>
      <c r="I1963" s="10" t="s">
        <v>4683</v>
      </c>
      <c r="J1963" s="10" t="str">
        <f t="shared" si="8"/>
        <v>normalweight</v>
      </c>
      <c r="L1963" s="30" t="e">
        <v>#N/A</v>
      </c>
    </row>
    <row r="1964" spans="1:12" ht="15.75" customHeight="1" x14ac:dyDescent="0.3">
      <c r="A1964" s="10" t="s">
        <v>752</v>
      </c>
      <c r="B1964" s="10">
        <v>39.270000000000003</v>
      </c>
      <c r="C1964" s="10">
        <v>6.25</v>
      </c>
      <c r="D1964" s="16" t="s">
        <v>4685</v>
      </c>
      <c r="E1964" s="10" t="s">
        <v>4683</v>
      </c>
      <c r="F1964" s="10" t="s">
        <v>4683</v>
      </c>
      <c r="G1964" s="10" t="s">
        <v>4683</v>
      </c>
      <c r="H1964" s="14">
        <v>0</v>
      </c>
      <c r="I1964" s="10" t="s">
        <v>4683</v>
      </c>
      <c r="J1964" s="10" t="str">
        <f t="shared" si="8"/>
        <v>normalweight</v>
      </c>
      <c r="L1964" s="30" t="e">
        <v>#N/A</v>
      </c>
    </row>
    <row r="1965" spans="1:12" ht="15.75" customHeight="1" x14ac:dyDescent="0.3">
      <c r="A1965" s="10" t="s">
        <v>750</v>
      </c>
      <c r="B1965" s="10">
        <v>32.49</v>
      </c>
      <c r="C1965" s="10">
        <v>4</v>
      </c>
      <c r="D1965" s="16" t="s">
        <v>4687</v>
      </c>
      <c r="E1965" s="10" t="s">
        <v>4684</v>
      </c>
      <c r="F1965" s="10" t="s">
        <v>4683</v>
      </c>
      <c r="G1965" s="10" t="s">
        <v>4683</v>
      </c>
      <c r="H1965" s="14">
        <v>0</v>
      </c>
      <c r="I1965" s="10" t="s">
        <v>4683</v>
      </c>
      <c r="J1965" s="10" t="str">
        <f t="shared" si="8"/>
        <v>normalweight</v>
      </c>
      <c r="L1965" s="30" t="e">
        <v>#N/A</v>
      </c>
    </row>
    <row r="1966" spans="1:12" ht="15.75" customHeight="1" x14ac:dyDescent="0.3">
      <c r="A1966" s="10" t="s">
        <v>748</v>
      </c>
      <c r="B1966" s="10">
        <v>23.7</v>
      </c>
      <c r="C1966" s="10">
        <v>5.55</v>
      </c>
      <c r="D1966" s="16" t="s">
        <v>4687</v>
      </c>
      <c r="E1966" s="10" t="s">
        <v>4684</v>
      </c>
      <c r="F1966" s="10" t="s">
        <v>4683</v>
      </c>
      <c r="G1966" s="10" t="s">
        <v>4683</v>
      </c>
      <c r="H1966" s="14">
        <v>0</v>
      </c>
      <c r="I1966" s="10" t="s">
        <v>4683</v>
      </c>
      <c r="J1966" s="10" t="str">
        <f t="shared" si="8"/>
        <v>normalweight</v>
      </c>
      <c r="L1966" s="30" t="e">
        <v>#N/A</v>
      </c>
    </row>
    <row r="1967" spans="1:12" ht="15.75" customHeight="1" x14ac:dyDescent="0.3">
      <c r="A1967" s="10" t="s">
        <v>746</v>
      </c>
      <c r="B1967" s="10">
        <v>30.4</v>
      </c>
      <c r="C1967" s="10">
        <v>5.95</v>
      </c>
      <c r="D1967" s="16" t="s">
        <v>4685</v>
      </c>
      <c r="E1967" s="10" t="s">
        <v>4683</v>
      </c>
      <c r="F1967" s="10" t="s">
        <v>4684</v>
      </c>
      <c r="G1967" s="10" t="s">
        <v>4683</v>
      </c>
      <c r="H1967" s="14">
        <v>1</v>
      </c>
      <c r="I1967" s="10" t="s">
        <v>4683</v>
      </c>
      <c r="J1967" s="10" t="str">
        <f t="shared" si="8"/>
        <v>normalweight</v>
      </c>
      <c r="L1967" s="30" t="e">
        <v>#N/A</v>
      </c>
    </row>
    <row r="1968" spans="1:12" ht="15.75" customHeight="1" x14ac:dyDescent="0.3">
      <c r="A1968" s="10" t="s">
        <v>744</v>
      </c>
      <c r="B1968" s="10">
        <v>38.94</v>
      </c>
      <c r="C1968" s="10">
        <v>4.3600000000000003</v>
      </c>
      <c r="D1968" s="16" t="s">
        <v>4687</v>
      </c>
      <c r="E1968" s="10" t="s">
        <v>4683</v>
      </c>
      <c r="F1968" s="10" t="s">
        <v>4683</v>
      </c>
      <c r="G1968" s="10" t="s">
        <v>4686</v>
      </c>
      <c r="H1968" s="14">
        <v>1</v>
      </c>
      <c r="I1968" s="10" t="s">
        <v>4683</v>
      </c>
      <c r="J1968" s="10" t="str">
        <f t="shared" si="8"/>
        <v>normalweight</v>
      </c>
      <c r="L1968" s="30" t="e">
        <v>#N/A</v>
      </c>
    </row>
    <row r="1969" spans="1:12" ht="15.75" customHeight="1" x14ac:dyDescent="0.3">
      <c r="A1969" s="10" t="s">
        <v>742</v>
      </c>
      <c r="B1969" s="10">
        <v>31.02</v>
      </c>
      <c r="C1969" s="10">
        <v>4.84</v>
      </c>
      <c r="D1969" s="16" t="s">
        <v>4687</v>
      </c>
      <c r="E1969" s="10" t="s">
        <v>4683</v>
      </c>
      <c r="F1969" s="10" t="s">
        <v>4683</v>
      </c>
      <c r="G1969" s="10" t="s">
        <v>4686</v>
      </c>
      <c r="H1969" s="14">
        <v>1</v>
      </c>
      <c r="I1969" s="10" t="s">
        <v>4683</v>
      </c>
      <c r="J1969" s="10" t="str">
        <f t="shared" si="8"/>
        <v>normalweight</v>
      </c>
      <c r="L1969" s="30" t="e">
        <v>#N/A</v>
      </c>
    </row>
    <row r="1970" spans="1:12" ht="15.75" customHeight="1" x14ac:dyDescent="0.3">
      <c r="A1970" s="10" t="s">
        <v>740</v>
      </c>
      <c r="B1970" s="10">
        <v>17.5</v>
      </c>
      <c r="C1970" s="10">
        <v>4.5599999999999996</v>
      </c>
      <c r="D1970" s="16" t="s">
        <v>4687</v>
      </c>
      <c r="E1970" s="10" t="s">
        <v>4683</v>
      </c>
      <c r="F1970" s="10" t="s">
        <v>4683</v>
      </c>
      <c r="G1970" s="10" t="s">
        <v>4683</v>
      </c>
      <c r="H1970" s="14">
        <v>1</v>
      </c>
      <c r="I1970" s="10" t="s">
        <v>4683</v>
      </c>
      <c r="J1970" s="10" t="str">
        <f t="shared" si="8"/>
        <v>underweight</v>
      </c>
      <c r="L1970" s="30" t="e">
        <v>#N/A</v>
      </c>
    </row>
    <row r="1971" spans="1:12" ht="15.75" customHeight="1" x14ac:dyDescent="0.3">
      <c r="A1971" s="10" t="s">
        <v>738</v>
      </c>
      <c r="B1971" s="10">
        <v>34.799999999999997</v>
      </c>
      <c r="C1971" s="10">
        <v>4.42</v>
      </c>
      <c r="D1971" s="16" t="s">
        <v>4687</v>
      </c>
      <c r="E1971" s="10" t="s">
        <v>4684</v>
      </c>
      <c r="F1971" s="10" t="s">
        <v>4684</v>
      </c>
      <c r="G1971" s="10" t="s">
        <v>4683</v>
      </c>
      <c r="H1971" s="14">
        <v>2</v>
      </c>
      <c r="I1971" s="10" t="s">
        <v>4683</v>
      </c>
      <c r="J1971" s="10" t="str">
        <f t="shared" si="8"/>
        <v>normalweight</v>
      </c>
      <c r="L1971" s="30" t="e">
        <v>#N/A</v>
      </c>
    </row>
    <row r="1972" spans="1:12" ht="15.75" customHeight="1" x14ac:dyDescent="0.3">
      <c r="A1972" s="10" t="s">
        <v>736</v>
      </c>
      <c r="B1972" s="10">
        <v>17.3</v>
      </c>
      <c r="C1972" s="10">
        <v>7.66</v>
      </c>
      <c r="D1972" s="16" t="s">
        <v>4687</v>
      </c>
      <c r="E1972" s="10" t="s">
        <v>4684</v>
      </c>
      <c r="F1972" s="10" t="s">
        <v>4683</v>
      </c>
      <c r="G1972" s="10" t="s">
        <v>4683</v>
      </c>
      <c r="H1972" s="14">
        <v>1</v>
      </c>
      <c r="I1972" s="10" t="s">
        <v>4683</v>
      </c>
      <c r="J1972" s="10" t="str">
        <f t="shared" si="8"/>
        <v>underweight</v>
      </c>
      <c r="L1972" s="30" t="e">
        <v>#N/A</v>
      </c>
    </row>
    <row r="1973" spans="1:12" ht="15.75" customHeight="1" x14ac:dyDescent="0.3">
      <c r="A1973" s="10" t="s">
        <v>734</v>
      </c>
      <c r="B1973" s="10">
        <v>32.25</v>
      </c>
      <c r="C1973" s="10">
        <v>5.2</v>
      </c>
      <c r="D1973" s="16" t="s">
        <v>4687</v>
      </c>
      <c r="E1973" s="10" t="s">
        <v>4684</v>
      </c>
      <c r="F1973" s="10" t="s">
        <v>4683</v>
      </c>
      <c r="G1973" s="10" t="s">
        <v>4683</v>
      </c>
      <c r="H1973" s="14">
        <v>0</v>
      </c>
      <c r="I1973" s="10" t="s">
        <v>4683</v>
      </c>
      <c r="J1973" s="10" t="str">
        <f t="shared" si="8"/>
        <v>normalweight</v>
      </c>
      <c r="L1973" s="30" t="e">
        <v>#N/A</v>
      </c>
    </row>
    <row r="1974" spans="1:12" ht="15.75" customHeight="1" x14ac:dyDescent="0.3">
      <c r="A1974" s="10" t="s">
        <v>732</v>
      </c>
      <c r="B1974" s="10">
        <v>42.4</v>
      </c>
      <c r="C1974" s="10">
        <v>5.53</v>
      </c>
      <c r="D1974" s="16" t="s">
        <v>4687</v>
      </c>
      <c r="E1974" s="10" t="s">
        <v>4684</v>
      </c>
      <c r="F1974" s="10" t="s">
        <v>4683</v>
      </c>
      <c r="G1974" s="10" t="s">
        <v>4683</v>
      </c>
      <c r="H1974" s="14">
        <v>0</v>
      </c>
      <c r="I1974" s="10" t="s">
        <v>4683</v>
      </c>
      <c r="J1974" s="10" t="str">
        <f t="shared" si="8"/>
        <v>normalweight</v>
      </c>
      <c r="L1974" s="30" t="e">
        <v>#N/A</v>
      </c>
    </row>
    <row r="1975" spans="1:12" ht="15.75" customHeight="1" x14ac:dyDescent="0.3">
      <c r="A1975" s="10" t="s">
        <v>730</v>
      </c>
      <c r="B1975" s="10">
        <v>38.664999999999999</v>
      </c>
      <c r="C1975" s="10">
        <v>4.8600000000000003</v>
      </c>
      <c r="D1975" s="16" t="s">
        <v>4687</v>
      </c>
      <c r="E1975" s="10" t="s">
        <v>4683</v>
      </c>
      <c r="F1975" s="10" t="s">
        <v>4684</v>
      </c>
      <c r="G1975" s="10" t="s">
        <v>4683</v>
      </c>
      <c r="H1975" s="14">
        <v>1</v>
      </c>
      <c r="I1975" s="10" t="s">
        <v>4683</v>
      </c>
      <c r="J1975" s="10" t="str">
        <f t="shared" si="8"/>
        <v>normalweight</v>
      </c>
      <c r="L1975" s="30" t="e">
        <v>#N/A</v>
      </c>
    </row>
    <row r="1976" spans="1:12" ht="15.75" customHeight="1" x14ac:dyDescent="0.3">
      <c r="A1976" s="10" t="s">
        <v>728</v>
      </c>
      <c r="B1976" s="10">
        <v>29.92</v>
      </c>
      <c r="C1976" s="10">
        <v>5.49</v>
      </c>
      <c r="D1976" s="16" t="s">
        <v>4687</v>
      </c>
      <c r="E1976" s="10" t="s">
        <v>4684</v>
      </c>
      <c r="F1976" s="10" t="s">
        <v>4683</v>
      </c>
      <c r="G1976" s="10" t="s">
        <v>4683</v>
      </c>
      <c r="H1976" s="14">
        <v>0</v>
      </c>
      <c r="I1976" s="10" t="s">
        <v>4683</v>
      </c>
      <c r="J1976" s="10" t="str">
        <f t="shared" si="8"/>
        <v>normalweight</v>
      </c>
      <c r="L1976" s="30" t="e">
        <v>#N/A</v>
      </c>
    </row>
    <row r="1977" spans="1:12" ht="15.75" customHeight="1" x14ac:dyDescent="0.3">
      <c r="A1977" s="10" t="s">
        <v>726</v>
      </c>
      <c r="B1977" s="10">
        <v>29.48</v>
      </c>
      <c r="C1977" s="10">
        <v>4.09</v>
      </c>
      <c r="D1977" s="16" t="s">
        <v>4687</v>
      </c>
      <c r="E1977" s="10" t="s">
        <v>4684</v>
      </c>
      <c r="F1977" s="10" t="s">
        <v>4683</v>
      </c>
      <c r="G1977" s="10" t="s">
        <v>4683</v>
      </c>
      <c r="H1977" s="14">
        <v>0</v>
      </c>
      <c r="I1977" s="10" t="s">
        <v>4683</v>
      </c>
      <c r="J1977" s="10" t="str">
        <f t="shared" si="8"/>
        <v>normalweight</v>
      </c>
      <c r="L1977" s="30" t="e">
        <v>#N/A</v>
      </c>
    </row>
    <row r="1978" spans="1:12" ht="15.75" customHeight="1" x14ac:dyDescent="0.3">
      <c r="A1978" s="10" t="s">
        <v>724</v>
      </c>
      <c r="B1978" s="10">
        <v>28.785</v>
      </c>
      <c r="C1978" s="10">
        <v>4.3099999999999996</v>
      </c>
      <c r="D1978" s="16" t="s">
        <v>4687</v>
      </c>
      <c r="E1978" s="10" t="s">
        <v>4684</v>
      </c>
      <c r="F1978" s="10" t="s">
        <v>4683</v>
      </c>
      <c r="G1978" s="10" t="s">
        <v>4683</v>
      </c>
      <c r="H1978" s="14">
        <v>0</v>
      </c>
      <c r="I1978" s="10" t="s">
        <v>4683</v>
      </c>
      <c r="J1978" s="10" t="str">
        <f t="shared" si="8"/>
        <v>normalweight</v>
      </c>
      <c r="L1978" s="30" t="e">
        <v>#N/A</v>
      </c>
    </row>
    <row r="1979" spans="1:12" ht="15.75" customHeight="1" x14ac:dyDescent="0.3">
      <c r="A1979" s="10" t="s">
        <v>722</v>
      </c>
      <c r="B1979" s="10">
        <v>19.8</v>
      </c>
      <c r="C1979" s="10">
        <v>4</v>
      </c>
      <c r="D1979" s="16" t="s">
        <v>4687</v>
      </c>
      <c r="E1979" s="10" t="s">
        <v>4684</v>
      </c>
      <c r="F1979" s="10" t="s">
        <v>4683</v>
      </c>
      <c r="G1979" s="10" t="s">
        <v>4683</v>
      </c>
      <c r="H1979" s="14">
        <v>0</v>
      </c>
      <c r="I1979" s="10" t="s">
        <v>4683</v>
      </c>
      <c r="J1979" s="10" t="str">
        <f t="shared" si="8"/>
        <v>normalweight</v>
      </c>
      <c r="L1979" s="30" t="e">
        <v>#N/A</v>
      </c>
    </row>
    <row r="1980" spans="1:12" ht="15.75" customHeight="1" x14ac:dyDescent="0.3">
      <c r="A1980" s="10" t="s">
        <v>720</v>
      </c>
      <c r="B1980" s="10">
        <v>35.53</v>
      </c>
      <c r="C1980" s="10">
        <v>4.68</v>
      </c>
      <c r="D1980" s="16" t="s">
        <v>4687</v>
      </c>
      <c r="E1980" s="10" t="s">
        <v>4683</v>
      </c>
      <c r="F1980" s="10" t="s">
        <v>4683</v>
      </c>
      <c r="G1980" s="10" t="s">
        <v>4686</v>
      </c>
      <c r="H1980" s="14">
        <v>1</v>
      </c>
      <c r="I1980" s="10" t="s">
        <v>4683</v>
      </c>
      <c r="J1980" s="10" t="str">
        <f t="shared" si="8"/>
        <v>normalweight</v>
      </c>
      <c r="L1980" s="30" t="e">
        <v>#N/A</v>
      </c>
    </row>
    <row r="1981" spans="1:12" ht="15.75" customHeight="1" x14ac:dyDescent="0.3">
      <c r="A1981" s="10" t="s">
        <v>718</v>
      </c>
      <c r="B1981" s="10">
        <v>21.47</v>
      </c>
      <c r="C1981" s="10">
        <v>4.0199999999999996</v>
      </c>
      <c r="D1981" s="16" t="s">
        <v>4687</v>
      </c>
      <c r="E1981" s="10" t="s">
        <v>4684</v>
      </c>
      <c r="F1981" s="10" t="s">
        <v>4683</v>
      </c>
      <c r="G1981" s="10" t="s">
        <v>4683</v>
      </c>
      <c r="H1981" s="14">
        <v>1</v>
      </c>
      <c r="I1981" s="10" t="s">
        <v>4683</v>
      </c>
      <c r="J1981" s="10" t="str">
        <f t="shared" si="8"/>
        <v>normalweight</v>
      </c>
      <c r="L1981" s="30" t="e">
        <v>#N/A</v>
      </c>
    </row>
    <row r="1982" spans="1:12" ht="15.75" customHeight="1" x14ac:dyDescent="0.3">
      <c r="A1982" s="10" t="s">
        <v>716</v>
      </c>
      <c r="B1982" s="10">
        <v>25.9</v>
      </c>
      <c r="C1982" s="10">
        <v>5.12</v>
      </c>
      <c r="D1982" s="16" t="s">
        <v>4687</v>
      </c>
      <c r="E1982" s="10" t="s">
        <v>4683</v>
      </c>
      <c r="F1982" s="10" t="s">
        <v>4683</v>
      </c>
      <c r="G1982" s="10" t="s">
        <v>4686</v>
      </c>
      <c r="H1982" s="14">
        <v>1</v>
      </c>
      <c r="I1982" s="10" t="s">
        <v>4683</v>
      </c>
      <c r="J1982" s="10" t="str">
        <f t="shared" si="8"/>
        <v>normalweight</v>
      </c>
      <c r="L1982" s="30" t="e">
        <v>#N/A</v>
      </c>
    </row>
    <row r="1983" spans="1:12" ht="15.75" customHeight="1" x14ac:dyDescent="0.3">
      <c r="A1983" s="10" t="s">
        <v>714</v>
      </c>
      <c r="B1983" s="10">
        <v>20.81</v>
      </c>
      <c r="C1983" s="10">
        <v>5.52</v>
      </c>
      <c r="D1983" s="16" t="s">
        <v>4687</v>
      </c>
      <c r="E1983" s="10" t="s">
        <v>4683</v>
      </c>
      <c r="F1983" s="10" t="s">
        <v>4683</v>
      </c>
      <c r="G1983" s="10" t="s">
        <v>4683</v>
      </c>
      <c r="H1983" s="14">
        <v>0</v>
      </c>
      <c r="I1983" s="10" t="s">
        <v>4683</v>
      </c>
      <c r="J1983" s="10" t="str">
        <f t="shared" si="8"/>
        <v>normalweight</v>
      </c>
      <c r="L1983" s="30" t="e">
        <v>#N/A</v>
      </c>
    </row>
    <row r="1984" spans="1:12" ht="15.75" customHeight="1" x14ac:dyDescent="0.3">
      <c r="A1984" s="10" t="s">
        <v>712</v>
      </c>
      <c r="B1984" s="10">
        <v>25.84</v>
      </c>
      <c r="C1984" s="10">
        <v>5.81</v>
      </c>
      <c r="D1984" s="16" t="s">
        <v>4685</v>
      </c>
      <c r="E1984" s="10" t="s">
        <v>4684</v>
      </c>
      <c r="F1984" s="10" t="s">
        <v>4683</v>
      </c>
      <c r="G1984" s="10" t="s">
        <v>4686</v>
      </c>
      <c r="H1984" s="14">
        <v>1</v>
      </c>
      <c r="I1984" s="10" t="s">
        <v>4683</v>
      </c>
      <c r="J1984" s="10" t="str">
        <f t="shared" si="8"/>
        <v>normalweight</v>
      </c>
      <c r="L1984" s="30" t="e">
        <v>#N/A</v>
      </c>
    </row>
    <row r="1985" spans="1:12" ht="15.75" customHeight="1" x14ac:dyDescent="0.3">
      <c r="A1985" s="10" t="s">
        <v>710</v>
      </c>
      <c r="B1985" s="10">
        <v>30.95</v>
      </c>
      <c r="C1985" s="10">
        <v>5.16</v>
      </c>
      <c r="D1985" s="16" t="s">
        <v>4687</v>
      </c>
      <c r="E1985" s="10" t="s">
        <v>4683</v>
      </c>
      <c r="F1985" s="10" t="s">
        <v>4683</v>
      </c>
      <c r="G1985" s="10" t="s">
        <v>4686</v>
      </c>
      <c r="H1985" s="14">
        <v>1</v>
      </c>
      <c r="I1985" s="10" t="s">
        <v>4683</v>
      </c>
      <c r="J1985" s="10" t="str">
        <f t="shared" si="8"/>
        <v>normalweight</v>
      </c>
      <c r="L1985" s="30" t="e">
        <v>#N/A</v>
      </c>
    </row>
    <row r="1986" spans="1:12" ht="15.75" customHeight="1" x14ac:dyDescent="0.3">
      <c r="A1986" s="10" t="s">
        <v>708</v>
      </c>
      <c r="B1986" s="10">
        <v>30.54</v>
      </c>
      <c r="C1986" s="10">
        <v>5</v>
      </c>
      <c r="D1986" s="16" t="s">
        <v>4687</v>
      </c>
      <c r="E1986" s="10" t="s">
        <v>4683</v>
      </c>
      <c r="F1986" s="10" t="s">
        <v>4683</v>
      </c>
      <c r="G1986" s="10" t="s">
        <v>4686</v>
      </c>
      <c r="H1986" s="14">
        <v>1</v>
      </c>
      <c r="I1986" s="10" t="s">
        <v>4683</v>
      </c>
      <c r="J1986" s="10" t="str">
        <f t="shared" si="8"/>
        <v>normalweight</v>
      </c>
      <c r="L1986" s="30" t="e">
        <v>#N/A</v>
      </c>
    </row>
    <row r="1987" spans="1:12" ht="15.75" customHeight="1" x14ac:dyDescent="0.3">
      <c r="A1987" s="10" t="s">
        <v>706</v>
      </c>
      <c r="B1987" s="10">
        <v>33.914999999999999</v>
      </c>
      <c r="C1987" s="10">
        <v>5.84</v>
      </c>
      <c r="D1987" s="16" t="s">
        <v>4685</v>
      </c>
      <c r="E1987" s="10" t="s">
        <v>4684</v>
      </c>
      <c r="F1987" s="10" t="s">
        <v>4683</v>
      </c>
      <c r="G1987" s="10" t="s">
        <v>4683</v>
      </c>
      <c r="H1987" s="14">
        <v>0</v>
      </c>
      <c r="I1987" s="10" t="s">
        <v>4683</v>
      </c>
      <c r="J1987" s="10" t="str">
        <f t="shared" si="8"/>
        <v>normalweight</v>
      </c>
      <c r="L1987" s="30" t="e">
        <v>#N/A</v>
      </c>
    </row>
    <row r="1988" spans="1:12" ht="15.75" customHeight="1" x14ac:dyDescent="0.3">
      <c r="A1988" s="10" t="s">
        <v>704</v>
      </c>
      <c r="B1988" s="10">
        <v>33.31</v>
      </c>
      <c r="C1988" s="10">
        <v>4.1900000000000004</v>
      </c>
      <c r="D1988" s="16" t="s">
        <v>4687</v>
      </c>
      <c r="E1988" s="10" t="s">
        <v>4683</v>
      </c>
      <c r="F1988" s="10" t="s">
        <v>4683</v>
      </c>
      <c r="G1988" s="10" t="s">
        <v>4686</v>
      </c>
      <c r="H1988" s="14">
        <v>1</v>
      </c>
      <c r="I1988" s="10" t="s">
        <v>4683</v>
      </c>
      <c r="J1988" s="10" t="str">
        <f t="shared" si="8"/>
        <v>normalweight</v>
      </c>
      <c r="L1988" s="30" t="e">
        <v>#N/A</v>
      </c>
    </row>
    <row r="1989" spans="1:12" ht="15.75" customHeight="1" x14ac:dyDescent="0.3">
      <c r="A1989" s="10" t="s">
        <v>702</v>
      </c>
      <c r="B1989" s="10">
        <v>25.745000000000001</v>
      </c>
      <c r="C1989" s="10">
        <v>4.62</v>
      </c>
      <c r="D1989" s="16" t="s">
        <v>4687</v>
      </c>
      <c r="E1989" s="10" t="s">
        <v>4684</v>
      </c>
      <c r="F1989" s="10" t="s">
        <v>4683</v>
      </c>
      <c r="G1989" s="10" t="s">
        <v>4683</v>
      </c>
      <c r="H1989" s="14">
        <v>0</v>
      </c>
      <c r="I1989" s="10" t="s">
        <v>4683</v>
      </c>
      <c r="J1989" s="10" t="str">
        <f t="shared" si="8"/>
        <v>normalweight</v>
      </c>
      <c r="L1989" s="30" t="e">
        <v>#N/A</v>
      </c>
    </row>
    <row r="1990" spans="1:12" ht="15.75" customHeight="1" x14ac:dyDescent="0.3">
      <c r="A1990" s="10" t="s">
        <v>700</v>
      </c>
      <c r="B1990" s="10">
        <v>37.1</v>
      </c>
      <c r="C1990" s="10">
        <v>6.24</v>
      </c>
      <c r="D1990" s="16" t="s">
        <v>4685</v>
      </c>
      <c r="E1990" s="10" t="s">
        <v>4683</v>
      </c>
      <c r="F1990" s="10" t="s">
        <v>4683</v>
      </c>
      <c r="G1990" s="10" t="s">
        <v>4683</v>
      </c>
      <c r="H1990" s="14">
        <v>0</v>
      </c>
      <c r="I1990" s="10" t="s">
        <v>4683</v>
      </c>
      <c r="J1990" s="10" t="str">
        <f t="shared" si="8"/>
        <v>normalweight</v>
      </c>
      <c r="L1990" s="30" t="e">
        <v>#N/A</v>
      </c>
    </row>
    <row r="1991" spans="1:12" ht="15.75" customHeight="1" x14ac:dyDescent="0.3">
      <c r="A1991" s="10" t="s">
        <v>698</v>
      </c>
      <c r="B1991" s="10">
        <v>35.435000000000002</v>
      </c>
      <c r="C1991" s="10">
        <v>5.81</v>
      </c>
      <c r="D1991" s="16" t="s">
        <v>4685</v>
      </c>
      <c r="E1991" s="10" t="s">
        <v>4683</v>
      </c>
      <c r="F1991" s="10" t="s">
        <v>4683</v>
      </c>
      <c r="G1991" s="10" t="s">
        <v>4683</v>
      </c>
      <c r="H1991" s="14">
        <v>0</v>
      </c>
      <c r="I1991" s="10" t="s">
        <v>4683</v>
      </c>
      <c r="J1991" s="10" t="str">
        <f t="shared" si="8"/>
        <v>normalweight</v>
      </c>
      <c r="L1991" s="30" t="e">
        <v>#N/A</v>
      </c>
    </row>
    <row r="1992" spans="1:12" ht="15.75" customHeight="1" x14ac:dyDescent="0.3">
      <c r="A1992" s="10" t="s">
        <v>696</v>
      </c>
      <c r="B1992" s="10">
        <v>20.399999999999999</v>
      </c>
      <c r="C1992" s="10">
        <v>4.83</v>
      </c>
      <c r="D1992" s="16" t="s">
        <v>4687</v>
      </c>
      <c r="E1992" s="10" t="s">
        <v>4683</v>
      </c>
      <c r="F1992" s="10" t="s">
        <v>4683</v>
      </c>
      <c r="G1992" s="10" t="s">
        <v>4683</v>
      </c>
      <c r="H1992" s="14">
        <v>0</v>
      </c>
      <c r="I1992" s="10" t="s">
        <v>4683</v>
      </c>
      <c r="J1992" s="10" t="str">
        <f t="shared" si="8"/>
        <v>normalweight</v>
      </c>
      <c r="L1992" s="30" t="e">
        <v>#N/A</v>
      </c>
    </row>
    <row r="1993" spans="1:12" ht="15.75" customHeight="1" x14ac:dyDescent="0.3">
      <c r="A1993" s="10" t="s">
        <v>694</v>
      </c>
      <c r="B1993" s="10">
        <v>42.13</v>
      </c>
      <c r="C1993" s="10">
        <v>5.72</v>
      </c>
      <c r="D1993" s="16" t="s">
        <v>4685</v>
      </c>
      <c r="E1993" s="10" t="s">
        <v>4684</v>
      </c>
      <c r="F1993" s="10" t="s">
        <v>4683</v>
      </c>
      <c r="G1993" s="10" t="s">
        <v>4686</v>
      </c>
      <c r="H1993" s="14">
        <v>1</v>
      </c>
      <c r="I1993" s="10" t="s">
        <v>4683</v>
      </c>
      <c r="J1993" s="10" t="str">
        <f t="shared" si="8"/>
        <v>normalweight</v>
      </c>
      <c r="L1993" s="30" t="e">
        <v>#N/A</v>
      </c>
    </row>
    <row r="1994" spans="1:12" ht="15.75" customHeight="1" x14ac:dyDescent="0.3">
      <c r="A1994" s="10" t="s">
        <v>692</v>
      </c>
      <c r="B1994" s="10">
        <v>33.99</v>
      </c>
      <c r="C1994" s="10">
        <v>4.83</v>
      </c>
      <c r="D1994" s="16" t="s">
        <v>4687</v>
      </c>
      <c r="E1994" s="10" t="s">
        <v>4684</v>
      </c>
      <c r="F1994" s="10" t="s">
        <v>4683</v>
      </c>
      <c r="G1994" s="10" t="s">
        <v>4686</v>
      </c>
      <c r="H1994" s="14">
        <v>1</v>
      </c>
      <c r="I1994" s="10" t="s">
        <v>4683</v>
      </c>
      <c r="J1994" s="10" t="str">
        <f t="shared" si="8"/>
        <v>normalweight</v>
      </c>
      <c r="L1994" s="30" t="e">
        <v>#N/A</v>
      </c>
    </row>
    <row r="1995" spans="1:12" ht="15.75" customHeight="1" x14ac:dyDescent="0.3">
      <c r="A1995" s="10" t="s">
        <v>690</v>
      </c>
      <c r="B1995" s="10">
        <v>28.594999999999999</v>
      </c>
      <c r="C1995" s="10">
        <v>4.1399999999999997</v>
      </c>
      <c r="D1995" s="16" t="s">
        <v>4687</v>
      </c>
      <c r="E1995" s="10" t="s">
        <v>4684</v>
      </c>
      <c r="F1995" s="10" t="s">
        <v>4683</v>
      </c>
      <c r="G1995" s="10" t="s">
        <v>4686</v>
      </c>
      <c r="H1995" s="14">
        <v>1</v>
      </c>
      <c r="I1995" s="10" t="s">
        <v>4683</v>
      </c>
      <c r="J1995" s="10" t="str">
        <f t="shared" si="8"/>
        <v>normalweight</v>
      </c>
      <c r="L1995" s="30" t="e">
        <v>#N/A</v>
      </c>
    </row>
    <row r="1996" spans="1:12" ht="15.75" customHeight="1" x14ac:dyDescent="0.3">
      <c r="A1996" s="10" t="s">
        <v>688</v>
      </c>
      <c r="B1996" s="10">
        <v>20.8</v>
      </c>
      <c r="C1996" s="10">
        <v>4.07</v>
      </c>
      <c r="D1996" s="16" t="s">
        <v>4687</v>
      </c>
      <c r="E1996" s="10" t="s">
        <v>4684</v>
      </c>
      <c r="F1996" s="10" t="s">
        <v>4683</v>
      </c>
      <c r="G1996" s="10" t="s">
        <v>4686</v>
      </c>
      <c r="H1996" s="14">
        <v>1</v>
      </c>
      <c r="I1996" s="10" t="s">
        <v>4683</v>
      </c>
      <c r="J1996" s="10" t="str">
        <f t="shared" si="8"/>
        <v>normalweight</v>
      </c>
      <c r="L1996" s="30" t="e">
        <v>#N/A</v>
      </c>
    </row>
    <row r="1997" spans="1:12" ht="15.75" customHeight="1" x14ac:dyDescent="0.3">
      <c r="A1997" s="10" t="s">
        <v>686</v>
      </c>
      <c r="B1997" s="10">
        <v>23.465</v>
      </c>
      <c r="C1997" s="10">
        <v>6.26</v>
      </c>
      <c r="D1997" s="16" t="s">
        <v>4685</v>
      </c>
      <c r="E1997" s="10" t="s">
        <v>4684</v>
      </c>
      <c r="F1997" s="10" t="s">
        <v>4683</v>
      </c>
      <c r="G1997" s="10" t="s">
        <v>4686</v>
      </c>
      <c r="H1997" s="14">
        <v>1</v>
      </c>
      <c r="I1997" s="10" t="s">
        <v>4683</v>
      </c>
      <c r="J1997" s="10" t="str">
        <f t="shared" si="8"/>
        <v>normalweight</v>
      </c>
      <c r="L1997" s="30" t="e">
        <v>#N/A</v>
      </c>
    </row>
    <row r="1998" spans="1:12" ht="15.75" customHeight="1" x14ac:dyDescent="0.3">
      <c r="A1998" s="10" t="s">
        <v>684</v>
      </c>
      <c r="B1998" s="10">
        <v>40.185000000000002</v>
      </c>
      <c r="C1998" s="10">
        <v>5.88</v>
      </c>
      <c r="D1998" s="16" t="s">
        <v>4685</v>
      </c>
      <c r="E1998" s="10" t="s">
        <v>4684</v>
      </c>
      <c r="F1998" s="10" t="s">
        <v>4683</v>
      </c>
      <c r="G1998" s="10" t="s">
        <v>4683</v>
      </c>
      <c r="H1998" s="14">
        <v>0</v>
      </c>
      <c r="I1998" s="10" t="s">
        <v>4683</v>
      </c>
      <c r="J1998" s="10" t="str">
        <f t="shared" si="8"/>
        <v>normalweight</v>
      </c>
      <c r="L1998" s="30" t="e">
        <v>#N/A</v>
      </c>
    </row>
    <row r="1999" spans="1:12" ht="15.75" customHeight="1" x14ac:dyDescent="0.3">
      <c r="A1999" s="10" t="s">
        <v>682</v>
      </c>
      <c r="B1999" s="10">
        <v>21.89</v>
      </c>
      <c r="C1999" s="10">
        <v>5.72</v>
      </c>
      <c r="D1999" s="16" t="s">
        <v>4685</v>
      </c>
      <c r="E1999" s="10" t="s">
        <v>4684</v>
      </c>
      <c r="F1999" s="10" t="s">
        <v>4683</v>
      </c>
      <c r="G1999" s="10" t="s">
        <v>4683</v>
      </c>
      <c r="H1999" s="14">
        <v>0</v>
      </c>
      <c r="I1999" s="10" t="s">
        <v>4683</v>
      </c>
      <c r="J1999" s="10" t="str">
        <f t="shared" si="8"/>
        <v>normalweight</v>
      </c>
      <c r="L1999" s="30" t="e">
        <v>#N/A</v>
      </c>
    </row>
    <row r="2000" spans="1:12" ht="15.75" customHeight="1" x14ac:dyDescent="0.3">
      <c r="A2000" s="10" t="s">
        <v>680</v>
      </c>
      <c r="B2000" s="10">
        <v>29.34</v>
      </c>
      <c r="C2000" s="10">
        <v>6.09</v>
      </c>
      <c r="D2000" s="16" t="s">
        <v>4685</v>
      </c>
      <c r="E2000" s="10" t="s">
        <v>4684</v>
      </c>
      <c r="F2000" s="10" t="s">
        <v>4684</v>
      </c>
      <c r="G2000" s="10" t="s">
        <v>4683</v>
      </c>
      <c r="H2000" s="14">
        <v>2</v>
      </c>
      <c r="I2000" s="10" t="s">
        <v>4683</v>
      </c>
      <c r="J2000" s="10" t="str">
        <f t="shared" si="8"/>
        <v>normalweight</v>
      </c>
      <c r="L2000" s="30" t="e">
        <v>#N/A</v>
      </c>
    </row>
    <row r="2001" spans="1:12" ht="15.75" customHeight="1" x14ac:dyDescent="0.3">
      <c r="A2001" s="10" t="s">
        <v>678</v>
      </c>
      <c r="B2001" s="10">
        <v>22.61</v>
      </c>
      <c r="C2001" s="10">
        <v>4.25</v>
      </c>
      <c r="D2001" s="16" t="s">
        <v>4687</v>
      </c>
      <c r="E2001" s="10" t="s">
        <v>4684</v>
      </c>
      <c r="F2001" s="10" t="s">
        <v>4683</v>
      </c>
      <c r="G2001" s="10" t="s">
        <v>4683</v>
      </c>
      <c r="H2001" s="14">
        <v>0</v>
      </c>
      <c r="I2001" s="10" t="s">
        <v>4683</v>
      </c>
      <c r="J2001" s="10" t="str">
        <f t="shared" si="8"/>
        <v>normalweight</v>
      </c>
      <c r="L2001" s="30" t="e">
        <v>#N/A</v>
      </c>
    </row>
    <row r="2002" spans="1:12" ht="15.75" customHeight="1" x14ac:dyDescent="0.3">
      <c r="A2002" s="10" t="s">
        <v>676</v>
      </c>
      <c r="B2002" s="10">
        <v>22.23</v>
      </c>
      <c r="C2002" s="10">
        <v>6.09</v>
      </c>
      <c r="D2002" s="16" t="s">
        <v>4685</v>
      </c>
      <c r="E2002" s="10" t="s">
        <v>4684</v>
      </c>
      <c r="F2002" s="10" t="s">
        <v>4683</v>
      </c>
      <c r="G2002" s="10" t="s">
        <v>4683</v>
      </c>
      <c r="H2002" s="14">
        <v>0</v>
      </c>
      <c r="I2002" s="10" t="s">
        <v>4683</v>
      </c>
      <c r="J2002" s="10" t="str">
        <f t="shared" si="8"/>
        <v>normalweight</v>
      </c>
      <c r="L2002" s="30" t="e">
        <v>#N/A</v>
      </c>
    </row>
    <row r="2003" spans="1:12" ht="15.75" customHeight="1" x14ac:dyDescent="0.3">
      <c r="A2003" s="10" t="s">
        <v>674</v>
      </c>
      <c r="B2003" s="10">
        <v>33.4</v>
      </c>
      <c r="C2003" s="10">
        <v>5.51</v>
      </c>
      <c r="D2003" s="16" t="s">
        <v>4687</v>
      </c>
      <c r="E2003" s="10" t="s">
        <v>4683</v>
      </c>
      <c r="F2003" s="10" t="s">
        <v>4683</v>
      </c>
      <c r="G2003" s="10" t="s">
        <v>4683</v>
      </c>
      <c r="H2003" s="14">
        <v>0</v>
      </c>
      <c r="I2003" s="10" t="s">
        <v>4683</v>
      </c>
      <c r="J2003" s="10" t="str">
        <f t="shared" si="8"/>
        <v>normalweight</v>
      </c>
      <c r="L2003" s="30" t="e">
        <v>#N/A</v>
      </c>
    </row>
    <row r="2004" spans="1:12" ht="15.75" customHeight="1" x14ac:dyDescent="0.3">
      <c r="A2004" s="10" t="s">
        <v>672</v>
      </c>
      <c r="B2004" s="10">
        <v>33.11</v>
      </c>
      <c r="C2004" s="10">
        <v>5.63</v>
      </c>
      <c r="D2004" s="16" t="s">
        <v>4685</v>
      </c>
      <c r="E2004" s="10" t="s">
        <v>4683</v>
      </c>
      <c r="F2004" s="10" t="s">
        <v>4683</v>
      </c>
      <c r="G2004" s="10" t="s">
        <v>4683</v>
      </c>
      <c r="H2004" s="14">
        <v>0</v>
      </c>
      <c r="I2004" s="10" t="s">
        <v>4683</v>
      </c>
      <c r="J2004" s="10" t="str">
        <f t="shared" si="8"/>
        <v>normalweight</v>
      </c>
      <c r="L2004" s="30" t="e">
        <v>#N/A</v>
      </c>
    </row>
    <row r="2005" spans="1:12" ht="15.75" customHeight="1" x14ac:dyDescent="0.3">
      <c r="A2005" s="10" t="s">
        <v>670</v>
      </c>
      <c r="B2005" s="10">
        <v>16.815000000000001</v>
      </c>
      <c r="C2005" s="10">
        <v>5.29</v>
      </c>
      <c r="D2005" s="16" t="s">
        <v>4687</v>
      </c>
      <c r="E2005" s="10" t="s">
        <v>4684</v>
      </c>
      <c r="F2005" s="10" t="s">
        <v>4683</v>
      </c>
      <c r="G2005" s="10" t="s">
        <v>4683</v>
      </c>
      <c r="H2005" s="14">
        <v>0</v>
      </c>
      <c r="I2005" s="10" t="s">
        <v>4683</v>
      </c>
      <c r="J2005" s="10" t="str">
        <f t="shared" si="8"/>
        <v>underweight</v>
      </c>
      <c r="L2005" s="30" t="e">
        <v>#N/A</v>
      </c>
    </row>
    <row r="2006" spans="1:12" ht="15.75" customHeight="1" x14ac:dyDescent="0.3">
      <c r="A2006" s="10" t="s">
        <v>668</v>
      </c>
      <c r="B2006" s="10">
        <v>25.61</v>
      </c>
      <c r="C2006" s="10">
        <v>4</v>
      </c>
      <c r="D2006" s="16" t="s">
        <v>4687</v>
      </c>
      <c r="E2006" s="10" t="s">
        <v>4683</v>
      </c>
      <c r="F2006" s="10" t="s">
        <v>4683</v>
      </c>
      <c r="G2006" s="10" t="s">
        <v>4686</v>
      </c>
      <c r="H2006" s="14">
        <v>1</v>
      </c>
      <c r="I2006" s="10" t="s">
        <v>4683</v>
      </c>
      <c r="J2006" s="10" t="str">
        <f t="shared" si="8"/>
        <v>normalweight</v>
      </c>
      <c r="L2006" s="30" t="e">
        <v>#N/A</v>
      </c>
    </row>
    <row r="2007" spans="1:12" ht="15.75" customHeight="1" x14ac:dyDescent="0.3">
      <c r="A2007" s="10" t="s">
        <v>666</v>
      </c>
      <c r="B2007" s="10">
        <v>25.8</v>
      </c>
      <c r="C2007" s="10">
        <v>5.49</v>
      </c>
      <c r="D2007" s="16" t="s">
        <v>4687</v>
      </c>
      <c r="E2007" s="10" t="s">
        <v>4683</v>
      </c>
      <c r="F2007" s="10" t="s">
        <v>4683</v>
      </c>
      <c r="G2007" s="10" t="s">
        <v>4683</v>
      </c>
      <c r="H2007" s="14">
        <v>0</v>
      </c>
      <c r="I2007" s="10" t="s">
        <v>4683</v>
      </c>
      <c r="J2007" s="10" t="str">
        <f t="shared" si="8"/>
        <v>normalweight</v>
      </c>
      <c r="L2007" s="30" t="e">
        <v>#N/A</v>
      </c>
    </row>
    <row r="2008" spans="1:12" ht="15.75" customHeight="1" x14ac:dyDescent="0.3">
      <c r="A2008" s="10" t="s">
        <v>664</v>
      </c>
      <c r="B2008" s="10">
        <v>27.39</v>
      </c>
      <c r="C2008" s="10">
        <v>5.34</v>
      </c>
      <c r="D2008" s="16" t="s">
        <v>4687</v>
      </c>
      <c r="E2008" s="10" t="s">
        <v>4683</v>
      </c>
      <c r="F2008" s="10" t="s">
        <v>4683</v>
      </c>
      <c r="G2008" s="10" t="s">
        <v>4683</v>
      </c>
      <c r="H2008" s="14">
        <v>0</v>
      </c>
      <c r="I2008" s="10" t="s">
        <v>4683</v>
      </c>
      <c r="J2008" s="10" t="str">
        <f t="shared" si="8"/>
        <v>normalweight</v>
      </c>
      <c r="L2008" s="30" t="e">
        <v>#N/A</v>
      </c>
    </row>
    <row r="2009" spans="1:12" ht="15.75" customHeight="1" x14ac:dyDescent="0.3">
      <c r="A2009" s="10" t="s">
        <v>662</v>
      </c>
      <c r="B2009" s="10">
        <v>17.03</v>
      </c>
      <c r="C2009" s="10">
        <v>4.12</v>
      </c>
      <c r="D2009" s="16" t="s">
        <v>4687</v>
      </c>
      <c r="E2009" s="10" t="s">
        <v>4683</v>
      </c>
      <c r="F2009" s="10" t="s">
        <v>4683</v>
      </c>
      <c r="G2009" s="10" t="s">
        <v>4683</v>
      </c>
      <c r="H2009" s="14">
        <v>1</v>
      </c>
      <c r="I2009" s="10" t="s">
        <v>4683</v>
      </c>
      <c r="J2009" s="10" t="str">
        <f t="shared" si="8"/>
        <v>underweight</v>
      </c>
      <c r="L2009" s="30" t="e">
        <v>#N/A</v>
      </c>
    </row>
    <row r="2010" spans="1:12" ht="15.75" customHeight="1" x14ac:dyDescent="0.3">
      <c r="A2010" s="10" t="s">
        <v>660</v>
      </c>
      <c r="B2010" s="10">
        <v>23.75</v>
      </c>
      <c r="C2010" s="10">
        <v>5.49</v>
      </c>
      <c r="D2010" s="16" t="s">
        <v>4687</v>
      </c>
      <c r="E2010" s="10" t="s">
        <v>4684</v>
      </c>
      <c r="F2010" s="10" t="s">
        <v>4683</v>
      </c>
      <c r="G2010" s="10" t="s">
        <v>4683</v>
      </c>
      <c r="H2010" s="14">
        <v>0</v>
      </c>
      <c r="I2010" s="10" t="s">
        <v>4683</v>
      </c>
      <c r="J2010" s="10" t="str">
        <f t="shared" si="8"/>
        <v>normalweight</v>
      </c>
      <c r="L2010" s="30" t="e">
        <v>#N/A</v>
      </c>
    </row>
    <row r="2011" spans="1:12" ht="15.75" customHeight="1" x14ac:dyDescent="0.3">
      <c r="A2011" s="10" t="s">
        <v>658</v>
      </c>
      <c r="B2011" s="10">
        <v>26.03</v>
      </c>
      <c r="C2011" s="10">
        <v>5.1100000000000003</v>
      </c>
      <c r="D2011" s="16" t="s">
        <v>4687</v>
      </c>
      <c r="E2011" s="10" t="s">
        <v>4684</v>
      </c>
      <c r="F2011" s="10" t="s">
        <v>4683</v>
      </c>
      <c r="G2011" s="10" t="s">
        <v>4683</v>
      </c>
      <c r="H2011" s="14">
        <v>1</v>
      </c>
      <c r="I2011" s="10" t="s">
        <v>4683</v>
      </c>
      <c r="J2011" s="10" t="str">
        <f t="shared" si="8"/>
        <v>normalweight</v>
      </c>
      <c r="L2011" s="30" t="e">
        <v>#N/A</v>
      </c>
    </row>
    <row r="2012" spans="1:12" ht="15.75" customHeight="1" x14ac:dyDescent="0.3">
      <c r="A2012" s="10" t="s">
        <v>656</v>
      </c>
      <c r="B2012" s="10">
        <v>16.079999999999998</v>
      </c>
      <c r="C2012" s="10">
        <v>5.94</v>
      </c>
      <c r="D2012" s="16" t="s">
        <v>4685</v>
      </c>
      <c r="E2012" s="10" t="s">
        <v>4683</v>
      </c>
      <c r="F2012" s="10" t="s">
        <v>4683</v>
      </c>
      <c r="G2012" s="10" t="s">
        <v>4683</v>
      </c>
      <c r="H2012" s="14">
        <v>0</v>
      </c>
      <c r="I2012" s="10" t="s">
        <v>4683</v>
      </c>
      <c r="J2012" s="10" t="str">
        <f t="shared" si="8"/>
        <v>underweight</v>
      </c>
      <c r="L2012" s="30" t="e">
        <v>#N/A</v>
      </c>
    </row>
    <row r="2013" spans="1:12" ht="15.75" customHeight="1" x14ac:dyDescent="0.3">
      <c r="A2013" s="10" t="s">
        <v>654</v>
      </c>
      <c r="B2013" s="10">
        <v>30.875</v>
      </c>
      <c r="C2013" s="10">
        <v>5.54</v>
      </c>
      <c r="D2013" s="16" t="s">
        <v>4687</v>
      </c>
      <c r="E2013" s="10" t="s">
        <v>4683</v>
      </c>
      <c r="F2013" s="10" t="s">
        <v>4683</v>
      </c>
      <c r="G2013" s="10" t="s">
        <v>4683</v>
      </c>
      <c r="H2013" s="14">
        <v>0</v>
      </c>
      <c r="I2013" s="10" t="s">
        <v>4683</v>
      </c>
      <c r="J2013" s="10" t="str">
        <f t="shared" si="8"/>
        <v>normalweight</v>
      </c>
      <c r="L2013" s="30" t="e">
        <v>#N/A</v>
      </c>
    </row>
    <row r="2014" spans="1:12" ht="15.75" customHeight="1" x14ac:dyDescent="0.3">
      <c r="A2014" s="10" t="s">
        <v>652</v>
      </c>
      <c r="B2014" s="10">
        <v>31.79</v>
      </c>
      <c r="C2014" s="10">
        <v>7.09</v>
      </c>
      <c r="D2014" s="16" t="s">
        <v>4685</v>
      </c>
      <c r="E2014" s="10" t="s">
        <v>4683</v>
      </c>
      <c r="F2014" s="10" t="s">
        <v>4683</v>
      </c>
      <c r="G2014" s="10" t="s">
        <v>4683</v>
      </c>
      <c r="H2014" s="14">
        <v>0</v>
      </c>
      <c r="I2014" s="10" t="s">
        <v>4683</v>
      </c>
      <c r="J2014" s="10" t="str">
        <f t="shared" si="8"/>
        <v>normalweight</v>
      </c>
      <c r="L2014" s="30" t="e">
        <v>#N/A</v>
      </c>
    </row>
    <row r="2015" spans="1:12" ht="15.75" customHeight="1" x14ac:dyDescent="0.3">
      <c r="A2015" s="10" t="s">
        <v>650</v>
      </c>
      <c r="B2015" s="10">
        <v>28.48</v>
      </c>
      <c r="C2015" s="10">
        <v>6.22</v>
      </c>
      <c r="D2015" s="16" t="s">
        <v>4685</v>
      </c>
      <c r="E2015" s="10" t="s">
        <v>4684</v>
      </c>
      <c r="F2015" s="10" t="s">
        <v>4683</v>
      </c>
      <c r="G2015" s="10" t="s">
        <v>4686</v>
      </c>
      <c r="H2015" s="14">
        <v>1</v>
      </c>
      <c r="I2015" s="10" t="s">
        <v>4683</v>
      </c>
      <c r="J2015" s="10" t="str">
        <f t="shared" si="8"/>
        <v>normalweight</v>
      </c>
      <c r="L2015" s="30" t="e">
        <v>#N/A</v>
      </c>
    </row>
    <row r="2016" spans="1:12" ht="15.75" customHeight="1" x14ac:dyDescent="0.3">
      <c r="A2016" s="10" t="s">
        <v>648</v>
      </c>
      <c r="B2016" s="10">
        <v>26.6</v>
      </c>
      <c r="C2016" s="10">
        <v>4.33</v>
      </c>
      <c r="D2016" s="16" t="s">
        <v>4687</v>
      </c>
      <c r="E2016" s="10" t="s">
        <v>4683</v>
      </c>
      <c r="F2016" s="10" t="s">
        <v>4683</v>
      </c>
      <c r="G2016" s="10" t="s">
        <v>4683</v>
      </c>
      <c r="H2016" s="14">
        <v>1</v>
      </c>
      <c r="I2016" s="10" t="s">
        <v>4683</v>
      </c>
      <c r="J2016" s="10" t="str">
        <f t="shared" si="8"/>
        <v>normalweight</v>
      </c>
      <c r="L2016" s="30" t="e">
        <v>#N/A</v>
      </c>
    </row>
    <row r="2017" spans="1:12" ht="15.75" customHeight="1" x14ac:dyDescent="0.3">
      <c r="A2017" s="10" t="s">
        <v>646</v>
      </c>
      <c r="B2017" s="10">
        <v>25.27</v>
      </c>
      <c r="C2017" s="10">
        <v>5.83</v>
      </c>
      <c r="D2017" s="16" t="s">
        <v>4685</v>
      </c>
      <c r="E2017" s="10" t="s">
        <v>4683</v>
      </c>
      <c r="F2017" s="10" t="s">
        <v>4683</v>
      </c>
      <c r="G2017" s="10" t="s">
        <v>4683</v>
      </c>
      <c r="H2017" s="14">
        <v>1</v>
      </c>
      <c r="I2017" s="10" t="s">
        <v>4683</v>
      </c>
      <c r="J2017" s="10" t="str">
        <f t="shared" si="8"/>
        <v>normalweight</v>
      </c>
      <c r="L2017" s="30" t="e">
        <v>#N/A</v>
      </c>
    </row>
    <row r="2018" spans="1:12" ht="15.75" customHeight="1" x14ac:dyDescent="0.3">
      <c r="A2018" s="10" t="s">
        <v>644</v>
      </c>
      <c r="B2018" s="10">
        <v>34.484999999999999</v>
      </c>
      <c r="C2018" s="10">
        <v>4.7</v>
      </c>
      <c r="D2018" s="16" t="s">
        <v>4687</v>
      </c>
      <c r="E2018" s="10" t="s">
        <v>4684</v>
      </c>
      <c r="F2018" s="10" t="s">
        <v>4683</v>
      </c>
      <c r="G2018" s="10" t="s">
        <v>4686</v>
      </c>
      <c r="H2018" s="14">
        <v>1</v>
      </c>
      <c r="I2018" s="10" t="s">
        <v>4683</v>
      </c>
      <c r="J2018" s="10" t="str">
        <f t="shared" si="8"/>
        <v>normalweight</v>
      </c>
      <c r="L2018" s="30" t="e">
        <v>#N/A</v>
      </c>
    </row>
    <row r="2019" spans="1:12" ht="15.75" customHeight="1" x14ac:dyDescent="0.3">
      <c r="A2019" s="10" t="s">
        <v>642</v>
      </c>
      <c r="B2019" s="10">
        <v>15.57</v>
      </c>
      <c r="C2019" s="10">
        <v>4.07</v>
      </c>
      <c r="D2019" s="16" t="s">
        <v>4687</v>
      </c>
      <c r="E2019" s="10" t="s">
        <v>4684</v>
      </c>
      <c r="F2019" s="10" t="s">
        <v>4683</v>
      </c>
      <c r="G2019" s="10" t="s">
        <v>4683</v>
      </c>
      <c r="H2019" s="14">
        <v>1</v>
      </c>
      <c r="I2019" s="10" t="s">
        <v>4683</v>
      </c>
      <c r="J2019" s="10" t="str">
        <f t="shared" si="8"/>
        <v>underweight</v>
      </c>
      <c r="L2019" s="30" t="e">
        <v>#N/A</v>
      </c>
    </row>
    <row r="2020" spans="1:12" ht="15.75" customHeight="1" x14ac:dyDescent="0.3">
      <c r="A2020" s="10" t="s">
        <v>640</v>
      </c>
      <c r="B2020" s="10">
        <v>30.36</v>
      </c>
      <c r="C2020" s="10">
        <v>9.39</v>
      </c>
      <c r="D2020" s="16" t="s">
        <v>4682</v>
      </c>
      <c r="E2020" s="10" t="s">
        <v>4683</v>
      </c>
      <c r="F2020" s="10" t="s">
        <v>4683</v>
      </c>
      <c r="G2020" s="10" t="s">
        <v>4683</v>
      </c>
      <c r="H2020" s="14">
        <v>0</v>
      </c>
      <c r="I2020" s="10" t="s">
        <v>4683</v>
      </c>
      <c r="J2020" s="10" t="str">
        <f t="shared" si="8"/>
        <v>normalweight</v>
      </c>
      <c r="L2020" s="30" t="e">
        <v>#N/A</v>
      </c>
    </row>
    <row r="2021" spans="1:12" ht="15.75" customHeight="1" x14ac:dyDescent="0.3">
      <c r="A2021" s="10" t="s">
        <v>638</v>
      </c>
      <c r="B2021" s="10">
        <v>19.37</v>
      </c>
      <c r="C2021" s="10">
        <v>4.18</v>
      </c>
      <c r="D2021" s="16" t="s">
        <v>4687</v>
      </c>
      <c r="E2021" s="10" t="s">
        <v>4683</v>
      </c>
      <c r="F2021" s="10" t="s">
        <v>4683</v>
      </c>
      <c r="G2021" s="10" t="s">
        <v>4683</v>
      </c>
      <c r="H2021" s="14">
        <v>0</v>
      </c>
      <c r="I2021" s="10" t="s">
        <v>4683</v>
      </c>
      <c r="J2021" s="10" t="str">
        <f t="shared" si="8"/>
        <v>normalweight</v>
      </c>
      <c r="L2021" s="30" t="e">
        <v>#N/A</v>
      </c>
    </row>
    <row r="2022" spans="1:12" ht="15.75" customHeight="1" x14ac:dyDescent="0.3">
      <c r="A2022" s="10" t="s">
        <v>636</v>
      </c>
      <c r="B2022" s="10">
        <v>16.71</v>
      </c>
      <c r="C2022" s="10">
        <v>4.18</v>
      </c>
      <c r="D2022" s="16" t="s">
        <v>4687</v>
      </c>
      <c r="E2022" s="10" t="s">
        <v>4683</v>
      </c>
      <c r="F2022" s="10" t="s">
        <v>4683</v>
      </c>
      <c r="G2022" s="10" t="s">
        <v>4683</v>
      </c>
      <c r="H2022" s="14">
        <v>1</v>
      </c>
      <c r="I2022" s="10" t="s">
        <v>4683</v>
      </c>
      <c r="J2022" s="10" t="str">
        <f t="shared" si="8"/>
        <v>underweight</v>
      </c>
      <c r="L2022" s="30" t="e">
        <v>#N/A</v>
      </c>
    </row>
    <row r="2023" spans="1:12" ht="15.75" customHeight="1" x14ac:dyDescent="0.3">
      <c r="A2023" s="10" t="s">
        <v>634</v>
      </c>
      <c r="B2023" s="10">
        <v>24.1</v>
      </c>
      <c r="C2023" s="10">
        <v>4.4000000000000004</v>
      </c>
      <c r="D2023" s="16" t="s">
        <v>4687</v>
      </c>
      <c r="E2023" s="10" t="s">
        <v>4684</v>
      </c>
      <c r="F2023" s="10" t="s">
        <v>4683</v>
      </c>
      <c r="G2023" s="10" t="s">
        <v>4683</v>
      </c>
      <c r="H2023" s="14">
        <v>1</v>
      </c>
      <c r="I2023" s="10" t="s">
        <v>4683</v>
      </c>
      <c r="J2023" s="10" t="str">
        <f t="shared" si="8"/>
        <v>normalweight</v>
      </c>
      <c r="L2023" s="30" t="e">
        <v>#N/A</v>
      </c>
    </row>
    <row r="2024" spans="1:12" ht="15.75" customHeight="1" x14ac:dyDescent="0.3">
      <c r="A2024" s="10" t="s">
        <v>632</v>
      </c>
      <c r="B2024" s="10">
        <v>29.77</v>
      </c>
      <c r="C2024" s="10">
        <v>9.9</v>
      </c>
      <c r="D2024" s="16" t="s">
        <v>4682</v>
      </c>
      <c r="E2024" s="10" t="s">
        <v>4683</v>
      </c>
      <c r="F2024" s="10" t="s">
        <v>4683</v>
      </c>
      <c r="G2024" s="10" t="s">
        <v>4683</v>
      </c>
      <c r="H2024" s="14">
        <v>0</v>
      </c>
      <c r="I2024" s="10" t="s">
        <v>4683</v>
      </c>
      <c r="J2024" s="10" t="str">
        <f t="shared" si="8"/>
        <v>normalweight</v>
      </c>
      <c r="L2024" s="30" t="e">
        <v>#N/A</v>
      </c>
    </row>
    <row r="2025" spans="1:12" ht="15.75" customHeight="1" x14ac:dyDescent="0.3">
      <c r="A2025" s="10" t="s">
        <v>630</v>
      </c>
      <c r="B2025" s="10">
        <v>46.53</v>
      </c>
      <c r="C2025" s="10">
        <v>4.84</v>
      </c>
      <c r="D2025" s="16" t="s">
        <v>4687</v>
      </c>
      <c r="E2025" s="10" t="s">
        <v>4684</v>
      </c>
      <c r="F2025" s="10" t="s">
        <v>4683</v>
      </c>
      <c r="G2025" s="10" t="s">
        <v>4683</v>
      </c>
      <c r="H2025" s="14">
        <v>0</v>
      </c>
      <c r="I2025" s="10" t="s">
        <v>4683</v>
      </c>
      <c r="J2025" s="10" t="str">
        <f t="shared" si="8"/>
        <v>normalweight</v>
      </c>
      <c r="L2025" s="30" t="e">
        <v>#N/A</v>
      </c>
    </row>
    <row r="2026" spans="1:12" ht="15.75" customHeight="1" x14ac:dyDescent="0.3">
      <c r="A2026" s="10" t="s">
        <v>628</v>
      </c>
      <c r="B2026" s="10">
        <v>23.4</v>
      </c>
      <c r="C2026" s="10">
        <v>5.53</v>
      </c>
      <c r="D2026" s="16" t="s">
        <v>4687</v>
      </c>
      <c r="E2026" s="10" t="s">
        <v>4683</v>
      </c>
      <c r="F2026" s="10" t="s">
        <v>4683</v>
      </c>
      <c r="G2026" s="10" t="s">
        <v>4686</v>
      </c>
      <c r="H2026" s="14">
        <v>1</v>
      </c>
      <c r="I2026" s="10" t="s">
        <v>4683</v>
      </c>
      <c r="J2026" s="10" t="str">
        <f t="shared" si="8"/>
        <v>normalweight</v>
      </c>
      <c r="L2026" s="30" t="e">
        <v>#N/A</v>
      </c>
    </row>
    <row r="2027" spans="1:12" ht="15.75" customHeight="1" x14ac:dyDescent="0.3">
      <c r="A2027" s="10" t="s">
        <v>626</v>
      </c>
      <c r="B2027" s="10">
        <v>30</v>
      </c>
      <c r="C2027" s="10">
        <v>4.33</v>
      </c>
      <c r="D2027" s="16" t="s">
        <v>4687</v>
      </c>
      <c r="E2027" s="10" t="s">
        <v>4684</v>
      </c>
      <c r="F2027" s="10" t="s">
        <v>4683</v>
      </c>
      <c r="G2027" s="10" t="s">
        <v>4683</v>
      </c>
      <c r="H2027" s="14">
        <v>0</v>
      </c>
      <c r="I2027" s="10" t="s">
        <v>4683</v>
      </c>
      <c r="J2027" s="10" t="str">
        <f t="shared" si="8"/>
        <v>normalweight</v>
      </c>
      <c r="L2027" s="30" t="e">
        <v>#N/A</v>
      </c>
    </row>
    <row r="2028" spans="1:12" ht="15.75" customHeight="1" x14ac:dyDescent="0.3">
      <c r="A2028" s="10" t="s">
        <v>624</v>
      </c>
      <c r="B2028" s="10">
        <v>29.15</v>
      </c>
      <c r="C2028" s="10">
        <v>4.91</v>
      </c>
      <c r="D2028" s="16" t="s">
        <v>4687</v>
      </c>
      <c r="E2028" s="10" t="s">
        <v>4684</v>
      </c>
      <c r="F2028" s="10" t="s">
        <v>4683</v>
      </c>
      <c r="G2028" s="10" t="s">
        <v>4683</v>
      </c>
      <c r="H2028" s="14">
        <v>0</v>
      </c>
      <c r="I2028" s="10" t="s">
        <v>4683</v>
      </c>
      <c r="J2028" s="10" t="str">
        <f t="shared" si="8"/>
        <v>normalweight</v>
      </c>
      <c r="L2028" s="30" t="e">
        <v>#N/A</v>
      </c>
    </row>
    <row r="2029" spans="1:12" ht="15.75" customHeight="1" x14ac:dyDescent="0.3">
      <c r="A2029" s="10" t="s">
        <v>622</v>
      </c>
      <c r="B2029" s="10">
        <v>34.865000000000002</v>
      </c>
      <c r="C2029" s="10">
        <v>4.8</v>
      </c>
      <c r="D2029" s="16" t="s">
        <v>4687</v>
      </c>
      <c r="E2029" s="10" t="s">
        <v>4683</v>
      </c>
      <c r="F2029" s="10" t="s">
        <v>4683</v>
      </c>
      <c r="G2029" s="10" t="s">
        <v>4683</v>
      </c>
      <c r="H2029" s="14">
        <v>0</v>
      </c>
      <c r="I2029" s="10" t="s">
        <v>4683</v>
      </c>
      <c r="J2029" s="10" t="str">
        <f t="shared" si="8"/>
        <v>normalweight</v>
      </c>
      <c r="L2029" s="30" t="e">
        <v>#N/A</v>
      </c>
    </row>
    <row r="2030" spans="1:12" ht="15.75" customHeight="1" x14ac:dyDescent="0.3">
      <c r="A2030" s="10" t="s">
        <v>620</v>
      </c>
      <c r="B2030" s="10">
        <v>28.12</v>
      </c>
      <c r="C2030" s="10">
        <v>5.55</v>
      </c>
      <c r="D2030" s="16" t="s">
        <v>4687</v>
      </c>
      <c r="E2030" s="10" t="s">
        <v>4684</v>
      </c>
      <c r="F2030" s="10" t="s">
        <v>4684</v>
      </c>
      <c r="G2030" s="10" t="s">
        <v>4683</v>
      </c>
      <c r="H2030" s="14">
        <v>2</v>
      </c>
      <c r="I2030" s="10" t="s">
        <v>4683</v>
      </c>
      <c r="J2030" s="10" t="str">
        <f t="shared" si="8"/>
        <v>normalweight</v>
      </c>
      <c r="L2030" s="30" t="e">
        <v>#N/A</v>
      </c>
    </row>
    <row r="2031" spans="1:12" ht="15.75" customHeight="1" x14ac:dyDescent="0.3">
      <c r="A2031" s="10" t="s">
        <v>618</v>
      </c>
      <c r="B2031" s="10">
        <v>29.45</v>
      </c>
      <c r="C2031" s="10">
        <v>5.24</v>
      </c>
      <c r="D2031" s="16" t="s">
        <v>4687</v>
      </c>
      <c r="E2031" s="10" t="s">
        <v>4684</v>
      </c>
      <c r="F2031" s="10" t="s">
        <v>4683</v>
      </c>
      <c r="G2031" s="10" t="s">
        <v>4683</v>
      </c>
      <c r="H2031" s="14">
        <v>0</v>
      </c>
      <c r="I2031" s="10" t="s">
        <v>4683</v>
      </c>
      <c r="J2031" s="10" t="str">
        <f t="shared" si="8"/>
        <v>normalweight</v>
      </c>
      <c r="L2031" s="30" t="e">
        <v>#N/A</v>
      </c>
    </row>
    <row r="2032" spans="1:12" ht="15.75" customHeight="1" x14ac:dyDescent="0.3">
      <c r="A2032" s="10" t="s">
        <v>616</v>
      </c>
      <c r="B2032" s="10">
        <v>27.94</v>
      </c>
      <c r="C2032" s="10">
        <v>6.08</v>
      </c>
      <c r="D2032" s="16" t="s">
        <v>4685</v>
      </c>
      <c r="E2032" s="10" t="s">
        <v>4683</v>
      </c>
      <c r="F2032" s="10" t="s">
        <v>4683</v>
      </c>
      <c r="G2032" s="10" t="s">
        <v>4686</v>
      </c>
      <c r="H2032" s="14">
        <v>1</v>
      </c>
      <c r="I2032" s="10" t="s">
        <v>4683</v>
      </c>
      <c r="J2032" s="10" t="str">
        <f t="shared" si="8"/>
        <v>normalweight</v>
      </c>
      <c r="L2032" s="30" t="e">
        <v>#N/A</v>
      </c>
    </row>
    <row r="2033" spans="1:12" ht="15.75" customHeight="1" x14ac:dyDescent="0.3">
      <c r="A2033" s="10" t="s">
        <v>614</v>
      </c>
      <c r="B2033" s="10">
        <v>27.2</v>
      </c>
      <c r="C2033" s="10">
        <v>5.83</v>
      </c>
      <c r="D2033" s="16" t="s">
        <v>4685</v>
      </c>
      <c r="E2033" s="10" t="s">
        <v>4683</v>
      </c>
      <c r="F2033" s="10" t="s">
        <v>4683</v>
      </c>
      <c r="G2033" s="10" t="s">
        <v>4686</v>
      </c>
      <c r="H2033" s="14">
        <v>1</v>
      </c>
      <c r="I2033" s="10" t="s">
        <v>4683</v>
      </c>
      <c r="J2033" s="10" t="str">
        <f t="shared" si="8"/>
        <v>normalweight</v>
      </c>
      <c r="L2033" s="30" t="e">
        <v>#N/A</v>
      </c>
    </row>
    <row r="2034" spans="1:12" ht="15.75" customHeight="1" x14ac:dyDescent="0.3">
      <c r="A2034" s="10" t="s">
        <v>612</v>
      </c>
      <c r="B2034" s="10">
        <v>33.344999999999999</v>
      </c>
      <c r="C2034" s="10">
        <v>4.29</v>
      </c>
      <c r="D2034" s="16" t="s">
        <v>4687</v>
      </c>
      <c r="E2034" s="10" t="s">
        <v>4683</v>
      </c>
      <c r="F2034" s="10" t="s">
        <v>4683</v>
      </c>
      <c r="G2034" s="10" t="s">
        <v>4683</v>
      </c>
      <c r="H2034" s="14">
        <v>1</v>
      </c>
      <c r="I2034" s="10" t="s">
        <v>4683</v>
      </c>
      <c r="J2034" s="10" t="str">
        <f t="shared" si="8"/>
        <v>normalweight</v>
      </c>
      <c r="L2034" s="30" t="e">
        <v>#N/A</v>
      </c>
    </row>
    <row r="2035" spans="1:12" ht="15.75" customHeight="1" x14ac:dyDescent="0.3">
      <c r="A2035" s="10" t="s">
        <v>610</v>
      </c>
      <c r="B2035" s="10">
        <v>29.925000000000001</v>
      </c>
      <c r="C2035" s="10">
        <v>5.3</v>
      </c>
      <c r="D2035" s="16" t="s">
        <v>4687</v>
      </c>
      <c r="E2035" s="10" t="s">
        <v>4683</v>
      </c>
      <c r="F2035" s="10" t="s">
        <v>4683</v>
      </c>
      <c r="G2035" s="10" t="s">
        <v>4683</v>
      </c>
      <c r="H2035" s="14">
        <v>1</v>
      </c>
      <c r="I2035" s="10" t="s">
        <v>4683</v>
      </c>
      <c r="J2035" s="10" t="str">
        <f t="shared" si="8"/>
        <v>normalweight</v>
      </c>
      <c r="L2035" s="30" t="e">
        <v>#N/A</v>
      </c>
    </row>
    <row r="2036" spans="1:12" ht="15.75" customHeight="1" x14ac:dyDescent="0.3">
      <c r="A2036" s="10" t="s">
        <v>608</v>
      </c>
      <c r="B2036" s="10">
        <v>24.225000000000001</v>
      </c>
      <c r="C2036" s="10">
        <v>4.42</v>
      </c>
      <c r="D2036" s="16" t="s">
        <v>4687</v>
      </c>
      <c r="E2036" s="10" t="s">
        <v>4683</v>
      </c>
      <c r="F2036" s="10" t="s">
        <v>4683</v>
      </c>
      <c r="G2036" s="10" t="s">
        <v>4683</v>
      </c>
      <c r="H2036" s="14">
        <v>1</v>
      </c>
      <c r="I2036" s="10" t="s">
        <v>4683</v>
      </c>
      <c r="J2036" s="10" t="str">
        <f t="shared" si="8"/>
        <v>normalweight</v>
      </c>
      <c r="L2036" s="30" t="e">
        <v>#N/A</v>
      </c>
    </row>
    <row r="2037" spans="1:12" ht="15.75" customHeight="1" x14ac:dyDescent="0.3">
      <c r="A2037" s="10" t="s">
        <v>606</v>
      </c>
      <c r="B2037" s="10">
        <v>29.68</v>
      </c>
      <c r="C2037" s="10">
        <v>5.68</v>
      </c>
      <c r="D2037" s="16" t="s">
        <v>4685</v>
      </c>
      <c r="E2037" s="10" t="s">
        <v>4683</v>
      </c>
      <c r="F2037" s="10" t="s">
        <v>4684</v>
      </c>
      <c r="G2037" s="10" t="s">
        <v>4683</v>
      </c>
      <c r="H2037" s="14">
        <v>1</v>
      </c>
      <c r="I2037" s="10" t="s">
        <v>4683</v>
      </c>
      <c r="J2037" s="10" t="str">
        <f t="shared" si="8"/>
        <v>normalweight</v>
      </c>
      <c r="L2037" s="30" t="e">
        <v>#N/A</v>
      </c>
    </row>
    <row r="2038" spans="1:12" ht="15.75" customHeight="1" x14ac:dyDescent="0.3">
      <c r="A2038" s="10" t="s">
        <v>604</v>
      </c>
      <c r="B2038" s="10">
        <v>20.614999999999998</v>
      </c>
      <c r="C2038" s="10">
        <v>6.05</v>
      </c>
      <c r="D2038" s="16" t="s">
        <v>4685</v>
      </c>
      <c r="E2038" s="10" t="s">
        <v>4683</v>
      </c>
      <c r="F2038" s="10" t="s">
        <v>4683</v>
      </c>
      <c r="G2038" s="10" t="s">
        <v>4686</v>
      </c>
      <c r="H2038" s="14">
        <v>1</v>
      </c>
      <c r="I2038" s="10" t="s">
        <v>4683</v>
      </c>
      <c r="J2038" s="10" t="str">
        <f t="shared" si="8"/>
        <v>normalweight</v>
      </c>
      <c r="L2038" s="30" t="e">
        <v>#N/A</v>
      </c>
    </row>
    <row r="2039" spans="1:12" ht="15.75" customHeight="1" x14ac:dyDescent="0.3">
      <c r="A2039" s="10" t="s">
        <v>602</v>
      </c>
      <c r="B2039" s="10">
        <v>32.119999999999997</v>
      </c>
      <c r="C2039" s="10">
        <v>5.33</v>
      </c>
      <c r="D2039" s="16" t="s">
        <v>4687</v>
      </c>
      <c r="E2039" s="10" t="s">
        <v>4683</v>
      </c>
      <c r="F2039" s="10" t="s">
        <v>4684</v>
      </c>
      <c r="G2039" s="10" t="s">
        <v>4683</v>
      </c>
      <c r="H2039" s="14">
        <v>1</v>
      </c>
      <c r="I2039" s="10" t="s">
        <v>4683</v>
      </c>
      <c r="J2039" s="10" t="str">
        <f t="shared" si="8"/>
        <v>normalweight</v>
      </c>
      <c r="L2039" s="30" t="e">
        <v>#N/A</v>
      </c>
    </row>
    <row r="2040" spans="1:12" ht="15.75" customHeight="1" x14ac:dyDescent="0.3">
      <c r="A2040" s="10" t="s">
        <v>600</v>
      </c>
      <c r="B2040" s="10">
        <v>27.36</v>
      </c>
      <c r="C2040" s="10">
        <v>6.22</v>
      </c>
      <c r="D2040" s="16" t="s">
        <v>4685</v>
      </c>
      <c r="E2040" s="10" t="s">
        <v>4683</v>
      </c>
      <c r="F2040" s="10" t="s">
        <v>4683</v>
      </c>
      <c r="G2040" s="10" t="s">
        <v>4683</v>
      </c>
      <c r="H2040" s="14">
        <v>0</v>
      </c>
      <c r="I2040" s="10" t="s">
        <v>4683</v>
      </c>
      <c r="J2040" s="10" t="str">
        <f t="shared" si="8"/>
        <v>normalweight</v>
      </c>
      <c r="L2040" s="30" t="e">
        <v>#N/A</v>
      </c>
    </row>
    <row r="2041" spans="1:12" ht="15.75" customHeight="1" x14ac:dyDescent="0.3">
      <c r="A2041" s="10" t="s">
        <v>598</v>
      </c>
      <c r="B2041" s="10">
        <v>17.385000000000002</v>
      </c>
      <c r="C2041" s="10">
        <v>5.84</v>
      </c>
      <c r="D2041" s="16" t="s">
        <v>4685</v>
      </c>
      <c r="E2041" s="10" t="s">
        <v>4683</v>
      </c>
      <c r="F2041" s="10" t="s">
        <v>4683</v>
      </c>
      <c r="G2041" s="10" t="s">
        <v>4683</v>
      </c>
      <c r="H2041" s="14">
        <v>0</v>
      </c>
      <c r="I2041" s="10" t="s">
        <v>4683</v>
      </c>
      <c r="J2041" s="10" t="str">
        <f t="shared" si="8"/>
        <v>underweight</v>
      </c>
      <c r="L2041" s="30" t="e">
        <v>#N/A</v>
      </c>
    </row>
    <row r="2042" spans="1:12" ht="15.75" customHeight="1" x14ac:dyDescent="0.3">
      <c r="A2042" s="10" t="s">
        <v>596</v>
      </c>
      <c r="B2042" s="10">
        <v>30.13</v>
      </c>
      <c r="C2042" s="10">
        <v>5.71</v>
      </c>
      <c r="D2042" s="16" t="s">
        <v>4685</v>
      </c>
      <c r="E2042" s="10" t="s">
        <v>4683</v>
      </c>
      <c r="F2042" s="10" t="s">
        <v>4684</v>
      </c>
      <c r="G2042" s="10" t="s">
        <v>4683</v>
      </c>
      <c r="H2042" s="14">
        <v>1</v>
      </c>
      <c r="I2042" s="10" t="s">
        <v>4683</v>
      </c>
      <c r="J2042" s="10" t="str">
        <f t="shared" si="8"/>
        <v>normalweight</v>
      </c>
      <c r="L2042" s="30" t="e">
        <v>#N/A</v>
      </c>
    </row>
    <row r="2043" spans="1:12" ht="15.75" customHeight="1" x14ac:dyDescent="0.3">
      <c r="A2043" s="10" t="s">
        <v>594</v>
      </c>
      <c r="B2043" s="10">
        <v>25.44</v>
      </c>
      <c r="C2043" s="10">
        <v>6.04</v>
      </c>
      <c r="D2043" s="16" t="s">
        <v>4685</v>
      </c>
      <c r="E2043" s="10" t="s">
        <v>4684</v>
      </c>
      <c r="F2043" s="10" t="s">
        <v>4683</v>
      </c>
      <c r="G2043" s="10" t="s">
        <v>4686</v>
      </c>
      <c r="H2043" s="14">
        <v>1</v>
      </c>
      <c r="I2043" s="10" t="s">
        <v>4683</v>
      </c>
      <c r="J2043" s="10" t="str">
        <f t="shared" si="8"/>
        <v>normalweight</v>
      </c>
      <c r="L2043" s="30" t="e">
        <v>#N/A</v>
      </c>
    </row>
    <row r="2044" spans="1:12" ht="15.75" customHeight="1" x14ac:dyDescent="0.3">
      <c r="A2044" s="10" t="s">
        <v>592</v>
      </c>
      <c r="B2044" s="10">
        <v>39.805</v>
      </c>
      <c r="C2044" s="10">
        <v>4.38</v>
      </c>
      <c r="D2044" s="16" t="s">
        <v>4687</v>
      </c>
      <c r="E2044" s="10" t="s">
        <v>4683</v>
      </c>
      <c r="F2044" s="10" t="s">
        <v>4684</v>
      </c>
      <c r="G2044" s="10" t="s">
        <v>4683</v>
      </c>
      <c r="H2044" s="14">
        <v>1</v>
      </c>
      <c r="I2044" s="10" t="s">
        <v>4683</v>
      </c>
      <c r="J2044" s="10" t="str">
        <f t="shared" si="8"/>
        <v>normalweight</v>
      </c>
      <c r="L2044" s="30" t="e">
        <v>#N/A</v>
      </c>
    </row>
    <row r="2045" spans="1:12" ht="15.75" customHeight="1" x14ac:dyDescent="0.3">
      <c r="A2045" s="10" t="s">
        <v>590</v>
      </c>
      <c r="B2045" s="10">
        <v>30.4</v>
      </c>
      <c r="C2045" s="10">
        <v>5.56</v>
      </c>
      <c r="D2045" s="16" t="s">
        <v>4687</v>
      </c>
      <c r="E2045" s="10" t="s">
        <v>4684</v>
      </c>
      <c r="F2045" s="10" t="s">
        <v>4684</v>
      </c>
      <c r="G2045" s="10" t="s">
        <v>4683</v>
      </c>
      <c r="H2045" s="14">
        <v>1</v>
      </c>
      <c r="I2045" s="10" t="s">
        <v>4683</v>
      </c>
      <c r="J2045" s="10" t="str">
        <f t="shared" si="8"/>
        <v>normalweight</v>
      </c>
      <c r="L2045" s="30" t="e">
        <v>#N/A</v>
      </c>
    </row>
    <row r="2046" spans="1:12" ht="15.75" customHeight="1" x14ac:dyDescent="0.3">
      <c r="A2046" s="10" t="s">
        <v>588</v>
      </c>
      <c r="B2046" s="10">
        <v>23.18</v>
      </c>
      <c r="C2046" s="10">
        <v>4.24</v>
      </c>
      <c r="D2046" s="16" t="s">
        <v>4687</v>
      </c>
      <c r="E2046" s="10" t="s">
        <v>4683</v>
      </c>
      <c r="F2046" s="10" t="s">
        <v>4684</v>
      </c>
      <c r="G2046" s="10" t="s">
        <v>4683</v>
      </c>
      <c r="H2046" s="14">
        <v>1</v>
      </c>
      <c r="I2046" s="10" t="s">
        <v>4683</v>
      </c>
      <c r="J2046" s="10" t="str">
        <f t="shared" si="8"/>
        <v>normalweight</v>
      </c>
      <c r="L2046" s="30" t="e">
        <v>#N/A</v>
      </c>
    </row>
    <row r="2047" spans="1:12" ht="15.75" customHeight="1" x14ac:dyDescent="0.3">
      <c r="A2047" s="10" t="s">
        <v>586</v>
      </c>
      <c r="B2047" s="10">
        <v>39.615000000000002</v>
      </c>
      <c r="C2047" s="10">
        <v>6.32</v>
      </c>
      <c r="D2047" s="16" t="s">
        <v>4685</v>
      </c>
      <c r="E2047" s="10" t="s">
        <v>4683</v>
      </c>
      <c r="F2047" s="10" t="s">
        <v>4683</v>
      </c>
      <c r="G2047" s="10" t="s">
        <v>4686</v>
      </c>
      <c r="H2047" s="14">
        <v>1</v>
      </c>
      <c r="I2047" s="10" t="s">
        <v>4683</v>
      </c>
      <c r="J2047" s="10" t="str">
        <f t="shared" si="8"/>
        <v>normalweight</v>
      </c>
      <c r="L2047" s="30" t="e">
        <v>#N/A</v>
      </c>
    </row>
    <row r="2048" spans="1:12" ht="15.75" customHeight="1" x14ac:dyDescent="0.3">
      <c r="A2048" s="10" t="s">
        <v>584</v>
      </c>
      <c r="B2048" s="10">
        <v>30.59</v>
      </c>
      <c r="C2048" s="10">
        <v>6.3</v>
      </c>
      <c r="D2048" s="16" t="s">
        <v>4685</v>
      </c>
      <c r="E2048" s="10" t="s">
        <v>4684</v>
      </c>
      <c r="F2048" s="10" t="s">
        <v>4683</v>
      </c>
      <c r="G2048" s="10" t="s">
        <v>4686</v>
      </c>
      <c r="H2048" s="14">
        <v>1</v>
      </c>
      <c r="I2048" s="10" t="s">
        <v>4683</v>
      </c>
      <c r="J2048" s="10" t="str">
        <f t="shared" si="8"/>
        <v>normalweight</v>
      </c>
      <c r="L2048" s="30" t="e">
        <v>#N/A</v>
      </c>
    </row>
    <row r="2049" spans="1:12" ht="15.75" customHeight="1" x14ac:dyDescent="0.3">
      <c r="A2049" s="10" t="s">
        <v>582</v>
      </c>
      <c r="B2049" s="10">
        <v>16.72</v>
      </c>
      <c r="C2049" s="10">
        <v>4.38</v>
      </c>
      <c r="D2049" s="16" t="s">
        <v>4687</v>
      </c>
      <c r="E2049" s="10" t="s">
        <v>4684</v>
      </c>
      <c r="F2049" s="10" t="s">
        <v>4683</v>
      </c>
      <c r="G2049" s="10" t="s">
        <v>4683</v>
      </c>
      <c r="H2049" s="14">
        <v>1</v>
      </c>
      <c r="I2049" s="10" t="s">
        <v>4683</v>
      </c>
      <c r="J2049" s="10" t="str">
        <f t="shared" si="8"/>
        <v>underweight</v>
      </c>
      <c r="L2049" s="30" t="e">
        <v>#N/A</v>
      </c>
    </row>
    <row r="2050" spans="1:12" ht="15.75" customHeight="1" x14ac:dyDescent="0.3">
      <c r="A2050" s="10" t="s">
        <v>580</v>
      </c>
      <c r="B2050" s="10">
        <v>26.22</v>
      </c>
      <c r="C2050" s="10">
        <v>4.6500000000000004</v>
      </c>
      <c r="D2050" s="16" t="s">
        <v>4687</v>
      </c>
      <c r="E2050" s="10" t="s">
        <v>4684</v>
      </c>
      <c r="F2050" s="10" t="s">
        <v>4683</v>
      </c>
      <c r="G2050" s="10" t="s">
        <v>4686</v>
      </c>
      <c r="H2050" s="14">
        <v>1</v>
      </c>
      <c r="I2050" s="10" t="s">
        <v>4683</v>
      </c>
      <c r="J2050" s="10" t="str">
        <f t="shared" si="8"/>
        <v>normalweight</v>
      </c>
      <c r="L2050" s="30" t="e">
        <v>#N/A</v>
      </c>
    </row>
    <row r="2051" spans="1:12" ht="15.75" customHeight="1" x14ac:dyDescent="0.3">
      <c r="A2051" s="10" t="s">
        <v>578</v>
      </c>
      <c r="B2051" s="10">
        <v>31.824999999999999</v>
      </c>
      <c r="C2051" s="10">
        <v>4.7</v>
      </c>
      <c r="D2051" s="16" t="s">
        <v>4687</v>
      </c>
      <c r="E2051" s="10" t="s">
        <v>4683</v>
      </c>
      <c r="F2051" s="10" t="s">
        <v>4683</v>
      </c>
      <c r="G2051" s="10" t="s">
        <v>4686</v>
      </c>
      <c r="H2051" s="14">
        <v>1</v>
      </c>
      <c r="I2051" s="10" t="s">
        <v>4683</v>
      </c>
      <c r="J2051" s="10" t="str">
        <f t="shared" si="8"/>
        <v>normalweight</v>
      </c>
      <c r="L2051" s="30" t="e">
        <v>#N/A</v>
      </c>
    </row>
    <row r="2052" spans="1:12" ht="15.75" customHeight="1" x14ac:dyDescent="0.3">
      <c r="A2052" s="10" t="s">
        <v>576</v>
      </c>
      <c r="B2052" s="10">
        <v>25.745000000000001</v>
      </c>
      <c r="C2052" s="10">
        <v>4.34</v>
      </c>
      <c r="D2052" s="16" t="s">
        <v>4687</v>
      </c>
      <c r="E2052" s="10" t="s">
        <v>4683</v>
      </c>
      <c r="F2052" s="10" t="s">
        <v>4683</v>
      </c>
      <c r="G2052" s="10" t="s">
        <v>4686</v>
      </c>
      <c r="H2052" s="14">
        <v>1</v>
      </c>
      <c r="I2052" s="10" t="s">
        <v>4683</v>
      </c>
      <c r="J2052" s="10" t="str">
        <f t="shared" si="8"/>
        <v>normalweight</v>
      </c>
      <c r="L2052" s="30" t="e">
        <v>#N/A</v>
      </c>
    </row>
    <row r="2053" spans="1:12" ht="15.75" customHeight="1" x14ac:dyDescent="0.3">
      <c r="A2053" s="10" t="s">
        <v>574</v>
      </c>
      <c r="B2053" s="10">
        <v>24.605</v>
      </c>
      <c r="C2053" s="10">
        <v>5.62</v>
      </c>
      <c r="D2053" s="16" t="s">
        <v>4685</v>
      </c>
      <c r="E2053" s="10" t="s">
        <v>4683</v>
      </c>
      <c r="F2053" s="10" t="s">
        <v>4683</v>
      </c>
      <c r="G2053" s="10" t="s">
        <v>4686</v>
      </c>
      <c r="H2053" s="14">
        <v>1</v>
      </c>
      <c r="I2053" s="10" t="s">
        <v>4683</v>
      </c>
      <c r="J2053" s="10" t="str">
        <f t="shared" si="8"/>
        <v>normalweight</v>
      </c>
      <c r="L2053" s="30" t="e">
        <v>#N/A</v>
      </c>
    </row>
    <row r="2054" spans="1:12" ht="15.75" customHeight="1" x14ac:dyDescent="0.3">
      <c r="A2054" s="10" t="s">
        <v>572</v>
      </c>
      <c r="B2054" s="10">
        <v>24.51</v>
      </c>
      <c r="C2054" s="10">
        <v>4.24</v>
      </c>
      <c r="D2054" s="16" t="s">
        <v>4687</v>
      </c>
      <c r="E2054" s="10" t="s">
        <v>4683</v>
      </c>
      <c r="F2054" s="10" t="s">
        <v>4683</v>
      </c>
      <c r="G2054" s="10" t="s">
        <v>4686</v>
      </c>
      <c r="H2054" s="14">
        <v>1</v>
      </c>
      <c r="I2054" s="10" t="s">
        <v>4683</v>
      </c>
      <c r="J2054" s="10" t="str">
        <f t="shared" si="8"/>
        <v>normalweight</v>
      </c>
      <c r="L2054" s="30" t="e">
        <v>#N/A</v>
      </c>
    </row>
    <row r="2055" spans="1:12" ht="15.75" customHeight="1" x14ac:dyDescent="0.3">
      <c r="A2055" s="10" t="s">
        <v>570</v>
      </c>
      <c r="B2055" s="10">
        <v>31.065000000000001</v>
      </c>
      <c r="C2055" s="10">
        <v>4.57</v>
      </c>
      <c r="D2055" s="16" t="s">
        <v>4687</v>
      </c>
      <c r="E2055" s="10" t="s">
        <v>4684</v>
      </c>
      <c r="F2055" s="10" t="s">
        <v>4683</v>
      </c>
      <c r="G2055" s="10" t="s">
        <v>4683</v>
      </c>
      <c r="H2055" s="14">
        <v>0</v>
      </c>
      <c r="I2055" s="10" t="s">
        <v>4683</v>
      </c>
      <c r="J2055" s="10" t="str">
        <f t="shared" si="8"/>
        <v>normalweight</v>
      </c>
      <c r="L2055" s="30" t="e">
        <v>#N/A</v>
      </c>
    </row>
    <row r="2056" spans="1:12" ht="15.75" customHeight="1" x14ac:dyDescent="0.3">
      <c r="A2056" s="10" t="s">
        <v>568</v>
      </c>
      <c r="B2056" s="10">
        <v>28.12</v>
      </c>
      <c r="C2056" s="10">
        <v>5.05</v>
      </c>
      <c r="D2056" s="16" t="s">
        <v>4687</v>
      </c>
      <c r="E2056" s="10" t="s">
        <v>4683</v>
      </c>
      <c r="F2056" s="10" t="s">
        <v>4683</v>
      </c>
      <c r="G2056" s="10" t="s">
        <v>4683</v>
      </c>
      <c r="H2056" s="14">
        <v>0</v>
      </c>
      <c r="I2056" s="10" t="s">
        <v>4683</v>
      </c>
      <c r="J2056" s="10" t="str">
        <f t="shared" si="8"/>
        <v>normalweight</v>
      </c>
      <c r="L2056" s="30" t="e">
        <v>#N/A</v>
      </c>
    </row>
    <row r="2057" spans="1:12" ht="15.75" customHeight="1" x14ac:dyDescent="0.3">
      <c r="A2057" s="10" t="s">
        <v>566</v>
      </c>
      <c r="B2057" s="10">
        <v>38.06</v>
      </c>
      <c r="C2057" s="10">
        <v>6.16</v>
      </c>
      <c r="D2057" s="16" t="s">
        <v>4685</v>
      </c>
      <c r="E2057" s="10" t="s">
        <v>4683</v>
      </c>
      <c r="F2057" s="10" t="s">
        <v>4683</v>
      </c>
      <c r="G2057" s="10" t="s">
        <v>4683</v>
      </c>
      <c r="H2057" s="14">
        <v>0</v>
      </c>
      <c r="I2057" s="10" t="s">
        <v>4683</v>
      </c>
      <c r="J2057" s="10" t="str">
        <f t="shared" si="8"/>
        <v>normalweight</v>
      </c>
      <c r="L2057" s="30" t="e">
        <v>#N/A</v>
      </c>
    </row>
    <row r="2058" spans="1:12" ht="15.75" customHeight="1" x14ac:dyDescent="0.3">
      <c r="A2058" s="10" t="s">
        <v>564</v>
      </c>
      <c r="B2058" s="10">
        <v>24.96</v>
      </c>
      <c r="C2058" s="10">
        <v>4.57</v>
      </c>
      <c r="D2058" s="16" t="s">
        <v>4687</v>
      </c>
      <c r="E2058" s="10" t="s">
        <v>4683</v>
      </c>
      <c r="F2058" s="10" t="s">
        <v>4683</v>
      </c>
      <c r="G2058" s="10" t="s">
        <v>4683</v>
      </c>
      <c r="H2058" s="14">
        <v>0</v>
      </c>
      <c r="I2058" s="10" t="s">
        <v>4683</v>
      </c>
      <c r="J2058" s="10" t="str">
        <f t="shared" si="8"/>
        <v>normalweight</v>
      </c>
      <c r="L2058" s="30" t="e">
        <v>#N/A</v>
      </c>
    </row>
    <row r="2059" spans="1:12" ht="15.75" customHeight="1" x14ac:dyDescent="0.3">
      <c r="A2059" s="10" t="s">
        <v>562</v>
      </c>
      <c r="B2059" s="10">
        <v>17.670000000000002</v>
      </c>
      <c r="C2059" s="10">
        <v>5.53</v>
      </c>
      <c r="D2059" s="16" t="s">
        <v>4687</v>
      </c>
      <c r="E2059" s="10" t="s">
        <v>4684</v>
      </c>
      <c r="F2059" s="10" t="s">
        <v>4683</v>
      </c>
      <c r="G2059" s="10" t="s">
        <v>4683</v>
      </c>
      <c r="H2059" s="14">
        <v>0</v>
      </c>
      <c r="I2059" s="10" t="s">
        <v>4683</v>
      </c>
      <c r="J2059" s="10" t="str">
        <f t="shared" si="8"/>
        <v>underweight</v>
      </c>
      <c r="L2059" s="30" t="e">
        <v>#N/A</v>
      </c>
    </row>
    <row r="2060" spans="1:12" ht="15.75" customHeight="1" x14ac:dyDescent="0.3">
      <c r="A2060" s="10" t="s">
        <v>560</v>
      </c>
      <c r="B2060" s="10">
        <v>31.35</v>
      </c>
      <c r="C2060" s="10">
        <v>5.84</v>
      </c>
      <c r="D2060" s="16" t="s">
        <v>4685</v>
      </c>
      <c r="E2060" s="10" t="s">
        <v>4683</v>
      </c>
      <c r="F2060" s="10" t="s">
        <v>4684</v>
      </c>
      <c r="G2060" s="10" t="s">
        <v>4683</v>
      </c>
      <c r="H2060" s="14">
        <v>1</v>
      </c>
      <c r="I2060" s="10" t="s">
        <v>4683</v>
      </c>
      <c r="J2060" s="10" t="str">
        <f t="shared" ref="J2060:J2314" si="9">IF(B2060&lt;=18.5,"underweight",IF(B2060&gt;=18.5-24.9,"normalweight",IF(B2060&gt;=25-29.9,"overweight","obesity")))</f>
        <v>normalweight</v>
      </c>
      <c r="L2060" s="30" t="e">
        <v>#N/A</v>
      </c>
    </row>
    <row r="2061" spans="1:12" ht="15.75" customHeight="1" x14ac:dyDescent="0.3">
      <c r="A2061" s="10" t="s">
        <v>558</v>
      </c>
      <c r="B2061" s="10">
        <v>28.31</v>
      </c>
      <c r="C2061" s="10">
        <v>6.41</v>
      </c>
      <c r="D2061" s="16" t="s">
        <v>4685</v>
      </c>
      <c r="E2061" s="10" t="s">
        <v>4683</v>
      </c>
      <c r="F2061" s="10" t="s">
        <v>4684</v>
      </c>
      <c r="G2061" s="10" t="s">
        <v>4683</v>
      </c>
      <c r="H2061" s="14">
        <v>1</v>
      </c>
      <c r="I2061" s="10" t="s">
        <v>4683</v>
      </c>
      <c r="J2061" s="10" t="str">
        <f t="shared" si="9"/>
        <v>normalweight</v>
      </c>
      <c r="L2061" s="30" t="e">
        <v>#N/A</v>
      </c>
    </row>
    <row r="2062" spans="1:12" ht="15.75" customHeight="1" x14ac:dyDescent="0.3">
      <c r="A2062" s="10" t="s">
        <v>556</v>
      </c>
      <c r="B2062" s="10">
        <v>30.3</v>
      </c>
      <c r="C2062" s="10">
        <v>4.7300000000000004</v>
      </c>
      <c r="D2062" s="16" t="s">
        <v>4687</v>
      </c>
      <c r="E2062" s="10" t="s">
        <v>4684</v>
      </c>
      <c r="F2062" s="10" t="s">
        <v>4683</v>
      </c>
      <c r="G2062" s="10" t="s">
        <v>4686</v>
      </c>
      <c r="H2062" s="14">
        <v>1</v>
      </c>
      <c r="I2062" s="10" t="s">
        <v>4683</v>
      </c>
      <c r="J2062" s="10" t="str">
        <f t="shared" si="9"/>
        <v>normalweight</v>
      </c>
      <c r="L2062" s="30" t="e">
        <v>#N/A</v>
      </c>
    </row>
    <row r="2063" spans="1:12" ht="15.75" customHeight="1" x14ac:dyDescent="0.3">
      <c r="A2063" s="10" t="s">
        <v>554</v>
      </c>
      <c r="B2063" s="10">
        <v>26.4</v>
      </c>
      <c r="C2063" s="10">
        <v>6.22</v>
      </c>
      <c r="D2063" s="16" t="s">
        <v>4685</v>
      </c>
      <c r="E2063" s="10" t="s">
        <v>4684</v>
      </c>
      <c r="F2063" s="10" t="s">
        <v>4683</v>
      </c>
      <c r="G2063" s="10" t="s">
        <v>4683</v>
      </c>
      <c r="H2063" s="14">
        <v>0</v>
      </c>
      <c r="I2063" s="10" t="s">
        <v>4683</v>
      </c>
      <c r="J2063" s="10" t="str">
        <f t="shared" si="9"/>
        <v>normalweight</v>
      </c>
      <c r="L2063" s="30" t="e">
        <v>#N/A</v>
      </c>
    </row>
    <row r="2064" spans="1:12" ht="15.75" customHeight="1" x14ac:dyDescent="0.3">
      <c r="A2064" s="10" t="s">
        <v>552</v>
      </c>
      <c r="B2064" s="10">
        <v>22.135000000000002</v>
      </c>
      <c r="C2064" s="10">
        <v>4.46</v>
      </c>
      <c r="D2064" s="16" t="s">
        <v>4687</v>
      </c>
      <c r="E2064" s="10" t="s">
        <v>4684</v>
      </c>
      <c r="F2064" s="10" t="s">
        <v>4683</v>
      </c>
      <c r="G2064" s="10" t="s">
        <v>4683</v>
      </c>
      <c r="H2064" s="14">
        <v>0</v>
      </c>
      <c r="I2064" s="10" t="s">
        <v>4683</v>
      </c>
      <c r="J2064" s="10" t="str">
        <f t="shared" si="9"/>
        <v>normalweight</v>
      </c>
      <c r="L2064" s="30" t="e">
        <v>#N/A</v>
      </c>
    </row>
    <row r="2065" spans="1:12" ht="15.75" customHeight="1" x14ac:dyDescent="0.3">
      <c r="A2065" s="10" t="s">
        <v>550</v>
      </c>
      <c r="B2065" s="10">
        <v>17.399999999999999</v>
      </c>
      <c r="C2065" s="10">
        <v>4.5</v>
      </c>
      <c r="D2065" s="16" t="s">
        <v>4687</v>
      </c>
      <c r="E2065" s="10" t="s">
        <v>4684</v>
      </c>
      <c r="F2065" s="10" t="s">
        <v>4683</v>
      </c>
      <c r="G2065" s="10" t="s">
        <v>4683</v>
      </c>
      <c r="H2065" s="14">
        <v>0</v>
      </c>
      <c r="I2065" s="10" t="s">
        <v>4683</v>
      </c>
      <c r="J2065" s="10" t="str">
        <f t="shared" si="9"/>
        <v>underweight</v>
      </c>
      <c r="L2065" s="30" t="e">
        <v>#N/A</v>
      </c>
    </row>
    <row r="2066" spans="1:12" ht="15.75" customHeight="1" x14ac:dyDescent="0.3">
      <c r="A2066" s="10" t="s">
        <v>548</v>
      </c>
      <c r="B2066" s="10">
        <v>28.06</v>
      </c>
      <c r="C2066" s="10">
        <v>8.93</v>
      </c>
      <c r="D2066" s="16" t="s">
        <v>4682</v>
      </c>
      <c r="E2066" s="10" t="s">
        <v>4683</v>
      </c>
      <c r="F2066" s="10" t="s">
        <v>4683</v>
      </c>
      <c r="G2066" s="10" t="s">
        <v>4683</v>
      </c>
      <c r="H2066" s="14">
        <v>0</v>
      </c>
      <c r="I2066" s="10" t="s">
        <v>4683</v>
      </c>
      <c r="J2066" s="10" t="str">
        <f t="shared" si="9"/>
        <v>normalweight</v>
      </c>
      <c r="L2066" s="30" t="e">
        <v>#N/A</v>
      </c>
    </row>
    <row r="2067" spans="1:12" ht="15.75" customHeight="1" x14ac:dyDescent="0.3">
      <c r="A2067" s="10" t="s">
        <v>546</v>
      </c>
      <c r="B2067" s="10">
        <v>31.13</v>
      </c>
      <c r="C2067" s="10">
        <v>11.02</v>
      </c>
      <c r="D2067" s="16" t="s">
        <v>4682</v>
      </c>
      <c r="E2067" s="10" t="s">
        <v>4683</v>
      </c>
      <c r="F2067" s="10" t="s">
        <v>4683</v>
      </c>
      <c r="G2067" s="10" t="s">
        <v>4683</v>
      </c>
      <c r="H2067" s="14">
        <v>0</v>
      </c>
      <c r="I2067" s="10" t="s">
        <v>4683</v>
      </c>
      <c r="J2067" s="10" t="str">
        <f t="shared" si="9"/>
        <v>normalweight</v>
      </c>
      <c r="L2067" s="30" t="e">
        <v>#N/A</v>
      </c>
    </row>
    <row r="2068" spans="1:12" ht="15.75" customHeight="1" x14ac:dyDescent="0.3">
      <c r="A2068" s="10" t="s">
        <v>544</v>
      </c>
      <c r="B2068" s="10">
        <v>18.46</v>
      </c>
      <c r="C2068" s="10">
        <v>5.25</v>
      </c>
      <c r="D2068" s="16" t="s">
        <v>4687</v>
      </c>
      <c r="E2068" s="10" t="s">
        <v>4683</v>
      </c>
      <c r="F2068" s="10" t="s">
        <v>4683</v>
      </c>
      <c r="G2068" s="10" t="s">
        <v>4683</v>
      </c>
      <c r="H2068" s="14">
        <v>0</v>
      </c>
      <c r="I2068" s="10" t="s">
        <v>4683</v>
      </c>
      <c r="J2068" s="10" t="str">
        <f t="shared" si="9"/>
        <v>underweight</v>
      </c>
      <c r="L2068" s="30" t="e">
        <v>#N/A</v>
      </c>
    </row>
    <row r="2069" spans="1:12" ht="15.75" customHeight="1" x14ac:dyDescent="0.3">
      <c r="A2069" s="10" t="s">
        <v>542</v>
      </c>
      <c r="B2069" s="10">
        <v>17.3</v>
      </c>
      <c r="C2069" s="10">
        <v>4.75</v>
      </c>
      <c r="D2069" s="16" t="s">
        <v>4687</v>
      </c>
      <c r="E2069" s="10" t="s">
        <v>4683</v>
      </c>
      <c r="F2069" s="10" t="s">
        <v>4683</v>
      </c>
      <c r="G2069" s="10" t="s">
        <v>4683</v>
      </c>
      <c r="H2069" s="14">
        <v>0</v>
      </c>
      <c r="I2069" s="10" t="s">
        <v>4683</v>
      </c>
      <c r="J2069" s="10" t="str">
        <f t="shared" si="9"/>
        <v>underweight</v>
      </c>
      <c r="L2069" s="30" t="e">
        <v>#N/A</v>
      </c>
    </row>
    <row r="2070" spans="1:12" ht="15.75" customHeight="1" x14ac:dyDescent="0.3">
      <c r="A2070" s="10" t="s">
        <v>540</v>
      </c>
      <c r="B2070" s="10">
        <v>35.625</v>
      </c>
      <c r="C2070" s="10">
        <v>4.68</v>
      </c>
      <c r="D2070" s="16" t="s">
        <v>4687</v>
      </c>
      <c r="E2070" s="10" t="s">
        <v>4684</v>
      </c>
      <c r="F2070" s="10" t="s">
        <v>4683</v>
      </c>
      <c r="G2070" s="10" t="s">
        <v>4686</v>
      </c>
      <c r="H2070" s="14">
        <v>1</v>
      </c>
      <c r="I2070" s="10" t="s">
        <v>4683</v>
      </c>
      <c r="J2070" s="10" t="str">
        <f t="shared" si="9"/>
        <v>normalweight</v>
      </c>
      <c r="L2070" s="30" t="e">
        <v>#N/A</v>
      </c>
    </row>
    <row r="2071" spans="1:12" ht="15.75" customHeight="1" x14ac:dyDescent="0.3">
      <c r="A2071" s="10" t="s">
        <v>538</v>
      </c>
      <c r="B2071" s="10">
        <v>20.234999999999999</v>
      </c>
      <c r="C2071" s="10">
        <v>6.17</v>
      </c>
      <c r="D2071" s="16" t="s">
        <v>4685</v>
      </c>
      <c r="E2071" s="10" t="s">
        <v>4684</v>
      </c>
      <c r="F2071" s="10" t="s">
        <v>4684</v>
      </c>
      <c r="G2071" s="10" t="s">
        <v>4683</v>
      </c>
      <c r="H2071" s="14">
        <v>2</v>
      </c>
      <c r="I2071" s="10" t="s">
        <v>4683</v>
      </c>
      <c r="J2071" s="10" t="str">
        <f t="shared" si="9"/>
        <v>normalweight</v>
      </c>
      <c r="L2071" s="30" t="e">
        <v>#N/A</v>
      </c>
    </row>
    <row r="2072" spans="1:12" ht="15.75" customHeight="1" x14ac:dyDescent="0.3">
      <c r="A2072" s="10" t="s">
        <v>536</v>
      </c>
      <c r="B2072" s="10">
        <v>27.55</v>
      </c>
      <c r="C2072" s="10">
        <v>4.5599999999999996</v>
      </c>
      <c r="D2072" s="16" t="s">
        <v>4687</v>
      </c>
      <c r="E2072" s="10" t="s">
        <v>4684</v>
      </c>
      <c r="F2072" s="10" t="s">
        <v>4683</v>
      </c>
      <c r="G2072" s="10" t="s">
        <v>4686</v>
      </c>
      <c r="H2072" s="14">
        <v>1</v>
      </c>
      <c r="I2072" s="10" t="s">
        <v>4683</v>
      </c>
      <c r="J2072" s="10" t="str">
        <f t="shared" si="9"/>
        <v>normalweight</v>
      </c>
      <c r="L2072" s="30" t="e">
        <v>#N/A</v>
      </c>
    </row>
    <row r="2073" spans="1:12" ht="15.75" customHeight="1" x14ac:dyDescent="0.3">
      <c r="A2073" s="10" t="s">
        <v>534</v>
      </c>
      <c r="B2073" s="10">
        <v>17.97</v>
      </c>
      <c r="C2073" s="10">
        <v>6.3</v>
      </c>
      <c r="D2073" s="16" t="s">
        <v>4685</v>
      </c>
      <c r="E2073" s="10" t="s">
        <v>4683</v>
      </c>
      <c r="F2073" s="10" t="s">
        <v>4683</v>
      </c>
      <c r="G2073" s="10" t="s">
        <v>4683</v>
      </c>
      <c r="H2073" s="14">
        <v>0</v>
      </c>
      <c r="I2073" s="10" t="s">
        <v>4683</v>
      </c>
      <c r="J2073" s="10" t="str">
        <f t="shared" si="9"/>
        <v>underweight</v>
      </c>
      <c r="L2073" s="30" t="e">
        <v>#N/A</v>
      </c>
    </row>
    <row r="2074" spans="1:12" ht="15.75" customHeight="1" x14ac:dyDescent="0.3">
      <c r="A2074" s="10" t="s">
        <v>532</v>
      </c>
      <c r="B2074" s="10">
        <v>29.98</v>
      </c>
      <c r="C2074" s="10">
        <v>6.03</v>
      </c>
      <c r="D2074" s="16" t="s">
        <v>4685</v>
      </c>
      <c r="E2074" s="10" t="s">
        <v>4683</v>
      </c>
      <c r="F2074" s="10" t="s">
        <v>4684</v>
      </c>
      <c r="G2074" s="10" t="s">
        <v>4683</v>
      </c>
      <c r="H2074" s="14">
        <v>1</v>
      </c>
      <c r="I2074" s="10" t="s">
        <v>4683</v>
      </c>
      <c r="J2074" s="10" t="str">
        <f t="shared" si="9"/>
        <v>normalweight</v>
      </c>
      <c r="L2074" s="30" t="e">
        <v>#N/A</v>
      </c>
    </row>
    <row r="2075" spans="1:12" ht="15.75" customHeight="1" x14ac:dyDescent="0.3">
      <c r="A2075" s="10" t="s">
        <v>530</v>
      </c>
      <c r="B2075" s="10">
        <v>33.659999999999997</v>
      </c>
      <c r="C2075" s="10">
        <v>4.2</v>
      </c>
      <c r="D2075" s="16" t="s">
        <v>4687</v>
      </c>
      <c r="E2075" s="10" t="s">
        <v>4684</v>
      </c>
      <c r="F2075" s="10" t="s">
        <v>4683</v>
      </c>
      <c r="G2075" s="10" t="s">
        <v>4683</v>
      </c>
      <c r="H2075" s="14">
        <v>1</v>
      </c>
      <c r="I2075" s="10" t="s">
        <v>4683</v>
      </c>
      <c r="J2075" s="10" t="str">
        <f t="shared" si="9"/>
        <v>normalweight</v>
      </c>
      <c r="L2075" s="30" t="e">
        <v>#N/A</v>
      </c>
    </row>
    <row r="2076" spans="1:12" ht="15.75" customHeight="1" x14ac:dyDescent="0.3">
      <c r="A2076" s="10" t="s">
        <v>528</v>
      </c>
      <c r="B2076" s="10">
        <v>32.67</v>
      </c>
      <c r="C2076" s="10">
        <v>5.61</v>
      </c>
      <c r="D2076" s="16" t="s">
        <v>4685</v>
      </c>
      <c r="E2076" s="10" t="s">
        <v>4684</v>
      </c>
      <c r="F2076" s="10" t="s">
        <v>4683</v>
      </c>
      <c r="G2076" s="10" t="s">
        <v>4683</v>
      </c>
      <c r="H2076" s="14">
        <v>1</v>
      </c>
      <c r="I2076" s="10" t="s">
        <v>4683</v>
      </c>
      <c r="J2076" s="10" t="str">
        <f t="shared" si="9"/>
        <v>normalweight</v>
      </c>
      <c r="L2076" s="30" t="e">
        <v>#N/A</v>
      </c>
    </row>
    <row r="2077" spans="1:12" ht="15.75" customHeight="1" x14ac:dyDescent="0.3">
      <c r="A2077" s="10" t="s">
        <v>526</v>
      </c>
      <c r="B2077" s="10">
        <v>30.5</v>
      </c>
      <c r="C2077" s="10">
        <v>5.88</v>
      </c>
      <c r="D2077" s="16" t="s">
        <v>4685</v>
      </c>
      <c r="E2077" s="10" t="s">
        <v>4684</v>
      </c>
      <c r="F2077" s="10" t="s">
        <v>4683</v>
      </c>
      <c r="G2077" s="10" t="s">
        <v>4683</v>
      </c>
      <c r="H2077" s="14">
        <v>1</v>
      </c>
      <c r="I2077" s="10" t="s">
        <v>4683</v>
      </c>
      <c r="J2077" s="10" t="str">
        <f t="shared" si="9"/>
        <v>normalweight</v>
      </c>
      <c r="L2077" s="30" t="e">
        <v>#N/A</v>
      </c>
    </row>
    <row r="2078" spans="1:12" ht="15.75" customHeight="1" x14ac:dyDescent="0.3">
      <c r="A2078" s="10" t="s">
        <v>524</v>
      </c>
      <c r="B2078" s="10">
        <v>23.1</v>
      </c>
      <c r="C2078" s="10">
        <v>5.92</v>
      </c>
      <c r="D2078" s="16" t="s">
        <v>4685</v>
      </c>
      <c r="E2078" s="10" t="s">
        <v>4684</v>
      </c>
      <c r="F2078" s="10" t="s">
        <v>4683</v>
      </c>
      <c r="G2078" s="10" t="s">
        <v>4683</v>
      </c>
      <c r="H2078" s="14">
        <v>1</v>
      </c>
      <c r="I2078" s="10" t="s">
        <v>4683</v>
      </c>
      <c r="J2078" s="10" t="str">
        <f t="shared" si="9"/>
        <v>normalweight</v>
      </c>
      <c r="L2078" s="30" t="e">
        <v>#N/A</v>
      </c>
    </row>
    <row r="2079" spans="1:12" ht="15.75" customHeight="1" x14ac:dyDescent="0.3">
      <c r="A2079" s="10" t="s">
        <v>522</v>
      </c>
      <c r="B2079" s="10">
        <v>39.49</v>
      </c>
      <c r="C2079" s="10">
        <v>4.8099999999999996</v>
      </c>
      <c r="D2079" s="16" t="s">
        <v>4687</v>
      </c>
      <c r="E2079" s="10" t="s">
        <v>4683</v>
      </c>
      <c r="F2079" s="10" t="s">
        <v>4683</v>
      </c>
      <c r="G2079" s="10" t="s">
        <v>4683</v>
      </c>
      <c r="H2079" s="14">
        <v>1</v>
      </c>
      <c r="I2079" s="10" t="s">
        <v>4683</v>
      </c>
      <c r="J2079" s="10" t="str">
        <f t="shared" si="9"/>
        <v>normalweight</v>
      </c>
      <c r="L2079" s="30" t="e">
        <v>#N/A</v>
      </c>
    </row>
    <row r="2080" spans="1:12" ht="15.75" customHeight="1" x14ac:dyDescent="0.3">
      <c r="A2080" s="10" t="s">
        <v>520</v>
      </c>
      <c r="B2080" s="10">
        <v>33.99</v>
      </c>
      <c r="C2080" s="10">
        <v>4.55</v>
      </c>
      <c r="D2080" s="16" t="s">
        <v>4687</v>
      </c>
      <c r="E2080" s="10" t="s">
        <v>4683</v>
      </c>
      <c r="F2080" s="10" t="s">
        <v>4683</v>
      </c>
      <c r="G2080" s="10" t="s">
        <v>4683</v>
      </c>
      <c r="H2080" s="14">
        <v>1</v>
      </c>
      <c r="I2080" s="10" t="s">
        <v>4683</v>
      </c>
      <c r="J2080" s="10" t="str">
        <f t="shared" si="9"/>
        <v>normalweight</v>
      </c>
      <c r="L2080" s="30" t="e">
        <v>#N/A</v>
      </c>
    </row>
    <row r="2081" spans="1:12" ht="15.75" customHeight="1" x14ac:dyDescent="0.3">
      <c r="A2081" s="10" t="s">
        <v>518</v>
      </c>
      <c r="B2081" s="10">
        <v>27.72</v>
      </c>
      <c r="C2081" s="10">
        <v>6.43</v>
      </c>
      <c r="D2081" s="16" t="s">
        <v>4685</v>
      </c>
      <c r="E2081" s="10" t="s">
        <v>4683</v>
      </c>
      <c r="F2081" s="10" t="s">
        <v>4683</v>
      </c>
      <c r="G2081" s="10" t="s">
        <v>4683</v>
      </c>
      <c r="H2081" s="14">
        <v>1</v>
      </c>
      <c r="I2081" s="10" t="s">
        <v>4683</v>
      </c>
      <c r="J2081" s="10" t="str">
        <f t="shared" si="9"/>
        <v>normalweight</v>
      </c>
      <c r="L2081" s="30" t="e">
        <v>#N/A</v>
      </c>
    </row>
    <row r="2082" spans="1:12" ht="15.75" customHeight="1" x14ac:dyDescent="0.3">
      <c r="A2082" s="10" t="s">
        <v>516</v>
      </c>
      <c r="B2082" s="10">
        <v>30.59</v>
      </c>
      <c r="C2082" s="10">
        <v>11.62</v>
      </c>
      <c r="D2082" s="16" t="s">
        <v>4682</v>
      </c>
      <c r="E2082" s="10" t="s">
        <v>4683</v>
      </c>
      <c r="F2082" s="10" t="s">
        <v>4683</v>
      </c>
      <c r="G2082" s="10" t="s">
        <v>4683</v>
      </c>
      <c r="H2082" s="14">
        <v>0</v>
      </c>
      <c r="I2082" s="10" t="s">
        <v>4683</v>
      </c>
      <c r="J2082" s="10" t="str">
        <f t="shared" si="9"/>
        <v>normalweight</v>
      </c>
      <c r="L2082" s="30" t="e">
        <v>#N/A</v>
      </c>
    </row>
    <row r="2083" spans="1:12" ht="15.75" customHeight="1" x14ac:dyDescent="0.3">
      <c r="A2083" s="10" t="s">
        <v>514</v>
      </c>
      <c r="B2083" s="10">
        <v>22.6</v>
      </c>
      <c r="C2083" s="10">
        <v>6.04</v>
      </c>
      <c r="D2083" s="16" t="s">
        <v>4685</v>
      </c>
      <c r="E2083" s="10" t="s">
        <v>4683</v>
      </c>
      <c r="F2083" s="10" t="s">
        <v>4683</v>
      </c>
      <c r="G2083" s="10" t="s">
        <v>4683</v>
      </c>
      <c r="H2083" s="14">
        <v>1</v>
      </c>
      <c r="I2083" s="10" t="s">
        <v>4683</v>
      </c>
      <c r="J2083" s="10" t="str">
        <f t="shared" si="9"/>
        <v>normalweight</v>
      </c>
      <c r="L2083" s="30" t="e">
        <v>#N/A</v>
      </c>
    </row>
    <row r="2084" spans="1:12" ht="15.75" customHeight="1" x14ac:dyDescent="0.3">
      <c r="A2084" s="10" t="s">
        <v>512</v>
      </c>
      <c r="B2084" s="10">
        <v>28.785</v>
      </c>
      <c r="C2084" s="10">
        <v>8.82</v>
      </c>
      <c r="D2084" s="16" t="s">
        <v>4682</v>
      </c>
      <c r="E2084" s="10" t="s">
        <v>4683</v>
      </c>
      <c r="F2084" s="10" t="s">
        <v>4683</v>
      </c>
      <c r="G2084" s="10" t="s">
        <v>4683</v>
      </c>
      <c r="H2084" s="14">
        <v>0</v>
      </c>
      <c r="I2084" s="10" t="s">
        <v>4683</v>
      </c>
      <c r="J2084" s="10" t="str">
        <f t="shared" si="9"/>
        <v>normalweight</v>
      </c>
      <c r="L2084" s="30" t="e">
        <v>#N/A</v>
      </c>
    </row>
    <row r="2085" spans="1:12" ht="15.75" customHeight="1" x14ac:dyDescent="0.3">
      <c r="A2085" s="10" t="s">
        <v>510</v>
      </c>
      <c r="B2085" s="10">
        <v>50.38</v>
      </c>
      <c r="C2085" s="10">
        <v>5.8</v>
      </c>
      <c r="D2085" s="16" t="s">
        <v>4685</v>
      </c>
      <c r="E2085" s="10" t="s">
        <v>4683</v>
      </c>
      <c r="F2085" s="10" t="s">
        <v>4683</v>
      </c>
      <c r="G2085" s="10" t="s">
        <v>4683</v>
      </c>
      <c r="H2085" s="14">
        <v>0</v>
      </c>
      <c r="I2085" s="10" t="s">
        <v>4683</v>
      </c>
      <c r="J2085" s="10" t="str">
        <f t="shared" si="9"/>
        <v>normalweight</v>
      </c>
      <c r="L2085" s="30" t="e">
        <v>#N/A</v>
      </c>
    </row>
    <row r="2086" spans="1:12" ht="15.75" customHeight="1" x14ac:dyDescent="0.3">
      <c r="A2086" s="10" t="s">
        <v>508</v>
      </c>
      <c r="B2086" s="10">
        <v>35.200000000000003</v>
      </c>
      <c r="C2086" s="10">
        <v>4.28</v>
      </c>
      <c r="D2086" s="16" t="s">
        <v>4687</v>
      </c>
      <c r="E2086" s="10" t="s">
        <v>4683</v>
      </c>
      <c r="F2086" s="10" t="s">
        <v>4683</v>
      </c>
      <c r="G2086" s="10" t="s">
        <v>4683</v>
      </c>
      <c r="H2086" s="14">
        <v>0</v>
      </c>
      <c r="I2086" s="10" t="s">
        <v>4683</v>
      </c>
      <c r="J2086" s="10" t="str">
        <f t="shared" si="9"/>
        <v>normalweight</v>
      </c>
      <c r="L2086" s="30" t="e">
        <v>#N/A</v>
      </c>
    </row>
    <row r="2087" spans="1:12" ht="15.75" customHeight="1" x14ac:dyDescent="0.3">
      <c r="A2087" s="10" t="s">
        <v>506</v>
      </c>
      <c r="B2087" s="10">
        <v>35.72</v>
      </c>
      <c r="C2087" s="10">
        <v>5.5</v>
      </c>
      <c r="D2087" s="16" t="s">
        <v>4687</v>
      </c>
      <c r="E2087" s="10" t="s">
        <v>4684</v>
      </c>
      <c r="F2087" s="10" t="s">
        <v>4683</v>
      </c>
      <c r="G2087" s="10" t="s">
        <v>4683</v>
      </c>
      <c r="H2087" s="14">
        <v>0</v>
      </c>
      <c r="I2087" s="10" t="s">
        <v>4683</v>
      </c>
      <c r="J2087" s="10" t="str">
        <f t="shared" si="9"/>
        <v>normalweight</v>
      </c>
      <c r="L2087" s="30" t="e">
        <v>#N/A</v>
      </c>
    </row>
    <row r="2088" spans="1:12" ht="15.75" customHeight="1" x14ac:dyDescent="0.3">
      <c r="A2088" s="10" t="s">
        <v>504</v>
      </c>
      <c r="B2088" s="10">
        <v>24.51</v>
      </c>
      <c r="C2088" s="10">
        <v>4.6900000000000004</v>
      </c>
      <c r="D2088" s="16" t="s">
        <v>4687</v>
      </c>
      <c r="E2088" s="10" t="s">
        <v>4683</v>
      </c>
      <c r="F2088" s="10" t="s">
        <v>4683</v>
      </c>
      <c r="G2088" s="10" t="s">
        <v>4683</v>
      </c>
      <c r="H2088" s="14">
        <v>0</v>
      </c>
      <c r="I2088" s="10" t="s">
        <v>4683</v>
      </c>
      <c r="J2088" s="10" t="str">
        <f t="shared" si="9"/>
        <v>normalweight</v>
      </c>
      <c r="L2088" s="30" t="e">
        <v>#N/A</v>
      </c>
    </row>
    <row r="2089" spans="1:12" ht="15.75" customHeight="1" x14ac:dyDescent="0.3">
      <c r="A2089" s="10" t="s">
        <v>502</v>
      </c>
      <c r="B2089" s="10">
        <v>23.844999999999999</v>
      </c>
      <c r="C2089" s="10">
        <v>4.43</v>
      </c>
      <c r="D2089" s="16" t="s">
        <v>4687</v>
      </c>
      <c r="E2089" s="10" t="s">
        <v>4683</v>
      </c>
      <c r="F2089" s="10" t="s">
        <v>4683</v>
      </c>
      <c r="G2089" s="10" t="s">
        <v>4683</v>
      </c>
      <c r="H2089" s="14">
        <v>0</v>
      </c>
      <c r="I2089" s="10" t="s">
        <v>4683</v>
      </c>
      <c r="J2089" s="10" t="str">
        <f t="shared" si="9"/>
        <v>normalweight</v>
      </c>
      <c r="L2089" s="30" t="e">
        <v>#N/A</v>
      </c>
    </row>
    <row r="2090" spans="1:12" ht="15.75" customHeight="1" x14ac:dyDescent="0.3">
      <c r="A2090" s="10" t="s">
        <v>500</v>
      </c>
      <c r="B2090" s="10">
        <v>15.68</v>
      </c>
      <c r="C2090" s="10">
        <v>6.16</v>
      </c>
      <c r="D2090" s="16" t="s">
        <v>4685</v>
      </c>
      <c r="E2090" s="10" t="s">
        <v>4684</v>
      </c>
      <c r="F2090" s="10" t="s">
        <v>4683</v>
      </c>
      <c r="G2090" s="10" t="s">
        <v>4683</v>
      </c>
      <c r="H2090" s="14">
        <v>1</v>
      </c>
      <c r="I2090" s="10" t="s">
        <v>4683</v>
      </c>
      <c r="J2090" s="10" t="str">
        <f t="shared" si="9"/>
        <v>underweight</v>
      </c>
      <c r="L2090" s="30" t="e">
        <v>#N/A</v>
      </c>
    </row>
    <row r="2091" spans="1:12" ht="15.75" customHeight="1" x14ac:dyDescent="0.3">
      <c r="A2091" s="10" t="s">
        <v>498</v>
      </c>
      <c r="B2091" s="10">
        <v>32.395000000000003</v>
      </c>
      <c r="C2091" s="10">
        <v>6.66</v>
      </c>
      <c r="D2091" s="16" t="s">
        <v>4682</v>
      </c>
      <c r="E2091" s="10" t="s">
        <v>4683</v>
      </c>
      <c r="F2091" s="10" t="s">
        <v>4683</v>
      </c>
      <c r="G2091" s="10" t="s">
        <v>4683</v>
      </c>
      <c r="H2091" s="14">
        <v>0</v>
      </c>
      <c r="I2091" s="10" t="s">
        <v>4683</v>
      </c>
      <c r="J2091" s="10" t="str">
        <f t="shared" si="9"/>
        <v>normalweight</v>
      </c>
      <c r="L2091" s="30" t="e">
        <v>#N/A</v>
      </c>
    </row>
    <row r="2092" spans="1:12" ht="15.75" customHeight="1" x14ac:dyDescent="0.3">
      <c r="A2092" s="10" t="s">
        <v>496</v>
      </c>
      <c r="B2092" s="10">
        <v>23.655000000000001</v>
      </c>
      <c r="C2092" s="10">
        <v>5.92</v>
      </c>
      <c r="D2092" s="16" t="s">
        <v>4685</v>
      </c>
      <c r="E2092" s="10" t="s">
        <v>4683</v>
      </c>
      <c r="F2092" s="10" t="s">
        <v>4683</v>
      </c>
      <c r="G2092" s="10" t="s">
        <v>4683</v>
      </c>
      <c r="H2092" s="14">
        <v>1</v>
      </c>
      <c r="I2092" s="10" t="s">
        <v>4683</v>
      </c>
      <c r="J2092" s="10" t="str">
        <f t="shared" si="9"/>
        <v>normalweight</v>
      </c>
      <c r="L2092" s="30" t="e">
        <v>#N/A</v>
      </c>
    </row>
    <row r="2093" spans="1:12" ht="15.75" customHeight="1" x14ac:dyDescent="0.3">
      <c r="A2093" s="10" t="s">
        <v>494</v>
      </c>
      <c r="B2093" s="10">
        <v>28.4</v>
      </c>
      <c r="C2093" s="10">
        <v>5.97</v>
      </c>
      <c r="D2093" s="16" t="s">
        <v>4685</v>
      </c>
      <c r="E2093" s="10" t="s">
        <v>4683</v>
      </c>
      <c r="F2093" s="10" t="s">
        <v>4683</v>
      </c>
      <c r="G2093" s="10" t="s">
        <v>4686</v>
      </c>
      <c r="H2093" s="14">
        <v>1</v>
      </c>
      <c r="I2093" s="10" t="s">
        <v>4683</v>
      </c>
      <c r="J2093" s="10" t="str">
        <f t="shared" si="9"/>
        <v>normalweight</v>
      </c>
      <c r="L2093" s="30" t="e">
        <v>#N/A</v>
      </c>
    </row>
    <row r="2094" spans="1:12" ht="15.75" customHeight="1" x14ac:dyDescent="0.3">
      <c r="A2094" s="10" t="s">
        <v>492</v>
      </c>
      <c r="B2094" s="10">
        <v>35.42</v>
      </c>
      <c r="C2094" s="10">
        <v>4.6399999999999997</v>
      </c>
      <c r="D2094" s="16" t="s">
        <v>4687</v>
      </c>
      <c r="E2094" s="10" t="s">
        <v>4684</v>
      </c>
      <c r="F2094" s="10" t="s">
        <v>4683</v>
      </c>
      <c r="G2094" s="10" t="s">
        <v>4683</v>
      </c>
      <c r="H2094" s="14">
        <v>0</v>
      </c>
      <c r="I2094" s="10" t="s">
        <v>4683</v>
      </c>
      <c r="J2094" s="10" t="str">
        <f t="shared" si="9"/>
        <v>normalweight</v>
      </c>
      <c r="L2094" s="30" t="e">
        <v>#N/A</v>
      </c>
    </row>
    <row r="2095" spans="1:12" ht="15.75" customHeight="1" x14ac:dyDescent="0.3">
      <c r="A2095" s="10" t="s">
        <v>490</v>
      </c>
      <c r="B2095" s="10">
        <v>26.18</v>
      </c>
      <c r="C2095" s="10">
        <v>6.12</v>
      </c>
      <c r="D2095" s="16" t="s">
        <v>4685</v>
      </c>
      <c r="E2095" s="10" t="s">
        <v>4683</v>
      </c>
      <c r="F2095" s="10" t="s">
        <v>4684</v>
      </c>
      <c r="G2095" s="10" t="s">
        <v>4683</v>
      </c>
      <c r="H2095" s="14">
        <v>1</v>
      </c>
      <c r="I2095" s="10" t="s">
        <v>4683</v>
      </c>
      <c r="J2095" s="10" t="str">
        <f t="shared" si="9"/>
        <v>normalweight</v>
      </c>
      <c r="L2095" s="30" t="e">
        <v>#N/A</v>
      </c>
    </row>
    <row r="2096" spans="1:12" ht="15.75" customHeight="1" x14ac:dyDescent="0.3">
      <c r="A2096" s="10" t="s">
        <v>488</v>
      </c>
      <c r="B2096" s="10">
        <v>20.8</v>
      </c>
      <c r="C2096" s="10">
        <v>4.87</v>
      </c>
      <c r="D2096" s="16" t="s">
        <v>4687</v>
      </c>
      <c r="E2096" s="10" t="s">
        <v>4684</v>
      </c>
      <c r="F2096" s="10" t="s">
        <v>4683</v>
      </c>
      <c r="G2096" s="10" t="s">
        <v>4683</v>
      </c>
      <c r="H2096" s="14">
        <v>0</v>
      </c>
      <c r="I2096" s="10" t="s">
        <v>4683</v>
      </c>
      <c r="J2096" s="10" t="str">
        <f t="shared" si="9"/>
        <v>normalweight</v>
      </c>
      <c r="L2096" s="30" t="e">
        <v>#N/A</v>
      </c>
    </row>
    <row r="2097" spans="1:12" ht="15.75" customHeight="1" x14ac:dyDescent="0.3">
      <c r="A2097" s="10" t="s">
        <v>486</v>
      </c>
      <c r="B2097" s="10">
        <v>15.82</v>
      </c>
      <c r="C2097" s="10">
        <v>4.5999999999999996</v>
      </c>
      <c r="D2097" s="16" t="s">
        <v>4687</v>
      </c>
      <c r="E2097" s="10" t="s">
        <v>4683</v>
      </c>
      <c r="F2097" s="10" t="s">
        <v>4683</v>
      </c>
      <c r="G2097" s="10" t="s">
        <v>4683</v>
      </c>
      <c r="H2097" s="14">
        <v>0</v>
      </c>
      <c r="I2097" s="10" t="s">
        <v>4683</v>
      </c>
      <c r="J2097" s="10" t="str">
        <f t="shared" si="9"/>
        <v>underweight</v>
      </c>
      <c r="L2097" s="30" t="e">
        <v>#N/A</v>
      </c>
    </row>
    <row r="2098" spans="1:12" ht="15.75" customHeight="1" x14ac:dyDescent="0.3">
      <c r="A2098" s="10" t="s">
        <v>4689</v>
      </c>
      <c r="B2098" s="10">
        <v>17.670000000000002</v>
      </c>
      <c r="C2098" s="10">
        <v>4.78</v>
      </c>
      <c r="D2098" s="16" t="s">
        <v>4687</v>
      </c>
      <c r="E2098" s="10" t="s">
        <v>4683</v>
      </c>
      <c r="F2098" s="10" t="s">
        <v>4683</v>
      </c>
      <c r="G2098" s="10" t="s">
        <v>4683</v>
      </c>
      <c r="H2098" s="14">
        <v>0</v>
      </c>
      <c r="I2098" s="10" t="s">
        <v>4683</v>
      </c>
      <c r="J2098" s="10" t="str">
        <f t="shared" si="9"/>
        <v>underweight</v>
      </c>
      <c r="L2098" s="30" t="e">
        <v>#N/A</v>
      </c>
    </row>
    <row r="2099" spans="1:12" ht="15.75" customHeight="1" x14ac:dyDescent="0.3">
      <c r="A2099" s="10" t="s">
        <v>484</v>
      </c>
      <c r="B2099" s="10">
        <v>31.92</v>
      </c>
      <c r="C2099" s="10">
        <v>11.05</v>
      </c>
      <c r="D2099" s="16" t="s">
        <v>4682</v>
      </c>
      <c r="E2099" s="10" t="s">
        <v>4683</v>
      </c>
      <c r="F2099" s="10" t="s">
        <v>4683</v>
      </c>
      <c r="G2099" s="10" t="s">
        <v>4683</v>
      </c>
      <c r="H2099" s="14">
        <v>0</v>
      </c>
      <c r="I2099" s="10" t="s">
        <v>4683</v>
      </c>
      <c r="J2099" s="10" t="str">
        <f t="shared" si="9"/>
        <v>normalweight</v>
      </c>
      <c r="L2099" s="30" t="e">
        <v>#N/A</v>
      </c>
    </row>
    <row r="2100" spans="1:12" ht="15.75" customHeight="1" x14ac:dyDescent="0.3">
      <c r="A2100" s="10" t="s">
        <v>482</v>
      </c>
      <c r="B2100" s="10">
        <v>28.975000000000001</v>
      </c>
      <c r="C2100" s="10">
        <v>7.62</v>
      </c>
      <c r="D2100" s="16" t="s">
        <v>4682</v>
      </c>
      <c r="E2100" s="10" t="s">
        <v>4683</v>
      </c>
      <c r="F2100" s="10" t="s">
        <v>4683</v>
      </c>
      <c r="G2100" s="10" t="s">
        <v>4683</v>
      </c>
      <c r="H2100" s="14">
        <v>0</v>
      </c>
      <c r="I2100" s="10" t="s">
        <v>4683</v>
      </c>
      <c r="J2100" s="10" t="str">
        <f t="shared" si="9"/>
        <v>normalweight</v>
      </c>
      <c r="L2100" s="30" t="e">
        <v>#N/A</v>
      </c>
    </row>
    <row r="2101" spans="1:12" ht="15.75" customHeight="1" x14ac:dyDescent="0.3">
      <c r="A2101" s="10" t="s">
        <v>480</v>
      </c>
      <c r="B2101" s="10">
        <v>31.73</v>
      </c>
      <c r="C2101" s="10">
        <v>4.78</v>
      </c>
      <c r="D2101" s="16" t="s">
        <v>4687</v>
      </c>
      <c r="E2101" s="10" t="s">
        <v>4684</v>
      </c>
      <c r="F2101" s="10" t="s">
        <v>4684</v>
      </c>
      <c r="G2101" s="10" t="s">
        <v>4683</v>
      </c>
      <c r="H2101" s="14">
        <v>2</v>
      </c>
      <c r="I2101" s="10" t="s">
        <v>4683</v>
      </c>
      <c r="J2101" s="10" t="str">
        <f t="shared" si="9"/>
        <v>normalweight</v>
      </c>
      <c r="L2101" s="30" t="e">
        <v>#N/A</v>
      </c>
    </row>
    <row r="2102" spans="1:12" ht="15.75" customHeight="1" x14ac:dyDescent="0.3">
      <c r="A2102" s="10" t="s">
        <v>478</v>
      </c>
      <c r="B2102" s="10">
        <v>28.88</v>
      </c>
      <c r="C2102" s="10">
        <v>6.09</v>
      </c>
      <c r="D2102" s="16" t="s">
        <v>4685</v>
      </c>
      <c r="E2102" s="10" t="s">
        <v>4684</v>
      </c>
      <c r="F2102" s="10" t="s">
        <v>4684</v>
      </c>
      <c r="G2102" s="10" t="s">
        <v>4683</v>
      </c>
      <c r="H2102" s="14">
        <v>2</v>
      </c>
      <c r="I2102" s="10" t="s">
        <v>4683</v>
      </c>
      <c r="J2102" s="10" t="str">
        <f t="shared" si="9"/>
        <v>normalweight</v>
      </c>
      <c r="L2102" s="30" t="e">
        <v>#N/A</v>
      </c>
    </row>
    <row r="2103" spans="1:12" ht="15.75" customHeight="1" x14ac:dyDescent="0.3">
      <c r="A2103" s="10" t="s">
        <v>476</v>
      </c>
      <c r="B2103" s="10">
        <v>25.555</v>
      </c>
      <c r="C2103" s="10">
        <v>5.1100000000000003</v>
      </c>
      <c r="D2103" s="16" t="s">
        <v>4687</v>
      </c>
      <c r="E2103" s="10" t="s">
        <v>4683</v>
      </c>
      <c r="F2103" s="10" t="s">
        <v>4683</v>
      </c>
      <c r="G2103" s="10" t="s">
        <v>4686</v>
      </c>
      <c r="H2103" s="14">
        <v>1</v>
      </c>
      <c r="I2103" s="10" t="s">
        <v>4683</v>
      </c>
      <c r="J2103" s="10" t="str">
        <f t="shared" si="9"/>
        <v>normalweight</v>
      </c>
      <c r="L2103" s="30" t="e">
        <v>#N/A</v>
      </c>
    </row>
    <row r="2104" spans="1:12" ht="15.75" customHeight="1" x14ac:dyDescent="0.3">
      <c r="A2104" s="10" t="s">
        <v>474</v>
      </c>
      <c r="B2104" s="10">
        <v>37.29</v>
      </c>
      <c r="C2104" s="10">
        <v>4.46</v>
      </c>
      <c r="D2104" s="16" t="s">
        <v>4687</v>
      </c>
      <c r="E2104" s="10" t="s">
        <v>4683</v>
      </c>
      <c r="F2104" s="10" t="s">
        <v>4684</v>
      </c>
      <c r="G2104" s="10" t="s">
        <v>4683</v>
      </c>
      <c r="H2104" s="14">
        <v>1</v>
      </c>
      <c r="I2104" s="10" t="s">
        <v>4683</v>
      </c>
      <c r="J2104" s="10" t="str">
        <f t="shared" si="9"/>
        <v>normalweight</v>
      </c>
      <c r="L2104" s="30" t="e">
        <v>#N/A</v>
      </c>
    </row>
    <row r="2105" spans="1:12" ht="15.75" customHeight="1" x14ac:dyDescent="0.3">
      <c r="A2105" s="10" t="s">
        <v>472</v>
      </c>
      <c r="B2105" s="10">
        <v>40.28</v>
      </c>
      <c r="C2105" s="10">
        <v>6.11</v>
      </c>
      <c r="D2105" s="16" t="s">
        <v>4685</v>
      </c>
      <c r="E2105" s="10" t="s">
        <v>4683</v>
      </c>
      <c r="F2105" s="10" t="s">
        <v>4684</v>
      </c>
      <c r="G2105" s="10" t="s">
        <v>4683</v>
      </c>
      <c r="H2105" s="14">
        <v>1</v>
      </c>
      <c r="I2105" s="10" t="s">
        <v>4683</v>
      </c>
      <c r="J2105" s="10" t="str">
        <f t="shared" si="9"/>
        <v>normalweight</v>
      </c>
      <c r="L2105" s="30" t="e">
        <v>#N/A</v>
      </c>
    </row>
    <row r="2106" spans="1:12" ht="15.75" customHeight="1" x14ac:dyDescent="0.3">
      <c r="A2106" s="10" t="s">
        <v>470</v>
      </c>
      <c r="B2106" s="10">
        <v>40.185000000000002</v>
      </c>
      <c r="C2106" s="10">
        <v>4.66</v>
      </c>
      <c r="D2106" s="16" t="s">
        <v>4687</v>
      </c>
      <c r="E2106" s="10" t="s">
        <v>4683</v>
      </c>
      <c r="F2106" s="10" t="s">
        <v>4684</v>
      </c>
      <c r="G2106" s="10" t="s">
        <v>4683</v>
      </c>
      <c r="H2106" s="14">
        <v>1</v>
      </c>
      <c r="I2106" s="10" t="s">
        <v>4683</v>
      </c>
      <c r="J2106" s="10" t="str">
        <f t="shared" si="9"/>
        <v>normalweight</v>
      </c>
      <c r="L2106" s="30" t="e">
        <v>#N/A</v>
      </c>
    </row>
    <row r="2107" spans="1:12" ht="15.75" customHeight="1" x14ac:dyDescent="0.3">
      <c r="A2107" s="10" t="s">
        <v>468</v>
      </c>
      <c r="B2107" s="10">
        <v>23.57</v>
      </c>
      <c r="C2107" s="10">
        <v>6.14</v>
      </c>
      <c r="D2107" s="16" t="s">
        <v>4685</v>
      </c>
      <c r="E2107" s="10" t="s">
        <v>4683</v>
      </c>
      <c r="F2107" s="10" t="s">
        <v>4683</v>
      </c>
      <c r="G2107" s="10" t="s">
        <v>4683</v>
      </c>
      <c r="H2107" s="14">
        <v>0</v>
      </c>
      <c r="I2107" s="10" t="s">
        <v>4683</v>
      </c>
      <c r="J2107" s="10" t="str">
        <f t="shared" si="9"/>
        <v>normalweight</v>
      </c>
      <c r="L2107" s="30" t="e">
        <v>#N/A</v>
      </c>
    </row>
    <row r="2108" spans="1:12" ht="15.75" customHeight="1" x14ac:dyDescent="0.3">
      <c r="A2108" s="10" t="s">
        <v>466</v>
      </c>
      <c r="B2108" s="10">
        <v>35.625</v>
      </c>
      <c r="C2108" s="10">
        <v>6.21</v>
      </c>
      <c r="D2108" s="16" t="s">
        <v>4685</v>
      </c>
      <c r="E2108" s="10" t="s">
        <v>4683</v>
      </c>
      <c r="F2108" s="10" t="s">
        <v>4684</v>
      </c>
      <c r="G2108" s="10" t="s">
        <v>4683</v>
      </c>
      <c r="H2108" s="14">
        <v>1</v>
      </c>
      <c r="I2108" s="10" t="s">
        <v>4683</v>
      </c>
      <c r="J2108" s="10" t="str">
        <f t="shared" si="9"/>
        <v>normalweight</v>
      </c>
      <c r="L2108" s="30" t="e">
        <v>#N/A</v>
      </c>
    </row>
    <row r="2109" spans="1:12" ht="15.75" customHeight="1" x14ac:dyDescent="0.3">
      <c r="A2109" s="10" t="s">
        <v>464</v>
      </c>
      <c r="B2109" s="10">
        <v>33.155000000000001</v>
      </c>
      <c r="C2109" s="10">
        <v>4.5999999999999996</v>
      </c>
      <c r="D2109" s="16" t="s">
        <v>4687</v>
      </c>
      <c r="E2109" s="10" t="s">
        <v>4683</v>
      </c>
      <c r="F2109" s="10" t="s">
        <v>4684</v>
      </c>
      <c r="G2109" s="10" t="s">
        <v>4683</v>
      </c>
      <c r="H2109" s="14">
        <v>1</v>
      </c>
      <c r="I2109" s="10" t="s">
        <v>4683</v>
      </c>
      <c r="J2109" s="10" t="str">
        <f t="shared" si="9"/>
        <v>normalweight</v>
      </c>
      <c r="L2109" s="30" t="e">
        <v>#N/A</v>
      </c>
    </row>
    <row r="2110" spans="1:12" ht="15.75" customHeight="1" x14ac:dyDescent="0.3">
      <c r="A2110" s="10" t="s">
        <v>462</v>
      </c>
      <c r="B2110" s="10">
        <v>31.92</v>
      </c>
      <c r="C2110" s="10">
        <v>5.04</v>
      </c>
      <c r="D2110" s="16" t="s">
        <v>4687</v>
      </c>
      <c r="E2110" s="10" t="s">
        <v>4683</v>
      </c>
      <c r="F2110" s="10" t="s">
        <v>4684</v>
      </c>
      <c r="G2110" s="10" t="s">
        <v>4683</v>
      </c>
      <c r="H2110" s="14">
        <v>1</v>
      </c>
      <c r="I2110" s="10" t="s">
        <v>4683</v>
      </c>
      <c r="J2110" s="10" t="str">
        <f t="shared" si="9"/>
        <v>normalweight</v>
      </c>
      <c r="L2110" s="30" t="e">
        <v>#N/A</v>
      </c>
    </row>
    <row r="2111" spans="1:12" ht="15.75" customHeight="1" x14ac:dyDescent="0.3">
      <c r="A2111" s="10" t="s">
        <v>460</v>
      </c>
      <c r="B2111" s="10">
        <v>30.305</v>
      </c>
      <c r="C2111" s="10">
        <v>5.08</v>
      </c>
      <c r="D2111" s="16" t="s">
        <v>4687</v>
      </c>
      <c r="E2111" s="10" t="s">
        <v>4683</v>
      </c>
      <c r="F2111" s="10" t="s">
        <v>4684</v>
      </c>
      <c r="G2111" s="10" t="s">
        <v>4683</v>
      </c>
      <c r="H2111" s="14">
        <v>1</v>
      </c>
      <c r="I2111" s="10" t="s">
        <v>4683</v>
      </c>
      <c r="J2111" s="10" t="str">
        <f t="shared" si="9"/>
        <v>normalweight</v>
      </c>
      <c r="L2111" s="30" t="e">
        <v>#N/A</v>
      </c>
    </row>
    <row r="2112" spans="1:12" ht="15.75" customHeight="1" x14ac:dyDescent="0.3">
      <c r="A2112" s="10" t="s">
        <v>458</v>
      </c>
      <c r="B2112" s="10">
        <v>30.114999999999998</v>
      </c>
      <c r="C2112" s="10">
        <v>4.38</v>
      </c>
      <c r="D2112" s="16" t="s">
        <v>4687</v>
      </c>
      <c r="E2112" s="10" t="s">
        <v>4683</v>
      </c>
      <c r="F2112" s="10" t="s">
        <v>4684</v>
      </c>
      <c r="G2112" s="10" t="s">
        <v>4683</v>
      </c>
      <c r="H2112" s="14">
        <v>1</v>
      </c>
      <c r="I2112" s="10" t="s">
        <v>4683</v>
      </c>
      <c r="J2112" s="10" t="str">
        <f t="shared" si="9"/>
        <v>normalweight</v>
      </c>
      <c r="L2112" s="30" t="e">
        <v>#N/A</v>
      </c>
    </row>
    <row r="2113" spans="1:12" ht="15.75" customHeight="1" x14ac:dyDescent="0.3">
      <c r="A2113" s="10" t="s">
        <v>456</v>
      </c>
      <c r="B2113" s="10">
        <v>24.09</v>
      </c>
      <c r="C2113" s="10">
        <v>4.79</v>
      </c>
      <c r="D2113" s="16" t="s">
        <v>4687</v>
      </c>
      <c r="E2113" s="10" t="s">
        <v>4683</v>
      </c>
      <c r="F2113" s="10" t="s">
        <v>4684</v>
      </c>
      <c r="G2113" s="10" t="s">
        <v>4683</v>
      </c>
      <c r="H2113" s="14">
        <v>1</v>
      </c>
      <c r="I2113" s="10" t="s">
        <v>4683</v>
      </c>
      <c r="J2113" s="10" t="str">
        <f t="shared" si="9"/>
        <v>normalweight</v>
      </c>
      <c r="L2113" s="30" t="e">
        <v>#N/A</v>
      </c>
    </row>
    <row r="2114" spans="1:12" ht="15.75" customHeight="1" x14ac:dyDescent="0.3">
      <c r="A2114" s="10" t="s">
        <v>454</v>
      </c>
      <c r="B2114" s="10">
        <v>28.215</v>
      </c>
      <c r="C2114" s="10">
        <v>4.21</v>
      </c>
      <c r="D2114" s="16" t="s">
        <v>4687</v>
      </c>
      <c r="E2114" s="10" t="s">
        <v>4683</v>
      </c>
      <c r="F2114" s="10" t="s">
        <v>4684</v>
      </c>
      <c r="G2114" s="10" t="s">
        <v>4683</v>
      </c>
      <c r="H2114" s="14">
        <v>1</v>
      </c>
      <c r="I2114" s="10" t="s">
        <v>4683</v>
      </c>
      <c r="J2114" s="10" t="str">
        <f t="shared" si="9"/>
        <v>normalweight</v>
      </c>
      <c r="L2114" s="30" t="e">
        <v>#N/A</v>
      </c>
    </row>
    <row r="2115" spans="1:12" ht="15.75" customHeight="1" x14ac:dyDescent="0.3">
      <c r="A2115" s="10" t="s">
        <v>452</v>
      </c>
      <c r="B2115" s="10">
        <v>26.315000000000001</v>
      </c>
      <c r="C2115" s="10">
        <v>5.47</v>
      </c>
      <c r="D2115" s="16" t="s">
        <v>4687</v>
      </c>
      <c r="E2115" s="10" t="s">
        <v>4683</v>
      </c>
      <c r="F2115" s="10" t="s">
        <v>4684</v>
      </c>
      <c r="G2115" s="10" t="s">
        <v>4683</v>
      </c>
      <c r="H2115" s="14">
        <v>1</v>
      </c>
      <c r="I2115" s="10" t="s">
        <v>4683</v>
      </c>
      <c r="J2115" s="10" t="str">
        <f t="shared" si="9"/>
        <v>normalweight</v>
      </c>
      <c r="L2115" s="30" t="e">
        <v>#N/A</v>
      </c>
    </row>
    <row r="2116" spans="1:12" ht="15.75" customHeight="1" x14ac:dyDescent="0.3">
      <c r="A2116" s="10" t="s">
        <v>450</v>
      </c>
      <c r="B2116" s="10">
        <v>25.08</v>
      </c>
      <c r="C2116" s="10">
        <v>5.09</v>
      </c>
      <c r="D2116" s="16" t="s">
        <v>4687</v>
      </c>
      <c r="E2116" s="10" t="s">
        <v>4683</v>
      </c>
      <c r="F2116" s="10" t="s">
        <v>4684</v>
      </c>
      <c r="G2116" s="10" t="s">
        <v>4683</v>
      </c>
      <c r="H2116" s="14">
        <v>1</v>
      </c>
      <c r="I2116" s="10" t="s">
        <v>4683</v>
      </c>
      <c r="J2116" s="10" t="str">
        <f t="shared" si="9"/>
        <v>normalweight</v>
      </c>
      <c r="L2116" s="30" t="e">
        <v>#N/A</v>
      </c>
    </row>
    <row r="2117" spans="1:12" ht="15.75" customHeight="1" x14ac:dyDescent="0.3">
      <c r="A2117" s="10" t="s">
        <v>448</v>
      </c>
      <c r="B2117" s="10">
        <v>15.41</v>
      </c>
      <c r="C2117" s="10">
        <v>5.08</v>
      </c>
      <c r="D2117" s="16" t="s">
        <v>4687</v>
      </c>
      <c r="E2117" s="10" t="s">
        <v>4683</v>
      </c>
      <c r="F2117" s="10" t="s">
        <v>4683</v>
      </c>
      <c r="G2117" s="10" t="s">
        <v>4683</v>
      </c>
      <c r="H2117" s="14">
        <v>0</v>
      </c>
      <c r="I2117" s="10" t="s">
        <v>4683</v>
      </c>
      <c r="J2117" s="10" t="str">
        <f t="shared" si="9"/>
        <v>underweight</v>
      </c>
      <c r="L2117" s="30" t="e">
        <v>#N/A</v>
      </c>
    </row>
    <row r="2118" spans="1:12" ht="15.75" customHeight="1" x14ac:dyDescent="0.3">
      <c r="A2118" s="10" t="s">
        <v>446</v>
      </c>
      <c r="B2118" s="10">
        <v>23.83</v>
      </c>
      <c r="C2118" s="10">
        <v>5.68</v>
      </c>
      <c r="D2118" s="16" t="s">
        <v>4687</v>
      </c>
      <c r="E2118" s="10" t="s">
        <v>4683</v>
      </c>
      <c r="F2118" s="10" t="s">
        <v>4683</v>
      </c>
      <c r="G2118" s="10" t="s">
        <v>4683</v>
      </c>
      <c r="H2118" s="14">
        <v>0</v>
      </c>
      <c r="I2118" s="10" t="s">
        <v>4683</v>
      </c>
      <c r="J2118" s="10" t="str">
        <f t="shared" si="9"/>
        <v>normalweight</v>
      </c>
      <c r="L2118" s="30" t="e">
        <v>#N/A</v>
      </c>
    </row>
    <row r="2119" spans="1:12" ht="15.75" customHeight="1" x14ac:dyDescent="0.3">
      <c r="A2119" s="10" t="s">
        <v>444</v>
      </c>
      <c r="B2119" s="10">
        <v>36</v>
      </c>
      <c r="C2119" s="10">
        <v>4.66</v>
      </c>
      <c r="D2119" s="16" t="s">
        <v>4687</v>
      </c>
      <c r="E2119" s="10" t="s">
        <v>4683</v>
      </c>
      <c r="F2119" s="10" t="s">
        <v>4684</v>
      </c>
      <c r="G2119" s="10" t="s">
        <v>4683</v>
      </c>
      <c r="H2119" s="14">
        <v>1</v>
      </c>
      <c r="I2119" s="10" t="s">
        <v>4683</v>
      </c>
      <c r="J2119" s="10" t="str">
        <f t="shared" si="9"/>
        <v>normalweight</v>
      </c>
      <c r="L2119" s="30" t="e">
        <v>#N/A</v>
      </c>
    </row>
    <row r="2120" spans="1:12" ht="15.75" customHeight="1" x14ac:dyDescent="0.3">
      <c r="A2120" s="10" t="s">
        <v>442</v>
      </c>
      <c r="B2120" s="10">
        <v>28.82</v>
      </c>
      <c r="C2120" s="10">
        <v>5.59</v>
      </c>
      <c r="D2120" s="16" t="s">
        <v>4687</v>
      </c>
      <c r="E2120" s="10" t="s">
        <v>4683</v>
      </c>
      <c r="F2120" s="10" t="s">
        <v>4684</v>
      </c>
      <c r="G2120" s="10" t="s">
        <v>4683</v>
      </c>
      <c r="H2120" s="14">
        <v>1</v>
      </c>
      <c r="I2120" s="10" t="s">
        <v>4683</v>
      </c>
      <c r="J2120" s="10" t="str">
        <f t="shared" si="9"/>
        <v>normalweight</v>
      </c>
      <c r="L2120" s="30" t="e">
        <v>#N/A</v>
      </c>
    </row>
    <row r="2121" spans="1:12" ht="15.75" customHeight="1" x14ac:dyDescent="0.3">
      <c r="A2121" s="10" t="s">
        <v>440</v>
      </c>
      <c r="B2121" s="10">
        <v>28.05</v>
      </c>
      <c r="C2121" s="10">
        <v>6.2</v>
      </c>
      <c r="D2121" s="16" t="s">
        <v>4685</v>
      </c>
      <c r="E2121" s="10" t="s">
        <v>4683</v>
      </c>
      <c r="F2121" s="10" t="s">
        <v>4684</v>
      </c>
      <c r="G2121" s="10" t="s">
        <v>4683</v>
      </c>
      <c r="H2121" s="14">
        <v>1</v>
      </c>
      <c r="I2121" s="10" t="s">
        <v>4683</v>
      </c>
      <c r="J2121" s="10" t="str">
        <f t="shared" si="9"/>
        <v>normalweight</v>
      </c>
      <c r="L2121" s="30" t="e">
        <v>#N/A</v>
      </c>
    </row>
    <row r="2122" spans="1:12" ht="15.75" customHeight="1" x14ac:dyDescent="0.3">
      <c r="A2122" s="10" t="s">
        <v>438</v>
      </c>
      <c r="B2122" s="10">
        <v>27.1</v>
      </c>
      <c r="C2122" s="10">
        <v>4.45</v>
      </c>
      <c r="D2122" s="16" t="s">
        <v>4687</v>
      </c>
      <c r="E2122" s="10" t="s">
        <v>4683</v>
      </c>
      <c r="F2122" s="10" t="s">
        <v>4684</v>
      </c>
      <c r="G2122" s="10" t="s">
        <v>4683</v>
      </c>
      <c r="H2122" s="14">
        <v>1</v>
      </c>
      <c r="I2122" s="10" t="s">
        <v>4683</v>
      </c>
      <c r="J2122" s="10" t="str">
        <f t="shared" si="9"/>
        <v>normalweight</v>
      </c>
      <c r="L2122" s="30" t="e">
        <v>#N/A</v>
      </c>
    </row>
    <row r="2123" spans="1:12" ht="15.75" customHeight="1" x14ac:dyDescent="0.3">
      <c r="A2123" s="10" t="s">
        <v>436</v>
      </c>
      <c r="B2123" s="10">
        <v>24.3</v>
      </c>
      <c r="C2123" s="10">
        <v>6.1</v>
      </c>
      <c r="D2123" s="16" t="s">
        <v>4685</v>
      </c>
      <c r="E2123" s="10" t="s">
        <v>4684</v>
      </c>
      <c r="F2123" s="10" t="s">
        <v>4684</v>
      </c>
      <c r="G2123" s="10" t="s">
        <v>4683</v>
      </c>
      <c r="H2123" s="14">
        <v>1</v>
      </c>
      <c r="I2123" s="10" t="s">
        <v>4683</v>
      </c>
      <c r="J2123" s="10" t="str">
        <f t="shared" si="9"/>
        <v>normalweight</v>
      </c>
      <c r="L2123" s="30" t="e">
        <v>#N/A</v>
      </c>
    </row>
    <row r="2124" spans="1:12" ht="15.75" customHeight="1" x14ac:dyDescent="0.3">
      <c r="A2124" s="10" t="s">
        <v>434</v>
      </c>
      <c r="B2124" s="10">
        <v>30.72</v>
      </c>
      <c r="C2124" s="10">
        <v>6.06</v>
      </c>
      <c r="D2124" s="16" t="s">
        <v>4685</v>
      </c>
      <c r="E2124" s="10" t="s">
        <v>4683</v>
      </c>
      <c r="F2124" s="10" t="s">
        <v>4684</v>
      </c>
      <c r="G2124" s="10" t="s">
        <v>4683</v>
      </c>
      <c r="H2124" s="14">
        <v>1</v>
      </c>
      <c r="I2124" s="10" t="s">
        <v>4683</v>
      </c>
      <c r="J2124" s="10" t="str">
        <f t="shared" si="9"/>
        <v>normalweight</v>
      </c>
      <c r="L2124" s="30" t="e">
        <v>#N/A</v>
      </c>
    </row>
    <row r="2125" spans="1:12" ht="15.75" customHeight="1" x14ac:dyDescent="0.3">
      <c r="A2125" s="10" t="s">
        <v>432</v>
      </c>
      <c r="B2125" s="10">
        <v>37.43</v>
      </c>
      <c r="C2125" s="10">
        <v>4.5599999999999996</v>
      </c>
      <c r="D2125" s="16" t="s">
        <v>4687</v>
      </c>
      <c r="E2125" s="10" t="s">
        <v>4683</v>
      </c>
      <c r="F2125" s="10" t="s">
        <v>4683</v>
      </c>
      <c r="G2125" s="10" t="s">
        <v>4686</v>
      </c>
      <c r="H2125" s="14">
        <v>1</v>
      </c>
      <c r="I2125" s="10" t="s">
        <v>4683</v>
      </c>
      <c r="J2125" s="10" t="str">
        <f t="shared" si="9"/>
        <v>normalweight</v>
      </c>
      <c r="L2125" s="30" t="e">
        <v>#N/A</v>
      </c>
    </row>
    <row r="2126" spans="1:12" ht="15.75" customHeight="1" x14ac:dyDescent="0.3">
      <c r="A2126" s="10" t="s">
        <v>430</v>
      </c>
      <c r="B2126" s="10">
        <v>25.74</v>
      </c>
      <c r="C2126" s="10">
        <v>6.41</v>
      </c>
      <c r="D2126" s="16" t="s">
        <v>4685</v>
      </c>
      <c r="E2126" s="10" t="s">
        <v>4684</v>
      </c>
      <c r="F2126" s="10" t="s">
        <v>4683</v>
      </c>
      <c r="G2126" s="10" t="s">
        <v>4686</v>
      </c>
      <c r="H2126" s="14">
        <v>1</v>
      </c>
      <c r="I2126" s="10" t="s">
        <v>4683</v>
      </c>
      <c r="J2126" s="10" t="str">
        <f t="shared" si="9"/>
        <v>normalweight</v>
      </c>
      <c r="L2126" s="30" t="e">
        <v>#N/A</v>
      </c>
    </row>
    <row r="2127" spans="1:12" ht="15.75" customHeight="1" x14ac:dyDescent="0.3">
      <c r="A2127" s="10" t="s">
        <v>428</v>
      </c>
      <c r="B2127" s="10">
        <v>36.575000000000003</v>
      </c>
      <c r="C2127" s="10">
        <v>5.57</v>
      </c>
      <c r="D2127" s="16" t="s">
        <v>4687</v>
      </c>
      <c r="E2127" s="10" t="s">
        <v>4683</v>
      </c>
      <c r="F2127" s="10" t="s">
        <v>4683</v>
      </c>
      <c r="G2127" s="10" t="s">
        <v>4686</v>
      </c>
      <c r="H2127" s="14">
        <v>1</v>
      </c>
      <c r="I2127" s="10" t="s">
        <v>4683</v>
      </c>
      <c r="J2127" s="10" t="str">
        <f t="shared" si="9"/>
        <v>normalweight</v>
      </c>
      <c r="L2127" s="30" t="e">
        <v>#N/A</v>
      </c>
    </row>
    <row r="2128" spans="1:12" ht="15.75" customHeight="1" x14ac:dyDescent="0.3">
      <c r="A2128" s="10" t="s">
        <v>426</v>
      </c>
      <c r="B2128" s="10">
        <v>35.15</v>
      </c>
      <c r="C2128" s="10">
        <v>5.47</v>
      </c>
      <c r="D2128" s="16" t="s">
        <v>4687</v>
      </c>
      <c r="E2128" s="10" t="s">
        <v>4683</v>
      </c>
      <c r="F2128" s="10" t="s">
        <v>4683</v>
      </c>
      <c r="G2128" s="10" t="s">
        <v>4686</v>
      </c>
      <c r="H2128" s="14">
        <v>1</v>
      </c>
      <c r="I2128" s="10" t="s">
        <v>4683</v>
      </c>
      <c r="J2128" s="10" t="str">
        <f t="shared" si="9"/>
        <v>normalweight</v>
      </c>
      <c r="L2128" s="30" t="e">
        <v>#N/A</v>
      </c>
    </row>
    <row r="2129" spans="1:12" ht="15.75" customHeight="1" x14ac:dyDescent="0.3">
      <c r="A2129" s="10" t="s">
        <v>4434</v>
      </c>
      <c r="B2129" s="10">
        <v>32.11</v>
      </c>
      <c r="C2129" s="10">
        <v>4.43</v>
      </c>
      <c r="D2129" s="16" t="s">
        <v>4687</v>
      </c>
      <c r="E2129" s="10" t="s">
        <v>4683</v>
      </c>
      <c r="F2129" s="10" t="s">
        <v>4683</v>
      </c>
      <c r="G2129" s="10" t="s">
        <v>4686</v>
      </c>
      <c r="H2129" s="14">
        <v>1</v>
      </c>
      <c r="I2129" s="10" t="s">
        <v>4683</v>
      </c>
      <c r="J2129" s="10" t="str">
        <f t="shared" si="9"/>
        <v>normalweight</v>
      </c>
      <c r="L2129" s="30" t="e">
        <v>#N/A</v>
      </c>
    </row>
    <row r="2130" spans="1:12" ht="15.75" customHeight="1" x14ac:dyDescent="0.3">
      <c r="A2130" s="10" t="s">
        <v>424</v>
      </c>
      <c r="B2130" s="10">
        <v>30.495000000000001</v>
      </c>
      <c r="C2130" s="10">
        <v>4.95</v>
      </c>
      <c r="D2130" s="16" t="s">
        <v>4687</v>
      </c>
      <c r="E2130" s="10" t="s">
        <v>4683</v>
      </c>
      <c r="F2130" s="10" t="s">
        <v>4683</v>
      </c>
      <c r="G2130" s="10" t="s">
        <v>4686</v>
      </c>
      <c r="H2130" s="14">
        <v>1</v>
      </c>
      <c r="I2130" s="10" t="s">
        <v>4683</v>
      </c>
      <c r="J2130" s="10" t="str">
        <f t="shared" si="9"/>
        <v>normalweight</v>
      </c>
      <c r="L2130" s="30" t="e">
        <v>#N/A</v>
      </c>
    </row>
    <row r="2131" spans="1:12" ht="15.75" customHeight="1" x14ac:dyDescent="0.3">
      <c r="A2131" s="10" t="s">
        <v>422</v>
      </c>
      <c r="B2131" s="10">
        <v>29.24</v>
      </c>
      <c r="C2131" s="10">
        <v>4.04</v>
      </c>
      <c r="D2131" s="16" t="s">
        <v>4687</v>
      </c>
      <c r="E2131" s="10" t="s">
        <v>4683</v>
      </c>
      <c r="F2131" s="10" t="s">
        <v>4684</v>
      </c>
      <c r="G2131" s="10" t="s">
        <v>4683</v>
      </c>
      <c r="H2131" s="14">
        <v>1</v>
      </c>
      <c r="I2131" s="10" t="s">
        <v>4683</v>
      </c>
      <c r="J2131" s="10" t="str">
        <f t="shared" si="9"/>
        <v>normalweight</v>
      </c>
      <c r="L2131" s="30" t="e">
        <v>#N/A</v>
      </c>
    </row>
    <row r="2132" spans="1:12" ht="15.75" customHeight="1" x14ac:dyDescent="0.3">
      <c r="A2132" s="10" t="s">
        <v>420</v>
      </c>
      <c r="B2132" s="10">
        <v>22.515000000000001</v>
      </c>
      <c r="C2132" s="10">
        <v>5.93</v>
      </c>
      <c r="D2132" s="16" t="s">
        <v>4685</v>
      </c>
      <c r="E2132" s="10" t="s">
        <v>4683</v>
      </c>
      <c r="F2132" s="10" t="s">
        <v>4683</v>
      </c>
      <c r="G2132" s="10" t="s">
        <v>4686</v>
      </c>
      <c r="H2132" s="14">
        <v>1</v>
      </c>
      <c r="I2132" s="10" t="s">
        <v>4683</v>
      </c>
      <c r="J2132" s="10" t="str">
        <f t="shared" si="9"/>
        <v>normalweight</v>
      </c>
      <c r="L2132" s="30" t="e">
        <v>#N/A</v>
      </c>
    </row>
    <row r="2133" spans="1:12" ht="15.75" customHeight="1" x14ac:dyDescent="0.3">
      <c r="A2133" s="10" t="s">
        <v>418</v>
      </c>
      <c r="B2133" s="10">
        <v>15.65</v>
      </c>
      <c r="C2133" s="10">
        <v>4.2300000000000004</v>
      </c>
      <c r="D2133" s="16" t="s">
        <v>4687</v>
      </c>
      <c r="E2133" s="10" t="s">
        <v>4683</v>
      </c>
      <c r="F2133" s="10" t="s">
        <v>4683</v>
      </c>
      <c r="G2133" s="10" t="s">
        <v>4683</v>
      </c>
      <c r="H2133" s="14">
        <v>0</v>
      </c>
      <c r="I2133" s="10" t="s">
        <v>4683</v>
      </c>
      <c r="J2133" s="10" t="str">
        <f t="shared" si="9"/>
        <v>underweight</v>
      </c>
      <c r="L2133" s="30" t="e">
        <v>#N/A</v>
      </c>
    </row>
    <row r="2134" spans="1:12" ht="15.75" customHeight="1" x14ac:dyDescent="0.3">
      <c r="A2134" s="10" t="s">
        <v>416</v>
      </c>
      <c r="B2134" s="10">
        <v>27.36</v>
      </c>
      <c r="C2134" s="10">
        <v>5.59</v>
      </c>
      <c r="D2134" s="16" t="s">
        <v>4685</v>
      </c>
      <c r="E2134" s="10" t="s">
        <v>4684</v>
      </c>
      <c r="F2134" s="10" t="s">
        <v>4683</v>
      </c>
      <c r="G2134" s="10" t="s">
        <v>4683</v>
      </c>
      <c r="H2134" s="14">
        <v>0</v>
      </c>
      <c r="I2134" s="10" t="s">
        <v>4683</v>
      </c>
      <c r="J2134" s="10" t="str">
        <f t="shared" si="9"/>
        <v>normalweight</v>
      </c>
      <c r="L2134" s="30" t="e">
        <v>#N/A</v>
      </c>
    </row>
    <row r="2135" spans="1:12" ht="15.75" customHeight="1" x14ac:dyDescent="0.3">
      <c r="A2135" s="10" t="s">
        <v>414</v>
      </c>
      <c r="B2135" s="10">
        <v>22.3</v>
      </c>
      <c r="C2135" s="10">
        <v>4.8899999999999997</v>
      </c>
      <c r="D2135" s="16" t="s">
        <v>4687</v>
      </c>
      <c r="E2135" s="10" t="s">
        <v>4684</v>
      </c>
      <c r="F2135" s="10" t="s">
        <v>4683</v>
      </c>
      <c r="G2135" s="10" t="s">
        <v>4683</v>
      </c>
      <c r="H2135" s="14">
        <v>0</v>
      </c>
      <c r="I2135" s="10" t="s">
        <v>4683</v>
      </c>
      <c r="J2135" s="10" t="str">
        <f t="shared" si="9"/>
        <v>normalweight</v>
      </c>
      <c r="L2135" s="30" t="e">
        <v>#N/A</v>
      </c>
    </row>
    <row r="2136" spans="1:12" ht="15.75" customHeight="1" x14ac:dyDescent="0.3">
      <c r="A2136" s="10" t="s">
        <v>412</v>
      </c>
      <c r="B2136" s="10">
        <v>26.03</v>
      </c>
      <c r="C2136" s="10">
        <v>5.81</v>
      </c>
      <c r="D2136" s="16" t="s">
        <v>4685</v>
      </c>
      <c r="E2136" s="10" t="s">
        <v>4684</v>
      </c>
      <c r="F2136" s="10" t="s">
        <v>4683</v>
      </c>
      <c r="G2136" s="10" t="s">
        <v>4683</v>
      </c>
      <c r="H2136" s="14">
        <v>0</v>
      </c>
      <c r="I2136" s="10" t="s">
        <v>4683</v>
      </c>
      <c r="J2136" s="10" t="str">
        <f t="shared" si="9"/>
        <v>normalweight</v>
      </c>
      <c r="L2136" s="30" t="e">
        <v>#N/A</v>
      </c>
    </row>
    <row r="2137" spans="1:12" ht="15.75" customHeight="1" x14ac:dyDescent="0.3">
      <c r="A2137" s="10" t="s">
        <v>410</v>
      </c>
      <c r="B2137" s="10">
        <v>27.74</v>
      </c>
      <c r="C2137" s="10">
        <v>4.29</v>
      </c>
      <c r="D2137" s="16" t="s">
        <v>4687</v>
      </c>
      <c r="E2137" s="10" t="s">
        <v>4683</v>
      </c>
      <c r="F2137" s="10" t="s">
        <v>4684</v>
      </c>
      <c r="G2137" s="10" t="s">
        <v>4683</v>
      </c>
      <c r="H2137" s="14">
        <v>1</v>
      </c>
      <c r="I2137" s="10" t="s">
        <v>4683</v>
      </c>
      <c r="J2137" s="10" t="str">
        <f t="shared" si="9"/>
        <v>normalweight</v>
      </c>
      <c r="L2137" s="30" t="e">
        <v>#N/A</v>
      </c>
    </row>
    <row r="2138" spans="1:12" ht="15.75" customHeight="1" x14ac:dyDescent="0.3">
      <c r="A2138" s="10" t="s">
        <v>408</v>
      </c>
      <c r="B2138" s="10">
        <v>32.11</v>
      </c>
      <c r="C2138" s="10">
        <v>4.03</v>
      </c>
      <c r="D2138" s="16" t="s">
        <v>4687</v>
      </c>
      <c r="E2138" s="10" t="s">
        <v>4684</v>
      </c>
      <c r="F2138" s="10" t="s">
        <v>4684</v>
      </c>
      <c r="G2138" s="10" t="s">
        <v>4683</v>
      </c>
      <c r="H2138" s="14">
        <v>2</v>
      </c>
      <c r="I2138" s="10" t="s">
        <v>4683</v>
      </c>
      <c r="J2138" s="10" t="str">
        <f t="shared" si="9"/>
        <v>normalweight</v>
      </c>
      <c r="L2138" s="30" t="e">
        <v>#N/A</v>
      </c>
    </row>
    <row r="2139" spans="1:12" ht="15.75" customHeight="1" x14ac:dyDescent="0.3">
      <c r="A2139" s="10" t="s">
        <v>406</v>
      </c>
      <c r="B2139" s="10">
        <v>25.175000000000001</v>
      </c>
      <c r="C2139" s="10">
        <v>6.29</v>
      </c>
      <c r="D2139" s="16" t="s">
        <v>4685</v>
      </c>
      <c r="E2139" s="10" t="s">
        <v>4684</v>
      </c>
      <c r="F2139" s="10" t="s">
        <v>4684</v>
      </c>
      <c r="G2139" s="10" t="s">
        <v>4683</v>
      </c>
      <c r="H2139" s="14">
        <v>2</v>
      </c>
      <c r="I2139" s="10" t="s">
        <v>4683</v>
      </c>
      <c r="J2139" s="10" t="str">
        <f t="shared" si="9"/>
        <v>normalweight</v>
      </c>
      <c r="L2139" s="30" t="e">
        <v>#N/A</v>
      </c>
    </row>
    <row r="2140" spans="1:12" ht="15.75" customHeight="1" x14ac:dyDescent="0.3">
      <c r="A2140" s="10" t="s">
        <v>404</v>
      </c>
      <c r="B2140" s="10">
        <v>39.49</v>
      </c>
      <c r="C2140" s="10">
        <v>4.4800000000000004</v>
      </c>
      <c r="D2140" s="16" t="s">
        <v>4687</v>
      </c>
      <c r="E2140" s="10" t="s">
        <v>4684</v>
      </c>
      <c r="F2140" s="10" t="s">
        <v>4683</v>
      </c>
      <c r="G2140" s="10" t="s">
        <v>4683</v>
      </c>
      <c r="H2140" s="14">
        <v>0</v>
      </c>
      <c r="I2140" s="10" t="s">
        <v>4683</v>
      </c>
      <c r="J2140" s="10" t="str">
        <f t="shared" si="9"/>
        <v>normalweight</v>
      </c>
      <c r="L2140" s="30" t="e">
        <v>#N/A</v>
      </c>
    </row>
    <row r="2141" spans="1:12" ht="15.75" customHeight="1" x14ac:dyDescent="0.3">
      <c r="A2141" s="10" t="s">
        <v>402</v>
      </c>
      <c r="B2141" s="10">
        <v>34.869999999999997</v>
      </c>
      <c r="C2141" s="10">
        <v>5.51</v>
      </c>
      <c r="D2141" s="16" t="s">
        <v>4687</v>
      </c>
      <c r="E2141" s="10" t="s">
        <v>4684</v>
      </c>
      <c r="F2141" s="10" t="s">
        <v>4683</v>
      </c>
      <c r="G2141" s="10" t="s">
        <v>4683</v>
      </c>
      <c r="H2141" s="14">
        <v>0</v>
      </c>
      <c r="I2141" s="10" t="s">
        <v>4683</v>
      </c>
      <c r="J2141" s="10" t="str">
        <f t="shared" si="9"/>
        <v>normalweight</v>
      </c>
      <c r="L2141" s="30" t="e">
        <v>#N/A</v>
      </c>
    </row>
    <row r="2142" spans="1:12" ht="15.75" customHeight="1" x14ac:dyDescent="0.3">
      <c r="A2142" s="10" t="s">
        <v>400</v>
      </c>
      <c r="B2142" s="10">
        <v>34.6</v>
      </c>
      <c r="C2142" s="10">
        <v>4.5</v>
      </c>
      <c r="D2142" s="16" t="s">
        <v>4687</v>
      </c>
      <c r="E2142" s="10" t="s">
        <v>4684</v>
      </c>
      <c r="F2142" s="10" t="s">
        <v>4683</v>
      </c>
      <c r="G2142" s="10" t="s">
        <v>4683</v>
      </c>
      <c r="H2142" s="14">
        <v>0</v>
      </c>
      <c r="I2142" s="10" t="s">
        <v>4683</v>
      </c>
      <c r="J2142" s="10" t="str">
        <f t="shared" si="9"/>
        <v>normalweight</v>
      </c>
      <c r="L2142" s="30" t="e">
        <v>#N/A</v>
      </c>
    </row>
    <row r="2143" spans="1:12" ht="15.75" customHeight="1" x14ac:dyDescent="0.3">
      <c r="A2143" s="10" t="s">
        <v>398</v>
      </c>
      <c r="B2143" s="10">
        <v>25.8</v>
      </c>
      <c r="C2143" s="10">
        <v>6.29</v>
      </c>
      <c r="D2143" s="16" t="s">
        <v>4685</v>
      </c>
      <c r="E2143" s="10" t="s">
        <v>4684</v>
      </c>
      <c r="F2143" s="10" t="s">
        <v>4683</v>
      </c>
      <c r="G2143" s="10" t="s">
        <v>4683</v>
      </c>
      <c r="H2143" s="14">
        <v>0</v>
      </c>
      <c r="I2143" s="10" t="s">
        <v>4683</v>
      </c>
      <c r="J2143" s="10" t="str">
        <f t="shared" si="9"/>
        <v>normalweight</v>
      </c>
      <c r="L2143" s="30" t="e">
        <v>#N/A</v>
      </c>
    </row>
    <row r="2144" spans="1:12" ht="15.75" customHeight="1" x14ac:dyDescent="0.3">
      <c r="A2144" s="10" t="s">
        <v>396</v>
      </c>
      <c r="B2144" s="10">
        <v>35.86</v>
      </c>
      <c r="C2144" s="10">
        <v>4.33</v>
      </c>
      <c r="D2144" s="16" t="s">
        <v>4687</v>
      </c>
      <c r="E2144" s="10" t="s">
        <v>4683</v>
      </c>
      <c r="F2144" s="10" t="s">
        <v>4683</v>
      </c>
      <c r="G2144" s="10" t="s">
        <v>4683</v>
      </c>
      <c r="H2144" s="14">
        <v>1</v>
      </c>
      <c r="I2144" s="10" t="s">
        <v>4683</v>
      </c>
      <c r="J2144" s="10" t="str">
        <f t="shared" si="9"/>
        <v>normalweight</v>
      </c>
      <c r="L2144" s="30" t="e">
        <v>#N/A</v>
      </c>
    </row>
    <row r="2145" spans="1:12" ht="15.75" customHeight="1" x14ac:dyDescent="0.3">
      <c r="A2145" s="10" t="s">
        <v>394</v>
      </c>
      <c r="B2145" s="10">
        <v>40.47</v>
      </c>
      <c r="C2145" s="10">
        <v>11.15</v>
      </c>
      <c r="D2145" s="16" t="s">
        <v>4682</v>
      </c>
      <c r="E2145" s="10" t="s">
        <v>4683</v>
      </c>
      <c r="F2145" s="10" t="s">
        <v>4683</v>
      </c>
      <c r="G2145" s="10" t="s">
        <v>4683</v>
      </c>
      <c r="H2145" s="14">
        <v>0</v>
      </c>
      <c r="I2145" s="10" t="s">
        <v>4683</v>
      </c>
      <c r="J2145" s="10" t="str">
        <f t="shared" si="9"/>
        <v>normalweight</v>
      </c>
      <c r="L2145" s="30" t="e">
        <v>#N/A</v>
      </c>
    </row>
    <row r="2146" spans="1:12" ht="15.75" customHeight="1" x14ac:dyDescent="0.3">
      <c r="A2146" s="10" t="s">
        <v>392</v>
      </c>
      <c r="B2146" s="10">
        <v>32.01</v>
      </c>
      <c r="C2146" s="10">
        <v>6.45</v>
      </c>
      <c r="D2146" s="16" t="s">
        <v>4685</v>
      </c>
      <c r="E2146" s="10" t="s">
        <v>4683</v>
      </c>
      <c r="F2146" s="10" t="s">
        <v>4683</v>
      </c>
      <c r="G2146" s="10" t="s">
        <v>4683</v>
      </c>
      <c r="H2146" s="14">
        <v>1</v>
      </c>
      <c r="I2146" s="10" t="s">
        <v>4683</v>
      </c>
      <c r="J2146" s="10" t="str">
        <f t="shared" si="9"/>
        <v>normalweight</v>
      </c>
      <c r="L2146" s="30" t="e">
        <v>#N/A</v>
      </c>
    </row>
    <row r="2147" spans="1:12" ht="15.75" customHeight="1" x14ac:dyDescent="0.3">
      <c r="A2147" s="10" t="s">
        <v>390</v>
      </c>
      <c r="B2147" s="10">
        <v>33</v>
      </c>
      <c r="C2147" s="10">
        <v>9.27</v>
      </c>
      <c r="D2147" s="16" t="s">
        <v>4682</v>
      </c>
      <c r="E2147" s="10" t="s">
        <v>4683</v>
      </c>
      <c r="F2147" s="10" t="s">
        <v>4683</v>
      </c>
      <c r="G2147" s="10" t="s">
        <v>4683</v>
      </c>
      <c r="H2147" s="14">
        <v>0</v>
      </c>
      <c r="I2147" s="10" t="s">
        <v>4683</v>
      </c>
      <c r="J2147" s="10" t="str">
        <f t="shared" si="9"/>
        <v>normalweight</v>
      </c>
      <c r="L2147" s="30" t="e">
        <v>#N/A</v>
      </c>
    </row>
    <row r="2148" spans="1:12" ht="15.75" customHeight="1" x14ac:dyDescent="0.3">
      <c r="A2148" s="10" t="s">
        <v>388</v>
      </c>
      <c r="B2148" s="10">
        <v>29.3</v>
      </c>
      <c r="C2148" s="10">
        <v>6.15</v>
      </c>
      <c r="D2148" s="16" t="s">
        <v>4685</v>
      </c>
      <c r="E2148" s="10" t="s">
        <v>4683</v>
      </c>
      <c r="F2148" s="10" t="s">
        <v>4683</v>
      </c>
      <c r="G2148" s="10" t="s">
        <v>4683</v>
      </c>
      <c r="H2148" s="14">
        <v>1</v>
      </c>
      <c r="I2148" s="10" t="s">
        <v>4683</v>
      </c>
      <c r="J2148" s="10" t="str">
        <f t="shared" si="9"/>
        <v>normalweight</v>
      </c>
      <c r="L2148" s="30" t="e">
        <v>#N/A</v>
      </c>
    </row>
    <row r="2149" spans="1:12" ht="15.75" customHeight="1" x14ac:dyDescent="0.3">
      <c r="A2149" s="10" t="s">
        <v>386</v>
      </c>
      <c r="B2149" s="10">
        <v>25.8</v>
      </c>
      <c r="C2149" s="10">
        <v>4.13</v>
      </c>
      <c r="D2149" s="16" t="s">
        <v>4687</v>
      </c>
      <c r="E2149" s="10" t="s">
        <v>4683</v>
      </c>
      <c r="F2149" s="10" t="s">
        <v>4683</v>
      </c>
      <c r="G2149" s="10" t="s">
        <v>4683</v>
      </c>
      <c r="H2149" s="14">
        <v>1</v>
      </c>
      <c r="I2149" s="10" t="s">
        <v>4683</v>
      </c>
      <c r="J2149" s="10" t="str">
        <f t="shared" si="9"/>
        <v>normalweight</v>
      </c>
      <c r="L2149" s="30" t="e">
        <v>#N/A</v>
      </c>
    </row>
    <row r="2150" spans="1:12" ht="15.75" customHeight="1" x14ac:dyDescent="0.3">
      <c r="A2150" s="10" t="s">
        <v>384</v>
      </c>
      <c r="B2150" s="10">
        <v>23.4</v>
      </c>
      <c r="C2150" s="10">
        <v>4.24</v>
      </c>
      <c r="D2150" s="16" t="s">
        <v>4687</v>
      </c>
      <c r="E2150" s="10" t="s">
        <v>4683</v>
      </c>
      <c r="F2150" s="10" t="s">
        <v>4683</v>
      </c>
      <c r="G2150" s="10" t="s">
        <v>4683</v>
      </c>
      <c r="H2150" s="14">
        <v>1</v>
      </c>
      <c r="I2150" s="10" t="s">
        <v>4683</v>
      </c>
      <c r="J2150" s="10" t="str">
        <f t="shared" si="9"/>
        <v>normalweight</v>
      </c>
      <c r="L2150" s="30" t="e">
        <v>#N/A</v>
      </c>
    </row>
    <row r="2151" spans="1:12" ht="15.75" customHeight="1" x14ac:dyDescent="0.3">
      <c r="A2151" s="10" t="s">
        <v>382</v>
      </c>
      <c r="B2151" s="10">
        <v>27.93</v>
      </c>
      <c r="C2151" s="10">
        <v>9.8800000000000008</v>
      </c>
      <c r="D2151" s="16" t="s">
        <v>4682</v>
      </c>
      <c r="E2151" s="10" t="s">
        <v>4683</v>
      </c>
      <c r="F2151" s="10" t="s">
        <v>4683</v>
      </c>
      <c r="G2151" s="10" t="s">
        <v>4683</v>
      </c>
      <c r="H2151" s="14">
        <v>0</v>
      </c>
      <c r="I2151" s="10" t="s">
        <v>4683</v>
      </c>
      <c r="J2151" s="10" t="str">
        <f t="shared" si="9"/>
        <v>normalweight</v>
      </c>
      <c r="L2151" s="30" t="e">
        <v>#N/A</v>
      </c>
    </row>
    <row r="2152" spans="1:12" ht="15.75" customHeight="1" x14ac:dyDescent="0.3">
      <c r="A2152" s="10" t="s">
        <v>380</v>
      </c>
      <c r="B2152" s="10">
        <v>22</v>
      </c>
      <c r="C2152" s="10">
        <v>9.5</v>
      </c>
      <c r="D2152" s="16" t="s">
        <v>4682</v>
      </c>
      <c r="E2152" s="10" t="s">
        <v>4683</v>
      </c>
      <c r="F2152" s="10" t="s">
        <v>4683</v>
      </c>
      <c r="G2152" s="10" t="s">
        <v>4683</v>
      </c>
      <c r="H2152" s="14">
        <v>0</v>
      </c>
      <c r="I2152" s="10" t="s">
        <v>4683</v>
      </c>
      <c r="J2152" s="10" t="str">
        <f t="shared" si="9"/>
        <v>normalweight</v>
      </c>
      <c r="L2152" s="30" t="e">
        <v>#N/A</v>
      </c>
    </row>
    <row r="2153" spans="1:12" ht="15.75" customHeight="1" x14ac:dyDescent="0.3">
      <c r="A2153" s="10" t="s">
        <v>378</v>
      </c>
      <c r="B2153" s="10">
        <v>36.86</v>
      </c>
      <c r="C2153" s="10">
        <v>4.97</v>
      </c>
      <c r="D2153" s="16" t="s">
        <v>4687</v>
      </c>
      <c r="E2153" s="10" t="s">
        <v>4684</v>
      </c>
      <c r="F2153" s="10" t="s">
        <v>4683</v>
      </c>
      <c r="G2153" s="10" t="s">
        <v>4683</v>
      </c>
      <c r="H2153" s="14">
        <v>0</v>
      </c>
      <c r="I2153" s="10" t="s">
        <v>4683</v>
      </c>
      <c r="J2153" s="10" t="str">
        <f t="shared" si="9"/>
        <v>normalweight</v>
      </c>
      <c r="L2153" s="30" t="e">
        <v>#N/A</v>
      </c>
    </row>
    <row r="2154" spans="1:12" ht="15.75" customHeight="1" x14ac:dyDescent="0.3">
      <c r="A2154" s="10" t="s">
        <v>376</v>
      </c>
      <c r="B2154" s="10">
        <v>31.254999999999999</v>
      </c>
      <c r="C2154" s="10">
        <v>5.49</v>
      </c>
      <c r="D2154" s="16" t="s">
        <v>4687</v>
      </c>
      <c r="E2154" s="10" t="s">
        <v>4684</v>
      </c>
      <c r="F2154" s="10" t="s">
        <v>4683</v>
      </c>
      <c r="G2154" s="10" t="s">
        <v>4683</v>
      </c>
      <c r="H2154" s="14">
        <v>0</v>
      </c>
      <c r="I2154" s="10" t="s">
        <v>4683</v>
      </c>
      <c r="J2154" s="10" t="str">
        <f t="shared" si="9"/>
        <v>normalweight</v>
      </c>
      <c r="L2154" s="30" t="e">
        <v>#N/A</v>
      </c>
    </row>
    <row r="2155" spans="1:12" ht="15.75" customHeight="1" x14ac:dyDescent="0.3">
      <c r="A2155" s="10" t="s">
        <v>374</v>
      </c>
      <c r="B2155" s="10">
        <v>23.06</v>
      </c>
      <c r="C2155" s="10">
        <v>4.47</v>
      </c>
      <c r="D2155" s="16" t="s">
        <v>4687</v>
      </c>
      <c r="E2155" s="10" t="s">
        <v>4683</v>
      </c>
      <c r="F2155" s="10" t="s">
        <v>4683</v>
      </c>
      <c r="G2155" s="10" t="s">
        <v>4683</v>
      </c>
      <c r="H2155" s="14">
        <v>0</v>
      </c>
      <c r="I2155" s="10" t="s">
        <v>4683</v>
      </c>
      <c r="J2155" s="10" t="str">
        <f t="shared" si="9"/>
        <v>normalweight</v>
      </c>
      <c r="L2155" s="30" t="e">
        <v>#N/A</v>
      </c>
    </row>
    <row r="2156" spans="1:12" ht="15.75" customHeight="1" x14ac:dyDescent="0.3">
      <c r="A2156" s="10" t="s">
        <v>372</v>
      </c>
      <c r="B2156" s="10">
        <v>28.975000000000001</v>
      </c>
      <c r="C2156" s="10">
        <v>4.34</v>
      </c>
      <c r="D2156" s="16" t="s">
        <v>4687</v>
      </c>
      <c r="E2156" s="10" t="s">
        <v>4684</v>
      </c>
      <c r="F2156" s="10" t="s">
        <v>4683</v>
      </c>
      <c r="G2156" s="10" t="s">
        <v>4683</v>
      </c>
      <c r="H2156" s="14">
        <v>0</v>
      </c>
      <c r="I2156" s="10" t="s">
        <v>4683</v>
      </c>
      <c r="J2156" s="10" t="str">
        <f t="shared" si="9"/>
        <v>normalweight</v>
      </c>
      <c r="L2156" s="30" t="e">
        <v>#N/A</v>
      </c>
    </row>
    <row r="2157" spans="1:12" ht="15.75" customHeight="1" x14ac:dyDescent="0.3">
      <c r="A2157" s="10" t="s">
        <v>370</v>
      </c>
      <c r="B2157" s="10">
        <v>33.299999999999997</v>
      </c>
      <c r="C2157" s="10">
        <v>9.49</v>
      </c>
      <c r="D2157" s="16" t="s">
        <v>4682</v>
      </c>
      <c r="E2157" s="10" t="s">
        <v>4683</v>
      </c>
      <c r="F2157" s="10" t="s">
        <v>4683</v>
      </c>
      <c r="G2157" s="10" t="s">
        <v>4683</v>
      </c>
      <c r="H2157" s="14">
        <v>0</v>
      </c>
      <c r="I2157" s="10" t="s">
        <v>4683</v>
      </c>
      <c r="J2157" s="10" t="str">
        <f t="shared" si="9"/>
        <v>normalweight</v>
      </c>
      <c r="L2157" s="30" t="e">
        <v>#N/A</v>
      </c>
    </row>
    <row r="2158" spans="1:12" ht="15.75" customHeight="1" x14ac:dyDescent="0.3">
      <c r="A2158" s="10" t="s">
        <v>4434</v>
      </c>
      <c r="B2158" s="10">
        <v>33</v>
      </c>
      <c r="C2158" s="10">
        <v>10.16</v>
      </c>
      <c r="D2158" s="16" t="s">
        <v>4682</v>
      </c>
      <c r="E2158" s="10" t="s">
        <v>4683</v>
      </c>
      <c r="F2158" s="10" t="s">
        <v>4683</v>
      </c>
      <c r="G2158" s="10" t="s">
        <v>4683</v>
      </c>
      <c r="H2158" s="14">
        <v>0</v>
      </c>
      <c r="I2158" s="10" t="s">
        <v>4683</v>
      </c>
      <c r="J2158" s="10" t="str">
        <f t="shared" si="9"/>
        <v>normalweight</v>
      </c>
      <c r="L2158" s="30" t="e">
        <v>#N/A</v>
      </c>
    </row>
    <row r="2159" spans="1:12" ht="15.75" customHeight="1" x14ac:dyDescent="0.3">
      <c r="A2159" s="10" t="s">
        <v>368</v>
      </c>
      <c r="B2159" s="10">
        <v>31.46</v>
      </c>
      <c r="C2159" s="10">
        <v>11.19</v>
      </c>
      <c r="D2159" s="16" t="s">
        <v>4682</v>
      </c>
      <c r="E2159" s="10" t="s">
        <v>4683</v>
      </c>
      <c r="F2159" s="10" t="s">
        <v>4683</v>
      </c>
      <c r="G2159" s="10" t="s">
        <v>4683</v>
      </c>
      <c r="H2159" s="14">
        <v>0</v>
      </c>
      <c r="I2159" s="10" t="s">
        <v>4683</v>
      </c>
      <c r="J2159" s="10" t="str">
        <f t="shared" si="9"/>
        <v>normalweight</v>
      </c>
      <c r="L2159" s="30" t="e">
        <v>#N/A</v>
      </c>
    </row>
    <row r="2160" spans="1:12" ht="15.75" customHeight="1" x14ac:dyDescent="0.3">
      <c r="A2160" s="10" t="s">
        <v>366</v>
      </c>
      <c r="B2160" s="10">
        <v>29.6</v>
      </c>
      <c r="C2160" s="10">
        <v>11.03</v>
      </c>
      <c r="D2160" s="16" t="s">
        <v>4682</v>
      </c>
      <c r="E2160" s="10" t="s">
        <v>4683</v>
      </c>
      <c r="F2160" s="10" t="s">
        <v>4683</v>
      </c>
      <c r="G2160" s="10" t="s">
        <v>4683</v>
      </c>
      <c r="H2160" s="14">
        <v>0</v>
      </c>
      <c r="I2160" s="10" t="s">
        <v>4683</v>
      </c>
      <c r="J2160" s="10" t="str">
        <f t="shared" si="9"/>
        <v>normalweight</v>
      </c>
      <c r="L2160" s="30" t="e">
        <v>#N/A</v>
      </c>
    </row>
    <row r="2161" spans="1:12" ht="15.75" customHeight="1" x14ac:dyDescent="0.3">
      <c r="A2161" s="10" t="s">
        <v>364</v>
      </c>
      <c r="B2161" s="10">
        <v>22.05</v>
      </c>
      <c r="C2161" s="10">
        <v>4.43</v>
      </c>
      <c r="D2161" s="16" t="s">
        <v>4687</v>
      </c>
      <c r="E2161" s="10" t="s">
        <v>4684</v>
      </c>
      <c r="F2161" s="10" t="s">
        <v>4683</v>
      </c>
      <c r="G2161" s="10" t="s">
        <v>4683</v>
      </c>
      <c r="H2161" s="14">
        <v>0</v>
      </c>
      <c r="I2161" s="10" t="s">
        <v>4683</v>
      </c>
      <c r="J2161" s="10" t="str">
        <f t="shared" si="9"/>
        <v>normalweight</v>
      </c>
      <c r="L2161" s="30" t="e">
        <v>#N/A</v>
      </c>
    </row>
    <row r="2162" spans="1:12" ht="15.75" customHeight="1" x14ac:dyDescent="0.3">
      <c r="A2162" s="10" t="s">
        <v>362</v>
      </c>
      <c r="B2162" s="10">
        <v>27.06</v>
      </c>
      <c r="C2162" s="10">
        <v>6.14</v>
      </c>
      <c r="D2162" s="16" t="s">
        <v>4685</v>
      </c>
      <c r="E2162" s="10" t="s">
        <v>4683</v>
      </c>
      <c r="F2162" s="10" t="s">
        <v>4684</v>
      </c>
      <c r="G2162" s="10" t="s">
        <v>4683</v>
      </c>
      <c r="H2162" s="14">
        <v>1</v>
      </c>
      <c r="I2162" s="10" t="s">
        <v>4683</v>
      </c>
      <c r="J2162" s="10" t="str">
        <f t="shared" si="9"/>
        <v>normalweight</v>
      </c>
      <c r="L2162" s="30" t="e">
        <v>#N/A</v>
      </c>
    </row>
    <row r="2163" spans="1:12" ht="15.75" customHeight="1" x14ac:dyDescent="0.3">
      <c r="A2163" s="10" t="s">
        <v>360</v>
      </c>
      <c r="B2163" s="10">
        <v>20.49</v>
      </c>
      <c r="C2163" s="10">
        <v>4.87</v>
      </c>
      <c r="D2163" s="16" t="s">
        <v>4687</v>
      </c>
      <c r="E2163" s="10" t="s">
        <v>4683</v>
      </c>
      <c r="F2163" s="10" t="s">
        <v>4683</v>
      </c>
      <c r="G2163" s="10" t="s">
        <v>4683</v>
      </c>
      <c r="H2163" s="14">
        <v>0</v>
      </c>
      <c r="I2163" s="10" t="s">
        <v>4683</v>
      </c>
      <c r="J2163" s="10" t="str">
        <f t="shared" si="9"/>
        <v>normalweight</v>
      </c>
      <c r="L2163" s="30" t="e">
        <v>#N/A</v>
      </c>
    </row>
    <row r="2164" spans="1:12" ht="15.75" customHeight="1" x14ac:dyDescent="0.3">
      <c r="A2164" s="10" t="s">
        <v>358</v>
      </c>
      <c r="B2164" s="10">
        <v>28.4</v>
      </c>
      <c r="C2164" s="10">
        <v>4.3</v>
      </c>
      <c r="D2164" s="16" t="s">
        <v>4687</v>
      </c>
      <c r="E2164" s="10" t="s">
        <v>4683</v>
      </c>
      <c r="F2164" s="10" t="s">
        <v>4683</v>
      </c>
      <c r="G2164" s="10" t="s">
        <v>4686</v>
      </c>
      <c r="H2164" s="14">
        <v>1</v>
      </c>
      <c r="I2164" s="10" t="s">
        <v>4683</v>
      </c>
      <c r="J2164" s="10" t="str">
        <f t="shared" si="9"/>
        <v>normalweight</v>
      </c>
      <c r="L2164" s="30" t="e">
        <v>#N/A</v>
      </c>
    </row>
    <row r="2165" spans="1:12" ht="15.75" customHeight="1" x14ac:dyDescent="0.3">
      <c r="A2165" s="10" t="s">
        <v>356</v>
      </c>
      <c r="B2165" s="10">
        <v>41.91</v>
      </c>
      <c r="C2165" s="10">
        <v>6.19</v>
      </c>
      <c r="D2165" s="16" t="s">
        <v>4685</v>
      </c>
      <c r="E2165" s="10" t="s">
        <v>4683</v>
      </c>
      <c r="F2165" s="10" t="s">
        <v>4683</v>
      </c>
      <c r="G2165" s="10" t="s">
        <v>4683</v>
      </c>
      <c r="H2165" s="14">
        <v>0</v>
      </c>
      <c r="I2165" s="10" t="s">
        <v>4683</v>
      </c>
      <c r="J2165" s="10" t="str">
        <f t="shared" si="9"/>
        <v>normalweight</v>
      </c>
      <c r="L2165" s="30" t="e">
        <v>#N/A</v>
      </c>
    </row>
    <row r="2166" spans="1:12" ht="15.75" customHeight="1" x14ac:dyDescent="0.3">
      <c r="A2166" s="10" t="s">
        <v>354</v>
      </c>
      <c r="B2166" s="10">
        <v>24.6</v>
      </c>
      <c r="C2166" s="10">
        <v>6.19</v>
      </c>
      <c r="D2166" s="16" t="s">
        <v>4685</v>
      </c>
      <c r="E2166" s="10" t="s">
        <v>4683</v>
      </c>
      <c r="F2166" s="10" t="s">
        <v>4683</v>
      </c>
      <c r="G2166" s="10" t="s">
        <v>4686</v>
      </c>
      <c r="H2166" s="14">
        <v>1</v>
      </c>
      <c r="I2166" s="10" t="s">
        <v>4683</v>
      </c>
      <c r="J2166" s="10" t="str">
        <f t="shared" si="9"/>
        <v>normalweight</v>
      </c>
      <c r="L2166" s="30" t="e">
        <v>#N/A</v>
      </c>
    </row>
    <row r="2167" spans="1:12" ht="15.75" customHeight="1" x14ac:dyDescent="0.3">
      <c r="A2167" s="10" t="s">
        <v>352</v>
      </c>
      <c r="B2167" s="10">
        <v>20.9</v>
      </c>
      <c r="C2167" s="10">
        <v>5.12</v>
      </c>
      <c r="D2167" s="16" t="s">
        <v>4687</v>
      </c>
      <c r="E2167" s="10" t="s">
        <v>4683</v>
      </c>
      <c r="F2167" s="10" t="s">
        <v>4683</v>
      </c>
      <c r="G2167" s="10" t="s">
        <v>4686</v>
      </c>
      <c r="H2167" s="14">
        <v>1</v>
      </c>
      <c r="I2167" s="10" t="s">
        <v>4683</v>
      </c>
      <c r="J2167" s="10" t="str">
        <f t="shared" si="9"/>
        <v>normalweight</v>
      </c>
      <c r="L2167" s="30" t="e">
        <v>#N/A</v>
      </c>
    </row>
    <row r="2168" spans="1:12" ht="15.75" customHeight="1" x14ac:dyDescent="0.3">
      <c r="A2168" s="10" t="s">
        <v>350</v>
      </c>
      <c r="B2168" s="10">
        <v>34.4</v>
      </c>
      <c r="C2168" s="10">
        <v>4.04</v>
      </c>
      <c r="D2168" s="16" t="s">
        <v>4687</v>
      </c>
      <c r="E2168" s="10" t="s">
        <v>4683</v>
      </c>
      <c r="F2168" s="10" t="s">
        <v>4683</v>
      </c>
      <c r="G2168" s="10" t="s">
        <v>4683</v>
      </c>
      <c r="H2168" s="14">
        <v>0</v>
      </c>
      <c r="I2168" s="10" t="s">
        <v>4683</v>
      </c>
      <c r="J2168" s="10" t="str">
        <f t="shared" si="9"/>
        <v>normalweight</v>
      </c>
      <c r="L2168" s="30" t="e">
        <v>#N/A</v>
      </c>
    </row>
    <row r="2169" spans="1:12" ht="15.75" customHeight="1" x14ac:dyDescent="0.3">
      <c r="A2169" s="10" t="s">
        <v>348</v>
      </c>
      <c r="B2169" s="10">
        <v>32.56</v>
      </c>
      <c r="C2169" s="10">
        <v>5.36</v>
      </c>
      <c r="D2169" s="16" t="s">
        <v>4687</v>
      </c>
      <c r="E2169" s="10" t="s">
        <v>4683</v>
      </c>
      <c r="F2169" s="10" t="s">
        <v>4683</v>
      </c>
      <c r="G2169" s="10" t="s">
        <v>4683</v>
      </c>
      <c r="H2169" s="14">
        <v>0</v>
      </c>
      <c r="I2169" s="10" t="s">
        <v>4683</v>
      </c>
      <c r="J2169" s="10" t="str">
        <f t="shared" si="9"/>
        <v>normalweight</v>
      </c>
      <c r="L2169" s="30" t="e">
        <v>#N/A</v>
      </c>
    </row>
    <row r="2170" spans="1:12" ht="15.75" customHeight="1" x14ac:dyDescent="0.3">
      <c r="A2170" s="10" t="s">
        <v>346</v>
      </c>
      <c r="B2170" s="10">
        <v>27.98</v>
      </c>
      <c r="C2170" s="10">
        <v>4.38</v>
      </c>
      <c r="D2170" s="16" t="s">
        <v>4687</v>
      </c>
      <c r="E2170" s="10" t="s">
        <v>4683</v>
      </c>
      <c r="F2170" s="10" t="s">
        <v>4684</v>
      </c>
      <c r="G2170" s="10" t="s">
        <v>4683</v>
      </c>
      <c r="H2170" s="14">
        <v>1</v>
      </c>
      <c r="I2170" s="10" t="s">
        <v>4683</v>
      </c>
      <c r="J2170" s="10" t="str">
        <f t="shared" si="9"/>
        <v>normalweight</v>
      </c>
      <c r="L2170" s="30" t="e">
        <v>#N/A</v>
      </c>
    </row>
    <row r="2171" spans="1:12" ht="15.75" customHeight="1" x14ac:dyDescent="0.3">
      <c r="A2171" s="10" t="s">
        <v>344</v>
      </c>
      <c r="B2171" s="10">
        <v>26.51</v>
      </c>
      <c r="C2171" s="10">
        <v>4.58</v>
      </c>
      <c r="D2171" s="16" t="s">
        <v>4687</v>
      </c>
      <c r="E2171" s="10" t="s">
        <v>4683</v>
      </c>
      <c r="F2171" s="10" t="s">
        <v>4683</v>
      </c>
      <c r="G2171" s="10" t="s">
        <v>4683</v>
      </c>
      <c r="H2171" s="14">
        <v>0</v>
      </c>
      <c r="I2171" s="10" t="s">
        <v>4683</v>
      </c>
      <c r="J2171" s="10" t="str">
        <f t="shared" si="9"/>
        <v>normalweight</v>
      </c>
      <c r="L2171" s="30" t="e">
        <v>#N/A</v>
      </c>
    </row>
    <row r="2172" spans="1:12" ht="15.75" customHeight="1" x14ac:dyDescent="0.3">
      <c r="A2172" s="10" t="s">
        <v>342</v>
      </c>
      <c r="B2172" s="10">
        <v>29.734999999999999</v>
      </c>
      <c r="C2172" s="10">
        <v>11.92</v>
      </c>
      <c r="D2172" s="16" t="s">
        <v>4682</v>
      </c>
      <c r="E2172" s="10" t="s">
        <v>4683</v>
      </c>
      <c r="F2172" s="10" t="s">
        <v>4683</v>
      </c>
      <c r="G2172" s="10" t="s">
        <v>4683</v>
      </c>
      <c r="H2172" s="14">
        <v>0</v>
      </c>
      <c r="I2172" s="10" t="s">
        <v>4683</v>
      </c>
      <c r="J2172" s="10" t="str">
        <f t="shared" si="9"/>
        <v>normalweight</v>
      </c>
      <c r="L2172" s="30" t="e">
        <v>#N/A</v>
      </c>
    </row>
    <row r="2173" spans="1:12" ht="15.75" customHeight="1" x14ac:dyDescent="0.3">
      <c r="A2173" s="10" t="s">
        <v>340</v>
      </c>
      <c r="B2173" s="10">
        <v>40.5</v>
      </c>
      <c r="C2173" s="10">
        <v>5.4</v>
      </c>
      <c r="D2173" s="16" t="s">
        <v>4687</v>
      </c>
      <c r="E2173" s="10" t="s">
        <v>4683</v>
      </c>
      <c r="F2173" s="10" t="s">
        <v>4683</v>
      </c>
      <c r="G2173" s="10" t="s">
        <v>4686</v>
      </c>
      <c r="H2173" s="14">
        <v>1</v>
      </c>
      <c r="I2173" s="10" t="s">
        <v>4683</v>
      </c>
      <c r="J2173" s="10" t="str">
        <f t="shared" si="9"/>
        <v>normalweight</v>
      </c>
      <c r="L2173" s="30" t="e">
        <v>#N/A</v>
      </c>
    </row>
    <row r="2174" spans="1:12" ht="15.75" customHeight="1" x14ac:dyDescent="0.3">
      <c r="A2174" s="10" t="s">
        <v>338</v>
      </c>
      <c r="B2174" s="10">
        <v>25.64</v>
      </c>
      <c r="C2174" s="10">
        <v>4.76</v>
      </c>
      <c r="D2174" s="16" t="s">
        <v>4687</v>
      </c>
      <c r="E2174" s="10" t="s">
        <v>4683</v>
      </c>
      <c r="F2174" s="10" t="s">
        <v>4683</v>
      </c>
      <c r="G2174" s="10" t="s">
        <v>4683</v>
      </c>
      <c r="H2174" s="14">
        <v>1</v>
      </c>
      <c r="I2174" s="10" t="s">
        <v>4683</v>
      </c>
      <c r="J2174" s="10" t="str">
        <f t="shared" si="9"/>
        <v>normalweight</v>
      </c>
      <c r="L2174" s="30" t="e">
        <v>#N/A</v>
      </c>
    </row>
    <row r="2175" spans="1:12" ht="15.75" customHeight="1" x14ac:dyDescent="0.3">
      <c r="A2175" s="10" t="s">
        <v>336</v>
      </c>
      <c r="B2175" s="10">
        <v>32.9</v>
      </c>
      <c r="C2175" s="10">
        <v>4.78</v>
      </c>
      <c r="D2175" s="16" t="s">
        <v>4687</v>
      </c>
      <c r="E2175" s="10" t="s">
        <v>4683</v>
      </c>
      <c r="F2175" s="10" t="s">
        <v>4683</v>
      </c>
      <c r="G2175" s="10" t="s">
        <v>4686</v>
      </c>
      <c r="H2175" s="14">
        <v>1</v>
      </c>
      <c r="I2175" s="10" t="s">
        <v>4683</v>
      </c>
      <c r="J2175" s="10" t="str">
        <f t="shared" si="9"/>
        <v>normalweight</v>
      </c>
      <c r="L2175" s="30" t="e">
        <v>#N/A</v>
      </c>
    </row>
    <row r="2176" spans="1:12" ht="15.75" customHeight="1" x14ac:dyDescent="0.3">
      <c r="A2176" s="10" t="s">
        <v>334</v>
      </c>
      <c r="B2176" s="10">
        <v>29.8</v>
      </c>
      <c r="C2176" s="10">
        <v>4.26</v>
      </c>
      <c r="D2176" s="16" t="s">
        <v>4687</v>
      </c>
      <c r="E2176" s="10" t="s">
        <v>4683</v>
      </c>
      <c r="F2176" s="10" t="s">
        <v>4683</v>
      </c>
      <c r="G2176" s="10" t="s">
        <v>4686</v>
      </c>
      <c r="H2176" s="14">
        <v>1</v>
      </c>
      <c r="I2176" s="10" t="s">
        <v>4683</v>
      </c>
      <c r="J2176" s="10" t="str">
        <f t="shared" si="9"/>
        <v>normalweight</v>
      </c>
      <c r="L2176" s="30" t="e">
        <v>#N/A</v>
      </c>
    </row>
    <row r="2177" spans="1:12" ht="15.75" customHeight="1" x14ac:dyDescent="0.3">
      <c r="A2177" s="10" t="s">
        <v>332</v>
      </c>
      <c r="B2177" s="10">
        <v>28.9</v>
      </c>
      <c r="C2177" s="10">
        <v>5.85</v>
      </c>
      <c r="D2177" s="16" t="s">
        <v>4685</v>
      </c>
      <c r="E2177" s="10" t="s">
        <v>4683</v>
      </c>
      <c r="F2177" s="10" t="s">
        <v>4683</v>
      </c>
      <c r="G2177" s="10" t="s">
        <v>4686</v>
      </c>
      <c r="H2177" s="14">
        <v>1</v>
      </c>
      <c r="I2177" s="10" t="s">
        <v>4683</v>
      </c>
      <c r="J2177" s="10" t="str">
        <f t="shared" si="9"/>
        <v>normalweight</v>
      </c>
      <c r="L2177" s="30" t="e">
        <v>#N/A</v>
      </c>
    </row>
    <row r="2178" spans="1:12" ht="15.75" customHeight="1" x14ac:dyDescent="0.3">
      <c r="A2178" s="10" t="s">
        <v>330</v>
      </c>
      <c r="B2178" s="10">
        <v>24.7</v>
      </c>
      <c r="C2178" s="10">
        <v>5.32</v>
      </c>
      <c r="D2178" s="16" t="s">
        <v>4687</v>
      </c>
      <c r="E2178" s="10" t="s">
        <v>4683</v>
      </c>
      <c r="F2178" s="10" t="s">
        <v>4683</v>
      </c>
      <c r="G2178" s="10" t="s">
        <v>4686</v>
      </c>
      <c r="H2178" s="14">
        <v>1</v>
      </c>
      <c r="I2178" s="10" t="s">
        <v>4683</v>
      </c>
      <c r="J2178" s="10" t="str">
        <f t="shared" si="9"/>
        <v>normalweight</v>
      </c>
      <c r="L2178" s="30" t="e">
        <v>#N/A</v>
      </c>
    </row>
    <row r="2179" spans="1:12" ht="15.75" customHeight="1" x14ac:dyDescent="0.3">
      <c r="A2179" s="10" t="s">
        <v>328</v>
      </c>
      <c r="B2179" s="10">
        <v>20.6</v>
      </c>
      <c r="C2179" s="10">
        <v>5.14</v>
      </c>
      <c r="D2179" s="16" t="s">
        <v>4687</v>
      </c>
      <c r="E2179" s="10" t="s">
        <v>4683</v>
      </c>
      <c r="F2179" s="10" t="s">
        <v>4683</v>
      </c>
      <c r="G2179" s="10" t="s">
        <v>4686</v>
      </c>
      <c r="H2179" s="14">
        <v>1</v>
      </c>
      <c r="I2179" s="10" t="s">
        <v>4683</v>
      </c>
      <c r="J2179" s="10" t="str">
        <f t="shared" si="9"/>
        <v>normalweight</v>
      </c>
      <c r="L2179" s="30" t="e">
        <v>#N/A</v>
      </c>
    </row>
    <row r="2180" spans="1:12" ht="15.75" customHeight="1" x14ac:dyDescent="0.3">
      <c r="A2180" s="10" t="s">
        <v>326</v>
      </c>
      <c r="B2180" s="10">
        <v>18.600000000000001</v>
      </c>
      <c r="C2180" s="10">
        <v>5</v>
      </c>
      <c r="D2180" s="16" t="s">
        <v>4687</v>
      </c>
      <c r="E2180" s="10" t="s">
        <v>4683</v>
      </c>
      <c r="F2180" s="10" t="s">
        <v>4683</v>
      </c>
      <c r="G2180" s="10" t="s">
        <v>4686</v>
      </c>
      <c r="H2180" s="14">
        <v>1</v>
      </c>
      <c r="I2180" s="10" t="s">
        <v>4683</v>
      </c>
      <c r="J2180" s="10" t="str">
        <f t="shared" si="9"/>
        <v>normalweight</v>
      </c>
      <c r="L2180" s="30" t="e">
        <v>#N/A</v>
      </c>
    </row>
    <row r="2181" spans="1:12" ht="15.75" customHeight="1" x14ac:dyDescent="0.3">
      <c r="A2181" s="10" t="s">
        <v>324</v>
      </c>
      <c r="B2181" s="10">
        <v>17.8</v>
      </c>
      <c r="C2181" s="10">
        <v>4.55</v>
      </c>
      <c r="D2181" s="16" t="s">
        <v>4687</v>
      </c>
      <c r="E2181" s="10" t="s">
        <v>4683</v>
      </c>
      <c r="F2181" s="10" t="s">
        <v>4683</v>
      </c>
      <c r="G2181" s="10" t="s">
        <v>4686</v>
      </c>
      <c r="H2181" s="14">
        <v>1</v>
      </c>
      <c r="I2181" s="10" t="s">
        <v>4683</v>
      </c>
      <c r="J2181" s="10" t="str">
        <f t="shared" si="9"/>
        <v>underweight</v>
      </c>
      <c r="L2181" s="30" t="e">
        <v>#N/A</v>
      </c>
    </row>
    <row r="2182" spans="1:12" ht="15.75" customHeight="1" x14ac:dyDescent="0.3">
      <c r="A2182" s="10" t="s">
        <v>322</v>
      </c>
      <c r="B2182" s="10">
        <v>35.200000000000003</v>
      </c>
      <c r="C2182" s="10">
        <v>5.97</v>
      </c>
      <c r="D2182" s="16" t="s">
        <v>4685</v>
      </c>
      <c r="E2182" s="10" t="s">
        <v>4683</v>
      </c>
      <c r="F2182" s="10" t="s">
        <v>4684</v>
      </c>
      <c r="G2182" s="10" t="s">
        <v>4683</v>
      </c>
      <c r="H2182" s="14">
        <v>1</v>
      </c>
      <c r="I2182" s="10" t="s">
        <v>4683</v>
      </c>
      <c r="J2182" s="10" t="str">
        <f t="shared" si="9"/>
        <v>normalweight</v>
      </c>
      <c r="L2182" s="30" t="e">
        <v>#N/A</v>
      </c>
    </row>
    <row r="2183" spans="1:12" ht="15.75" customHeight="1" x14ac:dyDescent="0.3">
      <c r="A2183" s="10" t="s">
        <v>320</v>
      </c>
      <c r="B2183" s="10">
        <v>33.770000000000003</v>
      </c>
      <c r="C2183" s="10">
        <v>4.0199999999999996</v>
      </c>
      <c r="D2183" s="16" t="s">
        <v>4687</v>
      </c>
      <c r="E2183" s="10" t="s">
        <v>4683</v>
      </c>
      <c r="F2183" s="10" t="s">
        <v>4684</v>
      </c>
      <c r="G2183" s="10" t="s">
        <v>4683</v>
      </c>
      <c r="H2183" s="14">
        <v>1</v>
      </c>
      <c r="I2183" s="10" t="s">
        <v>4683</v>
      </c>
      <c r="J2183" s="10" t="str">
        <f t="shared" si="9"/>
        <v>normalweight</v>
      </c>
      <c r="L2183" s="30" t="e">
        <v>#N/A</v>
      </c>
    </row>
    <row r="2184" spans="1:12" ht="15.75" customHeight="1" x14ac:dyDescent="0.3">
      <c r="A2184" s="10" t="s">
        <v>318</v>
      </c>
      <c r="B2184" s="10">
        <v>30.03</v>
      </c>
      <c r="C2184" s="10">
        <v>4.04</v>
      </c>
      <c r="D2184" s="16" t="s">
        <v>4687</v>
      </c>
      <c r="E2184" s="10" t="s">
        <v>4683</v>
      </c>
      <c r="F2184" s="10" t="s">
        <v>4684</v>
      </c>
      <c r="G2184" s="10" t="s">
        <v>4683</v>
      </c>
      <c r="H2184" s="14">
        <v>1</v>
      </c>
      <c r="I2184" s="10" t="s">
        <v>4683</v>
      </c>
      <c r="J2184" s="10" t="str">
        <f t="shared" si="9"/>
        <v>normalweight</v>
      </c>
      <c r="L2184" s="30" t="e">
        <v>#N/A</v>
      </c>
    </row>
    <row r="2185" spans="1:12" ht="15.75" customHeight="1" x14ac:dyDescent="0.3">
      <c r="A2185" s="10" t="s">
        <v>316</v>
      </c>
      <c r="B2185" s="10">
        <v>29.37</v>
      </c>
      <c r="C2185" s="10">
        <v>5.54</v>
      </c>
      <c r="D2185" s="16" t="s">
        <v>4687</v>
      </c>
      <c r="E2185" s="10" t="s">
        <v>4683</v>
      </c>
      <c r="F2185" s="10" t="s">
        <v>4684</v>
      </c>
      <c r="G2185" s="10" t="s">
        <v>4683</v>
      </c>
      <c r="H2185" s="14">
        <v>1</v>
      </c>
      <c r="I2185" s="10" t="s">
        <v>4683</v>
      </c>
      <c r="J2185" s="10" t="str">
        <f t="shared" si="9"/>
        <v>normalweight</v>
      </c>
      <c r="L2185" s="30" t="e">
        <v>#N/A</v>
      </c>
    </row>
    <row r="2186" spans="1:12" ht="15.75" customHeight="1" x14ac:dyDescent="0.3">
      <c r="A2186" s="10" t="s">
        <v>314</v>
      </c>
      <c r="B2186" s="10">
        <v>28.5</v>
      </c>
      <c r="C2186" s="10">
        <v>4.03</v>
      </c>
      <c r="D2186" s="16" t="s">
        <v>4687</v>
      </c>
      <c r="E2186" s="10" t="s">
        <v>4683</v>
      </c>
      <c r="F2186" s="10" t="s">
        <v>4684</v>
      </c>
      <c r="G2186" s="10" t="s">
        <v>4683</v>
      </c>
      <c r="H2186" s="14">
        <v>1</v>
      </c>
      <c r="I2186" s="10" t="s">
        <v>4683</v>
      </c>
      <c r="J2186" s="10" t="str">
        <f t="shared" si="9"/>
        <v>normalweight</v>
      </c>
      <c r="L2186" s="30" t="e">
        <v>#N/A</v>
      </c>
    </row>
    <row r="2187" spans="1:12" ht="15.75" customHeight="1" x14ac:dyDescent="0.3">
      <c r="A2187" s="10" t="s">
        <v>312</v>
      </c>
      <c r="B2187" s="10">
        <v>23.32</v>
      </c>
      <c r="C2187" s="10">
        <v>5.62</v>
      </c>
      <c r="D2187" s="16" t="s">
        <v>4685</v>
      </c>
      <c r="E2187" s="10" t="s">
        <v>4683</v>
      </c>
      <c r="F2187" s="10" t="s">
        <v>4684</v>
      </c>
      <c r="G2187" s="10" t="s">
        <v>4683</v>
      </c>
      <c r="H2187" s="14">
        <v>1</v>
      </c>
      <c r="I2187" s="10" t="s">
        <v>4683</v>
      </c>
      <c r="J2187" s="10" t="str">
        <f t="shared" si="9"/>
        <v>normalweight</v>
      </c>
      <c r="L2187" s="30" t="e">
        <v>#N/A</v>
      </c>
    </row>
    <row r="2188" spans="1:12" ht="15.75" customHeight="1" x14ac:dyDescent="0.3">
      <c r="A2188" s="10" t="s">
        <v>310</v>
      </c>
      <c r="B2188" s="10">
        <v>26.125</v>
      </c>
      <c r="C2188" s="10">
        <v>5.27</v>
      </c>
      <c r="D2188" s="16" t="s">
        <v>4687</v>
      </c>
      <c r="E2188" s="10" t="s">
        <v>4683</v>
      </c>
      <c r="F2188" s="10" t="s">
        <v>4684</v>
      </c>
      <c r="G2188" s="10" t="s">
        <v>4683</v>
      </c>
      <c r="H2188" s="14">
        <v>1</v>
      </c>
      <c r="I2188" s="10" t="s">
        <v>4683</v>
      </c>
      <c r="J2188" s="10" t="str">
        <f t="shared" si="9"/>
        <v>normalweight</v>
      </c>
      <c r="L2188" s="30" t="e">
        <v>#N/A</v>
      </c>
    </row>
    <row r="2189" spans="1:12" ht="15.75" customHeight="1" x14ac:dyDescent="0.3">
      <c r="A2189" s="10" t="s">
        <v>308</v>
      </c>
      <c r="B2189" s="10">
        <v>25.46</v>
      </c>
      <c r="C2189" s="10">
        <v>5.18</v>
      </c>
      <c r="D2189" s="16" t="s">
        <v>4687</v>
      </c>
      <c r="E2189" s="10" t="s">
        <v>4683</v>
      </c>
      <c r="F2189" s="10" t="s">
        <v>4684</v>
      </c>
      <c r="G2189" s="10" t="s">
        <v>4683</v>
      </c>
      <c r="H2189" s="14">
        <v>1</v>
      </c>
      <c r="I2189" s="10" t="s">
        <v>4683</v>
      </c>
      <c r="J2189" s="10" t="str">
        <f t="shared" si="9"/>
        <v>normalweight</v>
      </c>
      <c r="L2189" s="30" t="e">
        <v>#N/A</v>
      </c>
    </row>
    <row r="2190" spans="1:12" ht="15.75" customHeight="1" x14ac:dyDescent="0.3">
      <c r="A2190" s="10" t="s">
        <v>306</v>
      </c>
      <c r="B2190" s="10">
        <v>23.75</v>
      </c>
      <c r="C2190" s="10">
        <v>5.27</v>
      </c>
      <c r="D2190" s="16" t="s">
        <v>4687</v>
      </c>
      <c r="E2190" s="10" t="s">
        <v>4683</v>
      </c>
      <c r="F2190" s="10" t="s">
        <v>4684</v>
      </c>
      <c r="G2190" s="10" t="s">
        <v>4683</v>
      </c>
      <c r="H2190" s="14">
        <v>1</v>
      </c>
      <c r="I2190" s="10" t="s">
        <v>4683</v>
      </c>
      <c r="J2190" s="10" t="str">
        <f t="shared" si="9"/>
        <v>normalweight</v>
      </c>
      <c r="L2190" s="30" t="e">
        <v>#N/A</v>
      </c>
    </row>
    <row r="2191" spans="1:12" ht="15.75" customHeight="1" x14ac:dyDescent="0.3">
      <c r="A2191" s="10" t="s">
        <v>304</v>
      </c>
      <c r="B2191" s="10">
        <v>23.085000000000001</v>
      </c>
      <c r="C2191" s="10">
        <v>5.62</v>
      </c>
      <c r="D2191" s="16" t="s">
        <v>4685</v>
      </c>
      <c r="E2191" s="10" t="s">
        <v>4683</v>
      </c>
      <c r="F2191" s="10" t="s">
        <v>4684</v>
      </c>
      <c r="G2191" s="10" t="s">
        <v>4683</v>
      </c>
      <c r="H2191" s="14">
        <v>1</v>
      </c>
      <c r="I2191" s="10" t="s">
        <v>4683</v>
      </c>
      <c r="J2191" s="10" t="str">
        <f t="shared" si="9"/>
        <v>normalweight</v>
      </c>
      <c r="L2191" s="30" t="e">
        <v>#N/A</v>
      </c>
    </row>
    <row r="2192" spans="1:12" ht="15.75" customHeight="1" x14ac:dyDescent="0.3">
      <c r="A2192" s="10" t="s">
        <v>302</v>
      </c>
      <c r="B2192" s="10">
        <v>22.99</v>
      </c>
      <c r="C2192" s="10">
        <v>5.0599999999999996</v>
      </c>
      <c r="D2192" s="16" t="s">
        <v>4687</v>
      </c>
      <c r="E2192" s="10" t="s">
        <v>4683</v>
      </c>
      <c r="F2192" s="10" t="s">
        <v>4684</v>
      </c>
      <c r="G2192" s="10" t="s">
        <v>4683</v>
      </c>
      <c r="H2192" s="14">
        <v>1</v>
      </c>
      <c r="I2192" s="10" t="s">
        <v>4683</v>
      </c>
      <c r="J2192" s="10" t="str">
        <f t="shared" si="9"/>
        <v>normalweight</v>
      </c>
      <c r="L2192" s="30" t="e">
        <v>#N/A</v>
      </c>
    </row>
    <row r="2193" spans="1:12" ht="15.75" customHeight="1" x14ac:dyDescent="0.3">
      <c r="A2193" s="10" t="s">
        <v>300</v>
      </c>
      <c r="B2193" s="10">
        <v>21.47</v>
      </c>
      <c r="C2193" s="10">
        <v>4.6900000000000004</v>
      </c>
      <c r="D2193" s="16" t="s">
        <v>4687</v>
      </c>
      <c r="E2193" s="10" t="s">
        <v>4683</v>
      </c>
      <c r="F2193" s="10" t="s">
        <v>4684</v>
      </c>
      <c r="G2193" s="10" t="s">
        <v>4683</v>
      </c>
      <c r="H2193" s="14">
        <v>1</v>
      </c>
      <c r="I2193" s="10" t="s">
        <v>4683</v>
      </c>
      <c r="J2193" s="10" t="str">
        <f t="shared" si="9"/>
        <v>normalweight</v>
      </c>
      <c r="L2193" s="30" t="e">
        <v>#N/A</v>
      </c>
    </row>
    <row r="2194" spans="1:12" ht="15.75" customHeight="1" x14ac:dyDescent="0.3">
      <c r="A2194" s="10" t="s">
        <v>298</v>
      </c>
      <c r="B2194" s="10">
        <v>15.96</v>
      </c>
      <c r="C2194" s="10">
        <v>5.44</v>
      </c>
      <c r="D2194" s="16" t="s">
        <v>4687</v>
      </c>
      <c r="E2194" s="10" t="s">
        <v>4683</v>
      </c>
      <c r="F2194" s="10" t="s">
        <v>4684</v>
      </c>
      <c r="G2194" s="10" t="s">
        <v>4683</v>
      </c>
      <c r="H2194" s="14">
        <v>1</v>
      </c>
      <c r="I2194" s="10" t="s">
        <v>4683</v>
      </c>
      <c r="J2194" s="10" t="str">
        <f t="shared" si="9"/>
        <v>underweight</v>
      </c>
      <c r="L2194" s="30" t="e">
        <v>#N/A</v>
      </c>
    </row>
    <row r="2195" spans="1:12" ht="15.75" customHeight="1" x14ac:dyDescent="0.3">
      <c r="A2195" s="10" t="s">
        <v>296</v>
      </c>
      <c r="B2195" s="10">
        <v>39.5</v>
      </c>
      <c r="C2195" s="10">
        <v>5.05</v>
      </c>
      <c r="D2195" s="16" t="s">
        <v>4687</v>
      </c>
      <c r="E2195" s="10" t="s">
        <v>4683</v>
      </c>
      <c r="F2195" s="10" t="s">
        <v>4684</v>
      </c>
      <c r="G2195" s="10" t="s">
        <v>4683</v>
      </c>
      <c r="H2195" s="14">
        <v>1</v>
      </c>
      <c r="I2195" s="10" t="s">
        <v>4683</v>
      </c>
      <c r="J2195" s="10" t="str">
        <f t="shared" si="9"/>
        <v>normalweight</v>
      </c>
      <c r="L2195" s="30" t="e">
        <v>#N/A</v>
      </c>
    </row>
    <row r="2196" spans="1:12" ht="15.75" customHeight="1" x14ac:dyDescent="0.3">
      <c r="A2196" s="10" t="s">
        <v>294</v>
      </c>
      <c r="B2196" s="10">
        <v>33.770000000000003</v>
      </c>
      <c r="C2196" s="10">
        <v>6</v>
      </c>
      <c r="D2196" s="16" t="s">
        <v>4685</v>
      </c>
      <c r="E2196" s="10" t="s">
        <v>4683</v>
      </c>
      <c r="F2196" s="10" t="s">
        <v>4684</v>
      </c>
      <c r="G2196" s="10" t="s">
        <v>4683</v>
      </c>
      <c r="H2196" s="14">
        <v>1</v>
      </c>
      <c r="I2196" s="10" t="s">
        <v>4683</v>
      </c>
      <c r="J2196" s="10" t="str">
        <f t="shared" si="9"/>
        <v>normalweight</v>
      </c>
      <c r="L2196" s="30" t="e">
        <v>#N/A</v>
      </c>
    </row>
    <row r="2197" spans="1:12" ht="15.75" customHeight="1" x14ac:dyDescent="0.3">
      <c r="A2197" s="10" t="s">
        <v>292</v>
      </c>
      <c r="B2197" s="10">
        <v>26.84</v>
      </c>
      <c r="C2197" s="10">
        <v>5.99</v>
      </c>
      <c r="D2197" s="16" t="s">
        <v>4685</v>
      </c>
      <c r="E2197" s="10" t="s">
        <v>4684</v>
      </c>
      <c r="F2197" s="10" t="s">
        <v>4684</v>
      </c>
      <c r="G2197" s="10" t="s">
        <v>4683</v>
      </c>
      <c r="H2197" s="14">
        <v>1</v>
      </c>
      <c r="I2197" s="10" t="s">
        <v>4683</v>
      </c>
      <c r="J2197" s="10" t="str">
        <f t="shared" si="9"/>
        <v>normalweight</v>
      </c>
      <c r="L2197" s="30" t="e">
        <v>#N/A</v>
      </c>
    </row>
    <row r="2198" spans="1:12" ht="15.75" customHeight="1" x14ac:dyDescent="0.3">
      <c r="A2198" s="10" t="s">
        <v>290</v>
      </c>
      <c r="B2198" s="10">
        <v>35.53</v>
      </c>
      <c r="C2198" s="10">
        <v>4.3600000000000003</v>
      </c>
      <c r="D2198" s="16" t="s">
        <v>4687</v>
      </c>
      <c r="E2198" s="10" t="s">
        <v>4683</v>
      </c>
      <c r="F2198" s="10" t="s">
        <v>4683</v>
      </c>
      <c r="G2198" s="10" t="s">
        <v>4686</v>
      </c>
      <c r="H2198" s="14">
        <v>1</v>
      </c>
      <c r="I2198" s="10" t="s">
        <v>4683</v>
      </c>
      <c r="J2198" s="10" t="str">
        <f t="shared" si="9"/>
        <v>normalweight</v>
      </c>
      <c r="L2198" s="30" t="e">
        <v>#N/A</v>
      </c>
    </row>
    <row r="2199" spans="1:12" ht="15.75" customHeight="1" x14ac:dyDescent="0.3">
      <c r="A2199" s="10" t="s">
        <v>288</v>
      </c>
      <c r="B2199" s="10">
        <v>30.59</v>
      </c>
      <c r="C2199" s="10">
        <v>4.41</v>
      </c>
      <c r="D2199" s="16" t="s">
        <v>4687</v>
      </c>
      <c r="E2199" s="10" t="s">
        <v>4683</v>
      </c>
      <c r="F2199" s="10" t="s">
        <v>4683</v>
      </c>
      <c r="G2199" s="10" t="s">
        <v>4686</v>
      </c>
      <c r="H2199" s="14">
        <v>1</v>
      </c>
      <c r="I2199" s="10" t="s">
        <v>4683</v>
      </c>
      <c r="J2199" s="10" t="str">
        <f t="shared" si="9"/>
        <v>normalweight</v>
      </c>
      <c r="L2199" s="30" t="e">
        <v>#N/A</v>
      </c>
    </row>
    <row r="2200" spans="1:12" ht="15.75" customHeight="1" x14ac:dyDescent="0.3">
      <c r="A2200" s="10" t="s">
        <v>286</v>
      </c>
      <c r="B2200" s="10">
        <v>30.59</v>
      </c>
      <c r="C2200" s="10">
        <v>4.17</v>
      </c>
      <c r="D2200" s="16" t="s">
        <v>4687</v>
      </c>
      <c r="E2200" s="10" t="s">
        <v>4683</v>
      </c>
      <c r="F2200" s="10" t="s">
        <v>4683</v>
      </c>
      <c r="G2200" s="10" t="s">
        <v>4686</v>
      </c>
      <c r="H2200" s="14">
        <v>1</v>
      </c>
      <c r="I2200" s="10" t="s">
        <v>4683</v>
      </c>
      <c r="J2200" s="10" t="str">
        <f t="shared" si="9"/>
        <v>normalweight</v>
      </c>
      <c r="L2200" s="30" t="e">
        <v>#N/A</v>
      </c>
    </row>
    <row r="2201" spans="1:12" ht="15.75" customHeight="1" x14ac:dyDescent="0.3">
      <c r="A2201" s="10" t="s">
        <v>284</v>
      </c>
      <c r="B2201" s="10">
        <v>27.835000000000001</v>
      </c>
      <c r="C2201" s="10">
        <v>4.4400000000000004</v>
      </c>
      <c r="D2201" s="16" t="s">
        <v>4687</v>
      </c>
      <c r="E2201" s="10" t="s">
        <v>4683</v>
      </c>
      <c r="F2201" s="10" t="s">
        <v>4683</v>
      </c>
      <c r="G2201" s="10" t="s">
        <v>4686</v>
      </c>
      <c r="H2201" s="14">
        <v>1</v>
      </c>
      <c r="I2201" s="10" t="s">
        <v>4683</v>
      </c>
      <c r="J2201" s="10" t="str">
        <f t="shared" si="9"/>
        <v>normalweight</v>
      </c>
      <c r="L2201" s="30" t="e">
        <v>#N/A</v>
      </c>
    </row>
    <row r="2202" spans="1:12" ht="15.75" customHeight="1" x14ac:dyDescent="0.3">
      <c r="A2202" s="10" t="s">
        <v>4434</v>
      </c>
      <c r="B2202" s="10">
        <v>40.26</v>
      </c>
      <c r="C2202" s="10">
        <v>5.52</v>
      </c>
      <c r="D2202" s="16" t="s">
        <v>4687</v>
      </c>
      <c r="E2202" s="10" t="s">
        <v>4683</v>
      </c>
      <c r="F2202" s="10" t="s">
        <v>4684</v>
      </c>
      <c r="G2202" s="10" t="s">
        <v>4683</v>
      </c>
      <c r="H2202" s="14">
        <v>1</v>
      </c>
      <c r="I2202" s="10" t="s">
        <v>4683</v>
      </c>
      <c r="J2202" s="10" t="str">
        <f t="shared" si="9"/>
        <v>normalweight</v>
      </c>
      <c r="L2202" s="30" t="e">
        <v>#N/A</v>
      </c>
    </row>
    <row r="2203" spans="1:12" ht="15.75" customHeight="1" x14ac:dyDescent="0.3">
      <c r="A2203" s="10" t="s">
        <v>282</v>
      </c>
      <c r="B2203" s="10">
        <v>39.82</v>
      </c>
      <c r="C2203" s="10">
        <v>6.01</v>
      </c>
      <c r="D2203" s="16" t="s">
        <v>4685</v>
      </c>
      <c r="E2203" s="10" t="s">
        <v>4683</v>
      </c>
      <c r="F2203" s="10" t="s">
        <v>4684</v>
      </c>
      <c r="G2203" s="10" t="s">
        <v>4683</v>
      </c>
      <c r="H2203" s="14">
        <v>1</v>
      </c>
      <c r="I2203" s="10" t="s">
        <v>4683</v>
      </c>
      <c r="J2203" s="10" t="str">
        <f t="shared" si="9"/>
        <v>normalweight</v>
      </c>
      <c r="L2203" s="30" t="e">
        <v>#N/A</v>
      </c>
    </row>
    <row r="2204" spans="1:12" ht="15.75" customHeight="1" x14ac:dyDescent="0.3">
      <c r="A2204" s="10" t="s">
        <v>280</v>
      </c>
      <c r="B2204" s="10">
        <v>39.159999999999997</v>
      </c>
      <c r="C2204" s="10">
        <v>5.81</v>
      </c>
      <c r="D2204" s="16" t="s">
        <v>4685</v>
      </c>
      <c r="E2204" s="10" t="s">
        <v>4683</v>
      </c>
      <c r="F2204" s="10" t="s">
        <v>4684</v>
      </c>
      <c r="G2204" s="10" t="s">
        <v>4683</v>
      </c>
      <c r="H2204" s="14">
        <v>1</v>
      </c>
      <c r="I2204" s="10" t="s">
        <v>4683</v>
      </c>
      <c r="J2204" s="10" t="str">
        <f t="shared" si="9"/>
        <v>normalweight</v>
      </c>
      <c r="L2204" s="30" t="e">
        <v>#N/A</v>
      </c>
    </row>
    <row r="2205" spans="1:12" ht="15.75" customHeight="1" x14ac:dyDescent="0.3">
      <c r="A2205" s="10" t="s">
        <v>278</v>
      </c>
      <c r="B2205" s="10">
        <v>25.555</v>
      </c>
      <c r="C2205" s="10">
        <v>4.37</v>
      </c>
      <c r="D2205" s="16" t="s">
        <v>4687</v>
      </c>
      <c r="E2205" s="10" t="s">
        <v>4683</v>
      </c>
      <c r="F2205" s="10" t="s">
        <v>4683</v>
      </c>
      <c r="G2205" s="10" t="s">
        <v>4686</v>
      </c>
      <c r="H2205" s="14">
        <v>1</v>
      </c>
      <c r="I2205" s="10" t="s">
        <v>4683</v>
      </c>
      <c r="J2205" s="10" t="str">
        <f t="shared" si="9"/>
        <v>normalweight</v>
      </c>
      <c r="L2205" s="30" t="e">
        <v>#N/A</v>
      </c>
    </row>
    <row r="2206" spans="1:12" ht="15.75" customHeight="1" x14ac:dyDescent="0.3">
      <c r="A2206" s="10" t="s">
        <v>276</v>
      </c>
      <c r="B2206" s="10">
        <v>25.175000000000001</v>
      </c>
      <c r="C2206" s="10">
        <v>5.74</v>
      </c>
      <c r="D2206" s="16" t="s">
        <v>4685</v>
      </c>
      <c r="E2206" s="10" t="s">
        <v>4683</v>
      </c>
      <c r="F2206" s="10" t="s">
        <v>4683</v>
      </c>
      <c r="G2206" s="10" t="s">
        <v>4686</v>
      </c>
      <c r="H2206" s="14">
        <v>1</v>
      </c>
      <c r="I2206" s="10" t="s">
        <v>4683</v>
      </c>
      <c r="J2206" s="10" t="str">
        <f t="shared" si="9"/>
        <v>normalweight</v>
      </c>
      <c r="L2206" s="30" t="e">
        <v>#N/A</v>
      </c>
    </row>
    <row r="2207" spans="1:12" ht="15.75" customHeight="1" x14ac:dyDescent="0.3">
      <c r="A2207" s="10" t="s">
        <v>274</v>
      </c>
      <c r="B2207" s="10">
        <v>38.28</v>
      </c>
      <c r="C2207" s="10">
        <v>5.39</v>
      </c>
      <c r="D2207" s="16" t="s">
        <v>4687</v>
      </c>
      <c r="E2207" s="10" t="s">
        <v>4683</v>
      </c>
      <c r="F2207" s="10" t="s">
        <v>4684</v>
      </c>
      <c r="G2207" s="10" t="s">
        <v>4683</v>
      </c>
      <c r="H2207" s="14">
        <v>1</v>
      </c>
      <c r="I2207" s="10" t="s">
        <v>4683</v>
      </c>
      <c r="J2207" s="10" t="str">
        <f t="shared" si="9"/>
        <v>normalweight</v>
      </c>
      <c r="L2207" s="30" t="e">
        <v>#N/A</v>
      </c>
    </row>
    <row r="2208" spans="1:12" ht="15.75" customHeight="1" x14ac:dyDescent="0.3">
      <c r="A2208" s="10" t="s">
        <v>272</v>
      </c>
      <c r="B2208" s="10">
        <v>38.17</v>
      </c>
      <c r="C2208" s="10">
        <v>4.07</v>
      </c>
      <c r="D2208" s="16" t="s">
        <v>4687</v>
      </c>
      <c r="E2208" s="10" t="s">
        <v>4683</v>
      </c>
      <c r="F2208" s="10" t="s">
        <v>4684</v>
      </c>
      <c r="G2208" s="10" t="s">
        <v>4683</v>
      </c>
      <c r="H2208" s="14">
        <v>1</v>
      </c>
      <c r="I2208" s="10" t="s">
        <v>4683</v>
      </c>
      <c r="J2208" s="10" t="str">
        <f t="shared" si="9"/>
        <v>normalweight</v>
      </c>
      <c r="L2208" s="30" t="e">
        <v>#N/A</v>
      </c>
    </row>
    <row r="2209" spans="1:12" ht="15.75" customHeight="1" x14ac:dyDescent="0.3">
      <c r="A2209" s="10" t="s">
        <v>270</v>
      </c>
      <c r="B2209" s="10">
        <v>36.85</v>
      </c>
      <c r="C2209" s="10">
        <v>5.49</v>
      </c>
      <c r="D2209" s="16" t="s">
        <v>4687</v>
      </c>
      <c r="E2209" s="10" t="s">
        <v>4683</v>
      </c>
      <c r="F2209" s="10" t="s">
        <v>4684</v>
      </c>
      <c r="G2209" s="10" t="s">
        <v>4683</v>
      </c>
      <c r="H2209" s="14">
        <v>1</v>
      </c>
      <c r="I2209" s="10" t="s">
        <v>4683</v>
      </c>
      <c r="J2209" s="10" t="str">
        <f t="shared" si="9"/>
        <v>normalweight</v>
      </c>
      <c r="L2209" s="30" t="e">
        <v>#N/A</v>
      </c>
    </row>
    <row r="2210" spans="1:12" ht="15.75" customHeight="1" x14ac:dyDescent="0.3">
      <c r="A2210" s="10" t="s">
        <v>268</v>
      </c>
      <c r="B2210" s="10">
        <v>22.61</v>
      </c>
      <c r="C2210" s="10">
        <v>5.68</v>
      </c>
      <c r="D2210" s="16" t="s">
        <v>4685</v>
      </c>
      <c r="E2210" s="10" t="s">
        <v>4683</v>
      </c>
      <c r="F2210" s="10" t="s">
        <v>4683</v>
      </c>
      <c r="G2210" s="10" t="s">
        <v>4686</v>
      </c>
      <c r="H2210" s="14">
        <v>1</v>
      </c>
      <c r="I2210" s="10" t="s">
        <v>4683</v>
      </c>
      <c r="J2210" s="10" t="str">
        <f t="shared" si="9"/>
        <v>normalweight</v>
      </c>
      <c r="L2210" s="30" t="e">
        <v>#N/A</v>
      </c>
    </row>
    <row r="2211" spans="1:12" ht="15.75" customHeight="1" x14ac:dyDescent="0.3">
      <c r="A2211" s="10" t="s">
        <v>266</v>
      </c>
      <c r="B2211" s="10">
        <v>21.754999999999999</v>
      </c>
      <c r="C2211" s="10">
        <v>6.09</v>
      </c>
      <c r="D2211" s="16" t="s">
        <v>4685</v>
      </c>
      <c r="E2211" s="10" t="s">
        <v>4683</v>
      </c>
      <c r="F2211" s="10" t="s">
        <v>4683</v>
      </c>
      <c r="G2211" s="10" t="s">
        <v>4686</v>
      </c>
      <c r="H2211" s="14">
        <v>1</v>
      </c>
      <c r="I2211" s="10" t="s">
        <v>4683</v>
      </c>
      <c r="J2211" s="10" t="str">
        <f t="shared" si="9"/>
        <v>normalweight</v>
      </c>
      <c r="L2211" s="30" t="e">
        <v>#N/A</v>
      </c>
    </row>
    <row r="2212" spans="1:12" ht="15.75" customHeight="1" x14ac:dyDescent="0.3">
      <c r="A2212" s="10" t="s">
        <v>264</v>
      </c>
      <c r="B2212" s="10">
        <v>20.425000000000001</v>
      </c>
      <c r="C2212" s="10">
        <v>5.53</v>
      </c>
      <c r="D2212" s="16" t="s">
        <v>4685</v>
      </c>
      <c r="E2212" s="10" t="s">
        <v>4683</v>
      </c>
      <c r="F2212" s="10" t="s">
        <v>4683</v>
      </c>
      <c r="G2212" s="10" t="s">
        <v>4686</v>
      </c>
      <c r="H2212" s="14">
        <v>1</v>
      </c>
      <c r="I2212" s="10" t="s">
        <v>4683</v>
      </c>
      <c r="J2212" s="10" t="str">
        <f t="shared" si="9"/>
        <v>normalweight</v>
      </c>
      <c r="L2212" s="30" t="e">
        <v>#N/A</v>
      </c>
    </row>
    <row r="2213" spans="1:12" ht="15.75" customHeight="1" x14ac:dyDescent="0.3">
      <c r="A2213" s="10" t="s">
        <v>262</v>
      </c>
      <c r="B2213" s="10">
        <v>31.35</v>
      </c>
      <c r="C2213" s="10">
        <v>4.28</v>
      </c>
      <c r="D2213" s="16" t="s">
        <v>4687</v>
      </c>
      <c r="E2213" s="10" t="s">
        <v>4683</v>
      </c>
      <c r="F2213" s="10" t="s">
        <v>4684</v>
      </c>
      <c r="G2213" s="10" t="s">
        <v>4683</v>
      </c>
      <c r="H2213" s="14">
        <v>1</v>
      </c>
      <c r="I2213" s="10" t="s">
        <v>4683</v>
      </c>
      <c r="J2213" s="10" t="str">
        <f t="shared" si="9"/>
        <v>normalweight</v>
      </c>
      <c r="L2213" s="30" t="e">
        <v>#N/A</v>
      </c>
    </row>
    <row r="2214" spans="1:12" ht="15.75" customHeight="1" x14ac:dyDescent="0.3">
      <c r="A2214" s="10" t="s">
        <v>260</v>
      </c>
      <c r="B2214" s="10">
        <v>31.13</v>
      </c>
      <c r="C2214" s="10">
        <v>6.01</v>
      </c>
      <c r="D2214" s="16" t="s">
        <v>4685</v>
      </c>
      <c r="E2214" s="10" t="s">
        <v>4683</v>
      </c>
      <c r="F2214" s="10" t="s">
        <v>4684</v>
      </c>
      <c r="G2214" s="10" t="s">
        <v>4683</v>
      </c>
      <c r="H2214" s="14">
        <v>1</v>
      </c>
      <c r="I2214" s="10" t="s">
        <v>4683</v>
      </c>
      <c r="J2214" s="10" t="str">
        <f t="shared" si="9"/>
        <v>normalweight</v>
      </c>
      <c r="L2214" s="30" t="e">
        <v>#N/A</v>
      </c>
    </row>
    <row r="2215" spans="1:12" ht="15.75" customHeight="1" x14ac:dyDescent="0.3">
      <c r="A2215" s="10" t="s">
        <v>258</v>
      </c>
      <c r="B2215" s="10">
        <v>17.48</v>
      </c>
      <c r="C2215" s="10">
        <v>4.59</v>
      </c>
      <c r="D2215" s="16" t="s">
        <v>4687</v>
      </c>
      <c r="E2215" s="10" t="s">
        <v>4683</v>
      </c>
      <c r="F2215" s="10" t="s">
        <v>4683</v>
      </c>
      <c r="G2215" s="10" t="s">
        <v>4686</v>
      </c>
      <c r="H2215" s="14">
        <v>1</v>
      </c>
      <c r="I2215" s="10" t="s">
        <v>4683</v>
      </c>
      <c r="J2215" s="10" t="str">
        <f t="shared" si="9"/>
        <v>underweight</v>
      </c>
      <c r="L2215" s="30" t="e">
        <v>#N/A</v>
      </c>
    </row>
    <row r="2216" spans="1:12" ht="15.75" customHeight="1" x14ac:dyDescent="0.3">
      <c r="A2216" s="10" t="s">
        <v>256</v>
      </c>
      <c r="B2216" s="10">
        <v>22.57</v>
      </c>
      <c r="C2216" s="10">
        <v>5.8</v>
      </c>
      <c r="D2216" s="16" t="s">
        <v>4685</v>
      </c>
      <c r="E2216" s="10" t="s">
        <v>4684</v>
      </c>
      <c r="F2216" s="10" t="s">
        <v>4683</v>
      </c>
      <c r="G2216" s="10" t="s">
        <v>4683</v>
      </c>
      <c r="H2216" s="14">
        <v>1</v>
      </c>
      <c r="I2216" s="10" t="s">
        <v>4683</v>
      </c>
      <c r="J2216" s="10" t="str">
        <f t="shared" si="9"/>
        <v>normalweight</v>
      </c>
      <c r="L2216" s="30" t="e">
        <v>#N/A</v>
      </c>
    </row>
    <row r="2217" spans="1:12" ht="15.75" customHeight="1" x14ac:dyDescent="0.3">
      <c r="A2217" s="10" t="s">
        <v>254</v>
      </c>
      <c r="B2217" s="10">
        <v>26.73</v>
      </c>
      <c r="C2217" s="10">
        <v>5.08</v>
      </c>
      <c r="D2217" s="16" t="s">
        <v>4687</v>
      </c>
      <c r="E2217" s="10" t="s">
        <v>4683</v>
      </c>
      <c r="F2217" s="10" t="s">
        <v>4684</v>
      </c>
      <c r="G2217" s="10" t="s">
        <v>4683</v>
      </c>
      <c r="H2217" s="14">
        <v>1</v>
      </c>
      <c r="I2217" s="10" t="s">
        <v>4683</v>
      </c>
      <c r="J2217" s="10" t="str">
        <f t="shared" si="9"/>
        <v>normalweight</v>
      </c>
      <c r="L2217" s="30" t="e">
        <v>#N/A</v>
      </c>
    </row>
    <row r="2218" spans="1:12" ht="15.75" customHeight="1" x14ac:dyDescent="0.3">
      <c r="A2218" s="10" t="s">
        <v>252</v>
      </c>
      <c r="B2218" s="10">
        <v>20.79</v>
      </c>
      <c r="C2218" s="10">
        <v>5.84</v>
      </c>
      <c r="D2218" s="16" t="s">
        <v>4685</v>
      </c>
      <c r="E2218" s="10" t="s">
        <v>4683</v>
      </c>
      <c r="F2218" s="10" t="s">
        <v>4684</v>
      </c>
      <c r="G2218" s="10" t="s">
        <v>4683</v>
      </c>
      <c r="H2218" s="14">
        <v>1</v>
      </c>
      <c r="I2218" s="10" t="s">
        <v>4683</v>
      </c>
      <c r="J2218" s="10" t="str">
        <f t="shared" si="9"/>
        <v>normalweight</v>
      </c>
      <c r="L2218" s="30" t="e">
        <v>#N/A</v>
      </c>
    </row>
    <row r="2219" spans="1:12" ht="15.75" customHeight="1" x14ac:dyDescent="0.3">
      <c r="A2219" s="10" t="s">
        <v>250</v>
      </c>
      <c r="B2219" s="10">
        <v>20.149999999999999</v>
      </c>
      <c r="C2219" s="10">
        <v>4.1500000000000004</v>
      </c>
      <c r="D2219" s="16" t="s">
        <v>4687</v>
      </c>
      <c r="E2219" s="10" t="s">
        <v>4683</v>
      </c>
      <c r="F2219" s="10" t="s">
        <v>4683</v>
      </c>
      <c r="G2219" s="10" t="s">
        <v>4683</v>
      </c>
      <c r="H2219" s="14">
        <v>1</v>
      </c>
      <c r="I2219" s="10" t="s">
        <v>4683</v>
      </c>
      <c r="J2219" s="10" t="str">
        <f t="shared" si="9"/>
        <v>normalweight</v>
      </c>
      <c r="L2219" s="30" t="e">
        <v>#N/A</v>
      </c>
    </row>
    <row r="2220" spans="1:12" ht="15.75" customHeight="1" x14ac:dyDescent="0.3">
      <c r="A2220" s="10" t="s">
        <v>248</v>
      </c>
      <c r="B2220" s="10">
        <v>36.85</v>
      </c>
      <c r="C2220" s="10">
        <v>4.3600000000000003</v>
      </c>
      <c r="D2220" s="16" t="s">
        <v>4687</v>
      </c>
      <c r="E2220" s="10" t="s">
        <v>4684</v>
      </c>
      <c r="F2220" s="10" t="s">
        <v>4683</v>
      </c>
      <c r="G2220" s="10" t="s">
        <v>4683</v>
      </c>
      <c r="H2220" s="14">
        <v>0</v>
      </c>
      <c r="I2220" s="10" t="s">
        <v>4683</v>
      </c>
      <c r="J2220" s="10" t="str">
        <f t="shared" si="9"/>
        <v>normalweight</v>
      </c>
      <c r="L2220" s="30" t="e">
        <v>#N/A</v>
      </c>
    </row>
    <row r="2221" spans="1:12" ht="15.75" customHeight="1" x14ac:dyDescent="0.3">
      <c r="A2221" s="10" t="s">
        <v>246</v>
      </c>
      <c r="B2221" s="10">
        <v>35.53</v>
      </c>
      <c r="C2221" s="10">
        <v>4.55</v>
      </c>
      <c r="D2221" s="16" t="s">
        <v>4687</v>
      </c>
      <c r="E2221" s="10" t="s">
        <v>4684</v>
      </c>
      <c r="F2221" s="10" t="s">
        <v>4683</v>
      </c>
      <c r="G2221" s="10" t="s">
        <v>4683</v>
      </c>
      <c r="H2221" s="14">
        <v>0</v>
      </c>
      <c r="I2221" s="10" t="s">
        <v>4683</v>
      </c>
      <c r="J2221" s="10" t="str">
        <f t="shared" si="9"/>
        <v>normalweight</v>
      </c>
      <c r="L2221" s="30" t="e">
        <v>#N/A</v>
      </c>
    </row>
    <row r="2222" spans="1:12" ht="15.75" customHeight="1" x14ac:dyDescent="0.3">
      <c r="A2222" s="10" t="s">
        <v>244</v>
      </c>
      <c r="B2222" s="10">
        <v>31.1</v>
      </c>
      <c r="C2222" s="10">
        <v>4.37</v>
      </c>
      <c r="D2222" s="16" t="s">
        <v>4687</v>
      </c>
      <c r="E2222" s="10" t="s">
        <v>4684</v>
      </c>
      <c r="F2222" s="10" t="s">
        <v>4683</v>
      </c>
      <c r="G2222" s="10" t="s">
        <v>4683</v>
      </c>
      <c r="H2222" s="14">
        <v>0</v>
      </c>
      <c r="I2222" s="10" t="s">
        <v>4683</v>
      </c>
      <c r="J2222" s="10" t="str">
        <f t="shared" si="9"/>
        <v>normalweight</v>
      </c>
      <c r="L2222" s="30" t="e">
        <v>#N/A</v>
      </c>
    </row>
    <row r="2223" spans="1:12" ht="15.75" customHeight="1" x14ac:dyDescent="0.3">
      <c r="A2223" s="10" t="s">
        <v>242</v>
      </c>
      <c r="B2223" s="10">
        <v>23.21</v>
      </c>
      <c r="C2223" s="10">
        <v>5.24</v>
      </c>
      <c r="D2223" s="16" t="s">
        <v>4687</v>
      </c>
      <c r="E2223" s="10" t="s">
        <v>4684</v>
      </c>
      <c r="F2223" s="10" t="s">
        <v>4683</v>
      </c>
      <c r="G2223" s="10" t="s">
        <v>4683</v>
      </c>
      <c r="H2223" s="14">
        <v>0</v>
      </c>
      <c r="I2223" s="10" t="s">
        <v>4683</v>
      </c>
      <c r="J2223" s="10" t="str">
        <f t="shared" si="9"/>
        <v>normalweight</v>
      </c>
      <c r="L2223" s="30" t="e">
        <v>#N/A</v>
      </c>
    </row>
    <row r="2224" spans="1:12" ht="15.75" customHeight="1" x14ac:dyDescent="0.3">
      <c r="A2224" s="10" t="s">
        <v>240</v>
      </c>
      <c r="B2224" s="10">
        <v>18.36</v>
      </c>
      <c r="C2224" s="10">
        <v>5.96</v>
      </c>
      <c r="D2224" s="16" t="s">
        <v>4685</v>
      </c>
      <c r="E2224" s="10" t="s">
        <v>4683</v>
      </c>
      <c r="F2224" s="10" t="s">
        <v>4683</v>
      </c>
      <c r="G2224" s="10" t="s">
        <v>4683</v>
      </c>
      <c r="H2224" s="14">
        <v>1</v>
      </c>
      <c r="I2224" s="10" t="s">
        <v>4683</v>
      </c>
      <c r="J2224" s="10" t="str">
        <f t="shared" si="9"/>
        <v>underweight</v>
      </c>
      <c r="L2224" s="30" t="e">
        <v>#N/A</v>
      </c>
    </row>
    <row r="2225" spans="1:12" ht="15.75" customHeight="1" x14ac:dyDescent="0.3">
      <c r="A2225" s="10" t="s">
        <v>238</v>
      </c>
      <c r="B2225" s="10">
        <v>15.92</v>
      </c>
      <c r="C2225" s="10">
        <v>4.76</v>
      </c>
      <c r="D2225" s="16" t="s">
        <v>4687</v>
      </c>
      <c r="E2225" s="10" t="s">
        <v>4684</v>
      </c>
      <c r="F2225" s="10" t="s">
        <v>4683</v>
      </c>
      <c r="G2225" s="10" t="s">
        <v>4683</v>
      </c>
      <c r="H2225" s="14">
        <v>1</v>
      </c>
      <c r="I2225" s="10" t="s">
        <v>4683</v>
      </c>
      <c r="J2225" s="10" t="str">
        <f t="shared" si="9"/>
        <v>underweight</v>
      </c>
      <c r="L2225" s="30" t="e">
        <v>#N/A</v>
      </c>
    </row>
    <row r="2226" spans="1:12" ht="15.75" customHeight="1" x14ac:dyDescent="0.3">
      <c r="A2226" s="10" t="s">
        <v>236</v>
      </c>
      <c r="B2226" s="10">
        <v>15.17</v>
      </c>
      <c r="C2226" s="10">
        <v>4.3</v>
      </c>
      <c r="D2226" s="16" t="s">
        <v>4687</v>
      </c>
      <c r="E2226" s="10" t="s">
        <v>4684</v>
      </c>
      <c r="F2226" s="10" t="s">
        <v>4683</v>
      </c>
      <c r="G2226" s="10" t="s">
        <v>4686</v>
      </c>
      <c r="H2226" s="14">
        <v>1</v>
      </c>
      <c r="I2226" s="10" t="s">
        <v>4683</v>
      </c>
      <c r="J2226" s="10" t="str">
        <f t="shared" si="9"/>
        <v>underweight</v>
      </c>
      <c r="L2226" s="30" t="e">
        <v>#N/A</v>
      </c>
    </row>
    <row r="2227" spans="1:12" ht="15.75" customHeight="1" x14ac:dyDescent="0.3">
      <c r="A2227" s="10" t="s">
        <v>234</v>
      </c>
      <c r="B2227" s="10">
        <v>16.63</v>
      </c>
      <c r="C2227" s="10">
        <v>4.5</v>
      </c>
      <c r="D2227" s="16" t="s">
        <v>4687</v>
      </c>
      <c r="E2227" s="10" t="s">
        <v>4683</v>
      </c>
      <c r="F2227" s="10" t="s">
        <v>4683</v>
      </c>
      <c r="G2227" s="10" t="s">
        <v>4683</v>
      </c>
      <c r="H2227" s="14">
        <v>1</v>
      </c>
      <c r="I2227" s="10" t="s">
        <v>4683</v>
      </c>
      <c r="J2227" s="10" t="str">
        <f t="shared" si="9"/>
        <v>underweight</v>
      </c>
      <c r="L2227" s="30" t="e">
        <v>#N/A</v>
      </c>
    </row>
    <row r="2228" spans="1:12" ht="15.75" customHeight="1" x14ac:dyDescent="0.3">
      <c r="A2228" s="10" t="s">
        <v>232</v>
      </c>
      <c r="B2228" s="10">
        <v>19.39</v>
      </c>
      <c r="C2228" s="10">
        <v>5.59</v>
      </c>
      <c r="D2228" s="16" t="s">
        <v>4685</v>
      </c>
      <c r="E2228" s="10" t="s">
        <v>4683</v>
      </c>
      <c r="F2228" s="10" t="s">
        <v>4683</v>
      </c>
      <c r="G2228" s="10" t="s">
        <v>4686</v>
      </c>
      <c r="H2228" s="14">
        <v>1</v>
      </c>
      <c r="I2228" s="10" t="s">
        <v>4683</v>
      </c>
      <c r="J2228" s="10" t="str">
        <f t="shared" si="9"/>
        <v>normalweight</v>
      </c>
      <c r="L2228" s="30" t="e">
        <v>#N/A</v>
      </c>
    </row>
    <row r="2229" spans="1:12" ht="15.75" customHeight="1" x14ac:dyDescent="0.3">
      <c r="A2229" s="10" t="s">
        <v>230</v>
      </c>
      <c r="B2229" s="10">
        <v>17.34</v>
      </c>
      <c r="C2229" s="10">
        <v>6.29</v>
      </c>
      <c r="D2229" s="16" t="s">
        <v>4685</v>
      </c>
      <c r="E2229" s="10" t="s">
        <v>4684</v>
      </c>
      <c r="F2229" s="10" t="s">
        <v>4683</v>
      </c>
      <c r="G2229" s="10" t="s">
        <v>4686</v>
      </c>
      <c r="H2229" s="14">
        <v>1</v>
      </c>
      <c r="I2229" s="10" t="s">
        <v>4683</v>
      </c>
      <c r="J2229" s="10" t="str">
        <f t="shared" si="9"/>
        <v>underweight</v>
      </c>
      <c r="L2229" s="30" t="e">
        <v>#N/A</v>
      </c>
    </row>
    <row r="2230" spans="1:12" ht="15.75" customHeight="1" x14ac:dyDescent="0.3">
      <c r="A2230" s="10" t="s">
        <v>228</v>
      </c>
      <c r="B2230" s="10">
        <v>17.940000000000001</v>
      </c>
      <c r="C2230" s="10">
        <v>4.1900000000000004</v>
      </c>
      <c r="D2230" s="16" t="s">
        <v>4687</v>
      </c>
      <c r="E2230" s="10" t="s">
        <v>4683</v>
      </c>
      <c r="F2230" s="10" t="s">
        <v>4684</v>
      </c>
      <c r="G2230" s="10" t="s">
        <v>4683</v>
      </c>
      <c r="H2230" s="14">
        <v>1</v>
      </c>
      <c r="I2230" s="10" t="s">
        <v>4683</v>
      </c>
      <c r="J2230" s="10" t="str">
        <f t="shared" si="9"/>
        <v>underweight</v>
      </c>
      <c r="L2230" s="30" t="e">
        <v>#N/A</v>
      </c>
    </row>
    <row r="2231" spans="1:12" ht="15.75" customHeight="1" x14ac:dyDescent="0.3">
      <c r="A2231" s="10" t="s">
        <v>226</v>
      </c>
      <c r="B2231" s="10">
        <v>16.670000000000002</v>
      </c>
      <c r="C2231" s="10">
        <v>4.7</v>
      </c>
      <c r="D2231" s="16" t="s">
        <v>4687</v>
      </c>
      <c r="E2231" s="10" t="s">
        <v>4684</v>
      </c>
      <c r="F2231" s="10" t="s">
        <v>4683</v>
      </c>
      <c r="G2231" s="10" t="s">
        <v>4686</v>
      </c>
      <c r="H2231" s="14">
        <v>1</v>
      </c>
      <c r="I2231" s="10" t="s">
        <v>4683</v>
      </c>
      <c r="J2231" s="10" t="str">
        <f t="shared" si="9"/>
        <v>underweight</v>
      </c>
      <c r="L2231" s="30" t="e">
        <v>#N/A</v>
      </c>
    </row>
    <row r="2232" spans="1:12" ht="15.75" customHeight="1" x14ac:dyDescent="0.3">
      <c r="A2232" s="10" t="s">
        <v>224</v>
      </c>
      <c r="B2232" s="10">
        <v>20.58</v>
      </c>
      <c r="C2232" s="10">
        <v>5.64</v>
      </c>
      <c r="D2232" s="16" t="s">
        <v>4685</v>
      </c>
      <c r="E2232" s="10" t="s">
        <v>4684</v>
      </c>
      <c r="F2232" s="10" t="s">
        <v>4683</v>
      </c>
      <c r="G2232" s="10" t="s">
        <v>4683</v>
      </c>
      <c r="H2232" s="14">
        <v>0</v>
      </c>
      <c r="I2232" s="10" t="s">
        <v>4683</v>
      </c>
      <c r="J2232" s="10" t="str">
        <f t="shared" si="9"/>
        <v>normalweight</v>
      </c>
      <c r="L2232" s="30" t="e">
        <v>#N/A</v>
      </c>
    </row>
    <row r="2233" spans="1:12" ht="15.75" customHeight="1" x14ac:dyDescent="0.3">
      <c r="A2233" s="10" t="s">
        <v>222</v>
      </c>
      <c r="B2233" s="10">
        <v>16.5</v>
      </c>
      <c r="C2233" s="10">
        <v>4.1100000000000003</v>
      </c>
      <c r="D2233" s="16" t="s">
        <v>4687</v>
      </c>
      <c r="E2233" s="10" t="s">
        <v>4684</v>
      </c>
      <c r="F2233" s="10" t="s">
        <v>4683</v>
      </c>
      <c r="G2233" s="10" t="s">
        <v>4683</v>
      </c>
      <c r="H2233" s="14">
        <v>0</v>
      </c>
      <c r="I2233" s="10" t="s">
        <v>4683</v>
      </c>
      <c r="J2233" s="10" t="str">
        <f t="shared" si="9"/>
        <v>underweight</v>
      </c>
      <c r="L2233" s="30" t="e">
        <v>#N/A</v>
      </c>
    </row>
    <row r="2234" spans="1:12" ht="15.75" customHeight="1" x14ac:dyDescent="0.3">
      <c r="A2234" s="10" t="s">
        <v>220</v>
      </c>
      <c r="B2234" s="10">
        <v>15.41</v>
      </c>
      <c r="C2234" s="10">
        <v>5.43</v>
      </c>
      <c r="D2234" s="16" t="s">
        <v>4687</v>
      </c>
      <c r="E2234" s="15" t="s">
        <v>4690</v>
      </c>
      <c r="F2234" s="10" t="s">
        <v>4683</v>
      </c>
      <c r="G2234" s="10" t="s">
        <v>4686</v>
      </c>
      <c r="H2234" s="14">
        <v>1</v>
      </c>
      <c r="I2234" s="10" t="s">
        <v>4683</v>
      </c>
      <c r="J2234" s="10" t="str">
        <f t="shared" si="9"/>
        <v>underweight</v>
      </c>
      <c r="L2234" s="30" t="e">
        <v>#N/A</v>
      </c>
    </row>
    <row r="2235" spans="1:12" ht="15.75" customHeight="1" x14ac:dyDescent="0.3">
      <c r="A2235" s="10" t="s">
        <v>218</v>
      </c>
      <c r="B2235" s="10">
        <v>24.59</v>
      </c>
      <c r="C2235" s="10">
        <v>4.38</v>
      </c>
      <c r="D2235" s="16" t="s">
        <v>4687</v>
      </c>
      <c r="E2235" s="10" t="s">
        <v>4683</v>
      </c>
      <c r="F2235" s="10" t="s">
        <v>4683</v>
      </c>
      <c r="G2235" s="10" t="s">
        <v>4683</v>
      </c>
      <c r="H2235" s="14">
        <v>1</v>
      </c>
      <c r="I2235" s="10" t="s">
        <v>4683</v>
      </c>
      <c r="J2235" s="10" t="str">
        <f t="shared" si="9"/>
        <v>normalweight</v>
      </c>
      <c r="L2235" s="30" t="e">
        <v>#N/A</v>
      </c>
    </row>
    <row r="2236" spans="1:12" ht="15.75" customHeight="1" x14ac:dyDescent="0.3">
      <c r="A2236" s="10" t="s">
        <v>216</v>
      </c>
      <c r="B2236" s="10">
        <v>33.33</v>
      </c>
      <c r="C2236" s="10">
        <v>9.7899999999999991</v>
      </c>
      <c r="D2236" s="16" t="s">
        <v>4682</v>
      </c>
      <c r="E2236" s="10" t="s">
        <v>4683</v>
      </c>
      <c r="F2236" s="10" t="s">
        <v>4683</v>
      </c>
      <c r="G2236" s="10" t="s">
        <v>4683</v>
      </c>
      <c r="H2236" s="14">
        <v>0</v>
      </c>
      <c r="I2236" s="10" t="s">
        <v>4683</v>
      </c>
      <c r="J2236" s="10" t="str">
        <f t="shared" si="9"/>
        <v>normalweight</v>
      </c>
      <c r="L2236" s="30" t="e">
        <v>#N/A</v>
      </c>
    </row>
    <row r="2237" spans="1:12" ht="15.75" customHeight="1" x14ac:dyDescent="0.3">
      <c r="A2237" s="10" t="s">
        <v>214</v>
      </c>
      <c r="B2237" s="10">
        <v>18.5</v>
      </c>
      <c r="C2237" s="10">
        <v>11.84</v>
      </c>
      <c r="D2237" s="16" t="s">
        <v>4682</v>
      </c>
      <c r="E2237" s="10" t="s">
        <v>4683</v>
      </c>
      <c r="F2237" s="10" t="s">
        <v>4683</v>
      </c>
      <c r="G2237" s="10" t="s">
        <v>4683</v>
      </c>
      <c r="H2237" s="14">
        <v>0</v>
      </c>
      <c r="I2237" s="10" t="s">
        <v>4683</v>
      </c>
      <c r="J2237" s="10" t="str">
        <f t="shared" si="9"/>
        <v>underweight</v>
      </c>
      <c r="L2237" s="30" t="e">
        <v>#N/A</v>
      </c>
    </row>
    <row r="2238" spans="1:12" ht="15.75" customHeight="1" x14ac:dyDescent="0.3">
      <c r="A2238" s="10" t="s">
        <v>212</v>
      </c>
      <c r="B2238" s="10">
        <v>18.579999999999998</v>
      </c>
      <c r="C2238" s="10">
        <v>6.22</v>
      </c>
      <c r="D2238" s="16" t="s">
        <v>4685</v>
      </c>
      <c r="E2238" s="10" t="s">
        <v>4683</v>
      </c>
      <c r="F2238" s="10" t="s">
        <v>4683</v>
      </c>
      <c r="G2238" s="10" t="s">
        <v>4683</v>
      </c>
      <c r="H2238" s="14">
        <v>0</v>
      </c>
      <c r="I2238" s="10" t="s">
        <v>4683</v>
      </c>
      <c r="J2238" s="10" t="str">
        <f t="shared" si="9"/>
        <v>normalweight</v>
      </c>
      <c r="L2238" s="30" t="e">
        <v>#N/A</v>
      </c>
    </row>
    <row r="2239" spans="1:12" ht="15.75" customHeight="1" x14ac:dyDescent="0.3">
      <c r="A2239" s="10" t="s">
        <v>210</v>
      </c>
      <c r="B2239" s="10">
        <v>16.64</v>
      </c>
      <c r="C2239" s="10">
        <v>10.01</v>
      </c>
      <c r="D2239" s="16" t="s">
        <v>4682</v>
      </c>
      <c r="E2239" s="10" t="s">
        <v>4683</v>
      </c>
      <c r="F2239" s="10" t="s">
        <v>4683</v>
      </c>
      <c r="G2239" s="10" t="s">
        <v>4683</v>
      </c>
      <c r="H2239" s="14">
        <v>0</v>
      </c>
      <c r="I2239" s="10" t="s">
        <v>4683</v>
      </c>
      <c r="J2239" s="10" t="str">
        <f t="shared" si="9"/>
        <v>underweight</v>
      </c>
      <c r="L2239" s="30" t="e">
        <v>#N/A</v>
      </c>
    </row>
    <row r="2240" spans="1:12" ht="15.75" customHeight="1" x14ac:dyDescent="0.3">
      <c r="A2240" s="10" t="s">
        <v>208</v>
      </c>
      <c r="B2240" s="10">
        <v>19.329999999999998</v>
      </c>
      <c r="C2240" s="10">
        <v>4.32</v>
      </c>
      <c r="D2240" s="16" t="s">
        <v>4687</v>
      </c>
      <c r="E2240" s="10" t="s">
        <v>4683</v>
      </c>
      <c r="F2240" s="10" t="s">
        <v>4683</v>
      </c>
      <c r="G2240" s="10" t="s">
        <v>4683</v>
      </c>
      <c r="H2240" s="14">
        <v>1</v>
      </c>
      <c r="I2240" s="10" t="s">
        <v>4683</v>
      </c>
      <c r="J2240" s="10" t="str">
        <f t="shared" si="9"/>
        <v>normalweight</v>
      </c>
      <c r="L2240" s="30" t="e">
        <v>#N/A</v>
      </c>
    </row>
    <row r="2241" spans="1:12" ht="15.75" customHeight="1" x14ac:dyDescent="0.3">
      <c r="A2241" s="10" t="s">
        <v>206</v>
      </c>
      <c r="B2241" s="10">
        <v>21.26</v>
      </c>
      <c r="C2241" s="10">
        <v>5.65</v>
      </c>
      <c r="D2241" s="16" t="s">
        <v>4685</v>
      </c>
      <c r="E2241" s="10" t="s">
        <v>4684</v>
      </c>
      <c r="F2241" s="10" t="s">
        <v>4683</v>
      </c>
      <c r="G2241" s="10" t="s">
        <v>4686</v>
      </c>
      <c r="H2241" s="14">
        <v>1</v>
      </c>
      <c r="I2241" s="10" t="s">
        <v>4683</v>
      </c>
      <c r="J2241" s="10" t="str">
        <f t="shared" si="9"/>
        <v>normalweight</v>
      </c>
      <c r="L2241" s="30" t="e">
        <v>#N/A</v>
      </c>
    </row>
    <row r="2242" spans="1:12" ht="15.75" customHeight="1" x14ac:dyDescent="0.3">
      <c r="A2242" s="10" t="s">
        <v>204</v>
      </c>
      <c r="B2242" s="10">
        <v>15.6</v>
      </c>
      <c r="C2242" s="10">
        <v>4.12</v>
      </c>
      <c r="D2242" s="16" t="s">
        <v>4687</v>
      </c>
      <c r="E2242" s="10" t="s">
        <v>4684</v>
      </c>
      <c r="F2242" s="10" t="s">
        <v>4683</v>
      </c>
      <c r="G2242" s="10" t="s">
        <v>4683</v>
      </c>
      <c r="H2242" s="14">
        <v>1</v>
      </c>
      <c r="I2242" s="10" t="s">
        <v>4683</v>
      </c>
      <c r="J2242" s="10" t="str">
        <f t="shared" si="9"/>
        <v>underweight</v>
      </c>
      <c r="L2242" s="30" t="e">
        <v>#N/A</v>
      </c>
    </row>
    <row r="2243" spans="1:12" ht="15.75" customHeight="1" x14ac:dyDescent="0.3">
      <c r="A2243" s="10" t="s">
        <v>202</v>
      </c>
      <c r="B2243" s="10">
        <v>24.39</v>
      </c>
      <c r="C2243" s="10">
        <v>6.24</v>
      </c>
      <c r="D2243" s="16" t="s">
        <v>4685</v>
      </c>
      <c r="E2243" s="10" t="s">
        <v>4683</v>
      </c>
      <c r="F2243" s="10" t="s">
        <v>4683</v>
      </c>
      <c r="G2243" s="10" t="s">
        <v>4683</v>
      </c>
      <c r="H2243" s="14">
        <v>1</v>
      </c>
      <c r="I2243" s="10" t="s">
        <v>4683</v>
      </c>
      <c r="J2243" s="10" t="str">
        <f t="shared" si="9"/>
        <v>normalweight</v>
      </c>
      <c r="L2243" s="30" t="e">
        <v>#N/A</v>
      </c>
    </row>
    <row r="2244" spans="1:12" ht="15.75" customHeight="1" x14ac:dyDescent="0.3">
      <c r="A2244" s="10" t="s">
        <v>200</v>
      </c>
      <c r="B2244" s="10">
        <v>24.75</v>
      </c>
      <c r="C2244" s="10">
        <v>4.83</v>
      </c>
      <c r="D2244" s="16" t="s">
        <v>4687</v>
      </c>
      <c r="E2244" s="10" t="s">
        <v>4683</v>
      </c>
      <c r="F2244" s="10" t="s">
        <v>4683</v>
      </c>
      <c r="G2244" s="10" t="s">
        <v>4683</v>
      </c>
      <c r="H2244" s="14">
        <v>0</v>
      </c>
      <c r="I2244" s="10" t="s">
        <v>4683</v>
      </c>
      <c r="J2244" s="10" t="str">
        <f t="shared" si="9"/>
        <v>normalweight</v>
      </c>
      <c r="L2244" s="30" t="e">
        <v>#N/A</v>
      </c>
    </row>
    <row r="2245" spans="1:12" ht="15.75" customHeight="1" x14ac:dyDescent="0.3">
      <c r="A2245" s="10" t="s">
        <v>198</v>
      </c>
      <c r="B2245" s="10">
        <v>20.88</v>
      </c>
      <c r="C2245" s="10">
        <v>7.4</v>
      </c>
      <c r="D2245" s="16" t="s">
        <v>4682</v>
      </c>
      <c r="E2245" s="10" t="s">
        <v>4683</v>
      </c>
      <c r="F2245" s="10" t="s">
        <v>4683</v>
      </c>
      <c r="G2245" s="10" t="s">
        <v>4683</v>
      </c>
      <c r="H2245" s="14">
        <v>0</v>
      </c>
      <c r="I2245" s="10" t="s">
        <v>4683</v>
      </c>
      <c r="J2245" s="10" t="str">
        <f t="shared" si="9"/>
        <v>normalweight</v>
      </c>
      <c r="L2245" s="30" t="e">
        <v>#N/A</v>
      </c>
    </row>
    <row r="2246" spans="1:12" ht="15.75" customHeight="1" x14ac:dyDescent="0.3">
      <c r="A2246" s="10" t="s">
        <v>196</v>
      </c>
      <c r="B2246" s="10">
        <v>20.43</v>
      </c>
      <c r="C2246" s="10">
        <v>4.54</v>
      </c>
      <c r="D2246" s="16" t="s">
        <v>4687</v>
      </c>
      <c r="E2246" s="10" t="s">
        <v>4683</v>
      </c>
      <c r="F2246" s="10" t="s">
        <v>4683</v>
      </c>
      <c r="G2246" s="10" t="s">
        <v>4683</v>
      </c>
      <c r="H2246" s="14">
        <v>0</v>
      </c>
      <c r="I2246" s="10" t="s">
        <v>4683</v>
      </c>
      <c r="J2246" s="10" t="str">
        <f t="shared" si="9"/>
        <v>normalweight</v>
      </c>
      <c r="L2246" s="30" t="e">
        <v>#N/A</v>
      </c>
    </row>
    <row r="2247" spans="1:12" ht="15.75" customHeight="1" x14ac:dyDescent="0.3">
      <c r="A2247" s="10" t="s">
        <v>194</v>
      </c>
      <c r="B2247" s="10">
        <v>15.18</v>
      </c>
      <c r="C2247" s="10">
        <v>11.11</v>
      </c>
      <c r="D2247" s="16" t="s">
        <v>4682</v>
      </c>
      <c r="E2247" s="10" t="s">
        <v>4683</v>
      </c>
      <c r="F2247" s="10" t="s">
        <v>4683</v>
      </c>
      <c r="G2247" s="10" t="s">
        <v>4683</v>
      </c>
      <c r="H2247" s="14">
        <v>0</v>
      </c>
      <c r="I2247" s="10" t="s">
        <v>4683</v>
      </c>
      <c r="J2247" s="10" t="str">
        <f t="shared" si="9"/>
        <v>underweight</v>
      </c>
      <c r="L2247" s="30" t="e">
        <v>#N/A</v>
      </c>
    </row>
    <row r="2248" spans="1:12" ht="15.75" customHeight="1" x14ac:dyDescent="0.3">
      <c r="A2248" s="10" t="s">
        <v>192</v>
      </c>
      <c r="B2248" s="10">
        <v>15.12</v>
      </c>
      <c r="C2248" s="10">
        <v>4.03</v>
      </c>
      <c r="D2248" s="16" t="s">
        <v>4687</v>
      </c>
      <c r="E2248" s="10" t="s">
        <v>4684</v>
      </c>
      <c r="F2248" s="10" t="s">
        <v>4683</v>
      </c>
      <c r="G2248" s="10" t="s">
        <v>4683</v>
      </c>
      <c r="H2248" s="14">
        <v>0</v>
      </c>
      <c r="I2248" s="10" t="s">
        <v>4683</v>
      </c>
      <c r="J2248" s="10" t="str">
        <f t="shared" si="9"/>
        <v>underweight</v>
      </c>
      <c r="L2248" s="30" t="e">
        <v>#N/A</v>
      </c>
    </row>
    <row r="2249" spans="1:12" ht="15.75" customHeight="1" x14ac:dyDescent="0.3">
      <c r="A2249" s="10" t="s">
        <v>190</v>
      </c>
      <c r="B2249" s="10">
        <v>23.88</v>
      </c>
      <c r="C2249" s="10">
        <v>4.51</v>
      </c>
      <c r="D2249" s="16" t="s">
        <v>4687</v>
      </c>
      <c r="E2249" s="10" t="s">
        <v>4683</v>
      </c>
      <c r="F2249" s="10" t="s">
        <v>4683</v>
      </c>
      <c r="G2249" s="10" t="s">
        <v>4683</v>
      </c>
      <c r="H2249" s="14">
        <v>1</v>
      </c>
      <c r="I2249" s="10" t="s">
        <v>4683</v>
      </c>
      <c r="J2249" s="10" t="str">
        <f t="shared" si="9"/>
        <v>normalweight</v>
      </c>
      <c r="L2249" s="30" t="e">
        <v>#N/A</v>
      </c>
    </row>
    <row r="2250" spans="1:12" ht="15.75" customHeight="1" x14ac:dyDescent="0.3">
      <c r="A2250" s="10" t="s">
        <v>188</v>
      </c>
      <c r="B2250" s="10">
        <v>16.13</v>
      </c>
      <c r="C2250" s="10">
        <v>5.56</v>
      </c>
      <c r="D2250" s="16" t="s">
        <v>4687</v>
      </c>
      <c r="E2250" s="10" t="s">
        <v>4683</v>
      </c>
      <c r="F2250" s="10" t="s">
        <v>4684</v>
      </c>
      <c r="G2250" s="10" t="s">
        <v>4683</v>
      </c>
      <c r="H2250" s="14">
        <v>1</v>
      </c>
      <c r="I2250" s="10" t="s">
        <v>4683</v>
      </c>
      <c r="J2250" s="10" t="str">
        <f t="shared" si="9"/>
        <v>underweight</v>
      </c>
      <c r="L2250" s="30" t="e">
        <v>#N/A</v>
      </c>
    </row>
    <row r="2251" spans="1:12" ht="15.75" customHeight="1" x14ac:dyDescent="0.3">
      <c r="A2251" s="10" t="s">
        <v>186</v>
      </c>
      <c r="B2251" s="10">
        <v>24.09</v>
      </c>
      <c r="C2251" s="10">
        <v>4.0999999999999996</v>
      </c>
      <c r="D2251" s="16" t="s">
        <v>4687</v>
      </c>
      <c r="E2251" s="10" t="s">
        <v>4683</v>
      </c>
      <c r="F2251" s="10" t="s">
        <v>4684</v>
      </c>
      <c r="G2251" s="10" t="s">
        <v>4683</v>
      </c>
      <c r="H2251" s="14">
        <v>1</v>
      </c>
      <c r="I2251" s="10" t="s">
        <v>4683</v>
      </c>
      <c r="J2251" s="10" t="str">
        <f t="shared" si="9"/>
        <v>normalweight</v>
      </c>
      <c r="L2251" s="30" t="e">
        <v>#N/A</v>
      </c>
    </row>
    <row r="2252" spans="1:12" ht="15.75" customHeight="1" x14ac:dyDescent="0.3">
      <c r="A2252" s="10" t="s">
        <v>184</v>
      </c>
      <c r="B2252" s="10">
        <v>19.43</v>
      </c>
      <c r="C2252" s="10">
        <v>5.85</v>
      </c>
      <c r="D2252" s="16" t="s">
        <v>4685</v>
      </c>
      <c r="E2252" s="10" t="s">
        <v>4683</v>
      </c>
      <c r="F2252" s="10" t="s">
        <v>4684</v>
      </c>
      <c r="G2252" s="10" t="s">
        <v>4683</v>
      </c>
      <c r="H2252" s="14">
        <v>1</v>
      </c>
      <c r="I2252" s="10" t="s">
        <v>4683</v>
      </c>
      <c r="J2252" s="10" t="str">
        <f t="shared" si="9"/>
        <v>normalweight</v>
      </c>
      <c r="L2252" s="30" t="e">
        <v>#N/A</v>
      </c>
    </row>
    <row r="2253" spans="1:12" ht="15.75" customHeight="1" x14ac:dyDescent="0.3">
      <c r="A2253" s="10" t="s">
        <v>182</v>
      </c>
      <c r="B2253" s="10">
        <v>15.22</v>
      </c>
      <c r="C2253" s="10">
        <v>4.92</v>
      </c>
      <c r="D2253" s="16" t="s">
        <v>4687</v>
      </c>
      <c r="E2253" s="10" t="s">
        <v>4684</v>
      </c>
      <c r="F2253" s="10" t="s">
        <v>4683</v>
      </c>
      <c r="G2253" s="10" t="s">
        <v>4686</v>
      </c>
      <c r="H2253" s="14">
        <v>1</v>
      </c>
      <c r="I2253" s="10" t="s">
        <v>4683</v>
      </c>
      <c r="J2253" s="10" t="str">
        <f t="shared" si="9"/>
        <v>underweight</v>
      </c>
      <c r="L2253" s="30" t="e">
        <v>#N/A</v>
      </c>
    </row>
    <row r="2254" spans="1:12" ht="15.75" customHeight="1" x14ac:dyDescent="0.3">
      <c r="A2254" s="10" t="s">
        <v>180</v>
      </c>
      <c r="B2254" s="10">
        <v>20.72</v>
      </c>
      <c r="C2254" s="10">
        <v>9.4600000000000009</v>
      </c>
      <c r="D2254" s="16" t="s">
        <v>4682</v>
      </c>
      <c r="E2254" s="10" t="s">
        <v>4683</v>
      </c>
      <c r="F2254" s="10" t="s">
        <v>4683</v>
      </c>
      <c r="G2254" s="10" t="s">
        <v>4683</v>
      </c>
      <c r="H2254" s="14">
        <v>0</v>
      </c>
      <c r="I2254" s="10" t="s">
        <v>4683</v>
      </c>
      <c r="J2254" s="10" t="str">
        <f t="shared" si="9"/>
        <v>normalweight</v>
      </c>
      <c r="L2254" s="30" t="e">
        <v>#N/A</v>
      </c>
    </row>
    <row r="2255" spans="1:12" ht="15.75" customHeight="1" x14ac:dyDescent="0.3">
      <c r="A2255" s="10" t="s">
        <v>178</v>
      </c>
      <c r="B2255" s="10">
        <v>35.4</v>
      </c>
      <c r="C2255" s="10">
        <v>5.94</v>
      </c>
      <c r="D2255" s="16" t="s">
        <v>4685</v>
      </c>
      <c r="E2255" s="10" t="s">
        <v>4683</v>
      </c>
      <c r="F2255" s="10" t="s">
        <v>4683</v>
      </c>
      <c r="G2255" s="10" t="s">
        <v>4686</v>
      </c>
      <c r="H2255" s="14">
        <v>1</v>
      </c>
      <c r="I2255" s="10" t="s">
        <v>4683</v>
      </c>
      <c r="J2255" s="10" t="str">
        <f t="shared" si="9"/>
        <v>normalweight</v>
      </c>
      <c r="L2255" s="30" t="e">
        <v>#N/A</v>
      </c>
    </row>
    <row r="2256" spans="1:12" ht="15.75" customHeight="1" x14ac:dyDescent="0.3">
      <c r="A2256" s="10" t="s">
        <v>176</v>
      </c>
      <c r="B2256" s="10">
        <v>34.4</v>
      </c>
      <c r="C2256" s="10">
        <v>5.7</v>
      </c>
      <c r="D2256" s="16" t="s">
        <v>4685</v>
      </c>
      <c r="E2256" s="10" t="s">
        <v>4683</v>
      </c>
      <c r="F2256" s="10" t="s">
        <v>4683</v>
      </c>
      <c r="G2256" s="10" t="s">
        <v>4686</v>
      </c>
      <c r="H2256" s="14">
        <v>1</v>
      </c>
      <c r="I2256" s="10" t="s">
        <v>4683</v>
      </c>
      <c r="J2256" s="10" t="str">
        <f t="shared" si="9"/>
        <v>normalweight</v>
      </c>
      <c r="L2256" s="30" t="e">
        <v>#N/A</v>
      </c>
    </row>
    <row r="2257" spans="1:12" ht="15.75" customHeight="1" x14ac:dyDescent="0.3">
      <c r="A2257" s="10" t="s">
        <v>174</v>
      </c>
      <c r="B2257" s="10">
        <v>34.1</v>
      </c>
      <c r="C2257" s="10">
        <v>4.13</v>
      </c>
      <c r="D2257" s="16" t="s">
        <v>4687</v>
      </c>
      <c r="E2257" s="10" t="s">
        <v>4683</v>
      </c>
      <c r="F2257" s="10" t="s">
        <v>4683</v>
      </c>
      <c r="G2257" s="10" t="s">
        <v>4686</v>
      </c>
      <c r="H2257" s="14">
        <v>1</v>
      </c>
      <c r="I2257" s="10" t="s">
        <v>4683</v>
      </c>
      <c r="J2257" s="10" t="str">
        <f t="shared" si="9"/>
        <v>normalweight</v>
      </c>
      <c r="L2257" s="30" t="e">
        <v>#N/A</v>
      </c>
    </row>
    <row r="2258" spans="1:12" ht="15.75" customHeight="1" x14ac:dyDescent="0.3">
      <c r="A2258" s="10" t="s">
        <v>172</v>
      </c>
      <c r="B2258" s="10">
        <v>30.4</v>
      </c>
      <c r="C2258" s="10">
        <v>4.7699999999999996</v>
      </c>
      <c r="D2258" s="16" t="s">
        <v>4687</v>
      </c>
      <c r="E2258" s="10" t="s">
        <v>4683</v>
      </c>
      <c r="F2258" s="10" t="s">
        <v>4683</v>
      </c>
      <c r="G2258" s="10" t="s">
        <v>4686</v>
      </c>
      <c r="H2258" s="14">
        <v>1</v>
      </c>
      <c r="I2258" s="10" t="s">
        <v>4683</v>
      </c>
      <c r="J2258" s="10" t="str">
        <f t="shared" si="9"/>
        <v>normalweight</v>
      </c>
      <c r="L2258" s="30" t="e">
        <v>#N/A</v>
      </c>
    </row>
    <row r="2259" spans="1:12" ht="15.75" customHeight="1" x14ac:dyDescent="0.3">
      <c r="A2259" s="10" t="s">
        <v>170</v>
      </c>
      <c r="B2259" s="10">
        <v>28.7</v>
      </c>
      <c r="C2259" s="10">
        <v>4.99</v>
      </c>
      <c r="D2259" s="16" t="s">
        <v>4687</v>
      </c>
      <c r="E2259" s="10" t="s">
        <v>4683</v>
      </c>
      <c r="F2259" s="10" t="s">
        <v>4683</v>
      </c>
      <c r="G2259" s="10" t="s">
        <v>4686</v>
      </c>
      <c r="H2259" s="14">
        <v>1</v>
      </c>
      <c r="I2259" s="10" t="s">
        <v>4683</v>
      </c>
      <c r="J2259" s="10" t="str">
        <f t="shared" si="9"/>
        <v>normalweight</v>
      </c>
      <c r="L2259" s="30" t="e">
        <v>#N/A</v>
      </c>
    </row>
    <row r="2260" spans="1:12" ht="15.75" customHeight="1" x14ac:dyDescent="0.3">
      <c r="A2260" s="10" t="s">
        <v>168</v>
      </c>
      <c r="B2260" s="10">
        <v>17.440000000000001</v>
      </c>
      <c r="C2260" s="10">
        <v>4.42</v>
      </c>
      <c r="D2260" s="16" t="s">
        <v>4687</v>
      </c>
      <c r="E2260" s="10" t="s">
        <v>4684</v>
      </c>
      <c r="F2260" s="10" t="s">
        <v>4683</v>
      </c>
      <c r="G2260" s="10" t="s">
        <v>4686</v>
      </c>
      <c r="H2260" s="14">
        <v>1</v>
      </c>
      <c r="I2260" s="10" t="s">
        <v>4683</v>
      </c>
      <c r="J2260" s="10" t="str">
        <f t="shared" si="9"/>
        <v>underweight</v>
      </c>
      <c r="L2260" s="30" t="e">
        <v>#N/A</v>
      </c>
    </row>
    <row r="2261" spans="1:12" ht="15.75" customHeight="1" x14ac:dyDescent="0.3">
      <c r="A2261" s="10" t="s">
        <v>166</v>
      </c>
      <c r="B2261" s="10">
        <v>27.6</v>
      </c>
      <c r="C2261" s="10">
        <v>4.01</v>
      </c>
      <c r="D2261" s="16" t="s">
        <v>4687</v>
      </c>
      <c r="E2261" s="10" t="s">
        <v>4683</v>
      </c>
      <c r="F2261" s="10" t="s">
        <v>4683</v>
      </c>
      <c r="G2261" s="10" t="s">
        <v>4686</v>
      </c>
      <c r="H2261" s="14">
        <v>1</v>
      </c>
      <c r="I2261" s="10" t="s">
        <v>4683</v>
      </c>
      <c r="J2261" s="10" t="str">
        <f t="shared" si="9"/>
        <v>normalweight</v>
      </c>
      <c r="L2261" s="30" t="e">
        <v>#N/A</v>
      </c>
    </row>
    <row r="2262" spans="1:12" ht="15.75" customHeight="1" x14ac:dyDescent="0.3">
      <c r="A2262" s="10" t="s">
        <v>164</v>
      </c>
      <c r="B2262" s="10">
        <v>20.7</v>
      </c>
      <c r="C2262" s="10">
        <v>4.49</v>
      </c>
      <c r="D2262" s="16" t="s">
        <v>4687</v>
      </c>
      <c r="E2262" s="10" t="s">
        <v>4683</v>
      </c>
      <c r="F2262" s="10" t="s">
        <v>4683</v>
      </c>
      <c r="G2262" s="10" t="s">
        <v>4686</v>
      </c>
      <c r="H2262" s="14">
        <v>1</v>
      </c>
      <c r="I2262" s="10" t="s">
        <v>4683</v>
      </c>
      <c r="J2262" s="10" t="str">
        <f t="shared" si="9"/>
        <v>normalweight</v>
      </c>
      <c r="L2262" s="30" t="e">
        <v>#N/A</v>
      </c>
    </row>
    <row r="2263" spans="1:12" ht="15.75" customHeight="1" x14ac:dyDescent="0.3">
      <c r="A2263" s="10" t="s">
        <v>162</v>
      </c>
      <c r="B2263" s="10">
        <v>20.3</v>
      </c>
      <c r="C2263" s="10">
        <v>6.37</v>
      </c>
      <c r="D2263" s="16" t="s">
        <v>4685</v>
      </c>
      <c r="E2263" s="10" t="s">
        <v>4683</v>
      </c>
      <c r="F2263" s="10" t="s">
        <v>4683</v>
      </c>
      <c r="G2263" s="10" t="s">
        <v>4686</v>
      </c>
      <c r="H2263" s="14">
        <v>1</v>
      </c>
      <c r="I2263" s="10" t="s">
        <v>4683</v>
      </c>
      <c r="J2263" s="10" t="str">
        <f t="shared" si="9"/>
        <v>normalweight</v>
      </c>
      <c r="L2263" s="30" t="e">
        <v>#N/A</v>
      </c>
    </row>
    <row r="2264" spans="1:12" ht="15.75" customHeight="1" x14ac:dyDescent="0.3">
      <c r="A2264" s="10" t="s">
        <v>160</v>
      </c>
      <c r="B2264" s="10">
        <v>19.8</v>
      </c>
      <c r="C2264" s="10">
        <v>5.12</v>
      </c>
      <c r="D2264" s="16" t="s">
        <v>4687</v>
      </c>
      <c r="E2264" s="10" t="s">
        <v>4683</v>
      </c>
      <c r="F2264" s="10" t="s">
        <v>4683</v>
      </c>
      <c r="G2264" s="10" t="s">
        <v>4686</v>
      </c>
      <c r="H2264" s="14">
        <v>1</v>
      </c>
      <c r="I2264" s="10" t="s">
        <v>4683</v>
      </c>
      <c r="J2264" s="10" t="str">
        <f t="shared" si="9"/>
        <v>normalweight</v>
      </c>
      <c r="L2264" s="30" t="e">
        <v>#N/A</v>
      </c>
    </row>
    <row r="2265" spans="1:12" ht="15.75" customHeight="1" x14ac:dyDescent="0.3">
      <c r="A2265" s="10" t="s">
        <v>158</v>
      </c>
      <c r="B2265" s="10">
        <v>21.87</v>
      </c>
      <c r="C2265" s="10">
        <v>8.59</v>
      </c>
      <c r="D2265" s="16" t="s">
        <v>4682</v>
      </c>
      <c r="E2265" s="10" t="s">
        <v>4683</v>
      </c>
      <c r="F2265" s="10" t="s">
        <v>4683</v>
      </c>
      <c r="G2265" s="10" t="s">
        <v>4683</v>
      </c>
      <c r="H2265" s="14">
        <v>0</v>
      </c>
      <c r="I2265" s="10" t="s">
        <v>4683</v>
      </c>
      <c r="J2265" s="10" t="str">
        <f t="shared" si="9"/>
        <v>normalweight</v>
      </c>
      <c r="L2265" s="30" t="e">
        <v>#N/A</v>
      </c>
    </row>
    <row r="2266" spans="1:12" ht="15.75" customHeight="1" x14ac:dyDescent="0.3">
      <c r="A2266" s="10" t="s">
        <v>156</v>
      </c>
      <c r="B2266" s="10">
        <v>16.600000000000001</v>
      </c>
      <c r="C2266" s="10">
        <v>5.87</v>
      </c>
      <c r="D2266" s="16" t="s">
        <v>4685</v>
      </c>
      <c r="E2266" s="10" t="s">
        <v>4683</v>
      </c>
      <c r="F2266" s="10" t="s">
        <v>4683</v>
      </c>
      <c r="G2266" s="10" t="s">
        <v>4683</v>
      </c>
      <c r="H2266" s="14">
        <v>1</v>
      </c>
      <c r="I2266" s="10" t="s">
        <v>4683</v>
      </c>
      <c r="J2266" s="10" t="str">
        <f t="shared" si="9"/>
        <v>underweight</v>
      </c>
      <c r="L2266" s="30" t="e">
        <v>#N/A</v>
      </c>
    </row>
    <row r="2267" spans="1:12" ht="15.75" customHeight="1" x14ac:dyDescent="0.3">
      <c r="A2267" s="10" t="s">
        <v>154</v>
      </c>
      <c r="B2267" s="10">
        <v>21.98</v>
      </c>
      <c r="C2267" s="10">
        <v>7.03</v>
      </c>
      <c r="D2267" s="16" t="s">
        <v>4682</v>
      </c>
      <c r="E2267" s="10" t="s">
        <v>4683</v>
      </c>
      <c r="F2267" s="10" t="s">
        <v>4683</v>
      </c>
      <c r="G2267" s="10" t="s">
        <v>4683</v>
      </c>
      <c r="H2267" s="14">
        <v>0</v>
      </c>
      <c r="I2267" s="10" t="s">
        <v>4683</v>
      </c>
      <c r="J2267" s="10" t="str">
        <f t="shared" si="9"/>
        <v>normalweight</v>
      </c>
      <c r="L2267" s="30" t="e">
        <v>#N/A</v>
      </c>
    </row>
    <row r="2268" spans="1:12" ht="15.75" customHeight="1" x14ac:dyDescent="0.3">
      <c r="A2268" s="10" t="s">
        <v>152</v>
      </c>
      <c r="B2268" s="10">
        <v>19.7</v>
      </c>
      <c r="C2268" s="10">
        <v>5.51</v>
      </c>
      <c r="D2268" s="16" t="s">
        <v>4685</v>
      </c>
      <c r="E2268" s="10" t="s">
        <v>4683</v>
      </c>
      <c r="F2268" s="10" t="s">
        <v>4683</v>
      </c>
      <c r="G2268" s="10" t="s">
        <v>4683</v>
      </c>
      <c r="H2268" s="14">
        <v>1</v>
      </c>
      <c r="I2268" s="10" t="s">
        <v>4683</v>
      </c>
      <c r="J2268" s="10" t="str">
        <f t="shared" si="9"/>
        <v>normalweight</v>
      </c>
      <c r="L2268" s="30" t="e">
        <v>#N/A</v>
      </c>
    </row>
    <row r="2269" spans="1:12" ht="15.75" customHeight="1" x14ac:dyDescent="0.3">
      <c r="A2269" s="10" t="s">
        <v>150</v>
      </c>
      <c r="B2269" s="10">
        <v>19.21</v>
      </c>
      <c r="C2269" s="10">
        <v>4.76</v>
      </c>
      <c r="D2269" s="16" t="s">
        <v>4687</v>
      </c>
      <c r="E2269" s="10" t="s">
        <v>4683</v>
      </c>
      <c r="F2269" s="10" t="s">
        <v>4684</v>
      </c>
      <c r="G2269" s="10" t="s">
        <v>4683</v>
      </c>
      <c r="H2269" s="14">
        <v>1</v>
      </c>
      <c r="I2269" s="10" t="s">
        <v>4683</v>
      </c>
      <c r="J2269" s="10" t="str">
        <f t="shared" si="9"/>
        <v>normalweight</v>
      </c>
      <c r="L2269" s="30" t="e">
        <v>#N/A</v>
      </c>
    </row>
    <row r="2270" spans="1:12" ht="15.75" customHeight="1" x14ac:dyDescent="0.3">
      <c r="A2270" s="10" t="s">
        <v>148</v>
      </c>
      <c r="B2270" s="10">
        <v>19.3</v>
      </c>
      <c r="C2270" s="10">
        <v>4.7</v>
      </c>
      <c r="D2270" s="16" t="s">
        <v>4687</v>
      </c>
      <c r="E2270" s="10" t="s">
        <v>4683</v>
      </c>
      <c r="F2270" s="10" t="s">
        <v>4684</v>
      </c>
      <c r="G2270" s="10" t="s">
        <v>4683</v>
      </c>
      <c r="H2270" s="14">
        <v>1</v>
      </c>
      <c r="I2270" s="10" t="s">
        <v>4683</v>
      </c>
      <c r="J2270" s="10" t="str">
        <f t="shared" si="9"/>
        <v>normalweight</v>
      </c>
      <c r="L2270" s="30" t="e">
        <v>#N/A</v>
      </c>
    </row>
    <row r="2271" spans="1:12" ht="15.75" customHeight="1" x14ac:dyDescent="0.3">
      <c r="A2271" s="10" t="s">
        <v>146</v>
      </c>
      <c r="B2271" s="10">
        <v>16.22</v>
      </c>
      <c r="C2271" s="10">
        <v>6.21</v>
      </c>
      <c r="D2271" s="16" t="s">
        <v>4685</v>
      </c>
      <c r="E2271" s="10" t="s">
        <v>4684</v>
      </c>
      <c r="F2271" s="10" t="s">
        <v>4683</v>
      </c>
      <c r="G2271" s="10" t="s">
        <v>4683</v>
      </c>
      <c r="H2271" s="14">
        <v>0</v>
      </c>
      <c r="I2271" s="10" t="s">
        <v>4683</v>
      </c>
      <c r="J2271" s="10" t="str">
        <f t="shared" si="9"/>
        <v>underweight</v>
      </c>
      <c r="L2271" s="30" t="e">
        <v>#N/A</v>
      </c>
    </row>
    <row r="2272" spans="1:12" ht="15.75" customHeight="1" x14ac:dyDescent="0.3">
      <c r="A2272" s="10" t="s">
        <v>144</v>
      </c>
      <c r="B2272" s="10">
        <v>17.12</v>
      </c>
      <c r="C2272" s="10">
        <v>4.5199999999999996</v>
      </c>
      <c r="D2272" s="16" t="s">
        <v>4687</v>
      </c>
      <c r="E2272" s="10" t="s">
        <v>4683</v>
      </c>
      <c r="F2272" s="10" t="s">
        <v>4684</v>
      </c>
      <c r="G2272" s="10" t="s">
        <v>4683</v>
      </c>
      <c r="H2272" s="14">
        <v>1</v>
      </c>
      <c r="I2272" s="10" t="s">
        <v>4683</v>
      </c>
      <c r="J2272" s="10" t="str">
        <f t="shared" si="9"/>
        <v>underweight</v>
      </c>
      <c r="L2272" s="30" t="e">
        <v>#N/A</v>
      </c>
    </row>
    <row r="2273" spans="1:12" ht="15.75" customHeight="1" x14ac:dyDescent="0.3">
      <c r="A2273" s="10" t="s">
        <v>142</v>
      </c>
      <c r="B2273" s="10">
        <v>19.07</v>
      </c>
      <c r="C2273" s="10">
        <v>5.45</v>
      </c>
      <c r="D2273" s="16" t="s">
        <v>4687</v>
      </c>
      <c r="E2273" s="10" t="s">
        <v>4683</v>
      </c>
      <c r="F2273" s="10" t="s">
        <v>4683</v>
      </c>
      <c r="G2273" s="10" t="s">
        <v>4683</v>
      </c>
      <c r="H2273" s="14">
        <v>1</v>
      </c>
      <c r="I2273" s="10" t="s">
        <v>4683</v>
      </c>
      <c r="J2273" s="10" t="str">
        <f t="shared" si="9"/>
        <v>normalweight</v>
      </c>
      <c r="L2273" s="30" t="e">
        <v>#N/A</v>
      </c>
    </row>
    <row r="2274" spans="1:12" ht="15.75" customHeight="1" x14ac:dyDescent="0.3">
      <c r="A2274" s="10" t="s">
        <v>140</v>
      </c>
      <c r="B2274" s="10">
        <v>15.56</v>
      </c>
      <c r="C2274" s="10">
        <v>4.42</v>
      </c>
      <c r="D2274" s="16" t="s">
        <v>4687</v>
      </c>
      <c r="E2274" s="10" t="s">
        <v>4683</v>
      </c>
      <c r="F2274" s="10" t="s">
        <v>4683</v>
      </c>
      <c r="G2274" s="10" t="s">
        <v>4683</v>
      </c>
      <c r="H2274" s="14">
        <v>0</v>
      </c>
      <c r="I2274" s="10" t="s">
        <v>4683</v>
      </c>
      <c r="J2274" s="10" t="str">
        <f t="shared" si="9"/>
        <v>underweight</v>
      </c>
      <c r="L2274" s="30" t="e">
        <v>#N/A</v>
      </c>
    </row>
    <row r="2275" spans="1:12" ht="15.75" customHeight="1" x14ac:dyDescent="0.3">
      <c r="A2275" s="10" t="s">
        <v>138</v>
      </c>
      <c r="B2275" s="10">
        <v>22.76</v>
      </c>
      <c r="C2275" s="10">
        <v>9.44</v>
      </c>
      <c r="D2275" s="16" t="s">
        <v>4682</v>
      </c>
      <c r="E2275" s="10" t="s">
        <v>4683</v>
      </c>
      <c r="F2275" s="10" t="s">
        <v>4683</v>
      </c>
      <c r="G2275" s="10" t="s">
        <v>4683</v>
      </c>
      <c r="H2275" s="14">
        <v>0</v>
      </c>
      <c r="I2275" s="10" t="s">
        <v>4683</v>
      </c>
      <c r="J2275" s="10" t="str">
        <f t="shared" si="9"/>
        <v>normalweight</v>
      </c>
      <c r="L2275" s="30" t="e">
        <v>#N/A</v>
      </c>
    </row>
    <row r="2276" spans="1:12" ht="15.75" customHeight="1" x14ac:dyDescent="0.3">
      <c r="A2276" s="10" t="s">
        <v>136</v>
      </c>
      <c r="B2276" s="10">
        <v>22.79</v>
      </c>
      <c r="C2276" s="10">
        <v>6.15</v>
      </c>
      <c r="D2276" s="16" t="s">
        <v>4685</v>
      </c>
      <c r="E2276" s="10" t="s">
        <v>4684</v>
      </c>
      <c r="F2276" s="10" t="s">
        <v>4683</v>
      </c>
      <c r="G2276" s="10" t="s">
        <v>4686</v>
      </c>
      <c r="H2276" s="14">
        <v>1</v>
      </c>
      <c r="I2276" s="10" t="s">
        <v>4683</v>
      </c>
      <c r="J2276" s="10" t="str">
        <f t="shared" si="9"/>
        <v>normalweight</v>
      </c>
      <c r="L2276" s="30" t="e">
        <v>#N/A</v>
      </c>
    </row>
    <row r="2277" spans="1:12" ht="15.75" customHeight="1" x14ac:dyDescent="0.3">
      <c r="A2277" s="10" t="s">
        <v>134</v>
      </c>
      <c r="B2277" s="10">
        <v>17.41</v>
      </c>
      <c r="C2277" s="10">
        <v>5.13</v>
      </c>
      <c r="D2277" s="16" t="s">
        <v>4687</v>
      </c>
      <c r="E2277" s="10" t="s">
        <v>4684</v>
      </c>
      <c r="F2277" s="10" t="s">
        <v>4683</v>
      </c>
      <c r="G2277" s="10" t="s">
        <v>4683</v>
      </c>
      <c r="H2277" s="14">
        <v>0</v>
      </c>
      <c r="I2277" s="10" t="s">
        <v>4683</v>
      </c>
      <c r="J2277" s="10" t="str">
        <f t="shared" si="9"/>
        <v>underweight</v>
      </c>
      <c r="L2277" s="30" t="e">
        <v>#N/A</v>
      </c>
    </row>
    <row r="2278" spans="1:12" ht="15.75" customHeight="1" x14ac:dyDescent="0.3">
      <c r="A2278" s="10" t="s">
        <v>132</v>
      </c>
      <c r="B2278" s="10">
        <v>19.32</v>
      </c>
      <c r="C2278" s="10">
        <v>4.96</v>
      </c>
      <c r="D2278" s="16" t="s">
        <v>4685</v>
      </c>
      <c r="E2278" s="10" t="s">
        <v>4684</v>
      </c>
      <c r="F2278" s="10" t="s">
        <v>4683</v>
      </c>
      <c r="G2278" s="10" t="s">
        <v>4683</v>
      </c>
      <c r="H2278" s="14">
        <v>0</v>
      </c>
      <c r="I2278" s="10" t="s">
        <v>4683</v>
      </c>
      <c r="J2278" s="10" t="str">
        <f t="shared" si="9"/>
        <v>normalweight</v>
      </c>
      <c r="L2278" s="30" t="e">
        <v>#N/A</v>
      </c>
    </row>
    <row r="2279" spans="1:12" ht="15.75" customHeight="1" x14ac:dyDescent="0.3">
      <c r="A2279" s="10" t="s">
        <v>130</v>
      </c>
      <c r="B2279" s="10">
        <v>18.25</v>
      </c>
      <c r="C2279" s="10">
        <v>10.95</v>
      </c>
      <c r="D2279" s="16" t="s">
        <v>4682</v>
      </c>
      <c r="E2279" s="10" t="s">
        <v>4683</v>
      </c>
      <c r="F2279" s="10" t="s">
        <v>4683</v>
      </c>
      <c r="G2279" s="10" t="s">
        <v>4683</v>
      </c>
      <c r="H2279" s="14">
        <v>0</v>
      </c>
      <c r="I2279" s="10" t="s">
        <v>4683</v>
      </c>
      <c r="J2279" s="10" t="str">
        <f t="shared" si="9"/>
        <v>underweight</v>
      </c>
      <c r="L2279" s="30" t="e">
        <v>#N/A</v>
      </c>
    </row>
    <row r="2280" spans="1:12" ht="15.75" customHeight="1" x14ac:dyDescent="0.3">
      <c r="A2280" s="10" t="s">
        <v>128</v>
      </c>
      <c r="B2280" s="10">
        <v>53.13</v>
      </c>
      <c r="C2280" s="10">
        <v>4.4400000000000004</v>
      </c>
      <c r="D2280" s="16" t="s">
        <v>4687</v>
      </c>
      <c r="E2280" s="10" t="s">
        <v>4683</v>
      </c>
      <c r="F2280" s="10" t="s">
        <v>4684</v>
      </c>
      <c r="G2280" s="10" t="s">
        <v>4683</v>
      </c>
      <c r="H2280" s="14">
        <v>1</v>
      </c>
      <c r="I2280" s="10" t="s">
        <v>4683</v>
      </c>
      <c r="J2280" s="10" t="str">
        <f t="shared" si="9"/>
        <v>normalweight</v>
      </c>
      <c r="L2280" s="30" t="e">
        <v>#N/A</v>
      </c>
    </row>
    <row r="2281" spans="1:12" ht="15.75" customHeight="1" x14ac:dyDescent="0.3">
      <c r="A2281" s="10" t="s">
        <v>126</v>
      </c>
      <c r="B2281" s="10">
        <v>20.46</v>
      </c>
      <c r="C2281" s="10">
        <v>4.0199999999999996</v>
      </c>
      <c r="D2281" s="16" t="s">
        <v>4687</v>
      </c>
      <c r="E2281" s="10" t="s">
        <v>4683</v>
      </c>
      <c r="F2281" s="10" t="s">
        <v>4683</v>
      </c>
      <c r="G2281" s="10" t="s">
        <v>4683</v>
      </c>
      <c r="H2281" s="14">
        <v>0</v>
      </c>
      <c r="I2281" s="10" t="s">
        <v>4683</v>
      </c>
      <c r="J2281" s="10" t="str">
        <f t="shared" si="9"/>
        <v>normalweight</v>
      </c>
      <c r="L2281" s="30" t="e">
        <v>#N/A</v>
      </c>
    </row>
    <row r="2282" spans="1:12" ht="15.75" customHeight="1" x14ac:dyDescent="0.3">
      <c r="A2282" s="10" t="s">
        <v>124</v>
      </c>
      <c r="B2282" s="10">
        <v>43.01</v>
      </c>
      <c r="C2282" s="10">
        <v>5.44</v>
      </c>
      <c r="D2282" s="16" t="s">
        <v>4687</v>
      </c>
      <c r="E2282" s="10" t="s">
        <v>4683</v>
      </c>
      <c r="F2282" s="10" t="s">
        <v>4684</v>
      </c>
      <c r="G2282" s="10" t="s">
        <v>4683</v>
      </c>
      <c r="H2282" s="14">
        <v>1</v>
      </c>
      <c r="I2282" s="10" t="s">
        <v>4683</v>
      </c>
      <c r="J2282" s="10" t="str">
        <f t="shared" si="9"/>
        <v>normalweight</v>
      </c>
      <c r="L2282" s="30" t="e">
        <v>#N/A</v>
      </c>
    </row>
    <row r="2283" spans="1:12" ht="15.75" customHeight="1" x14ac:dyDescent="0.3">
      <c r="A2283" s="10" t="s">
        <v>122</v>
      </c>
      <c r="B2283" s="10">
        <v>15.01</v>
      </c>
      <c r="C2283" s="10">
        <v>4.1500000000000004</v>
      </c>
      <c r="D2283" s="16" t="s">
        <v>4687</v>
      </c>
      <c r="E2283" s="10" t="s">
        <v>4683</v>
      </c>
      <c r="F2283" s="10" t="s">
        <v>4683</v>
      </c>
      <c r="G2283" s="10" t="s">
        <v>4686</v>
      </c>
      <c r="H2283" s="14">
        <v>1</v>
      </c>
      <c r="I2283" s="10" t="s">
        <v>4683</v>
      </c>
      <c r="J2283" s="10" t="str">
        <f t="shared" si="9"/>
        <v>underweight</v>
      </c>
      <c r="L2283" s="30" t="e">
        <v>#N/A</v>
      </c>
    </row>
    <row r="2284" spans="1:12" ht="15.75" customHeight="1" x14ac:dyDescent="0.3">
      <c r="A2284" s="10" t="s">
        <v>120</v>
      </c>
      <c r="B2284" s="10">
        <v>41.14</v>
      </c>
      <c r="C2284" s="10">
        <v>6.02</v>
      </c>
      <c r="D2284" s="16" t="s">
        <v>4685</v>
      </c>
      <c r="E2284" s="10" t="s">
        <v>4683</v>
      </c>
      <c r="F2284" s="10" t="s">
        <v>4684</v>
      </c>
      <c r="G2284" s="10" t="s">
        <v>4683</v>
      </c>
      <c r="H2284" s="14">
        <v>1</v>
      </c>
      <c r="I2284" s="10" t="s">
        <v>4683</v>
      </c>
      <c r="J2284" s="10" t="str">
        <f t="shared" si="9"/>
        <v>normalweight</v>
      </c>
      <c r="L2284" s="30" t="e">
        <v>#N/A</v>
      </c>
    </row>
    <row r="2285" spans="1:12" ht="15.75" customHeight="1" x14ac:dyDescent="0.3">
      <c r="A2285" s="10" t="s">
        <v>118</v>
      </c>
      <c r="B2285" s="10">
        <v>16.55</v>
      </c>
      <c r="C2285" s="10">
        <v>7.73</v>
      </c>
      <c r="D2285" s="16" t="s">
        <v>4682</v>
      </c>
      <c r="E2285" s="10" t="s">
        <v>4683</v>
      </c>
      <c r="F2285" s="10" t="s">
        <v>4683</v>
      </c>
      <c r="G2285" s="10" t="s">
        <v>4683</v>
      </c>
      <c r="H2285" s="14">
        <v>0</v>
      </c>
      <c r="I2285" s="10" t="s">
        <v>4683</v>
      </c>
      <c r="J2285" s="10" t="str">
        <f t="shared" si="9"/>
        <v>underweight</v>
      </c>
      <c r="L2285" s="30" t="e">
        <v>#N/A</v>
      </c>
    </row>
    <row r="2286" spans="1:12" ht="15.75" customHeight="1" x14ac:dyDescent="0.3">
      <c r="A2286" s="10" t="s">
        <v>116</v>
      </c>
      <c r="B2286" s="10">
        <v>37.29</v>
      </c>
      <c r="C2286" s="10">
        <v>5.03</v>
      </c>
      <c r="D2286" s="16" t="s">
        <v>4687</v>
      </c>
      <c r="E2286" s="10" t="s">
        <v>4683</v>
      </c>
      <c r="F2286" s="10" t="s">
        <v>4684</v>
      </c>
      <c r="G2286" s="10" t="s">
        <v>4683</v>
      </c>
      <c r="H2286" s="14">
        <v>1</v>
      </c>
      <c r="I2286" s="10" t="s">
        <v>4683</v>
      </c>
      <c r="J2286" s="10" t="str">
        <f t="shared" si="9"/>
        <v>normalweight</v>
      </c>
      <c r="L2286" s="30" t="e">
        <v>#N/A</v>
      </c>
    </row>
    <row r="2287" spans="1:12" ht="15.75" customHeight="1" x14ac:dyDescent="0.3">
      <c r="A2287" s="10" t="s">
        <v>114</v>
      </c>
      <c r="B2287" s="10">
        <v>16.739999999999998</v>
      </c>
      <c r="C2287" s="10">
        <v>4.08</v>
      </c>
      <c r="D2287" s="16" t="s">
        <v>4687</v>
      </c>
      <c r="E2287" s="10" t="s">
        <v>4684</v>
      </c>
      <c r="F2287" s="10" t="s">
        <v>4683</v>
      </c>
      <c r="G2287" s="10" t="s">
        <v>4683</v>
      </c>
      <c r="H2287" s="14">
        <v>0</v>
      </c>
      <c r="I2287" s="10" t="s">
        <v>4683</v>
      </c>
      <c r="J2287" s="10" t="str">
        <f t="shared" si="9"/>
        <v>underweight</v>
      </c>
      <c r="L2287" s="30" t="e">
        <v>#N/A</v>
      </c>
    </row>
    <row r="2288" spans="1:12" ht="15.75" customHeight="1" x14ac:dyDescent="0.3">
      <c r="A2288" s="10" t="s">
        <v>112</v>
      </c>
      <c r="B2288" s="10">
        <v>34.43</v>
      </c>
      <c r="C2288" s="10">
        <v>4.2699999999999996</v>
      </c>
      <c r="D2288" s="16" t="s">
        <v>4687</v>
      </c>
      <c r="E2288" s="10" t="s">
        <v>4683</v>
      </c>
      <c r="F2288" s="10" t="s">
        <v>4684</v>
      </c>
      <c r="G2288" s="10" t="s">
        <v>4683</v>
      </c>
      <c r="H2288" s="14">
        <v>1</v>
      </c>
      <c r="I2288" s="10" t="s">
        <v>4683</v>
      </c>
      <c r="J2288" s="10" t="str">
        <f t="shared" si="9"/>
        <v>normalweight</v>
      </c>
      <c r="L2288" s="30" t="e">
        <v>#N/A</v>
      </c>
    </row>
    <row r="2289" spans="1:12" ht="15.75" customHeight="1" x14ac:dyDescent="0.3">
      <c r="A2289" s="10" t="s">
        <v>110</v>
      </c>
      <c r="B2289" s="10">
        <v>34.1</v>
      </c>
      <c r="C2289" s="10">
        <v>4.07</v>
      </c>
      <c r="D2289" s="16" t="s">
        <v>4687</v>
      </c>
      <c r="E2289" s="10" t="s">
        <v>4683</v>
      </c>
      <c r="F2289" s="10" t="s">
        <v>4684</v>
      </c>
      <c r="G2289" s="10" t="s">
        <v>4683</v>
      </c>
      <c r="H2289" s="14">
        <v>1</v>
      </c>
      <c r="I2289" s="10" t="s">
        <v>4683</v>
      </c>
      <c r="J2289" s="10" t="str">
        <f t="shared" si="9"/>
        <v>normalweight</v>
      </c>
      <c r="L2289" s="30" t="e">
        <v>#N/A</v>
      </c>
    </row>
    <row r="2290" spans="1:12" ht="15.75" customHeight="1" x14ac:dyDescent="0.3">
      <c r="A2290" s="10" t="s">
        <v>108</v>
      </c>
      <c r="B2290" s="10">
        <v>19.3</v>
      </c>
      <c r="C2290" s="10">
        <v>10.36</v>
      </c>
      <c r="D2290" s="16" t="s">
        <v>4682</v>
      </c>
      <c r="E2290" s="10" t="s">
        <v>4683</v>
      </c>
      <c r="F2290" s="10" t="s">
        <v>4683</v>
      </c>
      <c r="G2290" s="10" t="s">
        <v>4683</v>
      </c>
      <c r="H2290" s="14">
        <v>0</v>
      </c>
      <c r="I2290" s="10" t="s">
        <v>4683</v>
      </c>
      <c r="J2290" s="10" t="str">
        <f t="shared" si="9"/>
        <v>normalweight</v>
      </c>
      <c r="L2290" s="30" t="e">
        <v>#N/A</v>
      </c>
    </row>
    <row r="2291" spans="1:12" ht="15.75" customHeight="1" x14ac:dyDescent="0.3">
      <c r="A2291" s="10" t="s">
        <v>106</v>
      </c>
      <c r="B2291" s="10">
        <v>33.659999999999997</v>
      </c>
      <c r="C2291" s="10">
        <v>5.71</v>
      </c>
      <c r="D2291" s="16" t="s">
        <v>4685</v>
      </c>
      <c r="E2291" s="10" t="s">
        <v>4683</v>
      </c>
      <c r="F2291" s="10" t="s">
        <v>4684</v>
      </c>
      <c r="G2291" s="10" t="s">
        <v>4683</v>
      </c>
      <c r="H2291" s="14">
        <v>1</v>
      </c>
      <c r="I2291" s="10" t="s">
        <v>4683</v>
      </c>
      <c r="J2291" s="10" t="str">
        <f t="shared" si="9"/>
        <v>normalweight</v>
      </c>
      <c r="L2291" s="30" t="e">
        <v>#N/A</v>
      </c>
    </row>
    <row r="2292" spans="1:12" ht="15.75" customHeight="1" x14ac:dyDescent="0.3">
      <c r="A2292" s="10" t="s">
        <v>104</v>
      </c>
      <c r="B2292" s="10">
        <v>33.33</v>
      </c>
      <c r="C2292" s="10">
        <v>6.08</v>
      </c>
      <c r="D2292" s="16" t="s">
        <v>4685</v>
      </c>
      <c r="E2292" s="10" t="s">
        <v>4683</v>
      </c>
      <c r="F2292" s="10" t="s">
        <v>4684</v>
      </c>
      <c r="G2292" s="10" t="s">
        <v>4683</v>
      </c>
      <c r="H2292" s="14">
        <v>1</v>
      </c>
      <c r="I2292" s="10" t="s">
        <v>4683</v>
      </c>
      <c r="J2292" s="10" t="str">
        <f t="shared" si="9"/>
        <v>normalweight</v>
      </c>
      <c r="L2292" s="30" t="e">
        <v>#N/A</v>
      </c>
    </row>
    <row r="2293" spans="1:12" ht="15.75" customHeight="1" x14ac:dyDescent="0.3">
      <c r="A2293" s="10" t="s">
        <v>102</v>
      </c>
      <c r="B2293" s="10">
        <v>21.84</v>
      </c>
      <c r="C2293" s="10">
        <v>5.71</v>
      </c>
      <c r="D2293" s="16" t="s">
        <v>4685</v>
      </c>
      <c r="E2293" s="10" t="s">
        <v>4683</v>
      </c>
      <c r="F2293" s="10" t="s">
        <v>4684</v>
      </c>
      <c r="G2293" s="10" t="s">
        <v>4683</v>
      </c>
      <c r="H2293" s="14">
        <v>1</v>
      </c>
      <c r="I2293" s="10" t="s">
        <v>4683</v>
      </c>
      <c r="J2293" s="10" t="str">
        <f t="shared" si="9"/>
        <v>normalweight</v>
      </c>
      <c r="L2293" s="30" t="e">
        <v>#N/A</v>
      </c>
    </row>
    <row r="2294" spans="1:12" ht="15.75" customHeight="1" x14ac:dyDescent="0.3">
      <c r="A2294" s="10" t="s">
        <v>100</v>
      </c>
      <c r="B2294" s="10">
        <v>16.87</v>
      </c>
      <c r="C2294" s="10">
        <v>9.1300000000000008</v>
      </c>
      <c r="D2294" s="16" t="s">
        <v>4682</v>
      </c>
      <c r="E2294" s="10" t="s">
        <v>4683</v>
      </c>
      <c r="F2294" s="10" t="s">
        <v>4683</v>
      </c>
      <c r="G2294" s="10" t="s">
        <v>4683</v>
      </c>
      <c r="H2294" s="14">
        <v>0</v>
      </c>
      <c r="I2294" s="10" t="s">
        <v>4683</v>
      </c>
      <c r="J2294" s="10" t="str">
        <f t="shared" si="9"/>
        <v>underweight</v>
      </c>
      <c r="L2294" s="30" t="e">
        <v>#N/A</v>
      </c>
    </row>
    <row r="2295" spans="1:12" ht="15.75" customHeight="1" x14ac:dyDescent="0.3">
      <c r="A2295" s="10" t="s">
        <v>98</v>
      </c>
      <c r="B2295" s="10">
        <v>30.14</v>
      </c>
      <c r="C2295" s="10">
        <v>5.49</v>
      </c>
      <c r="D2295" s="16" t="s">
        <v>4687</v>
      </c>
      <c r="E2295" s="10" t="s">
        <v>4683</v>
      </c>
      <c r="F2295" s="10" t="s">
        <v>4684</v>
      </c>
      <c r="G2295" s="10" t="s">
        <v>4683</v>
      </c>
      <c r="H2295" s="14">
        <v>1</v>
      </c>
      <c r="I2295" s="10" t="s">
        <v>4683</v>
      </c>
      <c r="J2295" s="10" t="str">
        <f t="shared" si="9"/>
        <v>normalweight</v>
      </c>
      <c r="L2295" s="30" t="e">
        <v>#N/A</v>
      </c>
    </row>
    <row r="2296" spans="1:12" ht="15.75" customHeight="1" x14ac:dyDescent="0.3">
      <c r="A2296" s="10" t="s">
        <v>96</v>
      </c>
      <c r="B2296" s="10">
        <v>23.21</v>
      </c>
      <c r="C2296" s="10">
        <v>4.37</v>
      </c>
      <c r="D2296" s="16" t="s">
        <v>4687</v>
      </c>
      <c r="E2296" s="10" t="s">
        <v>4683</v>
      </c>
      <c r="F2296" s="10" t="s">
        <v>4684</v>
      </c>
      <c r="G2296" s="10" t="s">
        <v>4683</v>
      </c>
      <c r="H2296" s="14">
        <v>1</v>
      </c>
      <c r="I2296" s="10" t="s">
        <v>4683</v>
      </c>
      <c r="J2296" s="10" t="str">
        <f t="shared" si="9"/>
        <v>normalweight</v>
      </c>
      <c r="L2296" s="30" t="e">
        <v>#N/A</v>
      </c>
    </row>
    <row r="2297" spans="1:12" ht="15.75" customHeight="1" x14ac:dyDescent="0.3">
      <c r="A2297" s="10" t="s">
        <v>94</v>
      </c>
      <c r="B2297" s="10">
        <v>17.170000000000002</v>
      </c>
      <c r="C2297" s="10">
        <v>8.4600000000000009</v>
      </c>
      <c r="D2297" s="16" t="s">
        <v>4682</v>
      </c>
      <c r="E2297" s="10" t="s">
        <v>4683</v>
      </c>
      <c r="F2297" s="10" t="s">
        <v>4683</v>
      </c>
      <c r="G2297" s="10" t="s">
        <v>4683</v>
      </c>
      <c r="H2297" s="14">
        <v>0</v>
      </c>
      <c r="I2297" s="10" t="s">
        <v>4683</v>
      </c>
      <c r="J2297" s="10" t="str">
        <f t="shared" si="9"/>
        <v>underweight</v>
      </c>
      <c r="L2297" s="30" t="e">
        <v>#N/A</v>
      </c>
    </row>
    <row r="2298" spans="1:12" ht="15.75" customHeight="1" x14ac:dyDescent="0.3">
      <c r="A2298" s="10" t="s">
        <v>92</v>
      </c>
      <c r="B2298" s="10">
        <v>15.61</v>
      </c>
      <c r="C2298" s="10">
        <v>5.28</v>
      </c>
      <c r="D2298" s="16" t="s">
        <v>4687</v>
      </c>
      <c r="E2298" s="10" t="s">
        <v>4683</v>
      </c>
      <c r="F2298" s="10" t="s">
        <v>4683</v>
      </c>
      <c r="G2298" s="10" t="s">
        <v>4683</v>
      </c>
      <c r="H2298" s="14">
        <v>1</v>
      </c>
      <c r="I2298" s="10" t="s">
        <v>4683</v>
      </c>
      <c r="J2298" s="10" t="str">
        <f t="shared" si="9"/>
        <v>underweight</v>
      </c>
      <c r="L2298" s="30" t="e">
        <v>#N/A</v>
      </c>
    </row>
    <row r="2299" spans="1:12" ht="15.75" customHeight="1" x14ac:dyDescent="0.3">
      <c r="A2299" s="10" t="s">
        <v>90</v>
      </c>
      <c r="B2299" s="10">
        <v>17.98</v>
      </c>
      <c r="C2299" s="10">
        <v>5.33</v>
      </c>
      <c r="D2299" s="16" t="s">
        <v>4687</v>
      </c>
      <c r="E2299" s="10" t="s">
        <v>4684</v>
      </c>
      <c r="F2299" s="10" t="s">
        <v>4683</v>
      </c>
      <c r="G2299" s="10" t="s">
        <v>4686</v>
      </c>
      <c r="H2299" s="14">
        <v>1</v>
      </c>
      <c r="I2299" s="10" t="s">
        <v>4683</v>
      </c>
      <c r="J2299" s="10" t="str">
        <f t="shared" si="9"/>
        <v>underweight</v>
      </c>
      <c r="L2299" s="30" t="e">
        <v>#N/A</v>
      </c>
    </row>
    <row r="2300" spans="1:12" ht="15.75" customHeight="1" x14ac:dyDescent="0.3">
      <c r="A2300" s="10" t="s">
        <v>88</v>
      </c>
      <c r="B2300" s="10">
        <v>21.64</v>
      </c>
      <c r="C2300" s="10">
        <v>5.5</v>
      </c>
      <c r="D2300" s="16" t="s">
        <v>4687</v>
      </c>
      <c r="E2300" s="10" t="s">
        <v>4683</v>
      </c>
      <c r="F2300" s="10" t="s">
        <v>4684</v>
      </c>
      <c r="G2300" s="10" t="s">
        <v>4683</v>
      </c>
      <c r="H2300" s="14">
        <v>1</v>
      </c>
      <c r="I2300" s="10" t="s">
        <v>4683</v>
      </c>
      <c r="J2300" s="10" t="str">
        <f t="shared" si="9"/>
        <v>normalweight</v>
      </c>
      <c r="L2300" s="30" t="e">
        <v>#N/A</v>
      </c>
    </row>
    <row r="2301" spans="1:12" ht="15.75" customHeight="1" x14ac:dyDescent="0.3">
      <c r="A2301" s="10" t="s">
        <v>86</v>
      </c>
      <c r="B2301" s="10">
        <v>16.399999999999999</v>
      </c>
      <c r="C2301" s="10">
        <v>5.4</v>
      </c>
      <c r="D2301" s="16" t="s">
        <v>4687</v>
      </c>
      <c r="E2301" s="10" t="s">
        <v>4683</v>
      </c>
      <c r="F2301" s="10" t="s">
        <v>4683</v>
      </c>
      <c r="G2301" s="10" t="s">
        <v>4686</v>
      </c>
      <c r="H2301" s="14">
        <v>1</v>
      </c>
      <c r="I2301" s="10" t="s">
        <v>4683</v>
      </c>
      <c r="J2301" s="10" t="str">
        <f t="shared" si="9"/>
        <v>underweight</v>
      </c>
      <c r="L2301" s="30" t="e">
        <v>#N/A</v>
      </c>
    </row>
    <row r="2302" spans="1:12" ht="15.75" customHeight="1" x14ac:dyDescent="0.3">
      <c r="A2302" s="10" t="s">
        <v>84</v>
      </c>
      <c r="B2302" s="10">
        <v>15.77</v>
      </c>
      <c r="C2302" s="10">
        <v>6.05</v>
      </c>
      <c r="D2302" s="16" t="s">
        <v>4685</v>
      </c>
      <c r="E2302" s="10" t="s">
        <v>4684</v>
      </c>
      <c r="F2302" s="10" t="s">
        <v>4683</v>
      </c>
      <c r="G2302" s="10" t="s">
        <v>4683</v>
      </c>
      <c r="H2302" s="14">
        <v>1</v>
      </c>
      <c r="I2302" s="10" t="s">
        <v>4683</v>
      </c>
      <c r="J2302" s="10" t="str">
        <f t="shared" si="9"/>
        <v>underweight</v>
      </c>
      <c r="L2302" s="30" t="e">
        <v>#N/A</v>
      </c>
    </row>
    <row r="2303" spans="1:12" ht="15.75" customHeight="1" x14ac:dyDescent="0.3">
      <c r="A2303" s="10" t="s">
        <v>82</v>
      </c>
      <c r="B2303" s="10">
        <v>18.27</v>
      </c>
      <c r="C2303" s="10">
        <v>11.46</v>
      </c>
      <c r="D2303" s="16" t="s">
        <v>4682</v>
      </c>
      <c r="E2303" s="10" t="s">
        <v>4683</v>
      </c>
      <c r="F2303" s="10" t="s">
        <v>4683</v>
      </c>
      <c r="G2303" s="10" t="s">
        <v>4683</v>
      </c>
      <c r="H2303" s="14">
        <v>0</v>
      </c>
      <c r="I2303" s="10" t="s">
        <v>4683</v>
      </c>
      <c r="J2303" s="10" t="str">
        <f t="shared" si="9"/>
        <v>underweight</v>
      </c>
      <c r="L2303" s="30" t="e">
        <v>#N/A</v>
      </c>
    </row>
    <row r="2304" spans="1:12" ht="15.75" customHeight="1" x14ac:dyDescent="0.3">
      <c r="A2304" s="10" t="s">
        <v>80</v>
      </c>
      <c r="B2304" s="10">
        <v>16.489999999999998</v>
      </c>
      <c r="C2304" s="10">
        <v>8.48</v>
      </c>
      <c r="D2304" s="16" t="s">
        <v>4682</v>
      </c>
      <c r="E2304" s="10" t="s">
        <v>4683</v>
      </c>
      <c r="F2304" s="10" t="s">
        <v>4683</v>
      </c>
      <c r="G2304" s="10" t="s">
        <v>4683</v>
      </c>
      <c r="H2304" s="14">
        <v>0</v>
      </c>
      <c r="I2304" s="10" t="s">
        <v>4683</v>
      </c>
      <c r="J2304" s="10" t="str">
        <f t="shared" si="9"/>
        <v>underweight</v>
      </c>
      <c r="L2304" s="30" t="e">
        <v>#N/A</v>
      </c>
    </row>
    <row r="2305" spans="1:12" ht="15.75" customHeight="1" x14ac:dyDescent="0.3">
      <c r="A2305" s="10" t="s">
        <v>78</v>
      </c>
      <c r="B2305" s="10">
        <v>16.14</v>
      </c>
      <c r="C2305" s="10">
        <v>4.8600000000000003</v>
      </c>
      <c r="D2305" s="16" t="s">
        <v>4687</v>
      </c>
      <c r="E2305" s="10" t="s">
        <v>4683</v>
      </c>
      <c r="F2305" s="10" t="s">
        <v>4683</v>
      </c>
      <c r="G2305" s="10" t="s">
        <v>4683</v>
      </c>
      <c r="H2305" s="14">
        <v>0</v>
      </c>
      <c r="I2305" s="10" t="s">
        <v>4683</v>
      </c>
      <c r="J2305" s="10" t="str">
        <f t="shared" si="9"/>
        <v>underweight</v>
      </c>
      <c r="L2305" s="30" t="e">
        <v>#N/A</v>
      </c>
    </row>
    <row r="2306" spans="1:12" ht="15.75" customHeight="1" x14ac:dyDescent="0.3">
      <c r="A2306" s="10" t="s">
        <v>76</v>
      </c>
      <c r="B2306" s="10">
        <v>20.85</v>
      </c>
      <c r="C2306" s="10">
        <v>4.45</v>
      </c>
      <c r="D2306" s="16" t="s">
        <v>4687</v>
      </c>
      <c r="E2306" s="10" t="s">
        <v>4684</v>
      </c>
      <c r="F2306" s="10" t="s">
        <v>4683</v>
      </c>
      <c r="G2306" s="10" t="s">
        <v>4683</v>
      </c>
      <c r="H2306" s="14">
        <v>1</v>
      </c>
      <c r="I2306" s="10" t="s">
        <v>4683</v>
      </c>
      <c r="J2306" s="10" t="str">
        <f t="shared" si="9"/>
        <v>normalweight</v>
      </c>
      <c r="L2306" s="30" t="e">
        <v>#N/A</v>
      </c>
    </row>
    <row r="2307" spans="1:12" ht="15.75" customHeight="1" x14ac:dyDescent="0.3">
      <c r="A2307" s="10" t="s">
        <v>74</v>
      </c>
      <c r="B2307" s="10">
        <v>15.88</v>
      </c>
      <c r="C2307" s="10">
        <v>4.3600000000000003</v>
      </c>
      <c r="D2307" s="16" t="s">
        <v>4687</v>
      </c>
      <c r="E2307" s="10" t="s">
        <v>4683</v>
      </c>
      <c r="F2307" s="10" t="s">
        <v>4683</v>
      </c>
      <c r="G2307" s="10" t="s">
        <v>4683</v>
      </c>
      <c r="H2307" s="14">
        <v>0</v>
      </c>
      <c r="I2307" s="10" t="s">
        <v>4683</v>
      </c>
      <c r="J2307" s="10" t="str">
        <f t="shared" si="9"/>
        <v>underweight</v>
      </c>
      <c r="L2307" s="30" t="e">
        <v>#N/A</v>
      </c>
    </row>
    <row r="2308" spans="1:12" ht="15.75" customHeight="1" x14ac:dyDescent="0.3">
      <c r="A2308" s="10" t="s">
        <v>72</v>
      </c>
      <c r="B2308" s="10">
        <v>20.66</v>
      </c>
      <c r="C2308" s="10">
        <v>5.8</v>
      </c>
      <c r="D2308" s="16" t="s">
        <v>4685</v>
      </c>
      <c r="E2308" s="10" t="s">
        <v>4683</v>
      </c>
      <c r="F2308" s="10" t="s">
        <v>4684</v>
      </c>
      <c r="G2308" s="10" t="s">
        <v>4683</v>
      </c>
      <c r="H2308" s="14">
        <v>1</v>
      </c>
      <c r="I2308" s="10" t="s">
        <v>4683</v>
      </c>
      <c r="J2308" s="10" t="str">
        <f t="shared" si="9"/>
        <v>normalweight</v>
      </c>
      <c r="L2308" s="30" t="e">
        <v>#N/A</v>
      </c>
    </row>
    <row r="2309" spans="1:12" ht="15.75" customHeight="1" x14ac:dyDescent="0.3">
      <c r="A2309" s="10" t="s">
        <v>70</v>
      </c>
      <c r="B2309" s="10">
        <v>20.399999999999999</v>
      </c>
      <c r="C2309" s="10">
        <v>5.27</v>
      </c>
      <c r="D2309" s="16" t="s">
        <v>4687</v>
      </c>
      <c r="E2309" s="10" t="s">
        <v>4683</v>
      </c>
      <c r="F2309" s="10" t="s">
        <v>4683</v>
      </c>
      <c r="G2309" s="10" t="s">
        <v>4683</v>
      </c>
      <c r="H2309" s="14">
        <v>0</v>
      </c>
      <c r="I2309" s="10" t="s">
        <v>4683</v>
      </c>
      <c r="J2309" s="10" t="str">
        <f t="shared" si="9"/>
        <v>normalweight</v>
      </c>
      <c r="L2309" s="30" t="e">
        <v>#N/A</v>
      </c>
    </row>
    <row r="2310" spans="1:12" ht="15.75" customHeight="1" x14ac:dyDescent="0.3">
      <c r="A2310" s="10" t="s">
        <v>68</v>
      </c>
      <c r="B2310" s="10">
        <v>25.19</v>
      </c>
      <c r="C2310" s="10">
        <v>5.64</v>
      </c>
      <c r="D2310" s="16" t="s">
        <v>4685</v>
      </c>
      <c r="E2310" s="10" t="s">
        <v>4684</v>
      </c>
      <c r="F2310" s="10" t="s">
        <v>4683</v>
      </c>
      <c r="G2310" s="10" t="s">
        <v>4683</v>
      </c>
      <c r="H2310" s="14">
        <v>0</v>
      </c>
      <c r="I2310" s="10" t="s">
        <v>4683</v>
      </c>
      <c r="J2310" s="10" t="str">
        <f t="shared" si="9"/>
        <v>normalweight</v>
      </c>
      <c r="L2310" s="30" t="e">
        <v>#N/A</v>
      </c>
    </row>
    <row r="2311" spans="1:12" ht="15.75" customHeight="1" x14ac:dyDescent="0.3">
      <c r="A2311" s="10" t="s">
        <v>66</v>
      </c>
      <c r="B2311" s="10">
        <v>20.54</v>
      </c>
      <c r="C2311" s="10">
        <v>4.2</v>
      </c>
      <c r="D2311" s="16" t="s">
        <v>4687</v>
      </c>
      <c r="E2311" s="10" t="s">
        <v>4684</v>
      </c>
      <c r="F2311" s="10" t="s">
        <v>4683</v>
      </c>
      <c r="G2311" s="10" t="s">
        <v>4683</v>
      </c>
      <c r="H2311" s="14">
        <v>1</v>
      </c>
      <c r="I2311" s="10" t="s">
        <v>4683</v>
      </c>
      <c r="J2311" s="10" t="str">
        <f t="shared" si="9"/>
        <v>normalweight</v>
      </c>
      <c r="L2311" s="30" t="e">
        <v>#N/A</v>
      </c>
    </row>
    <row r="2312" spans="1:12" ht="15.75" customHeight="1" x14ac:dyDescent="0.3">
      <c r="A2312" s="10" t="s">
        <v>64</v>
      </c>
      <c r="B2312" s="10">
        <v>20.13</v>
      </c>
      <c r="C2312" s="10">
        <v>5.42</v>
      </c>
      <c r="D2312" s="16" t="s">
        <v>4685</v>
      </c>
      <c r="E2312" s="10" t="s">
        <v>4683</v>
      </c>
      <c r="F2312" s="10" t="s">
        <v>4683</v>
      </c>
      <c r="G2312" s="10" t="s">
        <v>4683</v>
      </c>
      <c r="H2312" s="14">
        <v>0</v>
      </c>
      <c r="I2312" s="10" t="s">
        <v>4683</v>
      </c>
      <c r="J2312" s="10" t="str">
        <f t="shared" si="9"/>
        <v>normalweight</v>
      </c>
      <c r="L2312" s="30" t="e">
        <v>#N/A</v>
      </c>
    </row>
    <row r="2313" spans="1:12" ht="15.75" customHeight="1" x14ac:dyDescent="0.3">
      <c r="A2313" s="10" t="s">
        <v>62</v>
      </c>
      <c r="B2313" s="10">
        <v>18.93</v>
      </c>
      <c r="C2313" s="10">
        <v>6.11</v>
      </c>
      <c r="D2313" s="16" t="s">
        <v>4685</v>
      </c>
      <c r="E2313" s="10" t="s">
        <v>4683</v>
      </c>
      <c r="F2313" s="10" t="s">
        <v>4683</v>
      </c>
      <c r="G2313" s="10" t="s">
        <v>4686</v>
      </c>
      <c r="H2313" s="14">
        <v>1</v>
      </c>
      <c r="I2313" s="10" t="s">
        <v>4683</v>
      </c>
      <c r="J2313" s="10" t="str">
        <f t="shared" si="9"/>
        <v>normalweight</v>
      </c>
      <c r="L2313" s="30" t="e">
        <v>#N/A</v>
      </c>
    </row>
    <row r="2314" spans="1:12" ht="15.75" customHeight="1" x14ac:dyDescent="0.3">
      <c r="A2314" s="10" t="s">
        <v>60</v>
      </c>
      <c r="B2314" s="10">
        <v>24.14</v>
      </c>
      <c r="C2314" s="10">
        <v>5.29</v>
      </c>
      <c r="D2314" s="16" t="s">
        <v>4687</v>
      </c>
      <c r="E2314" s="10" t="s">
        <v>4683</v>
      </c>
      <c r="F2314" s="10" t="s">
        <v>4684</v>
      </c>
      <c r="G2314" s="10" t="s">
        <v>4683</v>
      </c>
      <c r="H2314" s="14">
        <v>1</v>
      </c>
      <c r="I2314" s="10" t="s">
        <v>4683</v>
      </c>
      <c r="J2314" s="10" t="str">
        <f t="shared" si="9"/>
        <v>normalweight</v>
      </c>
      <c r="L2314" s="30" t="e">
        <v>#N/A</v>
      </c>
    </row>
    <row r="2315" spans="1:12" ht="15.75" customHeight="1" x14ac:dyDescent="0.3">
      <c r="A2315" s="10" t="s">
        <v>58</v>
      </c>
      <c r="B2315" s="10">
        <v>25.03</v>
      </c>
      <c r="C2315" s="10">
        <v>5.91</v>
      </c>
      <c r="D2315" s="16" t="s">
        <v>4685</v>
      </c>
      <c r="E2315" s="10" t="s">
        <v>4683</v>
      </c>
      <c r="F2315" s="10" t="s">
        <v>4684</v>
      </c>
      <c r="G2315" s="10" t="s">
        <v>4683</v>
      </c>
      <c r="H2315" s="14">
        <v>1</v>
      </c>
      <c r="I2315" s="10" t="s">
        <v>4683</v>
      </c>
      <c r="J2315" s="10" t="str">
        <f t="shared" ref="J2315:J2334" si="10">IF(B2315&lt;=18.5,"underweight",IF(B2315&gt;=18.5-24.9,"normalweight",IF(B2315&gt;=25-29.9,"overweight","obesity")))</f>
        <v>normalweight</v>
      </c>
      <c r="L2315" s="30" t="e">
        <v>#N/A</v>
      </c>
    </row>
    <row r="2316" spans="1:12" ht="15.75" customHeight="1" x14ac:dyDescent="0.3">
      <c r="A2316" s="10" t="s">
        <v>56</v>
      </c>
      <c r="B2316" s="10">
        <v>20.47</v>
      </c>
      <c r="C2316" s="10">
        <v>5.81</v>
      </c>
      <c r="D2316" s="16" t="s">
        <v>4685</v>
      </c>
      <c r="E2316" s="10" t="s">
        <v>4684</v>
      </c>
      <c r="F2316" s="10" t="s">
        <v>4683</v>
      </c>
      <c r="G2316" s="10" t="s">
        <v>4683</v>
      </c>
      <c r="H2316" s="14">
        <v>1</v>
      </c>
      <c r="I2316" s="10" t="s">
        <v>4683</v>
      </c>
      <c r="J2316" s="10" t="str">
        <f t="shared" si="10"/>
        <v>normalweight</v>
      </c>
      <c r="L2316" s="30" t="e">
        <v>#N/A</v>
      </c>
    </row>
    <row r="2317" spans="1:12" ht="15.75" customHeight="1" x14ac:dyDescent="0.3">
      <c r="A2317" s="10" t="s">
        <v>54</v>
      </c>
      <c r="B2317" s="10">
        <v>18.82</v>
      </c>
      <c r="C2317" s="10">
        <v>5.51</v>
      </c>
      <c r="D2317" s="16" t="s">
        <v>4685</v>
      </c>
      <c r="E2317" s="10" t="s">
        <v>4684</v>
      </c>
      <c r="F2317" s="10" t="s">
        <v>4683</v>
      </c>
      <c r="G2317" s="10" t="s">
        <v>4683</v>
      </c>
      <c r="H2317" s="14">
        <v>0</v>
      </c>
      <c r="I2317" s="10" t="s">
        <v>4683</v>
      </c>
      <c r="J2317" s="10" t="str">
        <f t="shared" si="10"/>
        <v>normalweight</v>
      </c>
      <c r="L2317" s="30" t="e">
        <v>#N/A</v>
      </c>
    </row>
    <row r="2318" spans="1:12" ht="15.75" customHeight="1" x14ac:dyDescent="0.3">
      <c r="A2318" s="10" t="s">
        <v>52</v>
      </c>
      <c r="B2318" s="10">
        <v>17.079999999999998</v>
      </c>
      <c r="C2318" s="10">
        <v>5.73</v>
      </c>
      <c r="D2318" s="16" t="s">
        <v>4685</v>
      </c>
      <c r="E2318" s="10" t="s">
        <v>4683</v>
      </c>
      <c r="F2318" s="10" t="s">
        <v>4683</v>
      </c>
      <c r="G2318" s="10" t="s">
        <v>4686</v>
      </c>
      <c r="H2318" s="14">
        <v>1</v>
      </c>
      <c r="I2318" s="10" t="s">
        <v>4683</v>
      </c>
      <c r="J2318" s="10" t="str">
        <f t="shared" si="10"/>
        <v>underweight</v>
      </c>
      <c r="L2318" s="30" t="e">
        <v>#N/A</v>
      </c>
    </row>
    <row r="2319" spans="1:12" ht="15.75" customHeight="1" x14ac:dyDescent="0.3">
      <c r="A2319" s="10" t="s">
        <v>50</v>
      </c>
      <c r="B2319" s="10">
        <v>19.21</v>
      </c>
      <c r="C2319" s="10">
        <v>5.53</v>
      </c>
      <c r="D2319" s="16" t="s">
        <v>4685</v>
      </c>
      <c r="E2319" s="10" t="s">
        <v>4684</v>
      </c>
      <c r="F2319" s="10" t="s">
        <v>4683</v>
      </c>
      <c r="G2319" s="10" t="s">
        <v>4683</v>
      </c>
      <c r="H2319" s="14">
        <v>0</v>
      </c>
      <c r="I2319" s="10" t="s">
        <v>4683</v>
      </c>
      <c r="J2319" s="10" t="str">
        <f t="shared" si="10"/>
        <v>normalweight</v>
      </c>
      <c r="L2319" s="30" t="e">
        <v>#N/A</v>
      </c>
    </row>
    <row r="2320" spans="1:12" ht="15.75" customHeight="1" x14ac:dyDescent="0.3">
      <c r="A2320" s="10" t="s">
        <v>48</v>
      </c>
      <c r="B2320" s="10">
        <v>17.86</v>
      </c>
      <c r="C2320" s="10">
        <v>5.43</v>
      </c>
      <c r="D2320" s="16" t="s">
        <v>4687</v>
      </c>
      <c r="E2320" s="10" t="s">
        <v>4683</v>
      </c>
      <c r="F2320" s="10" t="s">
        <v>4683</v>
      </c>
      <c r="G2320" s="10" t="s">
        <v>4686</v>
      </c>
      <c r="H2320" s="14">
        <v>1</v>
      </c>
      <c r="I2320" s="10" t="s">
        <v>4683</v>
      </c>
      <c r="J2320" s="10" t="str">
        <f t="shared" si="10"/>
        <v>underweight</v>
      </c>
      <c r="L2320" s="30" t="e">
        <v>#N/A</v>
      </c>
    </row>
    <row r="2321" spans="1:12" ht="15.75" customHeight="1" x14ac:dyDescent="0.3">
      <c r="A2321" s="10" t="s">
        <v>46</v>
      </c>
      <c r="B2321" s="10">
        <v>21.38</v>
      </c>
      <c r="C2321" s="10">
        <v>8.01</v>
      </c>
      <c r="D2321" s="16" t="s">
        <v>4682</v>
      </c>
      <c r="E2321" s="10" t="s">
        <v>4683</v>
      </c>
      <c r="F2321" s="10" t="s">
        <v>4683</v>
      </c>
      <c r="G2321" s="10" t="s">
        <v>4683</v>
      </c>
      <c r="H2321" s="14">
        <v>0</v>
      </c>
      <c r="I2321" s="10" t="s">
        <v>4683</v>
      </c>
      <c r="J2321" s="10" t="str">
        <f t="shared" si="10"/>
        <v>normalweight</v>
      </c>
      <c r="L2321" s="30" t="e">
        <v>#N/A</v>
      </c>
    </row>
    <row r="2322" spans="1:12" ht="15.75" customHeight="1" x14ac:dyDescent="0.3">
      <c r="A2322" s="10" t="s">
        <v>44</v>
      </c>
      <c r="B2322" s="10">
        <v>23.35</v>
      </c>
      <c r="C2322" s="10">
        <v>5.94</v>
      </c>
      <c r="D2322" s="16" t="s">
        <v>4685</v>
      </c>
      <c r="E2322" s="10" t="s">
        <v>4683</v>
      </c>
      <c r="F2322" s="10" t="s">
        <v>4683</v>
      </c>
      <c r="G2322" s="10" t="s">
        <v>4683</v>
      </c>
      <c r="H2322" s="14">
        <v>0</v>
      </c>
      <c r="I2322" s="10" t="s">
        <v>4683</v>
      </c>
      <c r="J2322" s="10" t="str">
        <f t="shared" si="10"/>
        <v>normalweight</v>
      </c>
      <c r="L2322" s="30" t="e">
        <v>#N/A</v>
      </c>
    </row>
    <row r="2323" spans="1:12" ht="15.75" customHeight="1" x14ac:dyDescent="0.3">
      <c r="A2323" s="10" t="s">
        <v>42</v>
      </c>
      <c r="B2323" s="10">
        <v>22.24</v>
      </c>
      <c r="C2323" s="10">
        <v>5.04</v>
      </c>
      <c r="D2323" s="16" t="s">
        <v>4685</v>
      </c>
      <c r="E2323" s="10" t="s">
        <v>4683</v>
      </c>
      <c r="F2323" s="10" t="s">
        <v>4683</v>
      </c>
      <c r="G2323" s="10" t="s">
        <v>4683</v>
      </c>
      <c r="H2323" s="14">
        <v>0</v>
      </c>
      <c r="I2323" s="10" t="s">
        <v>4683</v>
      </c>
      <c r="J2323" s="10" t="str">
        <f t="shared" si="10"/>
        <v>normalweight</v>
      </c>
      <c r="L2323" s="30" t="e">
        <v>#N/A</v>
      </c>
    </row>
    <row r="2324" spans="1:12" ht="15.75" customHeight="1" x14ac:dyDescent="0.3">
      <c r="A2324" s="10" t="s">
        <v>40</v>
      </c>
      <c r="B2324" s="10">
        <v>24.76</v>
      </c>
      <c r="C2324" s="10">
        <v>4.54</v>
      </c>
      <c r="D2324" s="16" t="s">
        <v>4687</v>
      </c>
      <c r="E2324" s="10" t="s">
        <v>4684</v>
      </c>
      <c r="F2324" s="10" t="s">
        <v>4683</v>
      </c>
      <c r="G2324" s="10" t="s">
        <v>4683</v>
      </c>
      <c r="H2324" s="14">
        <v>0</v>
      </c>
      <c r="I2324" s="10" t="s">
        <v>4683</v>
      </c>
      <c r="J2324" s="10" t="str">
        <f t="shared" si="10"/>
        <v>normalweight</v>
      </c>
      <c r="L2324" s="30" t="e">
        <v>#N/A</v>
      </c>
    </row>
    <row r="2325" spans="1:12" ht="15.75" customHeight="1" x14ac:dyDescent="0.3">
      <c r="A2325" s="10" t="s">
        <v>38</v>
      </c>
      <c r="B2325" s="10">
        <v>20.100000000000001</v>
      </c>
      <c r="C2325" s="10">
        <v>5.6</v>
      </c>
      <c r="D2325" s="16" t="s">
        <v>4685</v>
      </c>
      <c r="E2325" s="10" t="s">
        <v>4684</v>
      </c>
      <c r="F2325" s="10" t="s">
        <v>4683</v>
      </c>
      <c r="G2325" s="10" t="s">
        <v>4686</v>
      </c>
      <c r="H2325" s="14">
        <v>1</v>
      </c>
      <c r="I2325" s="10" t="s">
        <v>4683</v>
      </c>
      <c r="J2325" s="10" t="str">
        <f t="shared" si="10"/>
        <v>normalweight</v>
      </c>
      <c r="L2325" s="30" t="e">
        <v>#N/A</v>
      </c>
    </row>
    <row r="2326" spans="1:12" ht="15.75" customHeight="1" x14ac:dyDescent="0.3">
      <c r="A2326" s="10" t="s">
        <v>36</v>
      </c>
      <c r="B2326" s="10">
        <v>21.77</v>
      </c>
      <c r="C2326" s="10">
        <v>10.67</v>
      </c>
      <c r="D2326" s="16" t="s">
        <v>4682</v>
      </c>
      <c r="E2326" s="10" t="s">
        <v>4683</v>
      </c>
      <c r="F2326" s="10" t="s">
        <v>4683</v>
      </c>
      <c r="G2326" s="10" t="s">
        <v>4683</v>
      </c>
      <c r="H2326" s="14">
        <v>0</v>
      </c>
      <c r="I2326" s="10" t="s">
        <v>4683</v>
      </c>
      <c r="J2326" s="10" t="str">
        <f t="shared" si="10"/>
        <v>normalweight</v>
      </c>
      <c r="L2326" s="30" t="e">
        <v>#N/A</v>
      </c>
    </row>
    <row r="2327" spans="1:12" ht="15.75" customHeight="1" x14ac:dyDescent="0.3">
      <c r="A2327" s="10" t="s">
        <v>34</v>
      </c>
      <c r="B2327" s="10">
        <v>17.82</v>
      </c>
      <c r="C2327" s="10">
        <v>5.26</v>
      </c>
      <c r="D2327" s="16" t="s">
        <v>4687</v>
      </c>
      <c r="E2327" s="10" t="s">
        <v>4684</v>
      </c>
      <c r="F2327" s="10" t="s">
        <v>4683</v>
      </c>
      <c r="G2327" s="10" t="s">
        <v>4683</v>
      </c>
      <c r="H2327" s="14">
        <v>1</v>
      </c>
      <c r="I2327" s="10" t="s">
        <v>4683</v>
      </c>
      <c r="J2327" s="10" t="str">
        <f t="shared" si="10"/>
        <v>underweight</v>
      </c>
      <c r="L2327" s="30" t="e">
        <v>#N/A</v>
      </c>
    </row>
    <row r="2328" spans="1:12" ht="15.75" customHeight="1" x14ac:dyDescent="0.3">
      <c r="A2328" s="10" t="s">
        <v>32</v>
      </c>
      <c r="B2328" s="10">
        <v>17.07</v>
      </c>
      <c r="C2328" s="10">
        <v>5.22</v>
      </c>
      <c r="D2328" s="16" t="s">
        <v>4687</v>
      </c>
      <c r="E2328" s="10" t="s">
        <v>4683</v>
      </c>
      <c r="F2328" s="10" t="s">
        <v>4683</v>
      </c>
      <c r="G2328" s="10" t="s">
        <v>4686</v>
      </c>
      <c r="H2328" s="14">
        <v>1</v>
      </c>
      <c r="I2328" s="10" t="s">
        <v>4683</v>
      </c>
      <c r="J2328" s="10" t="str">
        <f t="shared" si="10"/>
        <v>underweight</v>
      </c>
      <c r="L2328" s="30" t="e">
        <v>#N/A</v>
      </c>
    </row>
    <row r="2329" spans="1:12" ht="15.75" customHeight="1" x14ac:dyDescent="0.3">
      <c r="A2329" s="10" t="s">
        <v>30</v>
      </c>
      <c r="B2329" s="10">
        <v>22.24</v>
      </c>
      <c r="C2329" s="10">
        <v>4.29</v>
      </c>
      <c r="D2329" s="16" t="s">
        <v>4687</v>
      </c>
      <c r="E2329" s="10" t="s">
        <v>4684</v>
      </c>
      <c r="F2329" s="10" t="s">
        <v>4683</v>
      </c>
      <c r="G2329" s="10" t="s">
        <v>4683</v>
      </c>
      <c r="H2329" s="14">
        <v>0</v>
      </c>
      <c r="I2329" s="10" t="s">
        <v>4683</v>
      </c>
      <c r="J2329" s="10" t="str">
        <f t="shared" si="10"/>
        <v>normalweight</v>
      </c>
      <c r="L2329" s="30" t="e">
        <v>#N/A</v>
      </c>
    </row>
    <row r="2330" spans="1:12" ht="15.75" customHeight="1" x14ac:dyDescent="0.3">
      <c r="A2330" s="10" t="s">
        <v>28</v>
      </c>
      <c r="B2330" s="10">
        <v>22.34</v>
      </c>
      <c r="C2330" s="10">
        <v>5.57</v>
      </c>
      <c r="D2330" s="16" t="s">
        <v>4685</v>
      </c>
      <c r="E2330" s="10" t="s">
        <v>4683</v>
      </c>
      <c r="F2330" s="10" t="s">
        <v>4683</v>
      </c>
      <c r="G2330" s="10" t="s">
        <v>4683</v>
      </c>
      <c r="H2330" s="14">
        <v>1</v>
      </c>
      <c r="I2330" s="10" t="s">
        <v>4683</v>
      </c>
      <c r="J2330" s="10" t="str">
        <f t="shared" si="10"/>
        <v>normalweight</v>
      </c>
      <c r="L2330" s="30" t="e">
        <v>#N/A</v>
      </c>
    </row>
    <row r="2331" spans="1:12" ht="15.75" customHeight="1" x14ac:dyDescent="0.3">
      <c r="A2331" s="10" t="s">
        <v>26</v>
      </c>
      <c r="B2331" s="10">
        <v>17.7</v>
      </c>
      <c r="C2331" s="10">
        <v>6.28</v>
      </c>
      <c r="D2331" s="16" t="s">
        <v>4685</v>
      </c>
      <c r="E2331" s="10" t="s">
        <v>4683</v>
      </c>
      <c r="F2331" s="10" t="s">
        <v>4683</v>
      </c>
      <c r="G2331" s="10" t="s">
        <v>4683</v>
      </c>
      <c r="H2331" s="14">
        <v>1</v>
      </c>
      <c r="I2331" s="10" t="s">
        <v>4683</v>
      </c>
      <c r="J2331" s="10" t="str">
        <f t="shared" si="10"/>
        <v>underweight</v>
      </c>
      <c r="L2331" s="30" t="e">
        <v>#N/A</v>
      </c>
    </row>
    <row r="2332" spans="1:12" ht="15.75" customHeight="1" x14ac:dyDescent="0.3">
      <c r="A2332" s="10" t="s">
        <v>24</v>
      </c>
      <c r="B2332" s="10">
        <v>16.47</v>
      </c>
      <c r="C2332" s="10">
        <v>6.35</v>
      </c>
      <c r="D2332" s="16" t="s">
        <v>4685</v>
      </c>
      <c r="E2332" s="10" t="s">
        <v>4683</v>
      </c>
      <c r="F2332" s="10" t="s">
        <v>4683</v>
      </c>
      <c r="G2332" s="10" t="s">
        <v>4686</v>
      </c>
      <c r="H2332" s="14">
        <v>1</v>
      </c>
      <c r="I2332" s="10" t="s">
        <v>4683</v>
      </c>
      <c r="J2332" s="10" t="str">
        <f t="shared" si="10"/>
        <v>underweight</v>
      </c>
      <c r="L2332" s="30" t="e">
        <v>#N/A</v>
      </c>
    </row>
    <row r="2333" spans="1:12" ht="15.75" customHeight="1" x14ac:dyDescent="0.3">
      <c r="A2333" s="10" t="s">
        <v>22</v>
      </c>
      <c r="B2333" s="10">
        <v>17.600000000000001</v>
      </c>
      <c r="C2333" s="10">
        <v>4.3899999999999997</v>
      </c>
      <c r="D2333" s="16" t="s">
        <v>4687</v>
      </c>
      <c r="E2333" s="10" t="s">
        <v>4683</v>
      </c>
      <c r="F2333" s="10" t="s">
        <v>4683</v>
      </c>
      <c r="G2333" s="10" t="s">
        <v>4683</v>
      </c>
      <c r="H2333" s="14">
        <v>1</v>
      </c>
      <c r="I2333" s="10" t="s">
        <v>4683</v>
      </c>
      <c r="J2333" s="10" t="str">
        <f t="shared" si="10"/>
        <v>underweight</v>
      </c>
      <c r="L2333" s="30" t="e">
        <v>#N/A</v>
      </c>
    </row>
    <row r="2334" spans="1:12" ht="15.75" customHeight="1" x14ac:dyDescent="0.3">
      <c r="A2334" s="10" t="s">
        <v>20</v>
      </c>
      <c r="B2334" s="10">
        <v>17.579999999999998</v>
      </c>
      <c r="C2334" s="10">
        <v>4.51</v>
      </c>
      <c r="D2334" s="16" t="s">
        <v>4687</v>
      </c>
      <c r="E2334" s="10" t="s">
        <v>4683</v>
      </c>
      <c r="F2334" s="10" t="s">
        <v>4683</v>
      </c>
      <c r="G2334" s="10" t="s">
        <v>4683</v>
      </c>
      <c r="H2334" s="14">
        <v>1</v>
      </c>
      <c r="I2334" s="10" t="s">
        <v>4683</v>
      </c>
      <c r="J2334" s="10" t="str">
        <f t="shared" si="10"/>
        <v>underweight</v>
      </c>
      <c r="L2334" s="30" t="e">
        <v>#N/A</v>
      </c>
    </row>
    <row r="2335" spans="1:12" ht="15.75" customHeight="1" x14ac:dyDescent="0.3">
      <c r="A2335" s="10" t="s">
        <v>18</v>
      </c>
      <c r="B2335" s="10">
        <v>23.98</v>
      </c>
      <c r="C2335" s="10">
        <v>4.9000000000000004</v>
      </c>
      <c r="D2335" s="16" t="s">
        <v>4687</v>
      </c>
      <c r="E2335" s="10" t="s">
        <v>4683</v>
      </c>
      <c r="F2335" s="10" t="s">
        <v>4683</v>
      </c>
      <c r="G2335" s="10" t="s">
        <v>4683</v>
      </c>
      <c r="H2335" s="14">
        <v>0</v>
      </c>
      <c r="I2335" s="10" t="s">
        <v>4683</v>
      </c>
      <c r="J2335" s="10" t="s">
        <v>4691</v>
      </c>
      <c r="L2335" s="30" t="e">
        <v>#N/A</v>
      </c>
    </row>
    <row r="2336" spans="1:12" ht="15.75" customHeight="1" x14ac:dyDescent="0.3">
      <c r="A2336" s="10" t="s">
        <v>16</v>
      </c>
      <c r="B2336" s="10">
        <v>23.98</v>
      </c>
      <c r="C2336" s="10">
        <v>4.9000000000000004</v>
      </c>
      <c r="D2336" s="16" t="s">
        <v>4687</v>
      </c>
      <c r="E2336" s="10" t="s">
        <v>4683</v>
      </c>
      <c r="F2336" s="10" t="s">
        <v>4683</v>
      </c>
      <c r="G2336" s="10" t="s">
        <v>4683</v>
      </c>
      <c r="H2336" s="14">
        <v>0</v>
      </c>
      <c r="I2336" s="10" t="s">
        <v>4683</v>
      </c>
      <c r="J2336" s="10" t="s">
        <v>4691</v>
      </c>
      <c r="L2336" s="30" t="e">
        <v>#N/A</v>
      </c>
    </row>
    <row r="2337" spans="1:12" ht="15.75" customHeight="1" x14ac:dyDescent="0.3">
      <c r="A2337" s="10" t="s">
        <v>14</v>
      </c>
      <c r="B2337" s="10">
        <v>25.175000000000001</v>
      </c>
      <c r="C2337" s="10">
        <v>4.96</v>
      </c>
      <c r="D2337" s="16" t="s">
        <v>4687</v>
      </c>
      <c r="E2337" s="10" t="s">
        <v>4683</v>
      </c>
      <c r="F2337" s="10" t="s">
        <v>4684</v>
      </c>
      <c r="G2337" s="10" t="s">
        <v>4683</v>
      </c>
      <c r="H2337" s="14">
        <v>1</v>
      </c>
      <c r="I2337" s="10" t="s">
        <v>4683</v>
      </c>
      <c r="J2337" s="10" t="s">
        <v>4691</v>
      </c>
      <c r="L2337" s="30" t="e">
        <v>#N/A</v>
      </c>
    </row>
    <row r="2338" spans="1:12" ht="15.75" customHeight="1" x14ac:dyDescent="0.3">
      <c r="A2338" s="10" t="s">
        <v>12</v>
      </c>
      <c r="B2338" s="10">
        <v>23.98</v>
      </c>
      <c r="C2338" s="10">
        <v>4.9000000000000004</v>
      </c>
      <c r="D2338" s="16" t="s">
        <v>4687</v>
      </c>
      <c r="E2338" s="10" t="s">
        <v>4683</v>
      </c>
      <c r="F2338" s="10" t="s">
        <v>4683</v>
      </c>
      <c r="G2338" s="10" t="s">
        <v>4683</v>
      </c>
      <c r="H2338" s="14">
        <v>0</v>
      </c>
      <c r="I2338" s="10" t="s">
        <v>4683</v>
      </c>
      <c r="J2338" s="10" t="s">
        <v>4691</v>
      </c>
      <c r="L2338" s="30" t="e">
        <v>#N/A</v>
      </c>
    </row>
    <row r="2339" spans="1:12" ht="15.75" customHeight="1" x14ac:dyDescent="0.3">
      <c r="A2339" s="10" t="s">
        <v>10</v>
      </c>
      <c r="B2339" s="10">
        <v>25.175000000000001</v>
      </c>
      <c r="C2339" s="10">
        <v>4.96</v>
      </c>
      <c r="D2339" s="16" t="s">
        <v>4687</v>
      </c>
      <c r="E2339" s="10" t="s">
        <v>4683</v>
      </c>
      <c r="F2339" s="10" t="s">
        <v>4684</v>
      </c>
      <c r="G2339" s="10" t="s">
        <v>4683</v>
      </c>
      <c r="H2339" s="14">
        <v>1</v>
      </c>
      <c r="I2339" s="10" t="s">
        <v>4683</v>
      </c>
      <c r="J2339" s="10" t="s">
        <v>4691</v>
      </c>
      <c r="L2339" s="30" t="e">
        <v>#N/A</v>
      </c>
    </row>
    <row r="2340" spans="1:12" ht="15.75" customHeight="1" x14ac:dyDescent="0.3">
      <c r="A2340" s="10" t="s">
        <v>8</v>
      </c>
      <c r="B2340" s="10">
        <v>23.98</v>
      </c>
      <c r="C2340" s="10">
        <v>4.9000000000000004</v>
      </c>
      <c r="D2340" s="16" t="s">
        <v>4687</v>
      </c>
      <c r="E2340" s="10" t="s">
        <v>4683</v>
      </c>
      <c r="F2340" s="10" t="s">
        <v>4683</v>
      </c>
      <c r="G2340" s="10" t="s">
        <v>4683</v>
      </c>
      <c r="H2340" s="14">
        <v>0</v>
      </c>
      <c r="I2340" s="10" t="s">
        <v>4683</v>
      </c>
      <c r="J2340" s="10" t="s">
        <v>4691</v>
      </c>
      <c r="L2340" s="30" t="e">
        <v>#N/A</v>
      </c>
    </row>
    <row r="2341" spans="1:12" ht="15.75" customHeight="1" x14ac:dyDescent="0.3">
      <c r="A2341" s="10" t="s">
        <v>6</v>
      </c>
      <c r="B2341" s="10">
        <v>25.175000000000001</v>
      </c>
      <c r="C2341" s="10">
        <v>4.96</v>
      </c>
      <c r="D2341" s="16" t="s">
        <v>4687</v>
      </c>
      <c r="E2341" s="10" t="s">
        <v>4683</v>
      </c>
      <c r="F2341" s="10" t="s">
        <v>4684</v>
      </c>
      <c r="G2341" s="10" t="s">
        <v>4683</v>
      </c>
      <c r="H2341" s="14">
        <v>1</v>
      </c>
      <c r="I2341" s="10" t="s">
        <v>4683</v>
      </c>
      <c r="J2341" s="10" t="s">
        <v>4691</v>
      </c>
      <c r="L2341" s="30" t="e">
        <v>#N/A</v>
      </c>
    </row>
    <row r="2342" spans="1:12" ht="15.75" customHeight="1" x14ac:dyDescent="0.3">
      <c r="A2342" s="10" t="s">
        <v>4</v>
      </c>
      <c r="B2342" s="10">
        <v>23.98</v>
      </c>
      <c r="C2342" s="10">
        <v>4.9000000000000004</v>
      </c>
      <c r="D2342" s="16" t="s">
        <v>4687</v>
      </c>
      <c r="E2342" s="10" t="s">
        <v>4683</v>
      </c>
      <c r="F2342" s="10" t="s">
        <v>4683</v>
      </c>
      <c r="G2342" s="10" t="s">
        <v>4683</v>
      </c>
      <c r="H2342" s="14">
        <v>0</v>
      </c>
      <c r="I2342" s="10" t="s">
        <v>4683</v>
      </c>
      <c r="J2342" s="10" t="s">
        <v>4691</v>
      </c>
      <c r="L2342" s="30" t="e">
        <v>#N/A</v>
      </c>
    </row>
  </sheetData>
  <pageMargins left="0.7" right="0.7" top="0.75" bottom="0.75" header="0" footer="0"/>
  <pageSetup orientation="landscape"/>
  <ignoredErrors>
    <ignoredError sqref="L2345:L1048576 L3" evalErro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2344"/>
  <sheetViews>
    <sheetView workbookViewId="0">
      <selection activeCell="G10" sqref="G10"/>
    </sheetView>
  </sheetViews>
  <sheetFormatPr defaultColWidth="14.44140625" defaultRowHeight="15" customHeight="1" x14ac:dyDescent="0.3"/>
  <cols>
    <col min="1" max="1" width="12.5546875" style="11" bestFit="1" customWidth="1"/>
    <col min="2" max="2" width="5" style="11" bestFit="1" customWidth="1"/>
    <col min="3" max="3" width="7.21875" style="11" bestFit="1" customWidth="1"/>
    <col min="4" max="4" width="5.21875" style="11" bestFit="1" customWidth="1"/>
    <col min="5" max="5" width="8.5546875" style="11" bestFit="1" customWidth="1"/>
    <col min="6" max="6" width="8" style="25" bestFit="1" customWidth="1"/>
    <col min="7" max="7" width="12.5546875" style="11" bestFit="1" customWidth="1"/>
    <col min="8" max="9" width="8.33203125" style="11" bestFit="1" customWidth="1"/>
    <col min="10" max="10" width="12.21875" style="19" bestFit="1" customWidth="1"/>
    <col min="11" max="11" width="8.109375" style="11" bestFit="1" customWidth="1"/>
    <col min="12" max="12" width="8.6640625" customWidth="1"/>
    <col min="13" max="13" width="63.109375" bestFit="1" customWidth="1"/>
    <col min="14" max="26" width="8.6640625" customWidth="1"/>
  </cols>
  <sheetData>
    <row r="1" spans="1:26" ht="18.75" customHeight="1" x14ac:dyDescent="0.3">
      <c r="A1" s="8" t="s">
        <v>0</v>
      </c>
      <c r="B1" s="8" t="s">
        <v>4699</v>
      </c>
      <c r="C1" s="8" t="s">
        <v>4700</v>
      </c>
      <c r="D1" s="8" t="s">
        <v>4701</v>
      </c>
      <c r="E1" s="8" t="s">
        <v>4702</v>
      </c>
      <c r="F1" s="23" t="s">
        <v>4703</v>
      </c>
      <c r="G1" s="8" t="s">
        <v>4693</v>
      </c>
      <c r="H1" s="8" t="s">
        <v>4692</v>
      </c>
      <c r="I1" s="8" t="s">
        <v>4704</v>
      </c>
      <c r="J1" s="18" t="s">
        <v>4705</v>
      </c>
      <c r="K1" s="9" t="s">
        <v>4706</v>
      </c>
      <c r="L1" s="3"/>
      <c r="M1" s="27" t="s">
        <v>4733</v>
      </c>
      <c r="N1" s="3"/>
      <c r="O1" s="3"/>
      <c r="P1" s="3"/>
      <c r="Q1" s="3"/>
      <c r="R1" s="3"/>
      <c r="S1" s="3"/>
      <c r="T1" s="3"/>
      <c r="U1" s="3"/>
      <c r="V1" s="3"/>
      <c r="W1" s="3"/>
      <c r="X1" s="3"/>
      <c r="Y1" s="3"/>
      <c r="Z1" s="3"/>
    </row>
    <row r="2" spans="1:26" ht="14.4" x14ac:dyDescent="0.3">
      <c r="A2" s="10" t="s">
        <v>4672</v>
      </c>
      <c r="B2" s="10">
        <v>1992</v>
      </c>
      <c r="C2" s="10" t="s">
        <v>4707</v>
      </c>
      <c r="D2" s="10">
        <v>9</v>
      </c>
      <c r="E2" s="10">
        <v>0</v>
      </c>
      <c r="F2" s="24">
        <v>563.84</v>
      </c>
      <c r="G2" s="10" t="s">
        <v>4695</v>
      </c>
      <c r="H2" s="10" t="s">
        <v>4696</v>
      </c>
      <c r="I2" s="10" t="s">
        <v>4708</v>
      </c>
      <c r="J2" s="17">
        <f t="shared" ref="J2:J256" si="0">DATEVALUE(D2&amp;"-"&amp;C2&amp;" -"&amp;B2)</f>
        <v>33794</v>
      </c>
      <c r="K2" s="10">
        <f ca="1">DATEDIF(J2,TODAY(),"Y")</f>
        <v>33</v>
      </c>
      <c r="L2" s="7"/>
      <c r="M2" s="21" t="s">
        <v>4732</v>
      </c>
      <c r="N2" s="6"/>
      <c r="O2" s="6"/>
      <c r="P2" s="6"/>
      <c r="Q2" s="6"/>
      <c r="R2" s="6"/>
      <c r="S2" s="6"/>
      <c r="T2" s="6"/>
      <c r="U2" s="6"/>
      <c r="V2" s="6"/>
      <c r="W2" s="6"/>
      <c r="X2" s="6"/>
      <c r="Y2" s="6"/>
      <c r="Z2" s="6"/>
    </row>
    <row r="3" spans="1:26" ht="14.4" x14ac:dyDescent="0.3">
      <c r="A3" s="10" t="s">
        <v>4670</v>
      </c>
      <c r="B3" s="10">
        <v>1992</v>
      </c>
      <c r="C3" s="10" t="s">
        <v>4709</v>
      </c>
      <c r="D3" s="10">
        <v>30</v>
      </c>
      <c r="E3" s="10">
        <v>0</v>
      </c>
      <c r="F3" s="24">
        <v>570.62</v>
      </c>
      <c r="G3" s="10" t="s">
        <v>4695</v>
      </c>
      <c r="H3" s="10" t="s">
        <v>4694</v>
      </c>
      <c r="I3" s="10" t="s">
        <v>4708</v>
      </c>
      <c r="J3" s="17">
        <f t="shared" si="0"/>
        <v>33938</v>
      </c>
      <c r="K3" s="10">
        <f t="shared" ref="K3:K256" ca="1" si="1">DATEDIF(J3,TODAY(),"Y")</f>
        <v>32</v>
      </c>
      <c r="L3" s="6"/>
      <c r="M3" s="22"/>
      <c r="N3" s="6"/>
      <c r="O3" s="6"/>
      <c r="P3" s="6"/>
      <c r="Q3" s="6"/>
      <c r="R3" s="6"/>
      <c r="S3" s="6"/>
      <c r="T3" s="6"/>
      <c r="U3" s="6"/>
      <c r="V3" s="6"/>
      <c r="W3" s="6"/>
      <c r="X3" s="6"/>
      <c r="Y3" s="6"/>
      <c r="Z3" s="6"/>
    </row>
    <row r="4" spans="1:26" ht="14.4" x14ac:dyDescent="0.3">
      <c r="A4" s="10" t="s">
        <v>4668</v>
      </c>
      <c r="B4" s="10">
        <v>1993</v>
      </c>
      <c r="C4" s="10" t="s">
        <v>4710</v>
      </c>
      <c r="D4" s="10">
        <v>30</v>
      </c>
      <c r="E4" s="10">
        <v>0</v>
      </c>
      <c r="F4" s="24">
        <v>600</v>
      </c>
      <c r="G4" s="10" t="s">
        <v>4695</v>
      </c>
      <c r="H4" s="10" t="s">
        <v>4694</v>
      </c>
      <c r="I4" s="10" t="s">
        <v>4708</v>
      </c>
      <c r="J4" s="17">
        <f t="shared" si="0"/>
        <v>34150</v>
      </c>
      <c r="K4" s="10">
        <f t="shared" ca="1" si="1"/>
        <v>32</v>
      </c>
      <c r="L4" s="6"/>
      <c r="M4" s="6"/>
      <c r="N4" s="6"/>
      <c r="O4" s="6"/>
      <c r="P4" s="6"/>
      <c r="Q4" s="6"/>
      <c r="R4" s="6"/>
      <c r="S4" s="6"/>
      <c r="T4" s="6"/>
      <c r="U4" s="6"/>
      <c r="V4" s="6"/>
      <c r="W4" s="6"/>
      <c r="X4" s="6"/>
      <c r="Y4" s="6"/>
      <c r="Z4" s="6"/>
    </row>
    <row r="5" spans="1:26" ht="14.4" x14ac:dyDescent="0.3">
      <c r="A5" s="10" t="s">
        <v>4666</v>
      </c>
      <c r="B5" s="10">
        <v>1992</v>
      </c>
      <c r="C5" s="10" t="s">
        <v>4711</v>
      </c>
      <c r="D5" s="10">
        <v>13</v>
      </c>
      <c r="E5" s="10">
        <v>0</v>
      </c>
      <c r="F5" s="24">
        <v>604.54</v>
      </c>
      <c r="G5" s="10" t="s">
        <v>4696</v>
      </c>
      <c r="H5" s="10" t="s">
        <v>4696</v>
      </c>
      <c r="I5" s="10" t="s">
        <v>4708</v>
      </c>
      <c r="J5" s="17">
        <f t="shared" si="0"/>
        <v>33860</v>
      </c>
      <c r="K5" s="10">
        <f t="shared" ca="1" si="1"/>
        <v>33</v>
      </c>
      <c r="L5" s="6"/>
      <c r="M5" s="26" t="s">
        <v>4734</v>
      </c>
      <c r="N5" s="6"/>
      <c r="O5" s="6"/>
      <c r="P5" s="6"/>
      <c r="Q5" s="6"/>
      <c r="R5" s="6"/>
      <c r="S5" s="6"/>
      <c r="T5" s="6"/>
      <c r="U5" s="6"/>
      <c r="V5" s="6"/>
      <c r="W5" s="6"/>
      <c r="X5" s="6"/>
      <c r="Y5" s="6"/>
      <c r="Z5" s="6"/>
    </row>
    <row r="6" spans="1:26" ht="14.4" x14ac:dyDescent="0.3">
      <c r="A6" s="10" t="s">
        <v>4664</v>
      </c>
      <c r="B6" s="10">
        <v>1998</v>
      </c>
      <c r="C6" s="10" t="s">
        <v>4707</v>
      </c>
      <c r="D6" s="10">
        <v>27</v>
      </c>
      <c r="E6" s="10">
        <v>0</v>
      </c>
      <c r="F6" s="24">
        <v>637.26</v>
      </c>
      <c r="G6" s="10" t="s">
        <v>4696</v>
      </c>
      <c r="H6" s="10" t="s">
        <v>4696</v>
      </c>
      <c r="I6" s="10" t="s">
        <v>4708</v>
      </c>
      <c r="J6" s="17">
        <f t="shared" si="0"/>
        <v>36003</v>
      </c>
      <c r="K6" s="10">
        <f t="shared" ca="1" si="1"/>
        <v>27</v>
      </c>
      <c r="L6" s="6"/>
      <c r="M6" s="6"/>
      <c r="N6" s="6"/>
      <c r="O6" s="6"/>
      <c r="P6" s="6"/>
      <c r="Q6" s="6"/>
      <c r="R6" s="6"/>
      <c r="S6" s="6"/>
      <c r="T6" s="6"/>
      <c r="U6" s="6"/>
      <c r="V6" s="6"/>
      <c r="W6" s="6"/>
      <c r="X6" s="6"/>
      <c r="Y6" s="6"/>
      <c r="Z6" s="6"/>
    </row>
    <row r="7" spans="1:26" ht="14.4" x14ac:dyDescent="0.3">
      <c r="A7" s="10" t="s">
        <v>4662</v>
      </c>
      <c r="B7" s="10">
        <v>2001</v>
      </c>
      <c r="C7" s="10" t="s">
        <v>4709</v>
      </c>
      <c r="D7" s="10">
        <v>20</v>
      </c>
      <c r="E7" s="10">
        <v>0</v>
      </c>
      <c r="F7" s="24">
        <v>646.14</v>
      </c>
      <c r="G7" s="10" t="s">
        <v>4696</v>
      </c>
      <c r="H7" s="10" t="s">
        <v>4696</v>
      </c>
      <c r="I7" s="10" t="s">
        <v>4712</v>
      </c>
      <c r="J7" s="17">
        <f t="shared" si="0"/>
        <v>37215</v>
      </c>
      <c r="K7" s="10">
        <f t="shared" ca="1" si="1"/>
        <v>24</v>
      </c>
      <c r="L7" s="6"/>
      <c r="M7" s="6"/>
      <c r="N7" s="6"/>
      <c r="O7" s="6"/>
      <c r="P7" s="6"/>
      <c r="Q7" s="6"/>
      <c r="R7" s="6"/>
      <c r="S7" s="6"/>
      <c r="T7" s="6"/>
      <c r="U7" s="6"/>
      <c r="V7" s="6"/>
      <c r="W7" s="6"/>
      <c r="X7" s="6"/>
      <c r="Y7" s="6"/>
      <c r="Z7" s="6"/>
    </row>
    <row r="8" spans="1:26" ht="14.4" x14ac:dyDescent="0.3">
      <c r="A8" s="10" t="s">
        <v>4660</v>
      </c>
      <c r="B8" s="10">
        <v>1993</v>
      </c>
      <c r="C8" s="10" t="s">
        <v>4710</v>
      </c>
      <c r="D8" s="10">
        <v>1</v>
      </c>
      <c r="E8" s="10">
        <v>0</v>
      </c>
      <c r="F8" s="24">
        <v>650</v>
      </c>
      <c r="G8" s="10" t="s">
        <v>4696</v>
      </c>
      <c r="H8" s="10" t="s">
        <v>4696</v>
      </c>
      <c r="I8" s="10" t="s">
        <v>4708</v>
      </c>
      <c r="J8" s="17">
        <f t="shared" si="0"/>
        <v>34121</v>
      </c>
      <c r="K8" s="10">
        <f t="shared" ca="1" si="1"/>
        <v>32</v>
      </c>
      <c r="L8" s="6"/>
      <c r="M8" s="26" t="s">
        <v>4737</v>
      </c>
      <c r="N8" s="6"/>
      <c r="O8" s="6"/>
      <c r="P8" s="6"/>
      <c r="Q8" s="6"/>
      <c r="R8" s="6"/>
      <c r="S8" s="6"/>
      <c r="T8" s="6"/>
      <c r="U8" s="6"/>
      <c r="V8" s="6"/>
      <c r="W8" s="6"/>
      <c r="X8" s="6"/>
      <c r="Y8" s="6"/>
      <c r="Z8" s="6"/>
    </row>
    <row r="9" spans="1:26" ht="14.4" x14ac:dyDescent="0.3">
      <c r="A9" s="10" t="s">
        <v>4658</v>
      </c>
      <c r="B9" s="10">
        <v>1995</v>
      </c>
      <c r="C9" s="10" t="s">
        <v>4707</v>
      </c>
      <c r="D9" s="10">
        <v>4</v>
      </c>
      <c r="E9" s="10">
        <v>0</v>
      </c>
      <c r="F9" s="24">
        <v>650</v>
      </c>
      <c r="G9" s="10" t="s">
        <v>4696</v>
      </c>
      <c r="H9" s="10" t="s">
        <v>4696</v>
      </c>
      <c r="I9" s="10" t="s">
        <v>4708</v>
      </c>
      <c r="J9" s="17">
        <f t="shared" si="0"/>
        <v>34884</v>
      </c>
      <c r="K9" s="10">
        <f t="shared" ca="1" si="1"/>
        <v>30</v>
      </c>
      <c r="L9" s="6"/>
      <c r="M9" s="20"/>
      <c r="N9" s="6"/>
      <c r="O9" s="6"/>
      <c r="P9" s="6"/>
      <c r="Q9" s="6"/>
      <c r="R9" s="6"/>
      <c r="S9" s="6"/>
      <c r="T9" s="6"/>
      <c r="U9" s="6"/>
      <c r="V9" s="6"/>
      <c r="W9" s="6"/>
      <c r="X9" s="6"/>
      <c r="Y9" s="6"/>
      <c r="Z9" s="6"/>
    </row>
    <row r="10" spans="1:26" ht="14.4" x14ac:dyDescent="0.3">
      <c r="A10" s="10" t="s">
        <v>4656</v>
      </c>
      <c r="B10" s="10">
        <v>2002</v>
      </c>
      <c r="C10" s="10" t="s">
        <v>4709</v>
      </c>
      <c r="D10" s="10">
        <v>29</v>
      </c>
      <c r="E10" s="10">
        <v>0</v>
      </c>
      <c r="F10" s="24">
        <v>668</v>
      </c>
      <c r="G10" s="10" t="s">
        <v>4696</v>
      </c>
      <c r="H10" s="10" t="s">
        <v>4695</v>
      </c>
      <c r="I10" s="10" t="s">
        <v>4712</v>
      </c>
      <c r="J10" s="17">
        <f t="shared" si="0"/>
        <v>37589</v>
      </c>
      <c r="K10" s="10">
        <f t="shared" ca="1" si="1"/>
        <v>23</v>
      </c>
      <c r="L10" s="6"/>
      <c r="M10" s="6"/>
      <c r="N10" s="6"/>
      <c r="O10" s="6"/>
      <c r="P10" s="6"/>
      <c r="Q10" s="6"/>
      <c r="R10" s="6"/>
      <c r="S10" s="6"/>
      <c r="T10" s="6"/>
      <c r="U10" s="6"/>
      <c r="V10" s="6"/>
      <c r="W10" s="6"/>
      <c r="X10" s="6"/>
      <c r="Y10" s="6"/>
      <c r="Z10" s="6"/>
    </row>
    <row r="11" spans="1:26" ht="14.4" x14ac:dyDescent="0.3">
      <c r="A11" s="10" t="s">
        <v>4654</v>
      </c>
      <c r="B11" s="10">
        <v>1997</v>
      </c>
      <c r="C11" s="10" t="s">
        <v>4709</v>
      </c>
      <c r="D11" s="10">
        <v>9</v>
      </c>
      <c r="E11" s="10">
        <v>0</v>
      </c>
      <c r="F11" s="24">
        <v>670</v>
      </c>
      <c r="G11" s="10" t="s">
        <v>4696</v>
      </c>
      <c r="H11" s="10" t="s">
        <v>4696</v>
      </c>
      <c r="I11" s="10" t="s">
        <v>4708</v>
      </c>
      <c r="J11" s="17">
        <f t="shared" si="0"/>
        <v>35743</v>
      </c>
      <c r="K11" s="10">
        <f t="shared" ca="1" si="1"/>
        <v>28</v>
      </c>
      <c r="L11" s="6"/>
      <c r="M11" s="6"/>
      <c r="N11" s="6"/>
      <c r="O11" s="6"/>
      <c r="P11" s="6"/>
      <c r="Q11" s="6"/>
      <c r="R11" s="6"/>
      <c r="S11" s="6"/>
      <c r="T11" s="6"/>
      <c r="U11" s="6"/>
      <c r="V11" s="6"/>
      <c r="W11" s="6"/>
      <c r="X11" s="6"/>
      <c r="Y11" s="6"/>
      <c r="Z11" s="6"/>
    </row>
    <row r="12" spans="1:26" ht="14.4" x14ac:dyDescent="0.3">
      <c r="A12" s="10" t="s">
        <v>4652</v>
      </c>
      <c r="B12" s="10">
        <v>2001</v>
      </c>
      <c r="C12" s="10" t="s">
        <v>4711</v>
      </c>
      <c r="D12" s="10">
        <v>12</v>
      </c>
      <c r="E12" s="10">
        <v>0</v>
      </c>
      <c r="F12" s="24">
        <v>687.54</v>
      </c>
      <c r="G12" s="10" t="s">
        <v>4696</v>
      </c>
      <c r="H12" s="10" t="s">
        <v>4695</v>
      </c>
      <c r="I12" s="10" t="s">
        <v>4708</v>
      </c>
      <c r="J12" s="17">
        <f t="shared" si="0"/>
        <v>37146</v>
      </c>
      <c r="K12" s="10">
        <f t="shared" ca="1" si="1"/>
        <v>24</v>
      </c>
      <c r="L12" s="6"/>
      <c r="M12" s="6"/>
      <c r="N12" s="6"/>
      <c r="O12" s="6"/>
      <c r="P12" s="6"/>
      <c r="Q12" s="6"/>
      <c r="R12" s="6"/>
      <c r="S12" s="6"/>
      <c r="T12" s="6"/>
      <c r="U12" s="6"/>
      <c r="V12" s="6"/>
      <c r="W12" s="6"/>
      <c r="X12" s="6"/>
      <c r="Y12" s="6"/>
      <c r="Z12" s="6"/>
    </row>
    <row r="13" spans="1:26" ht="14.4" x14ac:dyDescent="0.3">
      <c r="A13" s="10" t="s">
        <v>4650</v>
      </c>
      <c r="B13" s="10">
        <v>1999</v>
      </c>
      <c r="C13" s="10" t="s">
        <v>4713</v>
      </c>
      <c r="D13" s="10">
        <v>26</v>
      </c>
      <c r="E13" s="10">
        <v>0</v>
      </c>
      <c r="F13" s="24">
        <v>700</v>
      </c>
      <c r="G13" s="10" t="s">
        <v>4697</v>
      </c>
      <c r="H13" s="10" t="s">
        <v>4696</v>
      </c>
      <c r="I13" s="10" t="s">
        <v>4708</v>
      </c>
      <c r="J13" s="17">
        <f t="shared" si="0"/>
        <v>36520</v>
      </c>
      <c r="K13" s="10">
        <f t="shared" ca="1" si="1"/>
        <v>25</v>
      </c>
      <c r="L13" s="6"/>
      <c r="M13" s="6"/>
      <c r="N13" s="6"/>
      <c r="O13" s="6"/>
      <c r="P13" s="6"/>
      <c r="Q13" s="6"/>
      <c r="R13" s="6"/>
      <c r="S13" s="6"/>
      <c r="T13" s="6"/>
      <c r="U13" s="6"/>
      <c r="V13" s="6"/>
      <c r="W13" s="6"/>
      <c r="X13" s="6"/>
      <c r="Y13" s="6"/>
      <c r="Z13" s="6"/>
    </row>
    <row r="14" spans="1:26" ht="14.4" x14ac:dyDescent="0.3">
      <c r="A14" s="10" t="s">
        <v>4648</v>
      </c>
      <c r="B14" s="10">
        <v>1999</v>
      </c>
      <c r="C14" s="10" t="s">
        <v>4713</v>
      </c>
      <c r="D14" s="10">
        <v>14</v>
      </c>
      <c r="E14" s="10">
        <v>0</v>
      </c>
      <c r="F14" s="24">
        <v>722.99</v>
      </c>
      <c r="G14" s="10" t="s">
        <v>4696</v>
      </c>
      <c r="H14" s="10" t="s">
        <v>4694</v>
      </c>
      <c r="I14" s="10" t="s">
        <v>4708</v>
      </c>
      <c r="J14" s="17">
        <f t="shared" si="0"/>
        <v>36508</v>
      </c>
      <c r="K14" s="10">
        <f t="shared" ca="1" si="1"/>
        <v>25</v>
      </c>
      <c r="L14" s="6"/>
      <c r="M14" s="6"/>
      <c r="N14" s="6"/>
      <c r="O14" s="6"/>
      <c r="P14" s="6"/>
      <c r="Q14" s="6"/>
      <c r="R14" s="6"/>
      <c r="S14" s="6"/>
      <c r="T14" s="6"/>
      <c r="U14" s="6"/>
      <c r="V14" s="6"/>
      <c r="W14" s="6"/>
      <c r="X14" s="6"/>
      <c r="Y14" s="6"/>
      <c r="Z14" s="6"/>
    </row>
    <row r="15" spans="1:26" ht="14.4" x14ac:dyDescent="0.3">
      <c r="A15" s="10" t="s">
        <v>4646</v>
      </c>
      <c r="B15" s="10">
        <v>2002</v>
      </c>
      <c r="C15" s="10" t="s">
        <v>4711</v>
      </c>
      <c r="D15" s="10">
        <v>19</v>
      </c>
      <c r="E15" s="10">
        <v>0</v>
      </c>
      <c r="F15" s="24">
        <v>750</v>
      </c>
      <c r="G15" s="10" t="s">
        <v>4696</v>
      </c>
      <c r="H15" s="10" t="s">
        <v>4694</v>
      </c>
      <c r="I15" s="10" t="s">
        <v>4712</v>
      </c>
      <c r="J15" s="17">
        <f t="shared" si="0"/>
        <v>37518</v>
      </c>
      <c r="K15" s="10">
        <f t="shared" ca="1" si="1"/>
        <v>23</v>
      </c>
      <c r="L15" s="6"/>
      <c r="M15" s="6"/>
      <c r="N15" s="6"/>
      <c r="O15" s="6"/>
      <c r="P15" s="6"/>
      <c r="Q15" s="6"/>
      <c r="R15" s="6"/>
      <c r="S15" s="6"/>
      <c r="T15" s="6"/>
      <c r="U15" s="6"/>
      <c r="V15" s="6"/>
      <c r="W15" s="6"/>
      <c r="X15" s="6"/>
      <c r="Y15" s="6"/>
      <c r="Z15" s="6"/>
    </row>
    <row r="16" spans="1:26" ht="14.4" x14ac:dyDescent="0.3">
      <c r="A16" s="10" t="s">
        <v>4644</v>
      </c>
      <c r="B16" s="10">
        <v>1993</v>
      </c>
      <c r="C16" s="10" t="s">
        <v>4714</v>
      </c>
      <c r="D16" s="10">
        <v>9</v>
      </c>
      <c r="E16" s="10">
        <v>0</v>
      </c>
      <c r="F16" s="24">
        <v>760</v>
      </c>
      <c r="G16" s="10" t="s">
        <v>4696</v>
      </c>
      <c r="H16" s="10" t="s">
        <v>4694</v>
      </c>
      <c r="I16" s="10" t="s">
        <v>4708</v>
      </c>
      <c r="J16" s="17">
        <f t="shared" si="0"/>
        <v>34190</v>
      </c>
      <c r="K16" s="10">
        <f t="shared" ca="1" si="1"/>
        <v>32</v>
      </c>
      <c r="L16" s="6"/>
      <c r="M16" s="6"/>
      <c r="N16" s="6"/>
      <c r="O16" s="6"/>
      <c r="P16" s="6"/>
      <c r="Q16" s="6"/>
      <c r="R16" s="6"/>
      <c r="S16" s="6"/>
      <c r="T16" s="6"/>
      <c r="U16" s="6"/>
      <c r="V16" s="6"/>
      <c r="W16" s="6"/>
      <c r="X16" s="6"/>
      <c r="Y16" s="6"/>
      <c r="Z16" s="6"/>
    </row>
    <row r="17" spans="1:26" ht="14.4" x14ac:dyDescent="0.3">
      <c r="A17" s="10" t="s">
        <v>4642</v>
      </c>
      <c r="B17" s="10">
        <v>1996</v>
      </c>
      <c r="C17" s="10" t="s">
        <v>4715</v>
      </c>
      <c r="D17" s="10">
        <v>22</v>
      </c>
      <c r="E17" s="10">
        <v>0</v>
      </c>
      <c r="F17" s="24">
        <v>760</v>
      </c>
      <c r="G17" s="10" t="s">
        <v>4696</v>
      </c>
      <c r="H17" s="10" t="s">
        <v>4696</v>
      </c>
      <c r="I17" s="10" t="s">
        <v>4708</v>
      </c>
      <c r="J17" s="17">
        <f t="shared" si="0"/>
        <v>35360</v>
      </c>
      <c r="K17" s="10">
        <f t="shared" ca="1" si="1"/>
        <v>29</v>
      </c>
      <c r="L17" s="6"/>
      <c r="M17" s="6"/>
      <c r="N17" s="6"/>
      <c r="O17" s="6"/>
      <c r="P17" s="6"/>
      <c r="Q17" s="6"/>
      <c r="R17" s="6"/>
      <c r="S17" s="6"/>
      <c r="T17" s="6"/>
      <c r="U17" s="6"/>
      <c r="V17" s="6"/>
      <c r="W17" s="6"/>
      <c r="X17" s="6"/>
      <c r="Y17" s="6"/>
      <c r="Z17" s="6"/>
    </row>
    <row r="18" spans="1:26" ht="14.4" x14ac:dyDescent="0.3">
      <c r="A18" s="10" t="s">
        <v>4640</v>
      </c>
      <c r="B18" s="10">
        <v>1993</v>
      </c>
      <c r="C18" s="10" t="s">
        <v>4710</v>
      </c>
      <c r="D18" s="10">
        <v>28</v>
      </c>
      <c r="E18" s="10">
        <v>0</v>
      </c>
      <c r="F18" s="24">
        <v>770</v>
      </c>
      <c r="G18" s="10" t="s">
        <v>4696</v>
      </c>
      <c r="H18" s="10" t="s">
        <v>4696</v>
      </c>
      <c r="I18" s="10" t="s">
        <v>4708</v>
      </c>
      <c r="J18" s="17">
        <f t="shared" si="0"/>
        <v>34148</v>
      </c>
      <c r="K18" s="10">
        <f t="shared" ca="1" si="1"/>
        <v>32</v>
      </c>
      <c r="L18" s="6"/>
      <c r="M18" s="6"/>
      <c r="N18" s="6"/>
      <c r="O18" s="6"/>
      <c r="P18" s="6"/>
      <c r="Q18" s="6"/>
      <c r="R18" s="6"/>
      <c r="S18" s="6"/>
      <c r="T18" s="6"/>
      <c r="U18" s="6"/>
      <c r="V18" s="6"/>
      <c r="W18" s="6"/>
      <c r="X18" s="6"/>
      <c r="Y18" s="6"/>
      <c r="Z18" s="6"/>
    </row>
    <row r="19" spans="1:26" ht="14.4" x14ac:dyDescent="0.3">
      <c r="A19" s="10" t="s">
        <v>4638</v>
      </c>
      <c r="B19" s="10">
        <v>1996</v>
      </c>
      <c r="C19" s="10" t="s">
        <v>4711</v>
      </c>
      <c r="D19" s="10">
        <v>18</v>
      </c>
      <c r="E19" s="10">
        <v>0</v>
      </c>
      <c r="F19" s="24">
        <v>770.38</v>
      </c>
      <c r="G19" s="10" t="s">
        <v>4696</v>
      </c>
      <c r="H19" s="10" t="s">
        <v>4697</v>
      </c>
      <c r="I19" s="10" t="s">
        <v>4712</v>
      </c>
      <c r="J19" s="17">
        <f t="shared" si="0"/>
        <v>35326</v>
      </c>
      <c r="K19" s="10">
        <f t="shared" ca="1" si="1"/>
        <v>29</v>
      </c>
      <c r="L19" s="6"/>
      <c r="M19" s="6"/>
      <c r="N19" s="6"/>
      <c r="O19" s="6"/>
      <c r="P19" s="6"/>
      <c r="Q19" s="6"/>
      <c r="R19" s="6"/>
      <c r="S19" s="6"/>
      <c r="T19" s="6"/>
      <c r="U19" s="6"/>
      <c r="V19" s="6"/>
      <c r="W19" s="6"/>
      <c r="X19" s="6"/>
      <c r="Y19" s="6"/>
      <c r="Z19" s="6"/>
    </row>
    <row r="20" spans="1:26" ht="14.4" x14ac:dyDescent="0.3">
      <c r="A20" s="10" t="s">
        <v>4636</v>
      </c>
      <c r="B20" s="10">
        <v>1995</v>
      </c>
      <c r="C20" s="10" t="s">
        <v>4713</v>
      </c>
      <c r="D20" s="10">
        <v>7</v>
      </c>
      <c r="E20" s="10">
        <v>0</v>
      </c>
      <c r="F20" s="24">
        <v>773.54</v>
      </c>
      <c r="G20" s="10" t="s">
        <v>4697</v>
      </c>
      <c r="H20" s="10" t="s">
        <v>4695</v>
      </c>
      <c r="I20" s="10" t="s">
        <v>4708</v>
      </c>
      <c r="J20" s="17">
        <f t="shared" si="0"/>
        <v>35040</v>
      </c>
      <c r="K20" s="10">
        <f t="shared" ca="1" si="1"/>
        <v>29</v>
      </c>
      <c r="L20" s="6"/>
      <c r="M20" s="6"/>
      <c r="N20" s="6"/>
      <c r="O20" s="6"/>
      <c r="P20" s="6"/>
      <c r="Q20" s="6"/>
      <c r="R20" s="6"/>
      <c r="S20" s="6"/>
      <c r="T20" s="6"/>
      <c r="U20" s="6"/>
      <c r="V20" s="6"/>
      <c r="W20" s="6"/>
      <c r="X20" s="6"/>
      <c r="Y20" s="6"/>
      <c r="Z20" s="6"/>
    </row>
    <row r="21" spans="1:26" ht="15.75" customHeight="1" x14ac:dyDescent="0.3">
      <c r="A21" s="10" t="s">
        <v>4634</v>
      </c>
      <c r="B21" s="10">
        <v>2004</v>
      </c>
      <c r="C21" s="10" t="s">
        <v>4715</v>
      </c>
      <c r="D21" s="10">
        <v>7</v>
      </c>
      <c r="E21" s="10">
        <v>0</v>
      </c>
      <c r="F21" s="24">
        <v>830.52</v>
      </c>
      <c r="G21" s="10" t="s">
        <v>4696</v>
      </c>
      <c r="H21" s="10" t="s">
        <v>4695</v>
      </c>
      <c r="I21" s="10" t="s">
        <v>4716</v>
      </c>
      <c r="J21" s="17">
        <f t="shared" si="0"/>
        <v>38267</v>
      </c>
      <c r="K21" s="10">
        <f t="shared" ca="1" si="1"/>
        <v>21</v>
      </c>
      <c r="L21" s="6"/>
      <c r="M21" s="6"/>
      <c r="N21" s="6"/>
      <c r="O21" s="6"/>
      <c r="P21" s="6"/>
      <c r="Q21" s="6"/>
      <c r="R21" s="6"/>
      <c r="S21" s="6"/>
      <c r="T21" s="6"/>
      <c r="U21" s="6"/>
      <c r="V21" s="6"/>
      <c r="W21" s="6"/>
      <c r="X21" s="6"/>
      <c r="Y21" s="6"/>
      <c r="Z21" s="6"/>
    </row>
    <row r="22" spans="1:26" ht="15.75" customHeight="1" x14ac:dyDescent="0.3">
      <c r="A22" s="10" t="s">
        <v>4632</v>
      </c>
      <c r="B22" s="10">
        <v>2000</v>
      </c>
      <c r="C22" s="10" t="s">
        <v>4709</v>
      </c>
      <c r="D22" s="10">
        <v>18</v>
      </c>
      <c r="E22" s="10">
        <v>0</v>
      </c>
      <c r="F22" s="24">
        <v>865.41</v>
      </c>
      <c r="G22" s="10" t="s">
        <v>4696</v>
      </c>
      <c r="H22" s="10" t="s">
        <v>4694</v>
      </c>
      <c r="I22" s="10" t="s">
        <v>4708</v>
      </c>
      <c r="J22" s="17">
        <f t="shared" si="0"/>
        <v>36848</v>
      </c>
      <c r="K22" s="10">
        <f t="shared" ca="1" si="1"/>
        <v>25</v>
      </c>
      <c r="L22" s="6"/>
      <c r="M22" s="6"/>
      <c r="N22" s="6"/>
      <c r="O22" s="6"/>
      <c r="P22" s="6"/>
      <c r="Q22" s="6"/>
      <c r="R22" s="6"/>
      <c r="S22" s="6"/>
      <c r="T22" s="6"/>
      <c r="U22" s="6"/>
      <c r="V22" s="6"/>
      <c r="W22" s="6"/>
      <c r="X22" s="6"/>
      <c r="Y22" s="6"/>
      <c r="Z22" s="6"/>
    </row>
    <row r="23" spans="1:26" ht="15.75" customHeight="1" x14ac:dyDescent="0.3">
      <c r="A23" s="10" t="s">
        <v>4630</v>
      </c>
      <c r="B23" s="10">
        <v>1993</v>
      </c>
      <c r="C23" s="10" t="s">
        <v>4709</v>
      </c>
      <c r="D23" s="10">
        <v>27</v>
      </c>
      <c r="E23" s="10">
        <v>0</v>
      </c>
      <c r="F23" s="24">
        <v>896.21</v>
      </c>
      <c r="G23" s="10" t="s">
        <v>4696</v>
      </c>
      <c r="H23" s="10" t="s">
        <v>4694</v>
      </c>
      <c r="I23" s="10" t="s">
        <v>4708</v>
      </c>
      <c r="J23" s="17">
        <f t="shared" si="0"/>
        <v>34300</v>
      </c>
      <c r="K23" s="10">
        <f t="shared" ca="1" si="1"/>
        <v>32</v>
      </c>
      <c r="L23" s="6"/>
      <c r="M23" s="6"/>
      <c r="N23" s="6"/>
      <c r="O23" s="6"/>
      <c r="P23" s="6"/>
      <c r="Q23" s="6"/>
      <c r="R23" s="6"/>
      <c r="S23" s="6"/>
      <c r="T23" s="6"/>
      <c r="U23" s="6"/>
      <c r="V23" s="6"/>
      <c r="W23" s="6"/>
      <c r="X23" s="6"/>
      <c r="Y23" s="6"/>
      <c r="Z23" s="6"/>
    </row>
    <row r="24" spans="1:26" ht="15.75" customHeight="1" x14ac:dyDescent="0.3">
      <c r="A24" s="10" t="s">
        <v>4628</v>
      </c>
      <c r="B24" s="10">
        <v>1994</v>
      </c>
      <c r="C24" s="10" t="s">
        <v>4715</v>
      </c>
      <c r="D24" s="10">
        <v>30</v>
      </c>
      <c r="E24" s="10">
        <v>0</v>
      </c>
      <c r="F24" s="24">
        <v>915.07</v>
      </c>
      <c r="G24" s="10" t="s">
        <v>4696</v>
      </c>
      <c r="H24" s="10" t="s">
        <v>4694</v>
      </c>
      <c r="I24" s="10" t="s">
        <v>4708</v>
      </c>
      <c r="J24" s="17">
        <f t="shared" si="0"/>
        <v>34637</v>
      </c>
      <c r="K24" s="10">
        <f t="shared" ca="1" si="1"/>
        <v>31</v>
      </c>
      <c r="L24" s="6"/>
      <c r="M24" s="6"/>
      <c r="N24" s="6"/>
      <c r="O24" s="6"/>
      <c r="P24" s="6"/>
      <c r="Q24" s="6"/>
      <c r="R24" s="6"/>
      <c r="S24" s="6"/>
      <c r="T24" s="6"/>
      <c r="U24" s="6"/>
      <c r="V24" s="6"/>
      <c r="W24" s="6"/>
      <c r="X24" s="6"/>
      <c r="Y24" s="6"/>
      <c r="Z24" s="6"/>
    </row>
    <row r="25" spans="1:26" ht="15.75" customHeight="1" x14ac:dyDescent="0.3">
      <c r="A25" s="10" t="s">
        <v>4626</v>
      </c>
      <c r="B25" s="10">
        <v>1995</v>
      </c>
      <c r="C25" s="10" t="s">
        <v>4715</v>
      </c>
      <c r="D25" s="10">
        <v>28</v>
      </c>
      <c r="E25" s="10">
        <v>0</v>
      </c>
      <c r="F25" s="24">
        <v>928.59</v>
      </c>
      <c r="G25" s="10" t="s">
        <v>4696</v>
      </c>
      <c r="H25" s="10" t="s">
        <v>4694</v>
      </c>
      <c r="I25" s="10" t="s">
        <v>4708</v>
      </c>
      <c r="J25" s="17">
        <f t="shared" si="0"/>
        <v>35000</v>
      </c>
      <c r="K25" s="10">
        <f t="shared" ca="1" si="1"/>
        <v>30</v>
      </c>
      <c r="L25" s="6"/>
      <c r="M25" s="6"/>
      <c r="N25" s="6"/>
      <c r="O25" s="6"/>
      <c r="P25" s="6"/>
      <c r="Q25" s="6"/>
      <c r="R25" s="6"/>
      <c r="S25" s="6"/>
      <c r="T25" s="6"/>
      <c r="U25" s="6"/>
      <c r="V25" s="6"/>
      <c r="W25" s="6"/>
      <c r="X25" s="6"/>
      <c r="Y25" s="6"/>
      <c r="Z25" s="6"/>
    </row>
    <row r="26" spans="1:26" ht="15.75" customHeight="1" x14ac:dyDescent="0.3">
      <c r="A26" s="10" t="s">
        <v>4624</v>
      </c>
      <c r="B26" s="10">
        <v>2001</v>
      </c>
      <c r="C26" s="10" t="s">
        <v>4711</v>
      </c>
      <c r="D26" s="10">
        <v>19</v>
      </c>
      <c r="E26" s="10">
        <v>0</v>
      </c>
      <c r="F26" s="24">
        <v>964.71</v>
      </c>
      <c r="G26" s="10" t="s">
        <v>4696</v>
      </c>
      <c r="H26" s="10" t="s">
        <v>4695</v>
      </c>
      <c r="I26" s="10" t="s">
        <v>4708</v>
      </c>
      <c r="J26" s="17">
        <f t="shared" si="0"/>
        <v>37153</v>
      </c>
      <c r="K26" s="10">
        <f t="shared" ca="1" si="1"/>
        <v>24</v>
      </c>
      <c r="L26" s="6"/>
      <c r="M26" s="6"/>
      <c r="N26" s="6"/>
      <c r="O26" s="6"/>
      <c r="P26" s="6"/>
      <c r="Q26" s="6"/>
      <c r="R26" s="6"/>
      <c r="S26" s="6"/>
      <c r="T26" s="6"/>
      <c r="U26" s="6"/>
      <c r="V26" s="6"/>
      <c r="W26" s="6"/>
      <c r="X26" s="6"/>
      <c r="Y26" s="6"/>
      <c r="Z26" s="6"/>
    </row>
    <row r="27" spans="1:26" ht="15.75" customHeight="1" x14ac:dyDescent="0.3">
      <c r="A27" s="10" t="s">
        <v>4622</v>
      </c>
      <c r="B27" s="10">
        <v>1994</v>
      </c>
      <c r="C27" s="10" t="s">
        <v>4709</v>
      </c>
      <c r="D27" s="10">
        <v>22</v>
      </c>
      <c r="E27" s="10">
        <v>0</v>
      </c>
      <c r="F27" s="24">
        <v>1006.65</v>
      </c>
      <c r="G27" s="10" t="s">
        <v>4696</v>
      </c>
      <c r="H27" s="10" t="s">
        <v>4695</v>
      </c>
      <c r="I27" s="10" t="s">
        <v>4708</v>
      </c>
      <c r="J27" s="17">
        <f t="shared" si="0"/>
        <v>34660</v>
      </c>
      <c r="K27" s="10">
        <f t="shared" ca="1" si="1"/>
        <v>31</v>
      </c>
      <c r="L27" s="6"/>
      <c r="M27" s="6"/>
      <c r="N27" s="6"/>
      <c r="O27" s="6"/>
      <c r="P27" s="6"/>
      <c r="Q27" s="6"/>
      <c r="R27" s="6"/>
      <c r="S27" s="6"/>
      <c r="T27" s="6"/>
      <c r="U27" s="6"/>
      <c r="V27" s="6"/>
      <c r="W27" s="6"/>
      <c r="X27" s="6"/>
      <c r="Y27" s="6"/>
      <c r="Z27" s="6"/>
    </row>
    <row r="28" spans="1:26" ht="15.75" customHeight="1" x14ac:dyDescent="0.3">
      <c r="A28" s="10" t="s">
        <v>4620</v>
      </c>
      <c r="B28" s="10">
        <v>2000</v>
      </c>
      <c r="C28" s="10" t="s">
        <v>4715</v>
      </c>
      <c r="D28" s="10">
        <v>9</v>
      </c>
      <c r="E28" s="10">
        <v>0</v>
      </c>
      <c r="F28" s="24">
        <v>1012</v>
      </c>
      <c r="G28" s="10" t="s">
        <v>4696</v>
      </c>
      <c r="H28" s="10" t="s">
        <v>4695</v>
      </c>
      <c r="I28" s="10" t="s">
        <v>4708</v>
      </c>
      <c r="J28" s="17">
        <f t="shared" si="0"/>
        <v>36808</v>
      </c>
      <c r="K28" s="10">
        <f t="shared" ca="1" si="1"/>
        <v>25</v>
      </c>
      <c r="L28" s="6"/>
      <c r="M28" s="6"/>
      <c r="N28" s="6"/>
      <c r="O28" s="6"/>
      <c r="P28" s="6"/>
      <c r="Q28" s="6"/>
      <c r="R28" s="6"/>
      <c r="S28" s="6"/>
      <c r="T28" s="6"/>
      <c r="U28" s="6"/>
      <c r="V28" s="6"/>
      <c r="W28" s="6"/>
      <c r="X28" s="6"/>
      <c r="Y28" s="6"/>
      <c r="Z28" s="6"/>
    </row>
    <row r="29" spans="1:26" ht="15.75" customHeight="1" x14ac:dyDescent="0.3">
      <c r="A29" s="10" t="s">
        <v>4618</v>
      </c>
      <c r="B29" s="10">
        <v>1999</v>
      </c>
      <c r="C29" s="10" t="s">
        <v>4714</v>
      </c>
      <c r="D29" s="10">
        <v>5</v>
      </c>
      <c r="E29" s="10">
        <v>0</v>
      </c>
      <c r="F29" s="24">
        <v>1019</v>
      </c>
      <c r="G29" s="10" t="s">
        <v>4696</v>
      </c>
      <c r="H29" s="10" t="s">
        <v>4695</v>
      </c>
      <c r="I29" s="10" t="s">
        <v>4708</v>
      </c>
      <c r="J29" s="17">
        <f t="shared" si="0"/>
        <v>36377</v>
      </c>
      <c r="K29" s="10">
        <f t="shared" ca="1" si="1"/>
        <v>26</v>
      </c>
      <c r="L29" s="6"/>
      <c r="M29" s="6"/>
      <c r="N29" s="6"/>
      <c r="O29" s="6"/>
      <c r="P29" s="6"/>
      <c r="Q29" s="6"/>
      <c r="R29" s="6"/>
      <c r="S29" s="6"/>
      <c r="T29" s="6"/>
      <c r="U29" s="6"/>
      <c r="V29" s="6"/>
      <c r="W29" s="6"/>
      <c r="X29" s="6"/>
      <c r="Y29" s="6"/>
      <c r="Z29" s="6"/>
    </row>
    <row r="30" spans="1:26" ht="15.75" customHeight="1" x14ac:dyDescent="0.3">
      <c r="A30" s="10" t="s">
        <v>4616</v>
      </c>
      <c r="B30" s="10">
        <v>1995</v>
      </c>
      <c r="C30" s="10" t="s">
        <v>4715</v>
      </c>
      <c r="D30" s="10">
        <v>5</v>
      </c>
      <c r="E30" s="10">
        <v>0</v>
      </c>
      <c r="F30" s="24">
        <v>1033.74</v>
      </c>
      <c r="G30" s="10" t="s">
        <v>4696</v>
      </c>
      <c r="H30" s="10" t="s">
        <v>4694</v>
      </c>
      <c r="I30" s="10" t="s">
        <v>4708</v>
      </c>
      <c r="J30" s="17">
        <f t="shared" si="0"/>
        <v>34977</v>
      </c>
      <c r="K30" s="10">
        <f t="shared" ca="1" si="1"/>
        <v>30</v>
      </c>
      <c r="L30" s="6"/>
      <c r="M30" s="6"/>
      <c r="N30" s="6"/>
      <c r="O30" s="6"/>
      <c r="P30" s="6"/>
      <c r="Q30" s="6"/>
      <c r="R30" s="6"/>
      <c r="S30" s="6"/>
      <c r="T30" s="6"/>
      <c r="U30" s="6"/>
      <c r="V30" s="6"/>
      <c r="W30" s="6"/>
      <c r="X30" s="6"/>
      <c r="Y30" s="6"/>
      <c r="Z30" s="6"/>
    </row>
    <row r="31" spans="1:26" ht="15.75" customHeight="1" x14ac:dyDescent="0.3">
      <c r="A31" s="10" t="s">
        <v>4614</v>
      </c>
      <c r="B31" s="10">
        <v>1994</v>
      </c>
      <c r="C31" s="10" t="s">
        <v>4709</v>
      </c>
      <c r="D31" s="10">
        <v>17</v>
      </c>
      <c r="E31" s="10">
        <v>0</v>
      </c>
      <c r="F31" s="24">
        <v>1044</v>
      </c>
      <c r="G31" s="10" t="s">
        <v>4696</v>
      </c>
      <c r="H31" s="10" t="s">
        <v>4695</v>
      </c>
      <c r="I31" s="10" t="s">
        <v>4708</v>
      </c>
      <c r="J31" s="17">
        <f t="shared" si="0"/>
        <v>34655</v>
      </c>
      <c r="K31" s="10">
        <f t="shared" ca="1" si="1"/>
        <v>31</v>
      </c>
      <c r="L31" s="6"/>
      <c r="M31" s="6"/>
      <c r="N31" s="6"/>
      <c r="O31" s="6"/>
      <c r="P31" s="6"/>
      <c r="Q31" s="6"/>
      <c r="R31" s="6"/>
      <c r="S31" s="6"/>
      <c r="T31" s="6"/>
      <c r="U31" s="6"/>
      <c r="V31" s="6"/>
      <c r="W31" s="6"/>
      <c r="X31" s="6"/>
      <c r="Y31" s="6"/>
      <c r="Z31" s="6"/>
    </row>
    <row r="32" spans="1:26" ht="15.75" customHeight="1" x14ac:dyDescent="0.3">
      <c r="A32" s="10" t="s">
        <v>4612</v>
      </c>
      <c r="B32" s="10">
        <v>2002</v>
      </c>
      <c r="C32" s="10" t="s">
        <v>4707</v>
      </c>
      <c r="D32" s="10">
        <v>20</v>
      </c>
      <c r="E32" s="10">
        <v>0</v>
      </c>
      <c r="F32" s="24">
        <v>1047</v>
      </c>
      <c r="G32" s="10" t="s">
        <v>4696</v>
      </c>
      <c r="H32" s="10" t="s">
        <v>4694</v>
      </c>
      <c r="I32" s="10" t="s">
        <v>4708</v>
      </c>
      <c r="J32" s="17">
        <f t="shared" si="0"/>
        <v>37457</v>
      </c>
      <c r="K32" s="10">
        <f t="shared" ca="1" si="1"/>
        <v>23</v>
      </c>
      <c r="L32" s="6"/>
      <c r="M32" s="6"/>
      <c r="N32" s="6"/>
      <c r="O32" s="6"/>
      <c r="P32" s="6"/>
      <c r="Q32" s="6"/>
      <c r="R32" s="6"/>
      <c r="S32" s="6"/>
      <c r="T32" s="6"/>
      <c r="U32" s="6"/>
      <c r="V32" s="6"/>
      <c r="W32" s="6"/>
      <c r="X32" s="6"/>
      <c r="Y32" s="6"/>
      <c r="Z32" s="6"/>
    </row>
    <row r="33" spans="1:26" ht="15.75" customHeight="1" x14ac:dyDescent="0.3">
      <c r="A33" s="10" t="s">
        <v>4610</v>
      </c>
      <c r="B33" s="10">
        <v>2002</v>
      </c>
      <c r="C33" s="10" t="s">
        <v>4707</v>
      </c>
      <c r="D33" s="10">
        <v>1</v>
      </c>
      <c r="E33" s="10">
        <v>0</v>
      </c>
      <c r="F33" s="24">
        <v>1049</v>
      </c>
      <c r="G33" s="10" t="s">
        <v>4696</v>
      </c>
      <c r="H33" s="10" t="s">
        <v>4695</v>
      </c>
      <c r="I33" s="10" t="s">
        <v>4712</v>
      </c>
      <c r="J33" s="17">
        <f t="shared" si="0"/>
        <v>37438</v>
      </c>
      <c r="K33" s="10">
        <f t="shared" ca="1" si="1"/>
        <v>23</v>
      </c>
      <c r="L33" s="6"/>
      <c r="M33" s="6"/>
      <c r="N33" s="6"/>
      <c r="O33" s="6"/>
      <c r="P33" s="6"/>
      <c r="Q33" s="6"/>
      <c r="R33" s="6"/>
      <c r="S33" s="6"/>
      <c r="T33" s="6"/>
      <c r="U33" s="6"/>
      <c r="V33" s="6"/>
      <c r="W33" s="6"/>
      <c r="X33" s="6"/>
      <c r="Y33" s="6"/>
      <c r="Z33" s="6"/>
    </row>
    <row r="34" spans="1:26" ht="15.75" customHeight="1" x14ac:dyDescent="0.3">
      <c r="A34" s="10" t="s">
        <v>4608</v>
      </c>
      <c r="B34" s="10">
        <v>1995</v>
      </c>
      <c r="C34" s="10" t="s">
        <v>4710</v>
      </c>
      <c r="D34" s="10">
        <v>1</v>
      </c>
      <c r="E34" s="10">
        <v>0</v>
      </c>
      <c r="F34" s="24">
        <v>1056</v>
      </c>
      <c r="G34" s="10" t="s">
        <v>4696</v>
      </c>
      <c r="H34" s="10" t="s">
        <v>4695</v>
      </c>
      <c r="I34" s="10" t="s">
        <v>4708</v>
      </c>
      <c r="J34" s="17">
        <f t="shared" si="0"/>
        <v>34851</v>
      </c>
      <c r="K34" s="10">
        <f t="shared" ca="1" si="1"/>
        <v>30</v>
      </c>
      <c r="L34" s="6"/>
      <c r="M34" s="6"/>
      <c r="N34" s="6"/>
      <c r="O34" s="6"/>
      <c r="P34" s="6"/>
      <c r="Q34" s="6"/>
      <c r="R34" s="6"/>
      <c r="S34" s="6"/>
      <c r="T34" s="6"/>
      <c r="U34" s="6"/>
      <c r="V34" s="6"/>
      <c r="W34" s="6"/>
      <c r="X34" s="6"/>
      <c r="Y34" s="6"/>
      <c r="Z34" s="6"/>
    </row>
    <row r="35" spans="1:26" ht="15.75" customHeight="1" x14ac:dyDescent="0.3">
      <c r="A35" s="10" t="s">
        <v>4606</v>
      </c>
      <c r="B35" s="10">
        <v>1993</v>
      </c>
      <c r="C35" s="10" t="s">
        <v>4711</v>
      </c>
      <c r="D35" s="10">
        <v>28</v>
      </c>
      <c r="E35" s="10">
        <v>0</v>
      </c>
      <c r="F35" s="24">
        <v>1068</v>
      </c>
      <c r="G35" s="10" t="s">
        <v>4696</v>
      </c>
      <c r="H35" s="10" t="s">
        <v>4694</v>
      </c>
      <c r="I35" s="10" t="s">
        <v>4708</v>
      </c>
      <c r="J35" s="17">
        <f t="shared" si="0"/>
        <v>34240</v>
      </c>
      <c r="K35" s="10">
        <f t="shared" ca="1" si="1"/>
        <v>32</v>
      </c>
      <c r="L35" s="6"/>
      <c r="M35" s="6"/>
      <c r="N35" s="6"/>
      <c r="O35" s="6"/>
      <c r="P35" s="6"/>
      <c r="Q35" s="6"/>
      <c r="R35" s="6"/>
      <c r="S35" s="6"/>
      <c r="T35" s="6"/>
      <c r="U35" s="6"/>
      <c r="V35" s="6"/>
      <c r="W35" s="6"/>
      <c r="X35" s="6"/>
      <c r="Y35" s="6"/>
      <c r="Z35" s="6"/>
    </row>
    <row r="36" spans="1:26" ht="15.75" customHeight="1" x14ac:dyDescent="0.3">
      <c r="A36" s="10" t="s">
        <v>4604</v>
      </c>
      <c r="B36" s="10">
        <v>2004</v>
      </c>
      <c r="C36" s="10" t="s">
        <v>4714</v>
      </c>
      <c r="D36" s="10">
        <v>24</v>
      </c>
      <c r="E36" s="10">
        <v>0</v>
      </c>
      <c r="F36" s="24">
        <v>1070</v>
      </c>
      <c r="G36" s="10" t="s">
        <v>4696</v>
      </c>
      <c r="H36" s="10" t="s">
        <v>4696</v>
      </c>
      <c r="I36" s="10" t="s">
        <v>4708</v>
      </c>
      <c r="J36" s="17">
        <f t="shared" si="0"/>
        <v>38223</v>
      </c>
      <c r="K36" s="10">
        <f t="shared" ca="1" si="1"/>
        <v>21</v>
      </c>
      <c r="L36" s="6"/>
      <c r="M36" s="6"/>
      <c r="N36" s="6"/>
      <c r="O36" s="6"/>
      <c r="P36" s="6"/>
      <c r="Q36" s="6"/>
      <c r="R36" s="6"/>
      <c r="S36" s="6"/>
      <c r="T36" s="6"/>
      <c r="U36" s="6"/>
      <c r="V36" s="6"/>
      <c r="W36" s="6"/>
      <c r="X36" s="6"/>
      <c r="Y36" s="6"/>
      <c r="Z36" s="6"/>
    </row>
    <row r="37" spans="1:26" ht="15.75" customHeight="1" x14ac:dyDescent="0.3">
      <c r="A37" s="10" t="s">
        <v>4602</v>
      </c>
      <c r="B37" s="10">
        <v>1997</v>
      </c>
      <c r="C37" s="10" t="s">
        <v>4714</v>
      </c>
      <c r="D37" s="10">
        <v>13</v>
      </c>
      <c r="E37" s="10">
        <v>0</v>
      </c>
      <c r="F37" s="24">
        <v>1071</v>
      </c>
      <c r="G37" s="10" t="s">
        <v>4696</v>
      </c>
      <c r="H37" s="10" t="s">
        <v>4696</v>
      </c>
      <c r="I37" s="10" t="s">
        <v>4708</v>
      </c>
      <c r="J37" s="17">
        <f t="shared" si="0"/>
        <v>35655</v>
      </c>
      <c r="K37" s="10">
        <f t="shared" ca="1" si="1"/>
        <v>28</v>
      </c>
      <c r="L37" s="6"/>
      <c r="M37" s="6"/>
      <c r="N37" s="6"/>
      <c r="O37" s="6"/>
      <c r="P37" s="6"/>
      <c r="Q37" s="6"/>
      <c r="R37" s="6"/>
      <c r="S37" s="6"/>
      <c r="T37" s="6"/>
      <c r="U37" s="6"/>
      <c r="V37" s="6"/>
      <c r="W37" s="6"/>
      <c r="X37" s="6"/>
      <c r="Y37" s="6"/>
      <c r="Z37" s="6"/>
    </row>
    <row r="38" spans="1:26" ht="15.75" customHeight="1" x14ac:dyDescent="0.3">
      <c r="A38" s="10" t="s">
        <v>4600</v>
      </c>
      <c r="B38" s="10">
        <v>1998</v>
      </c>
      <c r="C38" s="10" t="s">
        <v>4713</v>
      </c>
      <c r="D38" s="10">
        <v>26</v>
      </c>
      <c r="E38" s="10">
        <v>0</v>
      </c>
      <c r="F38" s="24">
        <v>1082</v>
      </c>
      <c r="G38" s="10" t="s">
        <v>4696</v>
      </c>
      <c r="H38" s="10" t="s">
        <v>4695</v>
      </c>
      <c r="I38" s="10" t="s">
        <v>4708</v>
      </c>
      <c r="J38" s="17">
        <f t="shared" si="0"/>
        <v>36155</v>
      </c>
      <c r="K38" s="10">
        <f t="shared" ca="1" si="1"/>
        <v>26</v>
      </c>
      <c r="L38" s="6"/>
      <c r="M38" s="6"/>
      <c r="N38" s="6"/>
      <c r="O38" s="6"/>
      <c r="P38" s="6"/>
      <c r="Q38" s="6"/>
      <c r="R38" s="6"/>
      <c r="S38" s="6"/>
      <c r="T38" s="6"/>
      <c r="U38" s="6"/>
      <c r="V38" s="6"/>
      <c r="W38" s="6"/>
      <c r="X38" s="6"/>
      <c r="Y38" s="6"/>
      <c r="Z38" s="6"/>
    </row>
    <row r="39" spans="1:26" ht="15.75" customHeight="1" x14ac:dyDescent="0.3">
      <c r="A39" s="10" t="s">
        <v>4598</v>
      </c>
      <c r="B39" s="10">
        <v>2002</v>
      </c>
      <c r="C39" s="10" t="s">
        <v>4714</v>
      </c>
      <c r="D39" s="10">
        <v>13</v>
      </c>
      <c r="E39" s="10">
        <v>0</v>
      </c>
      <c r="F39" s="24">
        <v>1086</v>
      </c>
      <c r="G39" s="10" t="s">
        <v>4696</v>
      </c>
      <c r="H39" s="10" t="s">
        <v>4696</v>
      </c>
      <c r="I39" s="10" t="s">
        <v>4708</v>
      </c>
      <c r="J39" s="17">
        <f t="shared" si="0"/>
        <v>37481</v>
      </c>
      <c r="K39" s="10">
        <f t="shared" ca="1" si="1"/>
        <v>23</v>
      </c>
      <c r="L39" s="6"/>
      <c r="M39" s="6"/>
      <c r="N39" s="6"/>
      <c r="O39" s="6"/>
      <c r="P39" s="6"/>
      <c r="Q39" s="6"/>
      <c r="R39" s="6"/>
      <c r="S39" s="6"/>
      <c r="T39" s="6"/>
      <c r="U39" s="6"/>
      <c r="V39" s="6"/>
      <c r="W39" s="6"/>
      <c r="X39" s="6"/>
      <c r="Y39" s="6"/>
      <c r="Z39" s="6"/>
    </row>
    <row r="40" spans="1:26" ht="15.75" customHeight="1" x14ac:dyDescent="0.3">
      <c r="A40" s="10" t="s">
        <v>4596</v>
      </c>
      <c r="B40" s="10">
        <v>2004</v>
      </c>
      <c r="C40" s="10" t="s">
        <v>4709</v>
      </c>
      <c r="D40" s="10">
        <v>12</v>
      </c>
      <c r="E40" s="10">
        <v>0</v>
      </c>
      <c r="F40" s="24">
        <v>1121.8699999999999</v>
      </c>
      <c r="G40" s="10" t="s">
        <v>4696</v>
      </c>
      <c r="H40" s="10" t="s">
        <v>4694</v>
      </c>
      <c r="I40" s="10" t="s">
        <v>4708</v>
      </c>
      <c r="J40" s="17">
        <f t="shared" si="0"/>
        <v>38303</v>
      </c>
      <c r="K40" s="10">
        <f t="shared" ca="1" si="1"/>
        <v>21</v>
      </c>
      <c r="L40" s="6"/>
      <c r="M40" s="6"/>
      <c r="N40" s="6"/>
      <c r="O40" s="6"/>
      <c r="P40" s="6"/>
      <c r="Q40" s="6"/>
      <c r="R40" s="6"/>
      <c r="S40" s="6"/>
      <c r="T40" s="6"/>
      <c r="U40" s="6"/>
      <c r="V40" s="6"/>
      <c r="W40" s="6"/>
      <c r="X40" s="6"/>
      <c r="Y40" s="6"/>
      <c r="Z40" s="6"/>
    </row>
    <row r="41" spans="1:26" ht="15.75" customHeight="1" x14ac:dyDescent="0.3">
      <c r="A41" s="10" t="s">
        <v>4594</v>
      </c>
      <c r="B41" s="10">
        <v>2004</v>
      </c>
      <c r="C41" s="10" t="s">
        <v>4710</v>
      </c>
      <c r="D41" s="10">
        <v>14</v>
      </c>
      <c r="E41" s="10">
        <v>0</v>
      </c>
      <c r="F41" s="24">
        <v>1131.51</v>
      </c>
      <c r="G41" s="10" t="s">
        <v>4696</v>
      </c>
      <c r="H41" s="10" t="s">
        <v>4694</v>
      </c>
      <c r="I41" s="10" t="s">
        <v>4708</v>
      </c>
      <c r="J41" s="17">
        <f t="shared" si="0"/>
        <v>38152</v>
      </c>
      <c r="K41" s="10">
        <f t="shared" ca="1" si="1"/>
        <v>21</v>
      </c>
      <c r="L41" s="6"/>
      <c r="M41" s="6"/>
      <c r="N41" s="6"/>
      <c r="O41" s="6"/>
      <c r="P41" s="6"/>
      <c r="Q41" s="6"/>
      <c r="R41" s="6"/>
      <c r="S41" s="6"/>
      <c r="T41" s="6"/>
      <c r="U41" s="6"/>
      <c r="V41" s="6"/>
      <c r="W41" s="6"/>
      <c r="X41" s="6"/>
      <c r="Y41" s="6"/>
      <c r="Z41" s="6"/>
    </row>
    <row r="42" spans="1:26" ht="15.75" customHeight="1" x14ac:dyDescent="0.3">
      <c r="A42" s="10" t="s">
        <v>4590</v>
      </c>
      <c r="B42" s="10">
        <v>2004</v>
      </c>
      <c r="C42" s="10" t="s">
        <v>4715</v>
      </c>
      <c r="D42" s="10">
        <v>6</v>
      </c>
      <c r="E42" s="10">
        <v>0</v>
      </c>
      <c r="F42" s="24">
        <v>1135</v>
      </c>
      <c r="G42" s="10" t="s">
        <v>4696</v>
      </c>
      <c r="H42" s="10" t="s">
        <v>4696</v>
      </c>
      <c r="I42" s="10" t="s">
        <v>4708</v>
      </c>
      <c r="J42" s="17">
        <f t="shared" si="0"/>
        <v>38266</v>
      </c>
      <c r="K42" s="10">
        <f t="shared" ca="1" si="1"/>
        <v>21</v>
      </c>
      <c r="L42" s="6"/>
      <c r="M42" s="6"/>
      <c r="N42" s="6"/>
      <c r="O42" s="6"/>
      <c r="P42" s="6"/>
      <c r="Q42" s="6"/>
      <c r="R42" s="6"/>
      <c r="S42" s="6"/>
      <c r="T42" s="6"/>
      <c r="U42" s="6"/>
      <c r="V42" s="6"/>
      <c r="W42" s="6"/>
      <c r="X42" s="6"/>
      <c r="Y42" s="6"/>
      <c r="Z42" s="6"/>
    </row>
    <row r="43" spans="1:26" ht="15.75" customHeight="1" x14ac:dyDescent="0.3">
      <c r="A43" s="10" t="s">
        <v>4588</v>
      </c>
      <c r="B43" s="10">
        <v>2004</v>
      </c>
      <c r="C43" s="10" t="s">
        <v>4710</v>
      </c>
      <c r="D43" s="10">
        <v>11</v>
      </c>
      <c r="E43" s="10">
        <v>0</v>
      </c>
      <c r="F43" s="24">
        <v>1135.94</v>
      </c>
      <c r="G43" s="10" t="s">
        <v>4696</v>
      </c>
      <c r="H43" s="10" t="s">
        <v>4696</v>
      </c>
      <c r="I43" s="10" t="s">
        <v>4708</v>
      </c>
      <c r="J43" s="17">
        <f t="shared" si="0"/>
        <v>38149</v>
      </c>
      <c r="K43" s="10">
        <f t="shared" ca="1" si="1"/>
        <v>21</v>
      </c>
      <c r="L43" s="6"/>
      <c r="M43" s="6"/>
      <c r="N43" s="6"/>
      <c r="O43" s="6"/>
      <c r="P43" s="6"/>
      <c r="Q43" s="6"/>
      <c r="R43" s="6"/>
      <c r="S43" s="6"/>
      <c r="T43" s="6"/>
      <c r="U43" s="6"/>
      <c r="V43" s="6"/>
      <c r="W43" s="6"/>
      <c r="X43" s="6"/>
      <c r="Y43" s="6"/>
      <c r="Z43" s="6"/>
    </row>
    <row r="44" spans="1:26" ht="15.75" customHeight="1" x14ac:dyDescent="0.3">
      <c r="A44" s="10" t="s">
        <v>4586</v>
      </c>
      <c r="B44" s="10">
        <v>2004</v>
      </c>
      <c r="C44" s="10" t="s">
        <v>4709</v>
      </c>
      <c r="D44" s="10">
        <v>28</v>
      </c>
      <c r="E44" s="10">
        <v>0</v>
      </c>
      <c r="F44" s="24">
        <v>1136.4000000000001</v>
      </c>
      <c r="G44" s="10" t="s">
        <v>4696</v>
      </c>
      <c r="H44" s="10" t="s">
        <v>4696</v>
      </c>
      <c r="I44" s="10" t="s">
        <v>4708</v>
      </c>
      <c r="J44" s="17">
        <f t="shared" si="0"/>
        <v>38319</v>
      </c>
      <c r="K44" s="10">
        <f t="shared" ca="1" si="1"/>
        <v>21</v>
      </c>
      <c r="L44" s="6"/>
      <c r="M44" s="6"/>
      <c r="N44" s="6"/>
      <c r="O44" s="6"/>
      <c r="P44" s="6"/>
      <c r="Q44" s="6"/>
      <c r="R44" s="6"/>
      <c r="S44" s="6"/>
      <c r="T44" s="6"/>
      <c r="U44" s="6"/>
      <c r="V44" s="6"/>
      <c r="W44" s="6"/>
      <c r="X44" s="6"/>
      <c r="Y44" s="6"/>
      <c r="Z44" s="6"/>
    </row>
    <row r="45" spans="1:26" ht="15.75" customHeight="1" x14ac:dyDescent="0.3">
      <c r="A45" s="10" t="s">
        <v>4584</v>
      </c>
      <c r="B45" s="10">
        <v>2002</v>
      </c>
      <c r="C45" s="10" t="s">
        <v>4714</v>
      </c>
      <c r="D45" s="10">
        <v>11</v>
      </c>
      <c r="E45" s="10">
        <v>0</v>
      </c>
      <c r="F45" s="24">
        <v>1137</v>
      </c>
      <c r="G45" s="10" t="s">
        <v>4696</v>
      </c>
      <c r="H45" s="10" t="s">
        <v>4694</v>
      </c>
      <c r="I45" s="10" t="s">
        <v>4708</v>
      </c>
      <c r="J45" s="17">
        <f t="shared" si="0"/>
        <v>37479</v>
      </c>
      <c r="K45" s="10">
        <f t="shared" ca="1" si="1"/>
        <v>23</v>
      </c>
      <c r="L45" s="6"/>
      <c r="M45" s="6"/>
      <c r="N45" s="6"/>
      <c r="O45" s="6"/>
      <c r="P45" s="6"/>
      <c r="Q45" s="6"/>
      <c r="R45" s="6"/>
      <c r="S45" s="6"/>
      <c r="T45" s="6"/>
      <c r="U45" s="6"/>
      <c r="V45" s="6"/>
      <c r="W45" s="6"/>
      <c r="X45" s="6"/>
      <c r="Y45" s="6"/>
      <c r="Z45" s="6"/>
    </row>
    <row r="46" spans="1:26" ht="15.75" customHeight="1" x14ac:dyDescent="0.3">
      <c r="A46" s="10" t="s">
        <v>4717</v>
      </c>
      <c r="B46" s="10">
        <v>2004</v>
      </c>
      <c r="C46" s="10" t="s">
        <v>4709</v>
      </c>
      <c r="D46" s="10">
        <v>6</v>
      </c>
      <c r="E46" s="10">
        <v>0</v>
      </c>
      <c r="F46" s="24">
        <v>1137.01</v>
      </c>
      <c r="G46" s="10" t="s">
        <v>4696</v>
      </c>
      <c r="H46" s="10" t="s">
        <v>4694</v>
      </c>
      <c r="I46" s="10" t="s">
        <v>4708</v>
      </c>
      <c r="J46" s="17">
        <f t="shared" si="0"/>
        <v>38297</v>
      </c>
      <c r="K46" s="10">
        <f t="shared" ca="1" si="1"/>
        <v>21</v>
      </c>
      <c r="L46" s="6"/>
      <c r="M46" s="6"/>
      <c r="N46" s="6"/>
      <c r="O46" s="6"/>
      <c r="P46" s="6"/>
      <c r="Q46" s="6"/>
      <c r="R46" s="6"/>
      <c r="S46" s="6"/>
      <c r="T46" s="6"/>
      <c r="U46" s="6"/>
      <c r="V46" s="6"/>
      <c r="W46" s="6"/>
      <c r="X46" s="6"/>
      <c r="Y46" s="6"/>
      <c r="Z46" s="6"/>
    </row>
    <row r="47" spans="1:26" ht="15.75" customHeight="1" x14ac:dyDescent="0.3">
      <c r="A47" s="10" t="s">
        <v>4582</v>
      </c>
      <c r="B47" s="10">
        <v>2004</v>
      </c>
      <c r="C47" s="10" t="s">
        <v>4715</v>
      </c>
      <c r="D47" s="10">
        <v>15</v>
      </c>
      <c r="E47" s="10">
        <v>0</v>
      </c>
      <c r="F47" s="24">
        <v>1137.01</v>
      </c>
      <c r="G47" s="10" t="s">
        <v>4696</v>
      </c>
      <c r="H47" s="10" t="s">
        <v>4694</v>
      </c>
      <c r="I47" s="10" t="s">
        <v>4708</v>
      </c>
      <c r="J47" s="17">
        <f t="shared" si="0"/>
        <v>38275</v>
      </c>
      <c r="K47" s="10">
        <f t="shared" ca="1" si="1"/>
        <v>21</v>
      </c>
      <c r="L47" s="6"/>
      <c r="M47" s="6"/>
      <c r="N47" s="6"/>
      <c r="O47" s="6"/>
      <c r="P47" s="6"/>
      <c r="Q47" s="6"/>
      <c r="R47" s="6"/>
      <c r="S47" s="6"/>
      <c r="T47" s="6"/>
      <c r="U47" s="6"/>
      <c r="V47" s="6"/>
      <c r="W47" s="6"/>
      <c r="X47" s="6"/>
      <c r="Y47" s="6"/>
      <c r="Z47" s="6"/>
    </row>
    <row r="48" spans="1:26" ht="15.75" customHeight="1" x14ac:dyDescent="0.3">
      <c r="A48" s="10" t="s">
        <v>4580</v>
      </c>
      <c r="B48" s="10">
        <v>2004</v>
      </c>
      <c r="C48" s="10" t="s">
        <v>4709</v>
      </c>
      <c r="D48" s="10">
        <v>27</v>
      </c>
      <c r="E48" s="10">
        <v>0</v>
      </c>
      <c r="F48" s="24">
        <v>1137.47</v>
      </c>
      <c r="G48" s="10" t="s">
        <v>4696</v>
      </c>
      <c r="H48" s="10" t="s">
        <v>4695</v>
      </c>
      <c r="I48" s="10" t="s">
        <v>4708</v>
      </c>
      <c r="J48" s="17">
        <f t="shared" si="0"/>
        <v>38318</v>
      </c>
      <c r="K48" s="10">
        <f t="shared" ca="1" si="1"/>
        <v>21</v>
      </c>
      <c r="L48" s="6"/>
      <c r="M48" s="6"/>
      <c r="N48" s="6"/>
      <c r="O48" s="6"/>
      <c r="P48" s="6"/>
      <c r="Q48" s="6"/>
      <c r="R48" s="6"/>
      <c r="S48" s="6"/>
      <c r="T48" s="6"/>
      <c r="U48" s="6"/>
      <c r="V48" s="6"/>
      <c r="W48" s="6"/>
      <c r="X48" s="6"/>
      <c r="Y48" s="6"/>
      <c r="Z48" s="6"/>
    </row>
    <row r="49" spans="1:26" ht="15.75" customHeight="1" x14ac:dyDescent="0.3">
      <c r="A49" s="10" t="s">
        <v>4578</v>
      </c>
      <c r="B49" s="10">
        <v>2001</v>
      </c>
      <c r="C49" s="10" t="s">
        <v>4715</v>
      </c>
      <c r="D49" s="10">
        <v>25</v>
      </c>
      <c r="E49" s="10">
        <v>0</v>
      </c>
      <c r="F49" s="24">
        <v>1141</v>
      </c>
      <c r="G49" s="10" t="s">
        <v>4696</v>
      </c>
      <c r="H49" s="10" t="s">
        <v>4694</v>
      </c>
      <c r="I49" s="10" t="s">
        <v>4708</v>
      </c>
      <c r="J49" s="17">
        <f t="shared" si="0"/>
        <v>37189</v>
      </c>
      <c r="K49" s="10">
        <f t="shared" ca="1" si="1"/>
        <v>24</v>
      </c>
      <c r="L49" s="6"/>
      <c r="M49" s="6"/>
      <c r="N49" s="6"/>
      <c r="O49" s="6"/>
      <c r="P49" s="6"/>
      <c r="Q49" s="6"/>
      <c r="R49" s="6"/>
      <c r="S49" s="6"/>
      <c r="T49" s="6"/>
      <c r="U49" s="6"/>
      <c r="V49" s="6"/>
      <c r="W49" s="6"/>
      <c r="X49" s="6"/>
      <c r="Y49" s="6"/>
      <c r="Z49" s="6"/>
    </row>
    <row r="50" spans="1:26" ht="15.75" customHeight="1" x14ac:dyDescent="0.3">
      <c r="A50" s="10" t="s">
        <v>4576</v>
      </c>
      <c r="B50" s="10">
        <v>2004</v>
      </c>
      <c r="C50" s="10" t="s">
        <v>4711</v>
      </c>
      <c r="D50" s="10">
        <v>12</v>
      </c>
      <c r="E50" s="10">
        <v>0</v>
      </c>
      <c r="F50" s="24">
        <v>1141.45</v>
      </c>
      <c r="G50" s="10" t="s">
        <v>4696</v>
      </c>
      <c r="H50" s="10" t="s">
        <v>4696</v>
      </c>
      <c r="I50" s="10" t="s">
        <v>4708</v>
      </c>
      <c r="J50" s="17">
        <f t="shared" si="0"/>
        <v>38242</v>
      </c>
      <c r="K50" s="10">
        <f t="shared" ca="1" si="1"/>
        <v>21</v>
      </c>
      <c r="L50" s="6"/>
      <c r="M50" s="6"/>
      <c r="N50" s="6"/>
      <c r="O50" s="6"/>
      <c r="P50" s="6"/>
      <c r="Q50" s="6"/>
      <c r="R50" s="6"/>
      <c r="S50" s="6"/>
      <c r="T50" s="6"/>
      <c r="U50" s="6"/>
      <c r="V50" s="6"/>
      <c r="W50" s="6"/>
      <c r="X50" s="6"/>
      <c r="Y50" s="6"/>
      <c r="Z50" s="6"/>
    </row>
    <row r="51" spans="1:26" ht="15.75" customHeight="1" x14ac:dyDescent="0.3">
      <c r="A51" s="10" t="s">
        <v>4574</v>
      </c>
      <c r="B51" s="10">
        <v>2002</v>
      </c>
      <c r="C51" s="10" t="s">
        <v>4715</v>
      </c>
      <c r="D51" s="10">
        <v>1</v>
      </c>
      <c r="E51" s="10">
        <v>0</v>
      </c>
      <c r="F51" s="24">
        <v>1142</v>
      </c>
      <c r="G51" s="10" t="s">
        <v>4696</v>
      </c>
      <c r="H51" s="10" t="s">
        <v>4695</v>
      </c>
      <c r="I51" s="10" t="s">
        <v>4716</v>
      </c>
      <c r="J51" s="17">
        <f t="shared" si="0"/>
        <v>37530</v>
      </c>
      <c r="K51" s="10">
        <f t="shared" ca="1" si="1"/>
        <v>23</v>
      </c>
      <c r="L51" s="6"/>
      <c r="M51" s="6"/>
      <c r="N51" s="6"/>
      <c r="O51" s="6"/>
      <c r="P51" s="6"/>
      <c r="Q51" s="6"/>
      <c r="R51" s="6"/>
      <c r="S51" s="6"/>
      <c r="T51" s="6"/>
      <c r="U51" s="6"/>
      <c r="V51" s="6"/>
      <c r="W51" s="6"/>
      <c r="X51" s="6"/>
      <c r="Y51" s="6"/>
      <c r="Z51" s="6"/>
    </row>
    <row r="52" spans="1:26" ht="15.75" customHeight="1" x14ac:dyDescent="0.3">
      <c r="A52" s="10" t="s">
        <v>4572</v>
      </c>
      <c r="B52" s="10">
        <v>2004</v>
      </c>
      <c r="C52" s="10" t="s">
        <v>4710</v>
      </c>
      <c r="D52" s="10">
        <v>10</v>
      </c>
      <c r="E52" s="10">
        <v>0</v>
      </c>
      <c r="F52" s="24">
        <v>1146.8</v>
      </c>
      <c r="G52" s="10" t="s">
        <v>4695</v>
      </c>
      <c r="H52" s="10" t="s">
        <v>4695</v>
      </c>
      <c r="I52" s="10" t="s">
        <v>4708</v>
      </c>
      <c r="J52" s="17">
        <f t="shared" si="0"/>
        <v>38148</v>
      </c>
      <c r="K52" s="10">
        <f t="shared" ca="1" si="1"/>
        <v>21</v>
      </c>
      <c r="L52" s="6"/>
      <c r="M52" s="6"/>
      <c r="N52" s="6"/>
      <c r="O52" s="6"/>
      <c r="P52" s="6"/>
      <c r="Q52" s="6"/>
      <c r="R52" s="6"/>
      <c r="S52" s="6"/>
      <c r="T52" s="6"/>
      <c r="U52" s="6"/>
      <c r="V52" s="6"/>
      <c r="W52" s="6"/>
      <c r="X52" s="6"/>
      <c r="Y52" s="6"/>
      <c r="Z52" s="6"/>
    </row>
    <row r="53" spans="1:26" ht="15.75" customHeight="1" x14ac:dyDescent="0.3">
      <c r="A53" s="10" t="s">
        <v>4570</v>
      </c>
      <c r="B53" s="10">
        <v>2003</v>
      </c>
      <c r="C53" s="10" t="s">
        <v>4710</v>
      </c>
      <c r="D53" s="10">
        <v>12</v>
      </c>
      <c r="E53" s="10">
        <v>0</v>
      </c>
      <c r="F53" s="24">
        <v>1149</v>
      </c>
      <c r="G53" s="10" t="s">
        <v>4695</v>
      </c>
      <c r="H53" s="10" t="s">
        <v>4694</v>
      </c>
      <c r="I53" s="10" t="s">
        <v>4712</v>
      </c>
      <c r="J53" s="17">
        <f t="shared" si="0"/>
        <v>37784</v>
      </c>
      <c r="K53" s="10">
        <f t="shared" ca="1" si="1"/>
        <v>22</v>
      </c>
      <c r="L53" s="6"/>
      <c r="M53" s="6"/>
      <c r="N53" s="6"/>
      <c r="O53" s="6"/>
      <c r="P53" s="6"/>
      <c r="Q53" s="6"/>
      <c r="R53" s="6"/>
      <c r="S53" s="6"/>
      <c r="T53" s="6"/>
      <c r="U53" s="6"/>
      <c r="V53" s="6"/>
      <c r="W53" s="6"/>
      <c r="X53" s="6"/>
      <c r="Y53" s="6"/>
      <c r="Z53" s="6"/>
    </row>
    <row r="54" spans="1:26" ht="15.75" customHeight="1" x14ac:dyDescent="0.3">
      <c r="A54" s="10" t="s">
        <v>4568</v>
      </c>
      <c r="B54" s="10">
        <v>2004</v>
      </c>
      <c r="C54" s="10" t="s">
        <v>4707</v>
      </c>
      <c r="D54" s="10">
        <v>18</v>
      </c>
      <c r="E54" s="10">
        <v>0</v>
      </c>
      <c r="F54" s="24">
        <v>1149.4000000000001</v>
      </c>
      <c r="G54" s="10" t="s">
        <v>4695</v>
      </c>
      <c r="H54" s="10" t="s">
        <v>4695</v>
      </c>
      <c r="I54" s="10" t="s">
        <v>4708</v>
      </c>
      <c r="J54" s="17">
        <f t="shared" si="0"/>
        <v>38186</v>
      </c>
      <c r="K54" s="10">
        <f t="shared" ca="1" si="1"/>
        <v>21</v>
      </c>
      <c r="L54" s="6"/>
      <c r="M54" s="6"/>
      <c r="N54" s="6"/>
      <c r="O54" s="6"/>
      <c r="P54" s="6"/>
      <c r="Q54" s="6"/>
      <c r="R54" s="6"/>
      <c r="S54" s="6"/>
      <c r="T54" s="6"/>
      <c r="U54" s="6"/>
      <c r="V54" s="6"/>
      <c r="W54" s="6"/>
      <c r="X54" s="6"/>
      <c r="Y54" s="6"/>
      <c r="Z54" s="6"/>
    </row>
    <row r="55" spans="1:26" ht="15.75" customHeight="1" x14ac:dyDescent="0.3">
      <c r="A55" s="10" t="s">
        <v>4592</v>
      </c>
      <c r="B55" s="10">
        <v>2002</v>
      </c>
      <c r="C55" s="10" t="s">
        <v>4707</v>
      </c>
      <c r="D55" s="10">
        <v>19</v>
      </c>
      <c r="E55" s="10">
        <v>0</v>
      </c>
      <c r="F55" s="24">
        <v>1132</v>
      </c>
      <c r="G55" s="10" t="s">
        <v>4696</v>
      </c>
      <c r="H55" s="10" t="s">
        <v>4694</v>
      </c>
      <c r="I55" s="10" t="s">
        <v>4708</v>
      </c>
      <c r="J55" s="17">
        <f t="shared" si="0"/>
        <v>37456</v>
      </c>
      <c r="K55" s="10">
        <f t="shared" ca="1" si="1"/>
        <v>23</v>
      </c>
      <c r="L55" s="6"/>
      <c r="M55" s="6"/>
      <c r="N55" s="6"/>
      <c r="O55" s="6"/>
      <c r="P55" s="6"/>
      <c r="Q55" s="6"/>
      <c r="R55" s="6"/>
      <c r="S55" s="6"/>
      <c r="T55" s="6"/>
      <c r="U55" s="6"/>
      <c r="V55" s="6"/>
      <c r="W55" s="6"/>
      <c r="X55" s="6"/>
      <c r="Y55" s="6"/>
      <c r="Z55" s="6"/>
    </row>
    <row r="56" spans="1:26" ht="15.75" customHeight="1" x14ac:dyDescent="0.3">
      <c r="A56" s="10" t="s">
        <v>4566</v>
      </c>
      <c r="B56" s="10">
        <v>1994</v>
      </c>
      <c r="C56" s="10" t="s">
        <v>4707</v>
      </c>
      <c r="D56" s="10">
        <v>26</v>
      </c>
      <c r="E56" s="10">
        <v>0</v>
      </c>
      <c r="F56" s="24">
        <v>1158.32</v>
      </c>
      <c r="G56" s="10" t="s">
        <v>4695</v>
      </c>
      <c r="H56" s="10" t="s">
        <v>4694</v>
      </c>
      <c r="I56" s="10" t="s">
        <v>4708</v>
      </c>
      <c r="J56" s="17">
        <f t="shared" si="0"/>
        <v>34541</v>
      </c>
      <c r="K56" s="10">
        <f t="shared" ca="1" si="1"/>
        <v>31</v>
      </c>
      <c r="L56" s="6"/>
      <c r="M56" s="6"/>
      <c r="N56" s="6"/>
      <c r="O56" s="6"/>
      <c r="P56" s="6"/>
      <c r="Q56" s="6"/>
      <c r="R56" s="6"/>
      <c r="S56" s="6"/>
      <c r="T56" s="6"/>
      <c r="U56" s="6"/>
      <c r="V56" s="6"/>
      <c r="W56" s="6"/>
      <c r="X56" s="6"/>
      <c r="Y56" s="6"/>
      <c r="Z56" s="6"/>
    </row>
    <row r="57" spans="1:26" ht="15.75" customHeight="1" x14ac:dyDescent="0.3">
      <c r="A57" s="10" t="s">
        <v>4564</v>
      </c>
      <c r="B57" s="10">
        <v>2004</v>
      </c>
      <c r="C57" s="10" t="s">
        <v>4709</v>
      </c>
      <c r="D57" s="10">
        <v>11</v>
      </c>
      <c r="E57" s="10">
        <v>0</v>
      </c>
      <c r="F57" s="24">
        <v>1163.46</v>
      </c>
      <c r="G57" s="10" t="s">
        <v>4695</v>
      </c>
      <c r="H57" s="10" t="s">
        <v>4696</v>
      </c>
      <c r="I57" s="10" t="s">
        <v>4708</v>
      </c>
      <c r="J57" s="17">
        <f t="shared" si="0"/>
        <v>38302</v>
      </c>
      <c r="K57" s="10">
        <f t="shared" ca="1" si="1"/>
        <v>21</v>
      </c>
      <c r="L57" s="6"/>
      <c r="M57" s="6"/>
      <c r="N57" s="6"/>
      <c r="O57" s="6"/>
      <c r="P57" s="6"/>
      <c r="Q57" s="6"/>
      <c r="R57" s="6"/>
      <c r="S57" s="6"/>
      <c r="T57" s="6"/>
      <c r="U57" s="6"/>
      <c r="V57" s="6"/>
      <c r="W57" s="6"/>
      <c r="X57" s="6"/>
      <c r="Y57" s="6"/>
      <c r="Z57" s="6"/>
    </row>
    <row r="58" spans="1:26" ht="15.75" customHeight="1" x14ac:dyDescent="0.3">
      <c r="A58" s="10" t="s">
        <v>4562</v>
      </c>
      <c r="B58" s="10">
        <v>2002</v>
      </c>
      <c r="C58" s="10" t="s">
        <v>4710</v>
      </c>
      <c r="D58" s="10">
        <v>11</v>
      </c>
      <c r="E58" s="10">
        <v>0</v>
      </c>
      <c r="F58" s="24">
        <v>1165</v>
      </c>
      <c r="G58" s="10" t="s">
        <v>4695</v>
      </c>
      <c r="H58" s="10" t="s">
        <v>4696</v>
      </c>
      <c r="I58" s="10" t="s">
        <v>4712</v>
      </c>
      <c r="J58" s="17">
        <f t="shared" si="0"/>
        <v>37418</v>
      </c>
      <c r="K58" s="10">
        <f t="shared" ca="1" si="1"/>
        <v>23</v>
      </c>
      <c r="L58" s="6"/>
      <c r="M58" s="6"/>
      <c r="N58" s="6"/>
      <c r="O58" s="6"/>
      <c r="P58" s="6"/>
      <c r="Q58" s="6"/>
      <c r="R58" s="6"/>
      <c r="S58" s="6"/>
      <c r="T58" s="6"/>
      <c r="U58" s="6"/>
      <c r="V58" s="6"/>
      <c r="W58" s="6"/>
      <c r="X58" s="6"/>
      <c r="Y58" s="6"/>
      <c r="Z58" s="6"/>
    </row>
    <row r="59" spans="1:26" ht="15.75" customHeight="1" x14ac:dyDescent="0.3">
      <c r="A59" s="10" t="s">
        <v>4560</v>
      </c>
      <c r="B59" s="10">
        <v>2001</v>
      </c>
      <c r="C59" s="10" t="s">
        <v>4709</v>
      </c>
      <c r="D59" s="10">
        <v>12</v>
      </c>
      <c r="E59" s="10">
        <v>0</v>
      </c>
      <c r="F59" s="24">
        <v>1167</v>
      </c>
      <c r="G59" s="10" t="s">
        <v>4695</v>
      </c>
      <c r="H59" s="10" t="s">
        <v>4694</v>
      </c>
      <c r="I59" s="10" t="s">
        <v>4708</v>
      </c>
      <c r="J59" s="17">
        <f t="shared" si="0"/>
        <v>37207</v>
      </c>
      <c r="K59" s="10">
        <f t="shared" ca="1" si="1"/>
        <v>24</v>
      </c>
      <c r="L59" s="6"/>
      <c r="M59" s="6"/>
      <c r="N59" s="6"/>
      <c r="O59" s="6"/>
      <c r="P59" s="6"/>
      <c r="Q59" s="6"/>
      <c r="R59" s="6"/>
      <c r="S59" s="6"/>
      <c r="T59" s="6"/>
      <c r="U59" s="6"/>
      <c r="V59" s="6"/>
      <c r="W59" s="6"/>
      <c r="X59" s="6"/>
      <c r="Y59" s="6"/>
      <c r="Z59" s="6"/>
    </row>
    <row r="60" spans="1:26" ht="15.75" customHeight="1" x14ac:dyDescent="0.3">
      <c r="A60" s="10" t="s">
        <v>4558</v>
      </c>
      <c r="B60" s="10">
        <v>1996</v>
      </c>
      <c r="C60" s="10" t="s">
        <v>4714</v>
      </c>
      <c r="D60" s="10">
        <v>11</v>
      </c>
      <c r="E60" s="10">
        <v>0</v>
      </c>
      <c r="F60" s="24">
        <v>1178</v>
      </c>
      <c r="G60" s="10" t="s">
        <v>4695</v>
      </c>
      <c r="H60" s="10" t="s">
        <v>4696</v>
      </c>
      <c r="I60" s="10" t="s">
        <v>4708</v>
      </c>
      <c r="J60" s="17">
        <f t="shared" si="0"/>
        <v>35288</v>
      </c>
      <c r="K60" s="10">
        <f t="shared" ca="1" si="1"/>
        <v>29</v>
      </c>
      <c r="L60" s="6"/>
      <c r="M60" s="6"/>
      <c r="N60" s="6"/>
      <c r="O60" s="6"/>
      <c r="P60" s="6"/>
      <c r="Q60" s="6"/>
      <c r="R60" s="6"/>
      <c r="S60" s="6"/>
      <c r="T60" s="6"/>
      <c r="U60" s="6"/>
      <c r="V60" s="6"/>
      <c r="W60" s="6"/>
      <c r="X60" s="6"/>
      <c r="Y60" s="6"/>
      <c r="Z60" s="6"/>
    </row>
    <row r="61" spans="1:26" ht="15.75" customHeight="1" x14ac:dyDescent="0.3">
      <c r="A61" s="10" t="s">
        <v>4556</v>
      </c>
      <c r="B61" s="10">
        <v>1997</v>
      </c>
      <c r="C61" s="10" t="s">
        <v>4710</v>
      </c>
      <c r="D61" s="10">
        <v>28</v>
      </c>
      <c r="E61" s="10">
        <v>0</v>
      </c>
      <c r="F61" s="24">
        <v>1178.07</v>
      </c>
      <c r="G61" s="10" t="s">
        <v>4695</v>
      </c>
      <c r="H61" s="10" t="s">
        <v>4695</v>
      </c>
      <c r="I61" s="10" t="s">
        <v>4708</v>
      </c>
      <c r="J61" s="17">
        <f t="shared" si="0"/>
        <v>35609</v>
      </c>
      <c r="K61" s="10">
        <f t="shared" ca="1" si="1"/>
        <v>28</v>
      </c>
      <c r="L61" s="6"/>
      <c r="M61" s="6"/>
      <c r="N61" s="6"/>
      <c r="O61" s="6"/>
      <c r="P61" s="6"/>
      <c r="Q61" s="6"/>
      <c r="R61" s="6"/>
      <c r="S61" s="6"/>
      <c r="T61" s="6"/>
      <c r="U61" s="6"/>
      <c r="V61" s="6"/>
      <c r="W61" s="6"/>
      <c r="X61" s="6"/>
      <c r="Y61" s="6"/>
      <c r="Z61" s="6"/>
    </row>
    <row r="62" spans="1:26" ht="15.75" customHeight="1" x14ac:dyDescent="0.3">
      <c r="A62" s="10" t="s">
        <v>4554</v>
      </c>
      <c r="B62" s="10">
        <v>2002</v>
      </c>
      <c r="C62" s="10" t="s">
        <v>4714</v>
      </c>
      <c r="D62" s="10">
        <v>26</v>
      </c>
      <c r="E62" s="10">
        <v>0</v>
      </c>
      <c r="F62" s="24">
        <v>1191</v>
      </c>
      <c r="G62" s="10" t="s">
        <v>4695</v>
      </c>
      <c r="H62" s="10" t="s">
        <v>4694</v>
      </c>
      <c r="I62" s="10" t="s">
        <v>4708</v>
      </c>
      <c r="J62" s="17">
        <f t="shared" si="0"/>
        <v>37494</v>
      </c>
      <c r="K62" s="10">
        <f t="shared" ca="1" si="1"/>
        <v>23</v>
      </c>
      <c r="L62" s="6"/>
      <c r="M62" s="6"/>
      <c r="N62" s="6"/>
      <c r="O62" s="6"/>
      <c r="P62" s="6"/>
      <c r="Q62" s="6"/>
      <c r="R62" s="6"/>
      <c r="S62" s="6"/>
      <c r="T62" s="6"/>
      <c r="U62" s="6"/>
      <c r="V62" s="6"/>
      <c r="W62" s="6"/>
      <c r="X62" s="6"/>
      <c r="Y62" s="6"/>
      <c r="Z62" s="6"/>
    </row>
    <row r="63" spans="1:26" ht="15.75" customHeight="1" x14ac:dyDescent="0.3">
      <c r="A63" s="10" t="s">
        <v>4552</v>
      </c>
      <c r="B63" s="10">
        <v>1999</v>
      </c>
      <c r="C63" s="10" t="s">
        <v>4710</v>
      </c>
      <c r="D63" s="10">
        <v>28</v>
      </c>
      <c r="E63" s="10">
        <v>0</v>
      </c>
      <c r="F63" s="24">
        <v>1200</v>
      </c>
      <c r="G63" s="10" t="s">
        <v>4695</v>
      </c>
      <c r="H63" s="10" t="s">
        <v>4696</v>
      </c>
      <c r="I63" s="10" t="s">
        <v>4712</v>
      </c>
      <c r="J63" s="17">
        <f t="shared" si="0"/>
        <v>36339</v>
      </c>
      <c r="K63" s="10">
        <f t="shared" ca="1" si="1"/>
        <v>26</v>
      </c>
      <c r="L63" s="6"/>
      <c r="M63" s="6"/>
      <c r="N63" s="6"/>
      <c r="O63" s="6"/>
      <c r="P63" s="6"/>
      <c r="Q63" s="6"/>
      <c r="R63" s="6"/>
      <c r="S63" s="6"/>
      <c r="T63" s="6"/>
      <c r="U63" s="6"/>
      <c r="V63" s="6"/>
      <c r="W63" s="6"/>
      <c r="X63" s="6"/>
      <c r="Y63" s="6"/>
      <c r="Z63" s="6"/>
    </row>
    <row r="64" spans="1:26" ht="15.75" customHeight="1" x14ac:dyDescent="0.3">
      <c r="A64" s="10" t="s">
        <v>4550</v>
      </c>
      <c r="B64" s="10">
        <v>1992</v>
      </c>
      <c r="C64" s="10" t="s">
        <v>4715</v>
      </c>
      <c r="D64" s="10">
        <v>6</v>
      </c>
      <c r="E64" s="10">
        <v>0</v>
      </c>
      <c r="F64" s="24">
        <v>1200.55</v>
      </c>
      <c r="G64" s="10" t="s">
        <v>4695</v>
      </c>
      <c r="H64" s="10" t="s">
        <v>4696</v>
      </c>
      <c r="I64" s="10" t="s">
        <v>4708</v>
      </c>
      <c r="J64" s="17">
        <f t="shared" si="0"/>
        <v>33883</v>
      </c>
      <c r="K64" s="10">
        <f t="shared" ca="1" si="1"/>
        <v>33</v>
      </c>
      <c r="L64" s="6"/>
      <c r="M64" s="6"/>
      <c r="N64" s="6"/>
      <c r="O64" s="6"/>
      <c r="P64" s="6"/>
      <c r="Q64" s="6"/>
      <c r="R64" s="6"/>
      <c r="S64" s="6"/>
      <c r="T64" s="6"/>
      <c r="U64" s="6"/>
      <c r="V64" s="6"/>
      <c r="W64" s="6"/>
      <c r="X64" s="6"/>
      <c r="Y64" s="6"/>
      <c r="Z64" s="6"/>
    </row>
    <row r="65" spans="1:26" ht="15.75" customHeight="1" x14ac:dyDescent="0.3">
      <c r="A65" s="10" t="s">
        <v>4548</v>
      </c>
      <c r="B65" s="10">
        <v>2004</v>
      </c>
      <c r="C65" s="10" t="s">
        <v>4710</v>
      </c>
      <c r="D65" s="10">
        <v>2</v>
      </c>
      <c r="E65" s="10">
        <v>0</v>
      </c>
      <c r="F65" s="24">
        <v>1210</v>
      </c>
      <c r="G65" s="10" t="s">
        <v>4695</v>
      </c>
      <c r="H65" s="10" t="s">
        <v>4694</v>
      </c>
      <c r="I65" s="10" t="s">
        <v>4708</v>
      </c>
      <c r="J65" s="17">
        <f t="shared" si="0"/>
        <v>38140</v>
      </c>
      <c r="K65" s="10">
        <f t="shared" ca="1" si="1"/>
        <v>21</v>
      </c>
      <c r="L65" s="6"/>
      <c r="M65" s="6"/>
      <c r="N65" s="6"/>
      <c r="O65" s="6"/>
      <c r="P65" s="6"/>
      <c r="Q65" s="6"/>
      <c r="R65" s="6"/>
      <c r="S65" s="6"/>
      <c r="T65" s="6"/>
      <c r="U65" s="6"/>
      <c r="V65" s="6"/>
      <c r="W65" s="6"/>
      <c r="X65" s="6"/>
      <c r="Y65" s="6"/>
      <c r="Z65" s="6"/>
    </row>
    <row r="66" spans="1:26" ht="15.75" customHeight="1" x14ac:dyDescent="0.3">
      <c r="A66" s="10" t="s">
        <v>4546</v>
      </c>
      <c r="B66" s="10">
        <v>1996</v>
      </c>
      <c r="C66" s="10" t="s">
        <v>4709</v>
      </c>
      <c r="D66" s="10">
        <v>4</v>
      </c>
      <c r="E66" s="10">
        <v>0</v>
      </c>
      <c r="F66" s="24">
        <v>1220</v>
      </c>
      <c r="G66" s="10" t="s">
        <v>4695</v>
      </c>
      <c r="H66" s="10" t="s">
        <v>4696</v>
      </c>
      <c r="I66" s="10" t="s">
        <v>4712</v>
      </c>
      <c r="J66" s="17">
        <f t="shared" si="0"/>
        <v>35373</v>
      </c>
      <c r="K66" s="10">
        <f t="shared" ca="1" si="1"/>
        <v>29</v>
      </c>
      <c r="L66" s="6"/>
      <c r="M66" s="6"/>
      <c r="N66" s="6"/>
      <c r="O66" s="6"/>
      <c r="P66" s="6"/>
      <c r="Q66" s="6"/>
      <c r="R66" s="6"/>
      <c r="S66" s="6"/>
      <c r="T66" s="6"/>
      <c r="U66" s="6"/>
      <c r="V66" s="6"/>
      <c r="W66" s="6"/>
      <c r="X66" s="6"/>
      <c r="Y66" s="6"/>
      <c r="Z66" s="6"/>
    </row>
    <row r="67" spans="1:26" ht="15.75" customHeight="1" x14ac:dyDescent="0.3">
      <c r="A67" s="10" t="s">
        <v>4544</v>
      </c>
      <c r="B67" s="10">
        <v>2004</v>
      </c>
      <c r="C67" s="10" t="s">
        <v>4707</v>
      </c>
      <c r="D67" s="10">
        <v>9</v>
      </c>
      <c r="E67" s="10">
        <v>0</v>
      </c>
      <c r="F67" s="24">
        <v>1224</v>
      </c>
      <c r="G67" s="10" t="s">
        <v>4695</v>
      </c>
      <c r="H67" s="10" t="s">
        <v>4694</v>
      </c>
      <c r="I67" s="10" t="s">
        <v>4708</v>
      </c>
      <c r="J67" s="17">
        <f t="shared" si="0"/>
        <v>38177</v>
      </c>
      <c r="K67" s="10">
        <f t="shared" ca="1" si="1"/>
        <v>21</v>
      </c>
      <c r="L67" s="6"/>
      <c r="M67" s="6"/>
      <c r="N67" s="6"/>
      <c r="O67" s="6"/>
      <c r="P67" s="6"/>
      <c r="Q67" s="6"/>
      <c r="R67" s="6"/>
      <c r="S67" s="6"/>
      <c r="T67" s="6"/>
      <c r="U67" s="6"/>
      <c r="V67" s="6"/>
      <c r="W67" s="6"/>
      <c r="X67" s="6"/>
      <c r="Y67" s="6"/>
      <c r="Z67" s="6"/>
    </row>
    <row r="68" spans="1:26" ht="15.75" customHeight="1" x14ac:dyDescent="0.3">
      <c r="A68" s="10" t="s">
        <v>4542</v>
      </c>
      <c r="B68" s="10">
        <v>2004</v>
      </c>
      <c r="C68" s="10" t="s">
        <v>4715</v>
      </c>
      <c r="D68" s="10">
        <v>16</v>
      </c>
      <c r="E68" s="10">
        <v>0</v>
      </c>
      <c r="F68" s="24">
        <v>1228</v>
      </c>
      <c r="G68" s="10" t="s">
        <v>4695</v>
      </c>
      <c r="H68" s="10" t="s">
        <v>4694</v>
      </c>
      <c r="I68" s="10" t="s">
        <v>4712</v>
      </c>
      <c r="J68" s="17">
        <f t="shared" si="0"/>
        <v>38276</v>
      </c>
      <c r="K68" s="10">
        <f t="shared" ca="1" si="1"/>
        <v>21</v>
      </c>
      <c r="L68" s="6"/>
      <c r="M68" s="6"/>
      <c r="N68" s="6"/>
      <c r="O68" s="6"/>
      <c r="P68" s="6"/>
      <c r="Q68" s="6"/>
      <c r="R68" s="6"/>
      <c r="S68" s="6"/>
      <c r="T68" s="6"/>
      <c r="U68" s="6"/>
      <c r="V68" s="6"/>
      <c r="W68" s="6"/>
      <c r="X68" s="6"/>
      <c r="Y68" s="6"/>
      <c r="Z68" s="6"/>
    </row>
    <row r="69" spans="1:26" ht="15.75" customHeight="1" x14ac:dyDescent="0.3">
      <c r="A69" s="10" t="s">
        <v>4540</v>
      </c>
      <c r="B69" s="10">
        <v>1998</v>
      </c>
      <c r="C69" s="10" t="s">
        <v>4707</v>
      </c>
      <c r="D69" s="10">
        <v>13</v>
      </c>
      <c r="E69" s="10">
        <v>0</v>
      </c>
      <c r="F69" s="24">
        <v>1234</v>
      </c>
      <c r="G69" s="10" t="s">
        <v>4695</v>
      </c>
      <c r="H69" s="10" t="s">
        <v>4694</v>
      </c>
      <c r="I69" s="10" t="s">
        <v>4708</v>
      </c>
      <c r="J69" s="17">
        <f t="shared" si="0"/>
        <v>35989</v>
      </c>
      <c r="K69" s="10">
        <f t="shared" ca="1" si="1"/>
        <v>27</v>
      </c>
      <c r="L69" s="6"/>
      <c r="M69" s="6"/>
      <c r="N69" s="6"/>
      <c r="O69" s="6"/>
      <c r="P69" s="6"/>
      <c r="Q69" s="6"/>
      <c r="R69" s="6"/>
      <c r="S69" s="6"/>
      <c r="T69" s="6"/>
      <c r="U69" s="6"/>
      <c r="V69" s="6"/>
      <c r="W69" s="6"/>
      <c r="X69" s="6"/>
      <c r="Y69" s="6"/>
      <c r="Z69" s="6"/>
    </row>
    <row r="70" spans="1:26" ht="15.75" customHeight="1" x14ac:dyDescent="0.3">
      <c r="A70" s="10" t="s">
        <v>4538</v>
      </c>
      <c r="B70" s="10">
        <v>2002</v>
      </c>
      <c r="C70" s="10" t="s">
        <v>4713</v>
      </c>
      <c r="D70" s="10">
        <v>12</v>
      </c>
      <c r="E70" s="10">
        <v>0</v>
      </c>
      <c r="F70" s="24">
        <v>1237</v>
      </c>
      <c r="G70" s="10" t="s">
        <v>4695</v>
      </c>
      <c r="H70" s="10" t="s">
        <v>4695</v>
      </c>
      <c r="I70" s="10" t="s">
        <v>4708</v>
      </c>
      <c r="J70" s="17">
        <f t="shared" si="0"/>
        <v>37602</v>
      </c>
      <c r="K70" s="10">
        <f t="shared" ca="1" si="1"/>
        <v>22</v>
      </c>
      <c r="L70" s="6"/>
      <c r="M70" s="6"/>
      <c r="N70" s="6"/>
      <c r="O70" s="6"/>
      <c r="P70" s="6"/>
      <c r="Q70" s="6"/>
      <c r="R70" s="6"/>
      <c r="S70" s="6"/>
      <c r="T70" s="6"/>
      <c r="U70" s="6"/>
      <c r="V70" s="6"/>
      <c r="W70" s="6"/>
      <c r="X70" s="6"/>
      <c r="Y70" s="6"/>
      <c r="Z70" s="6"/>
    </row>
    <row r="71" spans="1:26" ht="15.75" customHeight="1" x14ac:dyDescent="0.3">
      <c r="A71" s="10" t="s">
        <v>4536</v>
      </c>
      <c r="B71" s="10">
        <v>1998</v>
      </c>
      <c r="C71" s="10" t="s">
        <v>4715</v>
      </c>
      <c r="D71" s="10">
        <v>11</v>
      </c>
      <c r="E71" s="10">
        <v>0</v>
      </c>
      <c r="F71" s="24">
        <v>1240</v>
      </c>
      <c r="G71" s="10" t="s">
        <v>4695</v>
      </c>
      <c r="H71" s="10" t="s">
        <v>4694</v>
      </c>
      <c r="I71" s="10" t="s">
        <v>4712</v>
      </c>
      <c r="J71" s="17">
        <f t="shared" si="0"/>
        <v>36079</v>
      </c>
      <c r="K71" s="10">
        <f t="shared" ca="1" si="1"/>
        <v>27</v>
      </c>
      <c r="L71" s="6"/>
      <c r="M71" s="6"/>
      <c r="N71" s="6"/>
      <c r="O71" s="6"/>
      <c r="P71" s="6"/>
      <c r="Q71" s="6"/>
      <c r="R71" s="6"/>
      <c r="S71" s="6"/>
      <c r="T71" s="6"/>
      <c r="U71" s="6"/>
      <c r="V71" s="6"/>
      <c r="W71" s="6"/>
      <c r="X71" s="6"/>
      <c r="Y71" s="6"/>
      <c r="Z71" s="6"/>
    </row>
    <row r="72" spans="1:26" ht="15.75" customHeight="1" x14ac:dyDescent="0.3">
      <c r="A72" s="10" t="s">
        <v>4534</v>
      </c>
      <c r="B72" s="10">
        <v>2002</v>
      </c>
      <c r="C72" s="10" t="s">
        <v>4707</v>
      </c>
      <c r="D72" s="10">
        <v>1</v>
      </c>
      <c r="E72" s="10">
        <v>0</v>
      </c>
      <c r="F72" s="24">
        <v>1241</v>
      </c>
      <c r="G72" s="10" t="s">
        <v>4695</v>
      </c>
      <c r="H72" s="10" t="s">
        <v>4695</v>
      </c>
      <c r="I72" s="10" t="s">
        <v>4708</v>
      </c>
      <c r="J72" s="17">
        <f t="shared" si="0"/>
        <v>37438</v>
      </c>
      <c r="K72" s="10">
        <f t="shared" ca="1" si="1"/>
        <v>23</v>
      </c>
      <c r="L72" s="6"/>
      <c r="M72" s="6"/>
      <c r="N72" s="6"/>
      <c r="O72" s="6"/>
      <c r="P72" s="6"/>
      <c r="Q72" s="6"/>
      <c r="R72" s="6"/>
      <c r="S72" s="6"/>
      <c r="T72" s="6"/>
      <c r="U72" s="6"/>
      <c r="V72" s="6"/>
      <c r="W72" s="6"/>
      <c r="X72" s="6"/>
      <c r="Y72" s="6"/>
      <c r="Z72" s="6"/>
    </row>
    <row r="73" spans="1:26" ht="15.75" customHeight="1" x14ac:dyDescent="0.3">
      <c r="A73" s="10" t="s">
        <v>4532</v>
      </c>
      <c r="B73" s="10">
        <v>2003</v>
      </c>
      <c r="C73" s="10" t="s">
        <v>4714</v>
      </c>
      <c r="D73" s="10">
        <v>2</v>
      </c>
      <c r="E73" s="10">
        <v>0</v>
      </c>
      <c r="F73" s="24">
        <v>1241.57</v>
      </c>
      <c r="G73" s="10" t="s">
        <v>4695</v>
      </c>
      <c r="H73" s="10" t="s">
        <v>4695</v>
      </c>
      <c r="I73" s="10" t="s">
        <v>4716</v>
      </c>
      <c r="J73" s="17">
        <f t="shared" si="0"/>
        <v>37835</v>
      </c>
      <c r="K73" s="10">
        <f t="shared" ca="1" si="1"/>
        <v>22</v>
      </c>
      <c r="L73" s="6"/>
      <c r="M73" s="6"/>
      <c r="N73" s="6"/>
      <c r="O73" s="6"/>
      <c r="P73" s="6"/>
      <c r="Q73" s="6"/>
      <c r="R73" s="6"/>
      <c r="S73" s="6"/>
      <c r="T73" s="6"/>
      <c r="U73" s="6"/>
      <c r="V73" s="6"/>
      <c r="W73" s="6"/>
      <c r="X73" s="6"/>
      <c r="Y73" s="6"/>
      <c r="Z73" s="6"/>
    </row>
    <row r="74" spans="1:26" ht="15.75" customHeight="1" x14ac:dyDescent="0.3">
      <c r="A74" s="10" t="s">
        <v>4530</v>
      </c>
      <c r="B74" s="10">
        <v>2003</v>
      </c>
      <c r="C74" s="10" t="s">
        <v>4711</v>
      </c>
      <c r="D74" s="10">
        <v>15</v>
      </c>
      <c r="E74" s="10">
        <v>0</v>
      </c>
      <c r="F74" s="24">
        <v>1242.26</v>
      </c>
      <c r="G74" s="10" t="s">
        <v>4695</v>
      </c>
      <c r="H74" s="10" t="s">
        <v>4694</v>
      </c>
      <c r="I74" s="10" t="s">
        <v>4716</v>
      </c>
      <c r="J74" s="17">
        <f t="shared" si="0"/>
        <v>37879</v>
      </c>
      <c r="K74" s="10">
        <f t="shared" ca="1" si="1"/>
        <v>22</v>
      </c>
      <c r="L74" s="6"/>
      <c r="M74" s="6"/>
      <c r="N74" s="6"/>
      <c r="O74" s="6"/>
      <c r="P74" s="6"/>
      <c r="Q74" s="6"/>
      <c r="R74" s="6"/>
      <c r="S74" s="6"/>
      <c r="T74" s="6"/>
      <c r="U74" s="6"/>
      <c r="V74" s="6"/>
      <c r="W74" s="6"/>
      <c r="X74" s="6"/>
      <c r="Y74" s="6"/>
      <c r="Z74" s="6"/>
    </row>
    <row r="75" spans="1:26" ht="15.75" customHeight="1" x14ac:dyDescent="0.3">
      <c r="A75" s="10" t="s">
        <v>4528</v>
      </c>
      <c r="B75" s="10">
        <v>2003</v>
      </c>
      <c r="C75" s="10" t="s">
        <v>4711</v>
      </c>
      <c r="D75" s="10">
        <v>8</v>
      </c>
      <c r="E75" s="10">
        <v>0</v>
      </c>
      <c r="F75" s="24">
        <v>1242.82</v>
      </c>
      <c r="G75" s="10" t="s">
        <v>4695</v>
      </c>
      <c r="H75" s="10" t="s">
        <v>4694</v>
      </c>
      <c r="I75" s="10" t="s">
        <v>4716</v>
      </c>
      <c r="J75" s="17">
        <f t="shared" si="0"/>
        <v>37872</v>
      </c>
      <c r="K75" s="10">
        <f t="shared" ca="1" si="1"/>
        <v>22</v>
      </c>
      <c r="L75" s="6"/>
      <c r="M75" s="6"/>
      <c r="N75" s="6"/>
      <c r="O75" s="6"/>
      <c r="P75" s="6"/>
      <c r="Q75" s="6"/>
      <c r="R75" s="6"/>
      <c r="S75" s="6"/>
      <c r="T75" s="6"/>
      <c r="U75" s="6"/>
      <c r="V75" s="6"/>
      <c r="W75" s="6"/>
      <c r="X75" s="6"/>
      <c r="Y75" s="6"/>
      <c r="Z75" s="6"/>
    </row>
    <row r="76" spans="1:26" ht="15.75" customHeight="1" x14ac:dyDescent="0.3">
      <c r="A76" s="10" t="s">
        <v>4526</v>
      </c>
      <c r="B76" s="10">
        <v>2003</v>
      </c>
      <c r="C76" s="10" t="s">
        <v>4711</v>
      </c>
      <c r="D76" s="10">
        <v>15</v>
      </c>
      <c r="E76" s="10">
        <v>0</v>
      </c>
      <c r="F76" s="24">
        <v>1252.4100000000001</v>
      </c>
      <c r="G76" s="10" t="s">
        <v>4695</v>
      </c>
      <c r="H76" s="10" t="s">
        <v>4696</v>
      </c>
      <c r="I76" s="10" t="s">
        <v>4716</v>
      </c>
      <c r="J76" s="17">
        <f t="shared" si="0"/>
        <v>37879</v>
      </c>
      <c r="K76" s="10">
        <f t="shared" ca="1" si="1"/>
        <v>22</v>
      </c>
      <c r="L76" s="6"/>
      <c r="M76" s="6"/>
      <c r="N76" s="6"/>
      <c r="O76" s="6"/>
      <c r="P76" s="6"/>
      <c r="Q76" s="6"/>
      <c r="R76" s="6"/>
      <c r="S76" s="6"/>
      <c r="T76" s="6"/>
      <c r="U76" s="6"/>
      <c r="V76" s="6"/>
      <c r="W76" s="6"/>
      <c r="X76" s="6"/>
      <c r="Y76" s="6"/>
      <c r="Z76" s="6"/>
    </row>
    <row r="77" spans="1:26" ht="15.75" customHeight="1" x14ac:dyDescent="0.3">
      <c r="A77" s="10" t="s">
        <v>4524</v>
      </c>
      <c r="B77" s="10">
        <v>1997</v>
      </c>
      <c r="C77" s="10" t="s">
        <v>4709</v>
      </c>
      <c r="D77" s="10">
        <v>4</v>
      </c>
      <c r="E77" s="10">
        <v>0</v>
      </c>
      <c r="F77" s="24">
        <v>1253</v>
      </c>
      <c r="G77" s="10" t="s">
        <v>4695</v>
      </c>
      <c r="H77" s="10" t="s">
        <v>4695</v>
      </c>
      <c r="I77" s="10" t="s">
        <v>4708</v>
      </c>
      <c r="J77" s="17">
        <f t="shared" si="0"/>
        <v>35738</v>
      </c>
      <c r="K77" s="10">
        <f t="shared" ca="1" si="1"/>
        <v>28</v>
      </c>
      <c r="L77" s="6"/>
      <c r="M77" s="6"/>
      <c r="N77" s="6"/>
      <c r="O77" s="6"/>
      <c r="P77" s="6"/>
      <c r="Q77" s="6"/>
      <c r="R77" s="6"/>
      <c r="S77" s="6"/>
      <c r="T77" s="6"/>
      <c r="U77" s="6"/>
      <c r="V77" s="6"/>
      <c r="W77" s="6"/>
      <c r="X77" s="6"/>
      <c r="Y77" s="6"/>
      <c r="Z77" s="6"/>
    </row>
    <row r="78" spans="1:26" ht="15.75" customHeight="1" x14ac:dyDescent="0.3">
      <c r="A78" s="10" t="s">
        <v>4522</v>
      </c>
      <c r="B78" s="10">
        <v>2003</v>
      </c>
      <c r="C78" s="10" t="s">
        <v>4713</v>
      </c>
      <c r="D78" s="10">
        <v>10</v>
      </c>
      <c r="E78" s="10">
        <v>0</v>
      </c>
      <c r="F78" s="24">
        <v>1253.94</v>
      </c>
      <c r="G78" s="10" t="s">
        <v>4695</v>
      </c>
      <c r="H78" s="10" t="s">
        <v>4695</v>
      </c>
      <c r="I78" s="10" t="s">
        <v>4716</v>
      </c>
      <c r="J78" s="17">
        <f t="shared" si="0"/>
        <v>37965</v>
      </c>
      <c r="K78" s="10">
        <f t="shared" ca="1" si="1"/>
        <v>21</v>
      </c>
      <c r="L78" s="6"/>
      <c r="M78" s="6"/>
      <c r="N78" s="6"/>
      <c r="O78" s="6"/>
      <c r="P78" s="6"/>
      <c r="Q78" s="6"/>
      <c r="R78" s="6"/>
      <c r="S78" s="6"/>
      <c r="T78" s="6"/>
      <c r="U78" s="6"/>
      <c r="V78" s="6"/>
      <c r="W78" s="6"/>
      <c r="X78" s="6"/>
      <c r="Y78" s="6"/>
      <c r="Z78" s="6"/>
    </row>
    <row r="79" spans="1:26" ht="15.75" customHeight="1" x14ac:dyDescent="0.3">
      <c r="A79" s="10" t="s">
        <v>4520</v>
      </c>
      <c r="B79" s="10">
        <v>2003</v>
      </c>
      <c r="C79" s="10" t="s">
        <v>4715</v>
      </c>
      <c r="D79" s="10">
        <v>13</v>
      </c>
      <c r="E79" s="10">
        <v>0</v>
      </c>
      <c r="F79" s="24">
        <v>1256.3</v>
      </c>
      <c r="G79" s="10" t="s">
        <v>4695</v>
      </c>
      <c r="H79" s="10" t="s">
        <v>4696</v>
      </c>
      <c r="I79" s="10" t="s">
        <v>4716</v>
      </c>
      <c r="J79" s="17">
        <f t="shared" si="0"/>
        <v>37907</v>
      </c>
      <c r="K79" s="10">
        <f t="shared" ca="1" si="1"/>
        <v>22</v>
      </c>
      <c r="L79" s="6"/>
      <c r="M79" s="6"/>
      <c r="N79" s="6"/>
      <c r="O79" s="6"/>
      <c r="P79" s="6"/>
      <c r="Q79" s="6"/>
      <c r="R79" s="6"/>
      <c r="S79" s="6"/>
      <c r="T79" s="6"/>
      <c r="U79" s="6"/>
      <c r="V79" s="6"/>
      <c r="W79" s="6"/>
      <c r="X79" s="6"/>
      <c r="Y79" s="6"/>
      <c r="Z79" s="6"/>
    </row>
    <row r="80" spans="1:26" ht="15.75" customHeight="1" x14ac:dyDescent="0.3">
      <c r="A80" s="10" t="s">
        <v>4518</v>
      </c>
      <c r="B80" s="10">
        <v>2003</v>
      </c>
      <c r="C80" s="10" t="s">
        <v>4715</v>
      </c>
      <c r="D80" s="10">
        <v>30</v>
      </c>
      <c r="E80" s="10">
        <v>0</v>
      </c>
      <c r="F80" s="24">
        <v>1261.44</v>
      </c>
      <c r="G80" s="10" t="s">
        <v>4695</v>
      </c>
      <c r="H80" s="10" t="s">
        <v>4696</v>
      </c>
      <c r="I80" s="10" t="s">
        <v>4716</v>
      </c>
      <c r="J80" s="17">
        <f t="shared" si="0"/>
        <v>37924</v>
      </c>
      <c r="K80" s="10">
        <f t="shared" ca="1" si="1"/>
        <v>22</v>
      </c>
      <c r="L80" s="6"/>
      <c r="M80" s="6"/>
      <c r="N80" s="6"/>
      <c r="O80" s="6"/>
      <c r="P80" s="6"/>
      <c r="Q80" s="6"/>
      <c r="R80" s="6"/>
      <c r="S80" s="6"/>
      <c r="T80" s="6"/>
      <c r="U80" s="6"/>
      <c r="V80" s="6"/>
      <c r="W80" s="6"/>
      <c r="X80" s="6"/>
      <c r="Y80" s="6"/>
      <c r="Z80" s="6"/>
    </row>
    <row r="81" spans="1:26" ht="15.75" customHeight="1" x14ac:dyDescent="0.3">
      <c r="A81" s="10" t="s">
        <v>4516</v>
      </c>
      <c r="B81" s="10">
        <v>2003</v>
      </c>
      <c r="C81" s="10" t="s">
        <v>4714</v>
      </c>
      <c r="D81" s="10">
        <v>15</v>
      </c>
      <c r="E81" s="10">
        <v>0</v>
      </c>
      <c r="F81" s="24">
        <v>1261.8599999999999</v>
      </c>
      <c r="G81" s="10" t="s">
        <v>4695</v>
      </c>
      <c r="H81" s="10" t="s">
        <v>4696</v>
      </c>
      <c r="I81" s="10" t="s">
        <v>4716</v>
      </c>
      <c r="J81" s="17">
        <f t="shared" si="0"/>
        <v>37848</v>
      </c>
      <c r="K81" s="10">
        <f t="shared" ca="1" si="1"/>
        <v>22</v>
      </c>
      <c r="L81" s="6"/>
      <c r="M81" s="6"/>
      <c r="N81" s="6"/>
      <c r="O81" s="6"/>
      <c r="P81" s="6"/>
      <c r="Q81" s="6"/>
      <c r="R81" s="6"/>
      <c r="S81" s="6"/>
      <c r="T81" s="6"/>
      <c r="U81" s="6"/>
      <c r="V81" s="6"/>
      <c r="W81" s="6"/>
      <c r="X81" s="6"/>
      <c r="Y81" s="6"/>
      <c r="Z81" s="6"/>
    </row>
    <row r="82" spans="1:26" ht="15.75" customHeight="1" x14ac:dyDescent="0.3">
      <c r="A82" s="10" t="s">
        <v>4514</v>
      </c>
      <c r="B82" s="10">
        <v>2003</v>
      </c>
      <c r="C82" s="10" t="s">
        <v>4709</v>
      </c>
      <c r="D82" s="10">
        <v>21</v>
      </c>
      <c r="E82" s="10">
        <v>0</v>
      </c>
      <c r="F82" s="24">
        <v>1263.25</v>
      </c>
      <c r="G82" s="10" t="s">
        <v>4695</v>
      </c>
      <c r="H82" s="10" t="s">
        <v>4696</v>
      </c>
      <c r="I82" s="10" t="s">
        <v>4716</v>
      </c>
      <c r="J82" s="17">
        <f t="shared" si="0"/>
        <v>37946</v>
      </c>
      <c r="K82" s="10">
        <f t="shared" ca="1" si="1"/>
        <v>22</v>
      </c>
      <c r="L82" s="6"/>
      <c r="M82" s="6"/>
      <c r="N82" s="6"/>
      <c r="O82" s="6"/>
      <c r="P82" s="6"/>
      <c r="Q82" s="6"/>
      <c r="R82" s="6"/>
      <c r="S82" s="6"/>
      <c r="T82" s="6"/>
      <c r="U82" s="6"/>
      <c r="V82" s="6"/>
      <c r="W82" s="6"/>
      <c r="X82" s="6"/>
      <c r="Y82" s="6"/>
      <c r="Z82" s="6"/>
    </row>
    <row r="83" spans="1:26" ht="15.75" customHeight="1" x14ac:dyDescent="0.3">
      <c r="A83" s="10" t="s">
        <v>4512</v>
      </c>
      <c r="B83" s="10">
        <v>2002</v>
      </c>
      <c r="C83" s="10" t="s">
        <v>4713</v>
      </c>
      <c r="D83" s="10">
        <v>4</v>
      </c>
      <c r="E83" s="10">
        <v>0</v>
      </c>
      <c r="F83" s="24">
        <v>1267</v>
      </c>
      <c r="G83" s="10" t="s">
        <v>4695</v>
      </c>
      <c r="H83" s="10" t="s">
        <v>4694</v>
      </c>
      <c r="I83" s="10" t="s">
        <v>4708</v>
      </c>
      <c r="J83" s="17">
        <f t="shared" si="0"/>
        <v>37594</v>
      </c>
      <c r="K83" s="10">
        <f t="shared" ca="1" si="1"/>
        <v>22</v>
      </c>
      <c r="L83" s="6"/>
      <c r="M83" s="6"/>
      <c r="N83" s="6"/>
      <c r="O83" s="6"/>
      <c r="P83" s="6"/>
      <c r="Q83" s="6"/>
      <c r="R83" s="6"/>
      <c r="S83" s="6"/>
      <c r="T83" s="6"/>
      <c r="U83" s="6"/>
      <c r="V83" s="6"/>
      <c r="W83" s="6"/>
      <c r="X83" s="6"/>
      <c r="Y83" s="6"/>
      <c r="Z83" s="6"/>
    </row>
    <row r="84" spans="1:26" ht="15.75" customHeight="1" x14ac:dyDescent="0.3">
      <c r="A84" s="10" t="s">
        <v>4510</v>
      </c>
      <c r="B84" s="10">
        <v>1997</v>
      </c>
      <c r="C84" s="10" t="s">
        <v>4715</v>
      </c>
      <c r="D84" s="10">
        <v>26</v>
      </c>
      <c r="E84" s="10">
        <v>0</v>
      </c>
      <c r="F84" s="24">
        <v>1276</v>
      </c>
      <c r="G84" s="10" t="s">
        <v>4695</v>
      </c>
      <c r="H84" s="10" t="s">
        <v>4695</v>
      </c>
      <c r="I84" s="10" t="s">
        <v>4712</v>
      </c>
      <c r="J84" s="17">
        <f t="shared" si="0"/>
        <v>35729</v>
      </c>
      <c r="K84" s="10">
        <f t="shared" ca="1" si="1"/>
        <v>28</v>
      </c>
      <c r="L84" s="6"/>
      <c r="M84" s="6"/>
      <c r="N84" s="6"/>
      <c r="O84" s="6"/>
      <c r="P84" s="6"/>
      <c r="Q84" s="6"/>
      <c r="R84" s="6"/>
      <c r="S84" s="6"/>
      <c r="T84" s="6"/>
      <c r="U84" s="6"/>
      <c r="V84" s="6"/>
      <c r="W84" s="6"/>
      <c r="X84" s="6"/>
      <c r="Y84" s="6"/>
      <c r="Z84" s="6"/>
    </row>
    <row r="85" spans="1:26" ht="15.75" customHeight="1" x14ac:dyDescent="0.3">
      <c r="A85" s="10" t="s">
        <v>4508</v>
      </c>
      <c r="B85" s="10">
        <v>2004</v>
      </c>
      <c r="C85" s="10" t="s">
        <v>4711</v>
      </c>
      <c r="D85" s="10">
        <v>30</v>
      </c>
      <c r="E85" s="10">
        <v>0</v>
      </c>
      <c r="F85" s="24">
        <v>1283</v>
      </c>
      <c r="G85" s="10" t="s">
        <v>4695</v>
      </c>
      <c r="H85" s="10" t="s">
        <v>4694</v>
      </c>
      <c r="I85" s="10" t="s">
        <v>4708</v>
      </c>
      <c r="J85" s="17">
        <f t="shared" si="0"/>
        <v>38260</v>
      </c>
      <c r="K85" s="10">
        <f t="shared" ca="1" si="1"/>
        <v>21</v>
      </c>
      <c r="L85" s="6"/>
      <c r="M85" s="6"/>
      <c r="N85" s="6"/>
      <c r="O85" s="6"/>
      <c r="P85" s="6"/>
      <c r="Q85" s="6"/>
      <c r="R85" s="6"/>
      <c r="S85" s="6"/>
      <c r="T85" s="6"/>
      <c r="U85" s="6"/>
      <c r="V85" s="6"/>
      <c r="W85" s="6"/>
      <c r="X85" s="6"/>
      <c r="Y85" s="6"/>
      <c r="Z85" s="6"/>
    </row>
    <row r="86" spans="1:26" ht="15.75" customHeight="1" x14ac:dyDescent="0.3">
      <c r="A86" s="10" t="s">
        <v>4506</v>
      </c>
      <c r="B86" s="10">
        <v>2004</v>
      </c>
      <c r="C86" s="10" t="s">
        <v>4707</v>
      </c>
      <c r="D86" s="10">
        <v>28</v>
      </c>
      <c r="E86" s="10">
        <v>0</v>
      </c>
      <c r="F86" s="24">
        <v>1285</v>
      </c>
      <c r="G86" s="10" t="s">
        <v>4695</v>
      </c>
      <c r="H86" s="10" t="s">
        <v>4696</v>
      </c>
      <c r="I86" s="10" t="s">
        <v>4708</v>
      </c>
      <c r="J86" s="17">
        <f t="shared" si="0"/>
        <v>38196</v>
      </c>
      <c r="K86" s="10">
        <f t="shared" ca="1" si="1"/>
        <v>21</v>
      </c>
      <c r="L86" s="6"/>
      <c r="M86" s="6"/>
      <c r="N86" s="6"/>
      <c r="O86" s="6"/>
      <c r="P86" s="6"/>
      <c r="Q86" s="6"/>
      <c r="R86" s="6"/>
      <c r="S86" s="6"/>
      <c r="T86" s="6"/>
      <c r="U86" s="6"/>
      <c r="V86" s="6"/>
      <c r="W86" s="6"/>
      <c r="X86" s="6"/>
      <c r="Y86" s="6"/>
      <c r="Z86" s="6"/>
    </row>
    <row r="87" spans="1:26" ht="15.75" customHeight="1" x14ac:dyDescent="0.3">
      <c r="A87" s="10" t="s">
        <v>4504</v>
      </c>
      <c r="B87" s="10">
        <v>2000</v>
      </c>
      <c r="C87" s="10" t="s">
        <v>4710</v>
      </c>
      <c r="D87" s="10">
        <v>26</v>
      </c>
      <c r="E87" s="10">
        <v>0</v>
      </c>
      <c r="F87" s="24">
        <v>1286</v>
      </c>
      <c r="G87" s="10" t="s">
        <v>4695</v>
      </c>
      <c r="H87" s="10" t="s">
        <v>4695</v>
      </c>
      <c r="I87" s="10" t="s">
        <v>4708</v>
      </c>
      <c r="J87" s="17">
        <f t="shared" si="0"/>
        <v>36703</v>
      </c>
      <c r="K87" s="10">
        <f t="shared" ca="1" si="1"/>
        <v>25</v>
      </c>
      <c r="L87" s="6"/>
      <c r="M87" s="6"/>
      <c r="N87" s="6"/>
      <c r="O87" s="6"/>
      <c r="P87" s="6"/>
      <c r="Q87" s="6"/>
      <c r="R87" s="6"/>
      <c r="S87" s="6"/>
      <c r="T87" s="6"/>
      <c r="U87" s="6"/>
      <c r="V87" s="6"/>
      <c r="W87" s="6"/>
      <c r="X87" s="6"/>
      <c r="Y87" s="6"/>
      <c r="Z87" s="6"/>
    </row>
    <row r="88" spans="1:26" ht="15.75" customHeight="1" x14ac:dyDescent="0.3">
      <c r="A88" s="10" t="s">
        <v>4502</v>
      </c>
      <c r="B88" s="10">
        <v>1998</v>
      </c>
      <c r="C88" s="10" t="s">
        <v>4710</v>
      </c>
      <c r="D88" s="10">
        <v>4</v>
      </c>
      <c r="E88" s="10">
        <v>0</v>
      </c>
      <c r="F88" s="24">
        <v>1290.93</v>
      </c>
      <c r="G88" s="10" t="s">
        <v>4695</v>
      </c>
      <c r="H88" s="10" t="s">
        <v>4695</v>
      </c>
      <c r="I88" s="10" t="s">
        <v>4708</v>
      </c>
      <c r="J88" s="17">
        <f t="shared" si="0"/>
        <v>35950</v>
      </c>
      <c r="K88" s="10">
        <f t="shared" ca="1" si="1"/>
        <v>27</v>
      </c>
      <c r="L88" s="6"/>
      <c r="M88" s="6"/>
      <c r="N88" s="6"/>
      <c r="O88" s="6"/>
      <c r="P88" s="6"/>
      <c r="Q88" s="6"/>
      <c r="R88" s="6"/>
      <c r="S88" s="6"/>
      <c r="T88" s="6"/>
      <c r="U88" s="6"/>
      <c r="V88" s="6"/>
      <c r="W88" s="6"/>
      <c r="X88" s="6"/>
      <c r="Y88" s="6"/>
      <c r="Z88" s="6"/>
    </row>
    <row r="89" spans="1:26" ht="15.75" customHeight="1" x14ac:dyDescent="0.3">
      <c r="A89" s="10" t="s">
        <v>4500</v>
      </c>
      <c r="B89" s="10">
        <v>2001</v>
      </c>
      <c r="C89" s="10" t="s">
        <v>4709</v>
      </c>
      <c r="D89" s="10">
        <v>29</v>
      </c>
      <c r="E89" s="10">
        <v>0</v>
      </c>
      <c r="F89" s="24">
        <v>1293</v>
      </c>
      <c r="G89" s="10" t="s">
        <v>4695</v>
      </c>
      <c r="H89" s="10" t="s">
        <v>4696</v>
      </c>
      <c r="I89" s="10" t="s">
        <v>4712</v>
      </c>
      <c r="J89" s="17">
        <f t="shared" si="0"/>
        <v>37224</v>
      </c>
      <c r="K89" s="10">
        <f t="shared" ca="1" si="1"/>
        <v>24</v>
      </c>
      <c r="L89" s="6"/>
      <c r="M89" s="6"/>
      <c r="N89" s="6"/>
      <c r="O89" s="6"/>
      <c r="P89" s="6"/>
      <c r="Q89" s="6"/>
      <c r="R89" s="6"/>
      <c r="S89" s="6"/>
      <c r="T89" s="6"/>
      <c r="U89" s="6"/>
      <c r="V89" s="6"/>
      <c r="W89" s="6"/>
      <c r="X89" s="6"/>
      <c r="Y89" s="6"/>
      <c r="Z89" s="6"/>
    </row>
    <row r="90" spans="1:26" ht="15.75" customHeight="1" x14ac:dyDescent="0.3">
      <c r="A90" s="10" t="s">
        <v>4498</v>
      </c>
      <c r="B90" s="10">
        <v>2002</v>
      </c>
      <c r="C90" s="10" t="s">
        <v>4713</v>
      </c>
      <c r="D90" s="10">
        <v>10</v>
      </c>
      <c r="E90" s="10">
        <v>0</v>
      </c>
      <c r="F90" s="24">
        <v>1304</v>
      </c>
      <c r="G90" s="10" t="s">
        <v>4695</v>
      </c>
      <c r="H90" s="10" t="s">
        <v>4695</v>
      </c>
      <c r="I90" s="10" t="s">
        <v>4712</v>
      </c>
      <c r="J90" s="17">
        <f t="shared" si="0"/>
        <v>37600</v>
      </c>
      <c r="K90" s="10">
        <f t="shared" ca="1" si="1"/>
        <v>22</v>
      </c>
      <c r="L90" s="6"/>
      <c r="M90" s="6"/>
      <c r="N90" s="6"/>
      <c r="O90" s="6"/>
      <c r="P90" s="6"/>
      <c r="Q90" s="6"/>
      <c r="R90" s="6"/>
      <c r="S90" s="6"/>
      <c r="T90" s="6"/>
      <c r="U90" s="6"/>
      <c r="V90" s="6"/>
      <c r="W90" s="6"/>
      <c r="X90" s="6"/>
      <c r="Y90" s="6"/>
      <c r="Z90" s="6"/>
    </row>
    <row r="91" spans="1:26" ht="15.75" customHeight="1" x14ac:dyDescent="0.3">
      <c r="A91" s="10" t="s">
        <v>4496</v>
      </c>
      <c r="B91" s="10">
        <v>1999</v>
      </c>
      <c r="C91" s="10" t="s">
        <v>4713</v>
      </c>
      <c r="D91" s="10">
        <v>2</v>
      </c>
      <c r="E91" s="10">
        <v>0</v>
      </c>
      <c r="F91" s="24">
        <v>1304</v>
      </c>
      <c r="G91" s="10" t="s">
        <v>4695</v>
      </c>
      <c r="H91" s="10" t="s">
        <v>4695</v>
      </c>
      <c r="I91" s="10" t="s">
        <v>4708</v>
      </c>
      <c r="J91" s="17">
        <f t="shared" si="0"/>
        <v>36496</v>
      </c>
      <c r="K91" s="10">
        <f t="shared" ca="1" si="1"/>
        <v>25</v>
      </c>
      <c r="L91" s="6"/>
      <c r="M91" s="6"/>
      <c r="N91" s="6"/>
      <c r="O91" s="6"/>
      <c r="P91" s="6"/>
      <c r="Q91" s="6"/>
      <c r="R91" s="6"/>
      <c r="S91" s="6"/>
      <c r="T91" s="6"/>
      <c r="U91" s="6"/>
      <c r="V91" s="6"/>
      <c r="W91" s="6"/>
      <c r="X91" s="6"/>
      <c r="Y91" s="6"/>
      <c r="Z91" s="6"/>
    </row>
    <row r="92" spans="1:26" ht="15.75" customHeight="1" x14ac:dyDescent="0.3">
      <c r="A92" s="10" t="s">
        <v>4494</v>
      </c>
      <c r="B92" s="10">
        <v>2002</v>
      </c>
      <c r="C92" s="10" t="s">
        <v>4715</v>
      </c>
      <c r="D92" s="10">
        <v>13</v>
      </c>
      <c r="E92" s="10">
        <v>0</v>
      </c>
      <c r="F92" s="24">
        <v>1315</v>
      </c>
      <c r="G92" s="10" t="s">
        <v>4695</v>
      </c>
      <c r="H92" s="10" t="s">
        <v>4695</v>
      </c>
      <c r="I92" s="10" t="s">
        <v>4708</v>
      </c>
      <c r="J92" s="17">
        <f t="shared" si="0"/>
        <v>37542</v>
      </c>
      <c r="K92" s="10">
        <f t="shared" ca="1" si="1"/>
        <v>23</v>
      </c>
      <c r="L92" s="6"/>
      <c r="M92" s="6"/>
      <c r="N92" s="6"/>
      <c r="O92" s="6"/>
      <c r="P92" s="6"/>
      <c r="Q92" s="6"/>
      <c r="R92" s="6"/>
      <c r="S92" s="6"/>
      <c r="T92" s="6"/>
      <c r="U92" s="6"/>
      <c r="V92" s="6"/>
      <c r="W92" s="6"/>
      <c r="X92" s="6"/>
      <c r="Y92" s="6"/>
      <c r="Z92" s="6"/>
    </row>
    <row r="93" spans="1:26" ht="15.75" customHeight="1" x14ac:dyDescent="0.3">
      <c r="A93" s="10" t="s">
        <v>4492</v>
      </c>
      <c r="B93" s="10">
        <v>1999</v>
      </c>
      <c r="C93" s="10" t="s">
        <v>4715</v>
      </c>
      <c r="D93" s="10">
        <v>14</v>
      </c>
      <c r="E93" s="10">
        <v>0</v>
      </c>
      <c r="F93" s="24">
        <v>1329.17</v>
      </c>
      <c r="G93" s="10" t="s">
        <v>4695</v>
      </c>
      <c r="H93" s="10" t="s">
        <v>4696</v>
      </c>
      <c r="I93" s="10" t="s">
        <v>4708</v>
      </c>
      <c r="J93" s="17">
        <f t="shared" si="0"/>
        <v>36447</v>
      </c>
      <c r="K93" s="10">
        <f t="shared" ca="1" si="1"/>
        <v>26</v>
      </c>
      <c r="L93" s="6"/>
      <c r="M93" s="6"/>
      <c r="N93" s="6"/>
      <c r="O93" s="6"/>
      <c r="P93" s="6"/>
      <c r="Q93" s="6"/>
      <c r="R93" s="6"/>
      <c r="S93" s="6"/>
      <c r="T93" s="6"/>
      <c r="U93" s="6"/>
      <c r="V93" s="6"/>
      <c r="W93" s="6"/>
      <c r="X93" s="6"/>
      <c r="Y93" s="6"/>
      <c r="Z93" s="6"/>
    </row>
    <row r="94" spans="1:26" ht="15.75" customHeight="1" x14ac:dyDescent="0.3">
      <c r="A94" s="10" t="s">
        <v>4490</v>
      </c>
      <c r="B94" s="10">
        <v>1998</v>
      </c>
      <c r="C94" s="10" t="s">
        <v>4707</v>
      </c>
      <c r="D94" s="10">
        <v>12</v>
      </c>
      <c r="E94" s="10">
        <v>0</v>
      </c>
      <c r="F94" s="24">
        <v>1332.61</v>
      </c>
      <c r="G94" s="10" t="s">
        <v>4695</v>
      </c>
      <c r="H94" s="10" t="s">
        <v>4696</v>
      </c>
      <c r="I94" s="10" t="s">
        <v>4708</v>
      </c>
      <c r="J94" s="17">
        <f t="shared" si="0"/>
        <v>35988</v>
      </c>
      <c r="K94" s="10">
        <f t="shared" ca="1" si="1"/>
        <v>27</v>
      </c>
      <c r="L94" s="6"/>
      <c r="M94" s="6"/>
      <c r="N94" s="6"/>
      <c r="O94" s="6"/>
      <c r="P94" s="6"/>
      <c r="Q94" s="6"/>
      <c r="R94" s="6"/>
      <c r="S94" s="6"/>
      <c r="T94" s="6"/>
      <c r="U94" s="6"/>
      <c r="V94" s="6"/>
      <c r="W94" s="6"/>
      <c r="X94" s="6"/>
      <c r="Y94" s="6"/>
      <c r="Z94" s="6"/>
    </row>
    <row r="95" spans="1:26" ht="15.75" customHeight="1" x14ac:dyDescent="0.3">
      <c r="A95" s="10" t="s">
        <v>4488</v>
      </c>
      <c r="B95" s="10">
        <v>1995</v>
      </c>
      <c r="C95" s="10" t="s">
        <v>4707</v>
      </c>
      <c r="D95" s="10">
        <v>30</v>
      </c>
      <c r="E95" s="10">
        <v>0</v>
      </c>
      <c r="F95" s="24">
        <v>1338</v>
      </c>
      <c r="G95" s="10" t="s">
        <v>4695</v>
      </c>
      <c r="H95" s="10" t="s">
        <v>4696</v>
      </c>
      <c r="I95" s="10" t="s">
        <v>4712</v>
      </c>
      <c r="J95" s="17">
        <f t="shared" si="0"/>
        <v>34910</v>
      </c>
      <c r="K95" s="10">
        <f t="shared" ca="1" si="1"/>
        <v>30</v>
      </c>
      <c r="L95" s="6"/>
      <c r="M95" s="6"/>
      <c r="N95" s="6"/>
      <c r="O95" s="6"/>
      <c r="P95" s="6"/>
      <c r="Q95" s="6"/>
      <c r="R95" s="6"/>
      <c r="S95" s="6"/>
      <c r="T95" s="6"/>
      <c r="U95" s="6"/>
      <c r="V95" s="6"/>
      <c r="W95" s="6"/>
      <c r="X95" s="6"/>
      <c r="Y95" s="6"/>
      <c r="Z95" s="6"/>
    </row>
    <row r="96" spans="1:26" ht="15.75" customHeight="1" x14ac:dyDescent="0.3">
      <c r="A96" s="10" t="s">
        <v>4486</v>
      </c>
      <c r="B96" s="10">
        <v>1997</v>
      </c>
      <c r="C96" s="10" t="s">
        <v>4709</v>
      </c>
      <c r="D96" s="10">
        <v>7</v>
      </c>
      <c r="E96" s="10">
        <v>0</v>
      </c>
      <c r="F96" s="24">
        <v>1341.16</v>
      </c>
      <c r="G96" s="10" t="s">
        <v>4695</v>
      </c>
      <c r="H96" s="10" t="s">
        <v>4695</v>
      </c>
      <c r="I96" s="10" t="s">
        <v>4712</v>
      </c>
      <c r="J96" s="17">
        <f t="shared" si="0"/>
        <v>35741</v>
      </c>
      <c r="K96" s="10">
        <f t="shared" ca="1" si="1"/>
        <v>28</v>
      </c>
      <c r="L96" s="6"/>
      <c r="M96" s="6"/>
      <c r="N96" s="6"/>
      <c r="O96" s="6"/>
      <c r="P96" s="6"/>
      <c r="Q96" s="6"/>
      <c r="R96" s="6"/>
      <c r="S96" s="6"/>
      <c r="T96" s="6"/>
      <c r="U96" s="6"/>
      <c r="V96" s="6"/>
      <c r="W96" s="6"/>
      <c r="X96" s="6"/>
      <c r="Y96" s="6"/>
      <c r="Z96" s="6"/>
    </row>
    <row r="97" spans="1:26" ht="15.75" customHeight="1" x14ac:dyDescent="0.3">
      <c r="A97" s="10" t="s">
        <v>4484</v>
      </c>
      <c r="B97" s="10">
        <v>1998</v>
      </c>
      <c r="C97" s="10" t="s">
        <v>4713</v>
      </c>
      <c r="D97" s="10">
        <v>3</v>
      </c>
      <c r="E97" s="10">
        <v>0</v>
      </c>
      <c r="F97" s="24">
        <v>1359</v>
      </c>
      <c r="G97" s="10" t="s">
        <v>4695</v>
      </c>
      <c r="H97" s="10" t="s">
        <v>4694</v>
      </c>
      <c r="I97" s="10" t="s">
        <v>4708</v>
      </c>
      <c r="J97" s="17">
        <f t="shared" si="0"/>
        <v>36132</v>
      </c>
      <c r="K97" s="10">
        <f t="shared" ca="1" si="1"/>
        <v>26</v>
      </c>
      <c r="L97" s="6"/>
      <c r="M97" s="6"/>
      <c r="N97" s="6"/>
      <c r="O97" s="6"/>
      <c r="P97" s="6"/>
      <c r="Q97" s="6"/>
      <c r="R97" s="6"/>
      <c r="S97" s="6"/>
      <c r="T97" s="6"/>
      <c r="U97" s="6"/>
      <c r="V97" s="6"/>
      <c r="W97" s="6"/>
      <c r="X97" s="6"/>
      <c r="Y97" s="6"/>
      <c r="Z97" s="6"/>
    </row>
    <row r="98" spans="1:26" ht="15.75" customHeight="1" x14ac:dyDescent="0.3">
      <c r="A98" s="10" t="s">
        <v>4482</v>
      </c>
      <c r="B98" s="10">
        <v>2002</v>
      </c>
      <c r="C98" s="10" t="s">
        <v>4714</v>
      </c>
      <c r="D98" s="10">
        <v>15</v>
      </c>
      <c r="E98" s="10">
        <v>0</v>
      </c>
      <c r="F98" s="24">
        <v>1382</v>
      </c>
      <c r="G98" s="10" t="s">
        <v>4695</v>
      </c>
      <c r="H98" s="10" t="s">
        <v>4694</v>
      </c>
      <c r="I98" s="10" t="s">
        <v>4708</v>
      </c>
      <c r="J98" s="17">
        <f t="shared" si="0"/>
        <v>37483</v>
      </c>
      <c r="K98" s="10">
        <f t="shared" ca="1" si="1"/>
        <v>23</v>
      </c>
      <c r="L98" s="6"/>
      <c r="M98" s="6"/>
      <c r="N98" s="6"/>
      <c r="O98" s="6"/>
      <c r="P98" s="6"/>
      <c r="Q98" s="6"/>
      <c r="R98" s="6"/>
      <c r="S98" s="6"/>
      <c r="T98" s="6"/>
      <c r="U98" s="6"/>
      <c r="V98" s="6"/>
      <c r="W98" s="6"/>
      <c r="X98" s="6"/>
      <c r="Y98" s="6"/>
      <c r="Z98" s="6"/>
    </row>
    <row r="99" spans="1:26" ht="15.75" customHeight="1" x14ac:dyDescent="0.3">
      <c r="A99" s="10" t="s">
        <v>4480</v>
      </c>
      <c r="B99" s="10">
        <v>1999</v>
      </c>
      <c r="C99" s="10" t="s">
        <v>4707</v>
      </c>
      <c r="D99" s="10">
        <v>6</v>
      </c>
      <c r="E99" s="10">
        <v>0</v>
      </c>
      <c r="F99" s="24">
        <v>1389</v>
      </c>
      <c r="G99" s="10" t="s">
        <v>4695</v>
      </c>
      <c r="H99" s="10" t="s">
        <v>4695</v>
      </c>
      <c r="I99" s="10" t="s">
        <v>4708</v>
      </c>
      <c r="J99" s="17">
        <f t="shared" si="0"/>
        <v>36347</v>
      </c>
      <c r="K99" s="10">
        <f t="shared" ca="1" si="1"/>
        <v>26</v>
      </c>
      <c r="L99" s="6"/>
      <c r="M99" s="6"/>
      <c r="N99" s="6"/>
      <c r="O99" s="6"/>
      <c r="P99" s="6"/>
      <c r="Q99" s="6"/>
      <c r="R99" s="6"/>
      <c r="S99" s="6"/>
      <c r="T99" s="6"/>
      <c r="U99" s="6"/>
      <c r="V99" s="6"/>
      <c r="W99" s="6"/>
      <c r="X99" s="6"/>
      <c r="Y99" s="6"/>
      <c r="Z99" s="6"/>
    </row>
    <row r="100" spans="1:26" ht="15.75" customHeight="1" x14ac:dyDescent="0.3">
      <c r="A100" s="10" t="s">
        <v>4478</v>
      </c>
      <c r="B100" s="10">
        <v>2002</v>
      </c>
      <c r="C100" s="10" t="s">
        <v>4709</v>
      </c>
      <c r="D100" s="10">
        <v>14</v>
      </c>
      <c r="E100" s="10">
        <v>0</v>
      </c>
      <c r="F100" s="24">
        <v>1390</v>
      </c>
      <c r="G100" s="10" t="s">
        <v>4695</v>
      </c>
      <c r="H100" s="10" t="s">
        <v>4695</v>
      </c>
      <c r="I100" s="10" t="s">
        <v>4708</v>
      </c>
      <c r="J100" s="17">
        <f t="shared" si="0"/>
        <v>37574</v>
      </c>
      <c r="K100" s="10">
        <f t="shared" ca="1" si="1"/>
        <v>23</v>
      </c>
      <c r="L100" s="6"/>
      <c r="M100" s="6"/>
      <c r="N100" s="6"/>
      <c r="O100" s="6"/>
      <c r="P100" s="6"/>
      <c r="Q100" s="6"/>
      <c r="R100" s="6"/>
      <c r="S100" s="6"/>
      <c r="T100" s="6"/>
      <c r="U100" s="6"/>
      <c r="V100" s="6"/>
      <c r="W100" s="6"/>
      <c r="X100" s="6"/>
      <c r="Y100" s="6"/>
      <c r="Z100" s="6"/>
    </row>
    <row r="101" spans="1:26" ht="15.75" customHeight="1" x14ac:dyDescent="0.3">
      <c r="A101" s="10" t="s">
        <v>4476</v>
      </c>
      <c r="B101" s="10">
        <v>2002</v>
      </c>
      <c r="C101" s="10" t="s">
        <v>4713</v>
      </c>
      <c r="D101" s="10">
        <v>22</v>
      </c>
      <c r="E101" s="10">
        <v>0</v>
      </c>
      <c r="F101" s="24">
        <v>1391.53</v>
      </c>
      <c r="G101" s="10" t="s">
        <v>4695</v>
      </c>
      <c r="H101" s="10" t="s">
        <v>4694</v>
      </c>
      <c r="I101" s="10" t="s">
        <v>4708</v>
      </c>
      <c r="J101" s="17">
        <f t="shared" si="0"/>
        <v>37612</v>
      </c>
      <c r="K101" s="10">
        <f t="shared" ca="1" si="1"/>
        <v>22</v>
      </c>
      <c r="L101" s="6"/>
      <c r="M101" s="6"/>
      <c r="N101" s="6"/>
      <c r="O101" s="6"/>
      <c r="P101" s="6"/>
      <c r="Q101" s="6"/>
      <c r="R101" s="6"/>
      <c r="S101" s="6"/>
      <c r="T101" s="6"/>
      <c r="U101" s="6"/>
      <c r="V101" s="6"/>
      <c r="W101" s="6"/>
      <c r="X101" s="6"/>
      <c r="Y101" s="6"/>
      <c r="Z101" s="6"/>
    </row>
    <row r="102" spans="1:26" ht="15.75" customHeight="1" x14ac:dyDescent="0.3">
      <c r="A102" s="10" t="s">
        <v>4474</v>
      </c>
      <c r="B102" s="10">
        <v>1998</v>
      </c>
      <c r="C102" s="10" t="s">
        <v>4711</v>
      </c>
      <c r="D102" s="10">
        <v>5</v>
      </c>
      <c r="E102" s="10">
        <v>0</v>
      </c>
      <c r="F102" s="24">
        <v>1400.44</v>
      </c>
      <c r="G102" s="10" t="s">
        <v>4695</v>
      </c>
      <c r="H102" s="10" t="s">
        <v>4695</v>
      </c>
      <c r="I102" s="10" t="s">
        <v>4708</v>
      </c>
      <c r="J102" s="17">
        <f t="shared" si="0"/>
        <v>36043</v>
      </c>
      <c r="K102" s="10">
        <f t="shared" ca="1" si="1"/>
        <v>27</v>
      </c>
      <c r="L102" s="6"/>
      <c r="M102" s="6"/>
      <c r="N102" s="6"/>
      <c r="O102" s="6"/>
      <c r="P102" s="6"/>
      <c r="Q102" s="6"/>
      <c r="R102" s="6"/>
      <c r="S102" s="6"/>
      <c r="T102" s="6"/>
      <c r="U102" s="6"/>
      <c r="V102" s="6"/>
      <c r="W102" s="6"/>
      <c r="X102" s="6"/>
      <c r="Y102" s="6"/>
      <c r="Z102" s="6"/>
    </row>
    <row r="103" spans="1:26" ht="15.75" customHeight="1" x14ac:dyDescent="0.3">
      <c r="A103" s="10" t="s">
        <v>4472</v>
      </c>
      <c r="B103" s="10">
        <v>1997</v>
      </c>
      <c r="C103" s="10" t="s">
        <v>4715</v>
      </c>
      <c r="D103" s="10">
        <v>27</v>
      </c>
      <c r="E103" s="10">
        <v>0</v>
      </c>
      <c r="F103" s="24">
        <v>1402</v>
      </c>
      <c r="G103" s="10" t="s">
        <v>4695</v>
      </c>
      <c r="H103" s="10" t="s">
        <v>4696</v>
      </c>
      <c r="I103" s="10" t="s">
        <v>4716</v>
      </c>
      <c r="J103" s="17">
        <f t="shared" si="0"/>
        <v>35730</v>
      </c>
      <c r="K103" s="10">
        <f t="shared" ca="1" si="1"/>
        <v>28</v>
      </c>
      <c r="L103" s="6"/>
      <c r="M103" s="6"/>
      <c r="N103" s="6"/>
      <c r="O103" s="6"/>
      <c r="P103" s="6"/>
      <c r="Q103" s="6"/>
      <c r="R103" s="6"/>
      <c r="S103" s="6"/>
      <c r="T103" s="6"/>
      <c r="U103" s="6"/>
      <c r="V103" s="6"/>
      <c r="W103" s="6"/>
      <c r="X103" s="6"/>
      <c r="Y103" s="6"/>
      <c r="Z103" s="6"/>
    </row>
    <row r="104" spans="1:26" ht="15.75" customHeight="1" x14ac:dyDescent="0.3">
      <c r="A104" s="10" t="s">
        <v>4470</v>
      </c>
      <c r="B104" s="10">
        <v>1996</v>
      </c>
      <c r="C104" s="10" t="s">
        <v>4710</v>
      </c>
      <c r="D104" s="10">
        <v>23</v>
      </c>
      <c r="E104" s="10">
        <v>0</v>
      </c>
      <c r="F104" s="24">
        <v>1417</v>
      </c>
      <c r="G104" s="10" t="s">
        <v>4695</v>
      </c>
      <c r="H104" s="10" t="s">
        <v>4696</v>
      </c>
      <c r="I104" s="10" t="s">
        <v>4708</v>
      </c>
      <c r="J104" s="17">
        <f t="shared" si="0"/>
        <v>35239</v>
      </c>
      <c r="K104" s="10">
        <f t="shared" ca="1" si="1"/>
        <v>29</v>
      </c>
      <c r="L104" s="6"/>
      <c r="M104" s="6"/>
      <c r="N104" s="6"/>
      <c r="O104" s="6"/>
      <c r="P104" s="6"/>
      <c r="Q104" s="6"/>
      <c r="R104" s="6"/>
      <c r="S104" s="6"/>
      <c r="T104" s="6"/>
      <c r="U104" s="6"/>
      <c r="V104" s="6"/>
      <c r="W104" s="6"/>
      <c r="X104" s="6"/>
      <c r="Y104" s="6"/>
      <c r="Z104" s="6"/>
    </row>
    <row r="105" spans="1:26" ht="15.75" customHeight="1" x14ac:dyDescent="0.3">
      <c r="A105" s="10" t="s">
        <v>4468</v>
      </c>
      <c r="B105" s="10">
        <v>2001</v>
      </c>
      <c r="C105" s="10" t="s">
        <v>4714</v>
      </c>
      <c r="D105" s="10">
        <v>23</v>
      </c>
      <c r="E105" s="10">
        <v>0</v>
      </c>
      <c r="F105" s="24">
        <v>1421</v>
      </c>
      <c r="G105" s="10" t="s">
        <v>4695</v>
      </c>
      <c r="H105" s="10" t="s">
        <v>4695</v>
      </c>
      <c r="I105" s="10" t="s">
        <v>4708</v>
      </c>
      <c r="J105" s="17">
        <f t="shared" si="0"/>
        <v>37126</v>
      </c>
      <c r="K105" s="10">
        <f t="shared" ca="1" si="1"/>
        <v>24</v>
      </c>
      <c r="L105" s="6"/>
      <c r="M105" s="6"/>
      <c r="N105" s="6"/>
      <c r="O105" s="6"/>
      <c r="P105" s="6"/>
      <c r="Q105" s="6"/>
      <c r="R105" s="6"/>
      <c r="S105" s="6"/>
      <c r="T105" s="6"/>
      <c r="U105" s="6"/>
      <c r="V105" s="6"/>
      <c r="W105" s="6"/>
      <c r="X105" s="6"/>
      <c r="Y105" s="6"/>
      <c r="Z105" s="6"/>
    </row>
    <row r="106" spans="1:26" ht="15.75" customHeight="1" x14ac:dyDescent="0.3">
      <c r="A106" s="10" t="s">
        <v>4466</v>
      </c>
      <c r="B106" s="10">
        <v>1997</v>
      </c>
      <c r="C106" s="10" t="s">
        <v>4713</v>
      </c>
      <c r="D106" s="10">
        <v>5</v>
      </c>
      <c r="E106" s="10">
        <v>0</v>
      </c>
      <c r="F106" s="24">
        <v>1422</v>
      </c>
      <c r="G106" s="10" t="s">
        <v>4695</v>
      </c>
      <c r="H106" s="10" t="s">
        <v>4695</v>
      </c>
      <c r="I106" s="10" t="s">
        <v>4708</v>
      </c>
      <c r="J106" s="17">
        <f t="shared" si="0"/>
        <v>35769</v>
      </c>
      <c r="K106" s="10">
        <f t="shared" ca="1" si="1"/>
        <v>27</v>
      </c>
      <c r="L106" s="6"/>
      <c r="M106" s="6"/>
      <c r="N106" s="6"/>
      <c r="O106" s="6"/>
      <c r="P106" s="6"/>
      <c r="Q106" s="6"/>
      <c r="R106" s="6"/>
      <c r="S106" s="6"/>
      <c r="T106" s="6"/>
      <c r="U106" s="6"/>
      <c r="V106" s="6"/>
      <c r="W106" s="6"/>
      <c r="X106" s="6"/>
      <c r="Y106" s="6"/>
      <c r="Z106" s="6"/>
    </row>
    <row r="107" spans="1:26" ht="15.75" customHeight="1" x14ac:dyDescent="0.3">
      <c r="A107" s="10" t="s">
        <v>4464</v>
      </c>
      <c r="B107" s="10">
        <v>2000</v>
      </c>
      <c r="C107" s="10" t="s">
        <v>4711</v>
      </c>
      <c r="D107" s="10">
        <v>1</v>
      </c>
      <c r="E107" s="10">
        <v>0</v>
      </c>
      <c r="F107" s="24">
        <v>1438</v>
      </c>
      <c r="G107" s="10" t="s">
        <v>4695</v>
      </c>
      <c r="H107" s="10" t="s">
        <v>4695</v>
      </c>
      <c r="I107" s="10" t="s">
        <v>4708</v>
      </c>
      <c r="J107" s="17">
        <f t="shared" si="0"/>
        <v>36770</v>
      </c>
      <c r="K107" s="10">
        <f t="shared" ca="1" si="1"/>
        <v>25</v>
      </c>
      <c r="L107" s="6"/>
      <c r="M107" s="6"/>
      <c r="N107" s="6"/>
      <c r="O107" s="6"/>
      <c r="P107" s="6"/>
      <c r="Q107" s="6"/>
      <c r="R107" s="6"/>
      <c r="S107" s="6"/>
      <c r="T107" s="6"/>
      <c r="U107" s="6"/>
      <c r="V107" s="6"/>
      <c r="W107" s="6"/>
      <c r="X107" s="6"/>
      <c r="Y107" s="6"/>
      <c r="Z107" s="6"/>
    </row>
    <row r="108" spans="1:26" ht="15.75" customHeight="1" x14ac:dyDescent="0.3">
      <c r="A108" s="10" t="s">
        <v>4462</v>
      </c>
      <c r="B108" s="10">
        <v>1997</v>
      </c>
      <c r="C108" s="10" t="s">
        <v>4710</v>
      </c>
      <c r="D108" s="10">
        <v>19</v>
      </c>
      <c r="E108" s="10">
        <v>0</v>
      </c>
      <c r="F108" s="24">
        <v>1445</v>
      </c>
      <c r="G108" s="10" t="s">
        <v>4695</v>
      </c>
      <c r="H108" s="10" t="s">
        <v>4694</v>
      </c>
      <c r="I108" s="10" t="s">
        <v>4708</v>
      </c>
      <c r="J108" s="17">
        <f t="shared" si="0"/>
        <v>35600</v>
      </c>
      <c r="K108" s="10">
        <f t="shared" ca="1" si="1"/>
        <v>28</v>
      </c>
      <c r="L108" s="6"/>
      <c r="M108" s="6"/>
      <c r="N108" s="6"/>
      <c r="O108" s="6"/>
      <c r="P108" s="6"/>
      <c r="Q108" s="6"/>
      <c r="R108" s="6"/>
      <c r="S108" s="6"/>
      <c r="T108" s="6"/>
      <c r="U108" s="6"/>
      <c r="V108" s="6"/>
      <c r="W108" s="6"/>
      <c r="X108" s="6"/>
      <c r="Y108" s="6"/>
      <c r="Z108" s="6"/>
    </row>
    <row r="109" spans="1:26" ht="15.75" customHeight="1" x14ac:dyDescent="0.3">
      <c r="A109" s="10" t="s">
        <v>4460</v>
      </c>
      <c r="B109" s="10">
        <v>2003</v>
      </c>
      <c r="C109" s="10" t="s">
        <v>4710</v>
      </c>
      <c r="D109" s="10">
        <v>20</v>
      </c>
      <c r="E109" s="10">
        <v>0</v>
      </c>
      <c r="F109" s="24">
        <v>1467</v>
      </c>
      <c r="G109" s="10" t="s">
        <v>4695</v>
      </c>
      <c r="H109" s="10" t="s">
        <v>4695</v>
      </c>
      <c r="I109" s="10" t="s">
        <v>4708</v>
      </c>
      <c r="J109" s="17">
        <f t="shared" si="0"/>
        <v>37792</v>
      </c>
      <c r="K109" s="10">
        <f t="shared" ca="1" si="1"/>
        <v>22</v>
      </c>
      <c r="L109" s="6"/>
      <c r="M109" s="6"/>
      <c r="N109" s="6"/>
      <c r="O109" s="6"/>
      <c r="P109" s="6"/>
      <c r="Q109" s="6"/>
      <c r="R109" s="6"/>
      <c r="S109" s="6"/>
      <c r="T109" s="6"/>
      <c r="U109" s="6"/>
      <c r="V109" s="6"/>
      <c r="W109" s="6"/>
      <c r="X109" s="6"/>
      <c r="Y109" s="6"/>
      <c r="Z109" s="6"/>
    </row>
    <row r="110" spans="1:26" ht="15.75" customHeight="1" x14ac:dyDescent="0.3">
      <c r="A110" s="10" t="s">
        <v>4458</v>
      </c>
      <c r="B110" s="10">
        <v>1998</v>
      </c>
      <c r="C110" s="10" t="s">
        <v>4713</v>
      </c>
      <c r="D110" s="10">
        <v>7</v>
      </c>
      <c r="E110" s="10">
        <v>0</v>
      </c>
      <c r="F110" s="24">
        <v>1477</v>
      </c>
      <c r="G110" s="10" t="s">
        <v>4695</v>
      </c>
      <c r="H110" s="10" t="s">
        <v>4694</v>
      </c>
      <c r="I110" s="10" t="s">
        <v>4708</v>
      </c>
      <c r="J110" s="17">
        <f t="shared" si="0"/>
        <v>36136</v>
      </c>
      <c r="K110" s="10">
        <f t="shared" ca="1" si="1"/>
        <v>26</v>
      </c>
      <c r="L110" s="6"/>
      <c r="M110" s="6"/>
      <c r="N110" s="6"/>
      <c r="O110" s="6"/>
      <c r="P110" s="6"/>
      <c r="Q110" s="6"/>
      <c r="R110" s="6"/>
      <c r="S110" s="6"/>
      <c r="T110" s="6"/>
      <c r="U110" s="6"/>
      <c r="V110" s="6"/>
      <c r="W110" s="6"/>
      <c r="X110" s="6"/>
      <c r="Y110" s="6"/>
      <c r="Z110" s="6"/>
    </row>
    <row r="111" spans="1:26" ht="15.75" customHeight="1" x14ac:dyDescent="0.3">
      <c r="A111" s="10" t="s">
        <v>4456</v>
      </c>
      <c r="B111" s="10">
        <v>1997</v>
      </c>
      <c r="C111" s="10" t="s">
        <v>4710</v>
      </c>
      <c r="D111" s="10">
        <v>9</v>
      </c>
      <c r="E111" s="10">
        <v>0</v>
      </c>
      <c r="F111" s="24">
        <v>1481</v>
      </c>
      <c r="G111" s="10" t="s">
        <v>4695</v>
      </c>
      <c r="H111" s="10" t="s">
        <v>4694</v>
      </c>
      <c r="I111" s="10" t="s">
        <v>4712</v>
      </c>
      <c r="J111" s="17">
        <f t="shared" si="0"/>
        <v>35590</v>
      </c>
      <c r="K111" s="10">
        <f t="shared" ca="1" si="1"/>
        <v>28</v>
      </c>
      <c r="L111" s="6"/>
      <c r="M111" s="6"/>
      <c r="N111" s="6"/>
      <c r="O111" s="6"/>
      <c r="P111" s="6"/>
      <c r="Q111" s="6"/>
      <c r="R111" s="6"/>
      <c r="S111" s="6"/>
      <c r="T111" s="6"/>
      <c r="U111" s="6"/>
      <c r="V111" s="6"/>
      <c r="W111" s="6"/>
      <c r="X111" s="6"/>
      <c r="Y111" s="6"/>
      <c r="Z111" s="6"/>
    </row>
    <row r="112" spans="1:26" ht="15.75" customHeight="1" x14ac:dyDescent="0.3">
      <c r="A112" s="10" t="s">
        <v>4454</v>
      </c>
      <c r="B112" s="10">
        <v>1995</v>
      </c>
      <c r="C112" s="10" t="s">
        <v>4715</v>
      </c>
      <c r="D112" s="10">
        <v>7</v>
      </c>
      <c r="E112" s="10">
        <v>0</v>
      </c>
      <c r="F112" s="24">
        <v>1493</v>
      </c>
      <c r="G112" s="10" t="s">
        <v>4695</v>
      </c>
      <c r="H112" s="10" t="s">
        <v>4696</v>
      </c>
      <c r="I112" s="10" t="s">
        <v>4708</v>
      </c>
      <c r="J112" s="17">
        <f t="shared" si="0"/>
        <v>34979</v>
      </c>
      <c r="K112" s="10">
        <f t="shared" ca="1" si="1"/>
        <v>30</v>
      </c>
      <c r="L112" s="6"/>
      <c r="M112" s="6"/>
      <c r="N112" s="6"/>
      <c r="O112" s="6"/>
      <c r="P112" s="6"/>
      <c r="Q112" s="6"/>
      <c r="R112" s="6"/>
      <c r="S112" s="6"/>
      <c r="T112" s="6"/>
      <c r="U112" s="6"/>
      <c r="V112" s="6"/>
      <c r="W112" s="6"/>
      <c r="X112" s="6"/>
      <c r="Y112" s="6"/>
      <c r="Z112" s="6"/>
    </row>
    <row r="113" spans="1:26" ht="15.75" customHeight="1" x14ac:dyDescent="0.3">
      <c r="A113" s="10" t="s">
        <v>4452</v>
      </c>
      <c r="B113" s="10">
        <v>1998</v>
      </c>
      <c r="C113" s="10" t="s">
        <v>4710</v>
      </c>
      <c r="D113" s="10">
        <v>19</v>
      </c>
      <c r="E113" s="10">
        <v>0</v>
      </c>
      <c r="F113" s="24">
        <v>1497</v>
      </c>
      <c r="G113" s="10" t="s">
        <v>4695</v>
      </c>
      <c r="H113" s="10" t="s">
        <v>4695</v>
      </c>
      <c r="I113" s="10" t="s">
        <v>4708</v>
      </c>
      <c r="J113" s="17">
        <f t="shared" si="0"/>
        <v>35965</v>
      </c>
      <c r="K113" s="10">
        <f t="shared" ca="1" si="1"/>
        <v>27</v>
      </c>
      <c r="L113" s="6"/>
      <c r="M113" s="6"/>
      <c r="N113" s="6"/>
      <c r="O113" s="6"/>
      <c r="P113" s="6"/>
      <c r="Q113" s="6"/>
      <c r="R113" s="6"/>
      <c r="S113" s="6"/>
      <c r="T113" s="6"/>
      <c r="U113" s="6"/>
      <c r="V113" s="6"/>
      <c r="W113" s="6"/>
      <c r="X113" s="6"/>
      <c r="Y113" s="6"/>
      <c r="Z113" s="6"/>
    </row>
    <row r="114" spans="1:26" ht="15.75" customHeight="1" x14ac:dyDescent="0.3">
      <c r="A114" s="10" t="s">
        <v>4450</v>
      </c>
      <c r="B114" s="10">
        <v>2001</v>
      </c>
      <c r="C114" s="10" t="s">
        <v>4714</v>
      </c>
      <c r="D114" s="10">
        <v>25</v>
      </c>
      <c r="E114" s="10">
        <v>0</v>
      </c>
      <c r="F114" s="24">
        <v>1515.34</v>
      </c>
      <c r="G114" s="10" t="s">
        <v>4695</v>
      </c>
      <c r="H114" s="10" t="s">
        <v>4696</v>
      </c>
      <c r="I114" s="10" t="s">
        <v>4708</v>
      </c>
      <c r="J114" s="17">
        <f t="shared" si="0"/>
        <v>37128</v>
      </c>
      <c r="K114" s="10">
        <f t="shared" ca="1" si="1"/>
        <v>24</v>
      </c>
      <c r="L114" s="6"/>
      <c r="M114" s="6"/>
      <c r="N114" s="6"/>
      <c r="O114" s="6"/>
      <c r="P114" s="6"/>
      <c r="Q114" s="6"/>
      <c r="R114" s="6"/>
      <c r="S114" s="6"/>
      <c r="T114" s="6"/>
      <c r="U114" s="6"/>
      <c r="V114" s="6"/>
      <c r="W114" s="6"/>
      <c r="X114" s="6"/>
      <c r="Y114" s="6"/>
      <c r="Z114" s="6"/>
    </row>
    <row r="115" spans="1:26" ht="15.75" customHeight="1" x14ac:dyDescent="0.3">
      <c r="A115" s="10" t="s">
        <v>4448</v>
      </c>
      <c r="B115" s="10">
        <v>2001</v>
      </c>
      <c r="C115" s="10" t="s">
        <v>4707</v>
      </c>
      <c r="D115" s="10">
        <v>7</v>
      </c>
      <c r="E115" s="10">
        <v>0</v>
      </c>
      <c r="F115" s="24">
        <v>1526.31</v>
      </c>
      <c r="G115" s="10" t="s">
        <v>4695</v>
      </c>
      <c r="H115" s="10" t="s">
        <v>4696</v>
      </c>
      <c r="I115" s="10" t="s">
        <v>4716</v>
      </c>
      <c r="J115" s="17">
        <f t="shared" si="0"/>
        <v>37079</v>
      </c>
      <c r="K115" s="10">
        <f t="shared" ca="1" si="1"/>
        <v>24</v>
      </c>
      <c r="L115" s="6"/>
      <c r="M115" s="6"/>
      <c r="N115" s="6"/>
      <c r="O115" s="6"/>
      <c r="P115" s="6"/>
      <c r="Q115" s="6"/>
      <c r="R115" s="6"/>
      <c r="S115" s="6"/>
      <c r="T115" s="6"/>
      <c r="U115" s="6"/>
      <c r="V115" s="6"/>
      <c r="W115" s="6"/>
      <c r="X115" s="6"/>
      <c r="Y115" s="6"/>
      <c r="Z115" s="6"/>
    </row>
    <row r="116" spans="1:26" ht="15.75" customHeight="1" x14ac:dyDescent="0.3">
      <c r="A116" s="10" t="s">
        <v>4446</v>
      </c>
      <c r="B116" s="10">
        <v>2001</v>
      </c>
      <c r="C116" s="10" t="s">
        <v>4710</v>
      </c>
      <c r="D116" s="10">
        <v>2</v>
      </c>
      <c r="E116" s="10">
        <v>0</v>
      </c>
      <c r="F116" s="24">
        <v>1532.47</v>
      </c>
      <c r="G116" s="10" t="s">
        <v>4695</v>
      </c>
      <c r="H116" s="10" t="s">
        <v>4695</v>
      </c>
      <c r="I116" s="10" t="s">
        <v>4708</v>
      </c>
      <c r="J116" s="17">
        <f t="shared" si="0"/>
        <v>37044</v>
      </c>
      <c r="K116" s="10">
        <f t="shared" ca="1" si="1"/>
        <v>24</v>
      </c>
      <c r="L116" s="6"/>
      <c r="M116" s="6"/>
      <c r="N116" s="6"/>
      <c r="O116" s="6"/>
      <c r="P116" s="6"/>
      <c r="Q116" s="6"/>
      <c r="R116" s="6"/>
      <c r="S116" s="6"/>
      <c r="T116" s="6"/>
      <c r="U116" s="6"/>
      <c r="V116" s="6"/>
      <c r="W116" s="6"/>
      <c r="X116" s="6"/>
      <c r="Y116" s="6"/>
      <c r="Z116" s="6"/>
    </row>
    <row r="117" spans="1:26" ht="15.75" customHeight="1" x14ac:dyDescent="0.3">
      <c r="A117" s="10" t="s">
        <v>4444</v>
      </c>
      <c r="B117" s="10">
        <v>2001</v>
      </c>
      <c r="C117" s="10" t="s">
        <v>4713</v>
      </c>
      <c r="D117" s="10">
        <v>5</v>
      </c>
      <c r="E117" s="10">
        <v>0</v>
      </c>
      <c r="F117" s="24">
        <v>1534.3</v>
      </c>
      <c r="G117" s="10" t="s">
        <v>4695</v>
      </c>
      <c r="H117" s="10" t="s">
        <v>4695</v>
      </c>
      <c r="I117" s="10" t="s">
        <v>4708</v>
      </c>
      <c r="J117" s="17">
        <f t="shared" si="0"/>
        <v>37230</v>
      </c>
      <c r="K117" s="10">
        <f t="shared" ca="1" si="1"/>
        <v>23</v>
      </c>
      <c r="L117" s="6"/>
      <c r="M117" s="6"/>
      <c r="N117" s="6"/>
      <c r="O117" s="6"/>
      <c r="P117" s="6"/>
      <c r="Q117" s="6"/>
      <c r="R117" s="6"/>
      <c r="S117" s="6"/>
      <c r="T117" s="6"/>
      <c r="U117" s="6"/>
      <c r="V117" s="6"/>
      <c r="W117" s="6"/>
      <c r="X117" s="6"/>
      <c r="Y117" s="6"/>
      <c r="Z117" s="6"/>
    </row>
    <row r="118" spans="1:26" ht="15.75" customHeight="1" x14ac:dyDescent="0.3">
      <c r="A118" s="10" t="s">
        <v>4442</v>
      </c>
      <c r="B118" s="10">
        <v>1992</v>
      </c>
      <c r="C118" s="10" t="s">
        <v>4711</v>
      </c>
      <c r="D118" s="10">
        <v>22</v>
      </c>
      <c r="E118" s="10">
        <v>0</v>
      </c>
      <c r="F118" s="24">
        <v>1566.88</v>
      </c>
      <c r="G118" s="10" t="s">
        <v>4695</v>
      </c>
      <c r="H118" s="10" t="s">
        <v>4694</v>
      </c>
      <c r="I118" s="10" t="s">
        <v>4708</v>
      </c>
      <c r="J118" s="17">
        <f t="shared" si="0"/>
        <v>33869</v>
      </c>
      <c r="K118" s="10">
        <f t="shared" ca="1" si="1"/>
        <v>33</v>
      </c>
      <c r="L118" s="6"/>
      <c r="M118" s="6"/>
      <c r="N118" s="6"/>
      <c r="O118" s="6"/>
      <c r="P118" s="6"/>
      <c r="Q118" s="6"/>
      <c r="R118" s="6"/>
      <c r="S118" s="6"/>
      <c r="T118" s="6"/>
      <c r="U118" s="6"/>
      <c r="V118" s="6"/>
      <c r="W118" s="6"/>
      <c r="X118" s="6"/>
      <c r="Y118" s="6"/>
      <c r="Z118" s="6"/>
    </row>
    <row r="119" spans="1:26" ht="15.75" customHeight="1" x14ac:dyDescent="0.3">
      <c r="A119" s="10" t="s">
        <v>4440</v>
      </c>
      <c r="B119" s="10">
        <v>2004</v>
      </c>
      <c r="C119" s="10" t="s">
        <v>4709</v>
      </c>
      <c r="D119" s="10">
        <v>19</v>
      </c>
      <c r="E119" s="10">
        <v>0</v>
      </c>
      <c r="F119" s="24">
        <v>1607.51</v>
      </c>
      <c r="G119" s="10" t="s">
        <v>4695</v>
      </c>
      <c r="H119" s="10" t="s">
        <v>4696</v>
      </c>
      <c r="I119" s="10" t="s">
        <v>4708</v>
      </c>
      <c r="J119" s="17">
        <f t="shared" si="0"/>
        <v>38310</v>
      </c>
      <c r="K119" s="10">
        <f t="shared" ca="1" si="1"/>
        <v>21</v>
      </c>
      <c r="L119" s="6"/>
      <c r="M119" s="6"/>
      <c r="N119" s="6"/>
      <c r="O119" s="6"/>
      <c r="P119" s="6"/>
      <c r="Q119" s="6"/>
      <c r="R119" s="6"/>
      <c r="S119" s="6"/>
      <c r="T119" s="6"/>
      <c r="U119" s="6"/>
      <c r="V119" s="6"/>
      <c r="W119" s="6"/>
      <c r="X119" s="6"/>
      <c r="Y119" s="6"/>
      <c r="Z119" s="6"/>
    </row>
    <row r="120" spans="1:26" ht="15.75" customHeight="1" x14ac:dyDescent="0.3">
      <c r="A120" s="10" t="s">
        <v>4438</v>
      </c>
      <c r="B120" s="10">
        <v>2004</v>
      </c>
      <c r="C120" s="10" t="s">
        <v>4707</v>
      </c>
      <c r="D120" s="10">
        <v>22</v>
      </c>
      <c r="E120" s="10">
        <v>0</v>
      </c>
      <c r="F120" s="24">
        <v>1615.77</v>
      </c>
      <c r="G120" s="10" t="s">
        <v>4695</v>
      </c>
      <c r="H120" s="10" t="s">
        <v>4694</v>
      </c>
      <c r="I120" s="10" t="s">
        <v>4708</v>
      </c>
      <c r="J120" s="17">
        <f t="shared" si="0"/>
        <v>38190</v>
      </c>
      <c r="K120" s="10">
        <f t="shared" ca="1" si="1"/>
        <v>21</v>
      </c>
      <c r="L120" s="6"/>
      <c r="M120" s="6"/>
      <c r="N120" s="6"/>
      <c r="O120" s="6"/>
      <c r="P120" s="6"/>
      <c r="Q120" s="6"/>
      <c r="R120" s="6"/>
      <c r="S120" s="6"/>
      <c r="T120" s="6"/>
      <c r="U120" s="6"/>
      <c r="V120" s="6"/>
      <c r="W120" s="6"/>
      <c r="X120" s="6"/>
      <c r="Y120" s="6"/>
      <c r="Z120" s="6"/>
    </row>
    <row r="121" spans="1:26" ht="15.75" customHeight="1" x14ac:dyDescent="0.3">
      <c r="A121" s="10" t="s">
        <v>4436</v>
      </c>
      <c r="B121" s="10">
        <v>1995</v>
      </c>
      <c r="C121" s="10" t="s">
        <v>4714</v>
      </c>
      <c r="D121" s="10">
        <v>5</v>
      </c>
      <c r="E121" s="10">
        <v>0</v>
      </c>
      <c r="F121" s="24">
        <v>1617.16</v>
      </c>
      <c r="G121" s="10" t="s">
        <v>4695</v>
      </c>
      <c r="H121" s="10" t="s">
        <v>4694</v>
      </c>
      <c r="I121" s="10" t="s">
        <v>4708</v>
      </c>
      <c r="J121" s="17">
        <f t="shared" si="0"/>
        <v>34916</v>
      </c>
      <c r="K121" s="10">
        <f t="shared" ca="1" si="1"/>
        <v>30</v>
      </c>
      <c r="L121" s="6"/>
      <c r="M121" s="6"/>
      <c r="N121" s="6"/>
      <c r="O121" s="6"/>
      <c r="P121" s="6"/>
      <c r="Q121" s="6"/>
      <c r="R121" s="6"/>
      <c r="S121" s="6"/>
      <c r="T121" s="6"/>
      <c r="U121" s="6"/>
      <c r="V121" s="6"/>
      <c r="W121" s="6"/>
      <c r="X121" s="6"/>
      <c r="Y121" s="6"/>
      <c r="Z121" s="6"/>
    </row>
    <row r="122" spans="1:26" ht="15.75" customHeight="1" x14ac:dyDescent="0.3">
      <c r="A122" s="10" t="s">
        <v>4434</v>
      </c>
      <c r="B122" s="10">
        <v>2003</v>
      </c>
      <c r="C122" s="10" t="s">
        <v>4711</v>
      </c>
      <c r="D122" s="10">
        <v>14</v>
      </c>
      <c r="E122" s="10">
        <v>0</v>
      </c>
      <c r="F122" s="24">
        <v>1621.34</v>
      </c>
      <c r="G122" s="10" t="s">
        <v>4695</v>
      </c>
      <c r="H122" s="10" t="s">
        <v>4695</v>
      </c>
      <c r="I122" s="10" t="s">
        <v>4712</v>
      </c>
      <c r="J122" s="17">
        <f t="shared" si="0"/>
        <v>37878</v>
      </c>
      <c r="K122" s="10">
        <f t="shared" ca="1" si="1"/>
        <v>22</v>
      </c>
      <c r="L122" s="6"/>
      <c r="M122" s="6"/>
      <c r="N122" s="6"/>
      <c r="O122" s="6"/>
      <c r="P122" s="6"/>
      <c r="Q122" s="6"/>
      <c r="R122" s="6"/>
      <c r="S122" s="6"/>
      <c r="T122" s="6"/>
      <c r="U122" s="6"/>
      <c r="V122" s="6"/>
      <c r="W122" s="6"/>
      <c r="X122" s="6"/>
      <c r="Y122" s="6"/>
      <c r="Z122" s="6"/>
    </row>
    <row r="123" spans="1:26" ht="15.75" customHeight="1" x14ac:dyDescent="0.3">
      <c r="A123" s="10" t="s">
        <v>4432</v>
      </c>
      <c r="B123" s="10">
        <v>2004</v>
      </c>
      <c r="C123" s="10" t="s">
        <v>4714</v>
      </c>
      <c r="D123" s="10">
        <v>21</v>
      </c>
      <c r="E123" s="10">
        <v>0</v>
      </c>
      <c r="F123" s="24">
        <v>1621.88</v>
      </c>
      <c r="G123" s="10" t="s">
        <v>4695</v>
      </c>
      <c r="H123" s="10" t="s">
        <v>4695</v>
      </c>
      <c r="I123" s="10" t="s">
        <v>4708</v>
      </c>
      <c r="J123" s="17">
        <f t="shared" si="0"/>
        <v>38220</v>
      </c>
      <c r="K123" s="10">
        <f t="shared" ca="1" si="1"/>
        <v>21</v>
      </c>
      <c r="L123" s="6"/>
      <c r="M123" s="6"/>
      <c r="N123" s="6"/>
      <c r="O123" s="6"/>
      <c r="P123" s="6"/>
      <c r="Q123" s="6"/>
      <c r="R123" s="6"/>
      <c r="S123" s="6"/>
      <c r="T123" s="6"/>
      <c r="U123" s="6"/>
      <c r="V123" s="6"/>
      <c r="W123" s="6"/>
      <c r="X123" s="6"/>
      <c r="Y123" s="6"/>
      <c r="Z123" s="6"/>
    </row>
    <row r="124" spans="1:26" ht="15.75" customHeight="1" x14ac:dyDescent="0.3">
      <c r="A124" s="10" t="s">
        <v>4430</v>
      </c>
      <c r="B124" s="10">
        <v>2004</v>
      </c>
      <c r="C124" s="10" t="s">
        <v>4707</v>
      </c>
      <c r="D124" s="10">
        <v>25</v>
      </c>
      <c r="E124" s="10">
        <v>0</v>
      </c>
      <c r="F124" s="24">
        <v>1622.19</v>
      </c>
      <c r="G124" s="10" t="s">
        <v>4695</v>
      </c>
      <c r="H124" s="10" t="s">
        <v>4694</v>
      </c>
      <c r="I124" s="10" t="s">
        <v>4708</v>
      </c>
      <c r="J124" s="17">
        <f t="shared" si="0"/>
        <v>38193</v>
      </c>
      <c r="K124" s="10">
        <f t="shared" ca="1" si="1"/>
        <v>21</v>
      </c>
      <c r="L124" s="6"/>
      <c r="M124" s="6"/>
      <c r="N124" s="6"/>
      <c r="O124" s="6"/>
      <c r="P124" s="6"/>
      <c r="Q124" s="6"/>
      <c r="R124" s="6"/>
      <c r="S124" s="6"/>
      <c r="T124" s="6"/>
      <c r="U124" s="6"/>
      <c r="V124" s="6"/>
      <c r="W124" s="6"/>
      <c r="X124" s="6"/>
      <c r="Y124" s="6"/>
      <c r="Z124" s="6"/>
    </row>
    <row r="125" spans="1:26" ht="15.75" customHeight="1" x14ac:dyDescent="0.3">
      <c r="A125" s="10" t="s">
        <v>4428</v>
      </c>
      <c r="B125" s="10">
        <v>2003</v>
      </c>
      <c r="C125" s="10" t="s">
        <v>4711</v>
      </c>
      <c r="D125" s="10">
        <v>9</v>
      </c>
      <c r="E125" s="10">
        <v>0</v>
      </c>
      <c r="F125" s="24">
        <v>1625.43</v>
      </c>
      <c r="G125" s="10" t="s">
        <v>4695</v>
      </c>
      <c r="H125" s="10" t="s">
        <v>4696</v>
      </c>
      <c r="I125" s="10" t="s">
        <v>4712</v>
      </c>
      <c r="J125" s="17">
        <f t="shared" si="0"/>
        <v>37873</v>
      </c>
      <c r="K125" s="10">
        <f t="shared" ca="1" si="1"/>
        <v>22</v>
      </c>
      <c r="L125" s="6"/>
      <c r="M125" s="6"/>
      <c r="N125" s="6"/>
      <c r="O125" s="6"/>
      <c r="P125" s="6"/>
      <c r="Q125" s="6"/>
      <c r="R125" s="6"/>
      <c r="S125" s="6"/>
      <c r="T125" s="6"/>
      <c r="U125" s="6"/>
      <c r="V125" s="6"/>
      <c r="W125" s="6"/>
      <c r="X125" s="6"/>
      <c r="Y125" s="6"/>
      <c r="Z125" s="6"/>
    </row>
    <row r="126" spans="1:26" ht="15.75" customHeight="1" x14ac:dyDescent="0.3">
      <c r="A126" s="10" t="s">
        <v>4426</v>
      </c>
      <c r="B126" s="10">
        <v>2003</v>
      </c>
      <c r="C126" s="10" t="s">
        <v>4713</v>
      </c>
      <c r="D126" s="10">
        <v>4</v>
      </c>
      <c r="E126" s="10">
        <v>0</v>
      </c>
      <c r="F126" s="24">
        <v>1627.28</v>
      </c>
      <c r="G126" s="10" t="s">
        <v>4695</v>
      </c>
      <c r="H126" s="10" t="s">
        <v>4695</v>
      </c>
      <c r="I126" s="10" t="s">
        <v>4712</v>
      </c>
      <c r="J126" s="17">
        <f t="shared" si="0"/>
        <v>37959</v>
      </c>
      <c r="K126" s="10">
        <f t="shared" ca="1" si="1"/>
        <v>21</v>
      </c>
      <c r="L126" s="6"/>
      <c r="M126" s="6"/>
      <c r="N126" s="6"/>
      <c r="O126" s="6"/>
      <c r="P126" s="6"/>
      <c r="Q126" s="6"/>
      <c r="R126" s="6"/>
      <c r="S126" s="6"/>
      <c r="T126" s="6"/>
      <c r="U126" s="6"/>
      <c r="V126" s="6"/>
      <c r="W126" s="6"/>
      <c r="X126" s="6"/>
      <c r="Y126" s="6"/>
      <c r="Z126" s="6"/>
    </row>
    <row r="127" spans="1:26" ht="15.75" customHeight="1" x14ac:dyDescent="0.3">
      <c r="A127" s="10" t="s">
        <v>4424</v>
      </c>
      <c r="B127" s="10">
        <v>2003</v>
      </c>
      <c r="C127" s="10" t="s">
        <v>4707</v>
      </c>
      <c r="D127" s="10">
        <v>17</v>
      </c>
      <c r="E127" s="10">
        <v>0</v>
      </c>
      <c r="F127" s="24">
        <v>1628.47</v>
      </c>
      <c r="G127" s="10" t="s">
        <v>4695</v>
      </c>
      <c r="H127" s="10" t="s">
        <v>4694</v>
      </c>
      <c r="I127" s="10" t="s">
        <v>4712</v>
      </c>
      <c r="J127" s="17">
        <f t="shared" si="0"/>
        <v>37819</v>
      </c>
      <c r="K127" s="10">
        <f t="shared" ca="1" si="1"/>
        <v>22</v>
      </c>
      <c r="L127" s="6"/>
      <c r="M127" s="6"/>
      <c r="N127" s="6"/>
      <c r="O127" s="6"/>
      <c r="P127" s="6"/>
      <c r="Q127" s="6"/>
      <c r="R127" s="6"/>
      <c r="S127" s="6"/>
      <c r="T127" s="6"/>
      <c r="U127" s="6"/>
      <c r="V127" s="6"/>
      <c r="W127" s="6"/>
      <c r="X127" s="6"/>
      <c r="Y127" s="6"/>
      <c r="Z127" s="6"/>
    </row>
    <row r="128" spans="1:26" ht="15.75" customHeight="1" x14ac:dyDescent="0.3">
      <c r="A128" s="10" t="s">
        <v>4422</v>
      </c>
      <c r="B128" s="10">
        <v>2004</v>
      </c>
      <c r="C128" s="10" t="s">
        <v>4715</v>
      </c>
      <c r="D128" s="10">
        <v>4</v>
      </c>
      <c r="E128" s="10">
        <v>0</v>
      </c>
      <c r="F128" s="24">
        <v>1629.83</v>
      </c>
      <c r="G128" s="10" t="s">
        <v>4695</v>
      </c>
      <c r="H128" s="10" t="s">
        <v>4695</v>
      </c>
      <c r="I128" s="10" t="s">
        <v>4708</v>
      </c>
      <c r="J128" s="17">
        <f t="shared" si="0"/>
        <v>38264</v>
      </c>
      <c r="K128" s="10">
        <f t="shared" ca="1" si="1"/>
        <v>21</v>
      </c>
      <c r="L128" s="6"/>
      <c r="M128" s="6"/>
      <c r="N128" s="6"/>
      <c r="O128" s="6"/>
      <c r="P128" s="6"/>
      <c r="Q128" s="6"/>
      <c r="R128" s="6"/>
      <c r="S128" s="6"/>
      <c r="T128" s="6"/>
      <c r="U128" s="6"/>
      <c r="V128" s="6"/>
      <c r="W128" s="6"/>
      <c r="X128" s="6"/>
      <c r="Y128" s="6"/>
      <c r="Z128" s="6"/>
    </row>
    <row r="129" spans="1:26" ht="15.75" customHeight="1" x14ac:dyDescent="0.3">
      <c r="A129" s="10" t="s">
        <v>4420</v>
      </c>
      <c r="B129" s="10">
        <v>2004</v>
      </c>
      <c r="C129" s="10" t="s">
        <v>4713</v>
      </c>
      <c r="D129" s="10">
        <v>5</v>
      </c>
      <c r="E129" s="10">
        <v>0</v>
      </c>
      <c r="F129" s="24">
        <v>1631.67</v>
      </c>
      <c r="G129" s="10" t="s">
        <v>4695</v>
      </c>
      <c r="H129" s="10" t="s">
        <v>4696</v>
      </c>
      <c r="I129" s="10" t="s">
        <v>4708</v>
      </c>
      <c r="J129" s="17">
        <f t="shared" si="0"/>
        <v>38326</v>
      </c>
      <c r="K129" s="10">
        <f t="shared" ca="1" si="1"/>
        <v>20</v>
      </c>
      <c r="L129" s="6"/>
      <c r="M129" s="6"/>
      <c r="N129" s="6"/>
      <c r="O129" s="6"/>
      <c r="P129" s="6"/>
      <c r="Q129" s="6"/>
      <c r="R129" s="6"/>
      <c r="S129" s="6"/>
      <c r="T129" s="6"/>
      <c r="U129" s="6"/>
      <c r="V129" s="6"/>
      <c r="W129" s="6"/>
      <c r="X129" s="6"/>
      <c r="Y129" s="6"/>
      <c r="Z129" s="6"/>
    </row>
    <row r="130" spans="1:26" ht="15.75" customHeight="1" x14ac:dyDescent="0.3">
      <c r="A130" s="10" t="s">
        <v>4418</v>
      </c>
      <c r="B130" s="10">
        <v>2004</v>
      </c>
      <c r="C130" s="10" t="s">
        <v>4707</v>
      </c>
      <c r="D130" s="10">
        <v>9</v>
      </c>
      <c r="E130" s="10">
        <v>0</v>
      </c>
      <c r="F130" s="24">
        <v>1631.82</v>
      </c>
      <c r="G130" s="10" t="s">
        <v>4695</v>
      </c>
      <c r="H130" s="10" t="s">
        <v>4694</v>
      </c>
      <c r="I130" s="10" t="s">
        <v>4708</v>
      </c>
      <c r="J130" s="17">
        <f t="shared" si="0"/>
        <v>38177</v>
      </c>
      <c r="K130" s="10">
        <f t="shared" ca="1" si="1"/>
        <v>21</v>
      </c>
      <c r="L130" s="6"/>
      <c r="M130" s="6"/>
      <c r="N130" s="6"/>
      <c r="O130" s="6"/>
      <c r="P130" s="6"/>
      <c r="Q130" s="6"/>
      <c r="R130" s="6"/>
      <c r="S130" s="6"/>
      <c r="T130" s="6"/>
      <c r="U130" s="6"/>
      <c r="V130" s="6"/>
      <c r="W130" s="6"/>
      <c r="X130" s="6"/>
      <c r="Y130" s="6"/>
      <c r="Z130" s="6"/>
    </row>
    <row r="131" spans="1:26" ht="15.75" customHeight="1" x14ac:dyDescent="0.3">
      <c r="A131" s="10" t="s">
        <v>4416</v>
      </c>
      <c r="B131" s="10">
        <v>2003</v>
      </c>
      <c r="C131" s="10" t="s">
        <v>4715</v>
      </c>
      <c r="D131" s="10">
        <v>3</v>
      </c>
      <c r="E131" s="10">
        <v>0</v>
      </c>
      <c r="F131" s="24">
        <v>1632.04</v>
      </c>
      <c r="G131" s="10" t="s">
        <v>4695</v>
      </c>
      <c r="H131" s="10" t="s">
        <v>4695</v>
      </c>
      <c r="I131" s="10" t="s">
        <v>4712</v>
      </c>
      <c r="J131" s="17">
        <f t="shared" si="0"/>
        <v>37897</v>
      </c>
      <c r="K131" s="10">
        <f t="shared" ca="1" si="1"/>
        <v>22</v>
      </c>
      <c r="L131" s="6"/>
      <c r="M131" s="6"/>
      <c r="N131" s="6"/>
      <c r="O131" s="6"/>
      <c r="P131" s="6"/>
      <c r="Q131" s="6"/>
      <c r="R131" s="6"/>
      <c r="S131" s="6"/>
      <c r="T131" s="6"/>
      <c r="U131" s="6"/>
      <c r="V131" s="6"/>
      <c r="W131" s="6"/>
      <c r="X131" s="6"/>
      <c r="Y131" s="6"/>
      <c r="Z131" s="6"/>
    </row>
    <row r="132" spans="1:26" ht="15.75" customHeight="1" x14ac:dyDescent="0.3">
      <c r="A132" s="10" t="s">
        <v>4414</v>
      </c>
      <c r="B132" s="10">
        <v>2003</v>
      </c>
      <c r="C132" s="10" t="s">
        <v>4711</v>
      </c>
      <c r="D132" s="10">
        <v>16</v>
      </c>
      <c r="E132" s="10">
        <v>0</v>
      </c>
      <c r="F132" s="24">
        <v>1632.56</v>
      </c>
      <c r="G132" s="10" t="s">
        <v>4695</v>
      </c>
      <c r="H132" s="10" t="s">
        <v>4695</v>
      </c>
      <c r="I132" s="10" t="s">
        <v>4712</v>
      </c>
      <c r="J132" s="17">
        <f t="shared" si="0"/>
        <v>37880</v>
      </c>
      <c r="K132" s="10">
        <f t="shared" ca="1" si="1"/>
        <v>22</v>
      </c>
      <c r="L132" s="6"/>
      <c r="M132" s="6"/>
      <c r="N132" s="6"/>
      <c r="O132" s="6"/>
      <c r="P132" s="6"/>
      <c r="Q132" s="6"/>
      <c r="R132" s="6"/>
      <c r="S132" s="6"/>
      <c r="T132" s="6"/>
      <c r="U132" s="6"/>
      <c r="V132" s="6"/>
      <c r="W132" s="6"/>
      <c r="X132" s="6"/>
      <c r="Y132" s="6"/>
      <c r="Z132" s="6"/>
    </row>
    <row r="133" spans="1:26" ht="15.75" customHeight="1" x14ac:dyDescent="0.3">
      <c r="A133" s="10" t="s">
        <v>4412</v>
      </c>
      <c r="B133" s="10">
        <v>2004</v>
      </c>
      <c r="C133" s="10" t="s">
        <v>4713</v>
      </c>
      <c r="D133" s="10">
        <v>13</v>
      </c>
      <c r="E133" s="10">
        <v>0</v>
      </c>
      <c r="F133" s="24">
        <v>1633.04</v>
      </c>
      <c r="G133" s="10" t="s">
        <v>4695</v>
      </c>
      <c r="H133" s="10" t="s">
        <v>4695</v>
      </c>
      <c r="I133" s="10" t="s">
        <v>4708</v>
      </c>
      <c r="J133" s="17">
        <f t="shared" si="0"/>
        <v>38334</v>
      </c>
      <c r="K133" s="10">
        <f t="shared" ca="1" si="1"/>
        <v>20</v>
      </c>
      <c r="L133" s="6"/>
      <c r="M133" s="6"/>
      <c r="N133" s="6"/>
      <c r="O133" s="6"/>
      <c r="P133" s="6"/>
      <c r="Q133" s="6"/>
      <c r="R133" s="6"/>
      <c r="S133" s="6"/>
      <c r="T133" s="6"/>
      <c r="U133" s="6"/>
      <c r="V133" s="6"/>
      <c r="W133" s="6"/>
      <c r="X133" s="6"/>
      <c r="Y133" s="6"/>
      <c r="Z133" s="6"/>
    </row>
    <row r="134" spans="1:26" ht="15.75" customHeight="1" x14ac:dyDescent="0.3">
      <c r="A134" s="10" t="s">
        <v>4410</v>
      </c>
      <c r="B134" s="10">
        <v>2004</v>
      </c>
      <c r="C134" s="10" t="s">
        <v>4714</v>
      </c>
      <c r="D134" s="10">
        <v>8</v>
      </c>
      <c r="E134" s="10">
        <v>0</v>
      </c>
      <c r="F134" s="24">
        <v>1633.96</v>
      </c>
      <c r="G134" s="10" t="s">
        <v>4695</v>
      </c>
      <c r="H134" s="10" t="s">
        <v>4694</v>
      </c>
      <c r="I134" s="10" t="s">
        <v>4708</v>
      </c>
      <c r="J134" s="17">
        <f t="shared" si="0"/>
        <v>38207</v>
      </c>
      <c r="K134" s="10">
        <f t="shared" ca="1" si="1"/>
        <v>21</v>
      </c>
      <c r="L134" s="6"/>
      <c r="M134" s="6"/>
      <c r="N134" s="6"/>
      <c r="O134" s="6"/>
      <c r="P134" s="6"/>
      <c r="Q134" s="6"/>
      <c r="R134" s="6"/>
      <c r="S134" s="6"/>
      <c r="T134" s="6"/>
      <c r="U134" s="6"/>
      <c r="V134" s="6"/>
      <c r="W134" s="6"/>
      <c r="X134" s="6"/>
      <c r="Y134" s="6"/>
      <c r="Z134" s="6"/>
    </row>
    <row r="135" spans="1:26" ht="15.75" customHeight="1" x14ac:dyDescent="0.3">
      <c r="A135" s="10" t="s">
        <v>4408</v>
      </c>
      <c r="B135" s="10">
        <v>2004</v>
      </c>
      <c r="C135" s="10" t="s">
        <v>4710</v>
      </c>
      <c r="D135" s="10">
        <v>13</v>
      </c>
      <c r="E135" s="10">
        <v>0</v>
      </c>
      <c r="F135" s="24">
        <v>1634.57</v>
      </c>
      <c r="G135" s="10" t="s">
        <v>4695</v>
      </c>
      <c r="H135" s="10" t="s">
        <v>4695</v>
      </c>
      <c r="I135" s="10" t="s">
        <v>4708</v>
      </c>
      <c r="J135" s="17">
        <f t="shared" si="0"/>
        <v>38151</v>
      </c>
      <c r="K135" s="10">
        <f t="shared" ca="1" si="1"/>
        <v>21</v>
      </c>
      <c r="L135" s="6"/>
      <c r="M135" s="6"/>
      <c r="N135" s="6"/>
      <c r="O135" s="6"/>
      <c r="P135" s="6"/>
      <c r="Q135" s="6"/>
      <c r="R135" s="6"/>
      <c r="S135" s="6"/>
      <c r="T135" s="6"/>
      <c r="U135" s="6"/>
      <c r="V135" s="6"/>
      <c r="W135" s="6"/>
      <c r="X135" s="6"/>
      <c r="Y135" s="6"/>
      <c r="Z135" s="6"/>
    </row>
    <row r="136" spans="1:26" ht="15.75" customHeight="1" x14ac:dyDescent="0.3">
      <c r="A136" s="10" t="s">
        <v>4406</v>
      </c>
      <c r="B136" s="10">
        <v>2003</v>
      </c>
      <c r="C136" s="10" t="s">
        <v>4713</v>
      </c>
      <c r="D136" s="10">
        <v>30</v>
      </c>
      <c r="E136" s="10">
        <v>0</v>
      </c>
      <c r="F136" s="24">
        <v>1635.73</v>
      </c>
      <c r="G136" s="10" t="s">
        <v>4695</v>
      </c>
      <c r="H136" s="10" t="s">
        <v>4696</v>
      </c>
      <c r="I136" s="10" t="s">
        <v>4712</v>
      </c>
      <c r="J136" s="17">
        <f t="shared" si="0"/>
        <v>37985</v>
      </c>
      <c r="K136" s="10">
        <f t="shared" ca="1" si="1"/>
        <v>21</v>
      </c>
      <c r="L136" s="6"/>
      <c r="M136" s="6"/>
      <c r="N136" s="6"/>
      <c r="O136" s="6"/>
      <c r="P136" s="6"/>
      <c r="Q136" s="6"/>
      <c r="R136" s="6"/>
      <c r="S136" s="6"/>
      <c r="T136" s="6"/>
      <c r="U136" s="6"/>
      <c r="V136" s="6"/>
      <c r="W136" s="6"/>
      <c r="X136" s="6"/>
      <c r="Y136" s="6"/>
      <c r="Z136" s="6"/>
    </row>
    <row r="137" spans="1:26" ht="15.75" customHeight="1" x14ac:dyDescent="0.3">
      <c r="A137" s="10" t="s">
        <v>4404</v>
      </c>
      <c r="B137" s="10">
        <v>2003</v>
      </c>
      <c r="C137" s="10" t="s">
        <v>4711</v>
      </c>
      <c r="D137" s="10">
        <v>16</v>
      </c>
      <c r="E137" s="10">
        <v>0</v>
      </c>
      <c r="F137" s="24">
        <v>1639.56</v>
      </c>
      <c r="G137" s="10" t="s">
        <v>4695</v>
      </c>
      <c r="H137" s="10" t="s">
        <v>4695</v>
      </c>
      <c r="I137" s="10" t="s">
        <v>4712</v>
      </c>
      <c r="J137" s="17">
        <f t="shared" si="0"/>
        <v>37880</v>
      </c>
      <c r="K137" s="10">
        <f t="shared" ca="1" si="1"/>
        <v>22</v>
      </c>
      <c r="L137" s="6"/>
      <c r="M137" s="6"/>
      <c r="N137" s="6"/>
      <c r="O137" s="6"/>
      <c r="P137" s="6"/>
      <c r="Q137" s="6"/>
      <c r="R137" s="6"/>
      <c r="S137" s="6"/>
      <c r="T137" s="6"/>
      <c r="U137" s="6"/>
      <c r="V137" s="6"/>
      <c r="W137" s="6"/>
      <c r="X137" s="6"/>
      <c r="Y137" s="6"/>
      <c r="Z137" s="6"/>
    </row>
    <row r="138" spans="1:26" ht="15.75" customHeight="1" x14ac:dyDescent="0.3">
      <c r="A138" s="10" t="s">
        <v>4402</v>
      </c>
      <c r="B138" s="10">
        <v>2003</v>
      </c>
      <c r="C138" s="10" t="s">
        <v>4714</v>
      </c>
      <c r="D138" s="10">
        <v>21</v>
      </c>
      <c r="E138" s="10">
        <v>0</v>
      </c>
      <c r="F138" s="24">
        <v>1639.56</v>
      </c>
      <c r="G138" s="10" t="s">
        <v>4695</v>
      </c>
      <c r="H138" s="10" t="s">
        <v>4695</v>
      </c>
      <c r="I138" s="10" t="s">
        <v>4712</v>
      </c>
      <c r="J138" s="17">
        <f t="shared" si="0"/>
        <v>37854</v>
      </c>
      <c r="K138" s="10">
        <f t="shared" ca="1" si="1"/>
        <v>22</v>
      </c>
      <c r="L138" s="6"/>
      <c r="M138" s="6"/>
      <c r="N138" s="6"/>
      <c r="O138" s="6"/>
      <c r="P138" s="6"/>
      <c r="Q138" s="6"/>
      <c r="R138" s="6"/>
      <c r="S138" s="6"/>
      <c r="T138" s="6"/>
      <c r="U138" s="6"/>
      <c r="V138" s="6"/>
      <c r="W138" s="6"/>
      <c r="X138" s="6"/>
      <c r="Y138" s="6"/>
      <c r="Z138" s="6"/>
    </row>
    <row r="139" spans="1:26" ht="15.75" customHeight="1" x14ac:dyDescent="0.3">
      <c r="A139" s="10" t="s">
        <v>4400</v>
      </c>
      <c r="B139" s="10">
        <v>2003</v>
      </c>
      <c r="C139" s="10" t="s">
        <v>4713</v>
      </c>
      <c r="D139" s="10">
        <v>30</v>
      </c>
      <c r="E139" s="10">
        <v>0</v>
      </c>
      <c r="F139" s="24">
        <v>1646.43</v>
      </c>
      <c r="G139" s="10" t="s">
        <v>4695</v>
      </c>
      <c r="H139" s="10" t="s">
        <v>4694</v>
      </c>
      <c r="I139" s="10" t="s">
        <v>4712</v>
      </c>
      <c r="J139" s="17">
        <f t="shared" si="0"/>
        <v>37985</v>
      </c>
      <c r="K139" s="10">
        <f t="shared" ca="1" si="1"/>
        <v>21</v>
      </c>
      <c r="L139" s="6"/>
      <c r="M139" s="6"/>
      <c r="N139" s="6"/>
      <c r="O139" s="6"/>
      <c r="P139" s="6"/>
      <c r="Q139" s="6"/>
      <c r="R139" s="6"/>
      <c r="S139" s="6"/>
      <c r="T139" s="6"/>
      <c r="U139" s="6"/>
      <c r="V139" s="6"/>
      <c r="W139" s="6"/>
      <c r="X139" s="6"/>
      <c r="Y139" s="6"/>
      <c r="Z139" s="6"/>
    </row>
    <row r="140" spans="1:26" ht="15.75" customHeight="1" x14ac:dyDescent="0.3">
      <c r="A140" s="10" t="s">
        <v>4398</v>
      </c>
      <c r="B140" s="10">
        <v>2000</v>
      </c>
      <c r="C140" s="10" t="s">
        <v>4715</v>
      </c>
      <c r="D140" s="10">
        <v>23</v>
      </c>
      <c r="E140" s="10">
        <v>0</v>
      </c>
      <c r="F140" s="24">
        <v>1665</v>
      </c>
      <c r="G140" s="10" t="s">
        <v>4695</v>
      </c>
      <c r="H140" s="10" t="s">
        <v>4695</v>
      </c>
      <c r="I140" s="10" t="s">
        <v>4708</v>
      </c>
      <c r="J140" s="17">
        <f t="shared" si="0"/>
        <v>36822</v>
      </c>
      <c r="K140" s="10">
        <f t="shared" ca="1" si="1"/>
        <v>25</v>
      </c>
      <c r="L140" s="6"/>
      <c r="M140" s="6"/>
      <c r="N140" s="6"/>
      <c r="O140" s="6"/>
      <c r="P140" s="6"/>
      <c r="Q140" s="6"/>
      <c r="R140" s="6"/>
      <c r="S140" s="6"/>
      <c r="T140" s="6"/>
      <c r="U140" s="6"/>
      <c r="V140" s="6"/>
      <c r="W140" s="6"/>
      <c r="X140" s="6"/>
      <c r="Y140" s="6"/>
      <c r="Z140" s="6"/>
    </row>
    <row r="141" spans="1:26" ht="15.75" customHeight="1" x14ac:dyDescent="0.3">
      <c r="A141" s="10" t="s">
        <v>4396</v>
      </c>
      <c r="B141" s="10">
        <v>2000</v>
      </c>
      <c r="C141" s="10" t="s">
        <v>4710</v>
      </c>
      <c r="D141" s="10">
        <v>10</v>
      </c>
      <c r="E141" s="10">
        <v>0</v>
      </c>
      <c r="F141" s="24">
        <v>1674.63</v>
      </c>
      <c r="G141" s="10" t="s">
        <v>4695</v>
      </c>
      <c r="H141" s="10" t="s">
        <v>4695</v>
      </c>
      <c r="I141" s="10" t="s">
        <v>4708</v>
      </c>
      <c r="J141" s="17">
        <f t="shared" si="0"/>
        <v>36687</v>
      </c>
      <c r="K141" s="10">
        <f t="shared" ca="1" si="1"/>
        <v>25</v>
      </c>
      <c r="L141" s="6"/>
      <c r="M141" s="6"/>
      <c r="N141" s="6"/>
      <c r="O141" s="6"/>
      <c r="P141" s="6"/>
      <c r="Q141" s="6"/>
      <c r="R141" s="6"/>
      <c r="S141" s="6"/>
      <c r="T141" s="6"/>
      <c r="U141" s="6"/>
      <c r="V141" s="6"/>
      <c r="W141" s="6"/>
      <c r="X141" s="6"/>
      <c r="Y141" s="6"/>
      <c r="Z141" s="6"/>
    </row>
    <row r="142" spans="1:26" ht="15.75" customHeight="1" x14ac:dyDescent="0.3">
      <c r="A142" s="10" t="s">
        <v>4394</v>
      </c>
      <c r="B142" s="10">
        <v>2000</v>
      </c>
      <c r="C142" s="10" t="s">
        <v>4715</v>
      </c>
      <c r="D142" s="10">
        <v>21</v>
      </c>
      <c r="E142" s="10">
        <v>0</v>
      </c>
      <c r="F142" s="24">
        <v>1682.6</v>
      </c>
      <c r="G142" s="10" t="s">
        <v>4695</v>
      </c>
      <c r="H142" s="10" t="s">
        <v>4695</v>
      </c>
      <c r="I142" s="10" t="s">
        <v>4716</v>
      </c>
      <c r="J142" s="17">
        <f t="shared" si="0"/>
        <v>36820</v>
      </c>
      <c r="K142" s="10">
        <f t="shared" ca="1" si="1"/>
        <v>25</v>
      </c>
      <c r="L142" s="6"/>
      <c r="M142" s="6"/>
      <c r="N142" s="6"/>
      <c r="O142" s="6"/>
      <c r="P142" s="6"/>
      <c r="Q142" s="6"/>
      <c r="R142" s="6"/>
      <c r="S142" s="6"/>
      <c r="T142" s="6"/>
      <c r="U142" s="6"/>
      <c r="V142" s="6"/>
      <c r="W142" s="6"/>
      <c r="X142" s="6"/>
      <c r="Y142" s="6"/>
      <c r="Z142" s="6"/>
    </row>
    <row r="143" spans="1:26" ht="15.75" customHeight="1" x14ac:dyDescent="0.3">
      <c r="A143" s="10" t="s">
        <v>4392</v>
      </c>
      <c r="B143" s="10">
        <v>2004</v>
      </c>
      <c r="C143" s="10" t="s">
        <v>4709</v>
      </c>
      <c r="D143" s="10">
        <v>17</v>
      </c>
      <c r="E143" s="10">
        <v>0</v>
      </c>
      <c r="F143" s="24">
        <v>1694.8</v>
      </c>
      <c r="G143" s="10" t="s">
        <v>4695</v>
      </c>
      <c r="H143" s="10" t="s">
        <v>4695</v>
      </c>
      <c r="I143" s="10" t="s">
        <v>4718</v>
      </c>
      <c r="J143" s="17">
        <f t="shared" si="0"/>
        <v>38308</v>
      </c>
      <c r="K143" s="10">
        <f t="shared" ca="1" si="1"/>
        <v>21</v>
      </c>
      <c r="L143" s="6"/>
      <c r="M143" s="6"/>
      <c r="N143" s="6"/>
      <c r="O143" s="6"/>
      <c r="P143" s="6"/>
      <c r="Q143" s="6"/>
      <c r="R143" s="6"/>
      <c r="S143" s="6"/>
      <c r="T143" s="6"/>
      <c r="U143" s="6"/>
      <c r="V143" s="6"/>
      <c r="W143" s="6"/>
      <c r="X143" s="6"/>
      <c r="Y143" s="6"/>
      <c r="Z143" s="6"/>
    </row>
    <row r="144" spans="1:26" ht="15.75" customHeight="1" x14ac:dyDescent="0.3">
      <c r="A144" s="10" t="s">
        <v>4390</v>
      </c>
      <c r="B144" s="10">
        <v>2004</v>
      </c>
      <c r="C144" s="10" t="s">
        <v>4713</v>
      </c>
      <c r="D144" s="10">
        <v>10</v>
      </c>
      <c r="E144" s="10">
        <v>0</v>
      </c>
      <c r="F144" s="24">
        <v>1702.46</v>
      </c>
      <c r="G144" s="10" t="s">
        <v>4695</v>
      </c>
      <c r="H144" s="10" t="s">
        <v>4696</v>
      </c>
      <c r="I144" s="10" t="s">
        <v>4719</v>
      </c>
      <c r="J144" s="17">
        <f t="shared" si="0"/>
        <v>38331</v>
      </c>
      <c r="K144" s="10">
        <f t="shared" ca="1" si="1"/>
        <v>20</v>
      </c>
      <c r="L144" s="6"/>
      <c r="M144" s="6"/>
      <c r="N144" s="6"/>
      <c r="O144" s="6"/>
      <c r="P144" s="6"/>
      <c r="Q144" s="6"/>
      <c r="R144" s="6"/>
      <c r="S144" s="6"/>
      <c r="T144" s="6"/>
      <c r="U144" s="6"/>
      <c r="V144" s="6"/>
      <c r="W144" s="6"/>
      <c r="X144" s="6"/>
      <c r="Y144" s="6"/>
      <c r="Z144" s="6"/>
    </row>
    <row r="145" spans="1:26" ht="15.75" customHeight="1" x14ac:dyDescent="0.3">
      <c r="A145" s="10" t="s">
        <v>4388</v>
      </c>
      <c r="B145" s="10">
        <v>2004</v>
      </c>
      <c r="C145" s="10" t="s">
        <v>4709</v>
      </c>
      <c r="D145" s="10">
        <v>7</v>
      </c>
      <c r="E145" s="10">
        <v>0</v>
      </c>
      <c r="F145" s="24">
        <v>1704.57</v>
      </c>
      <c r="G145" s="10" t="s">
        <v>4695</v>
      </c>
      <c r="H145" s="10" t="s">
        <v>4694</v>
      </c>
      <c r="I145" s="10" t="s">
        <v>4720</v>
      </c>
      <c r="J145" s="17">
        <f t="shared" si="0"/>
        <v>38298</v>
      </c>
      <c r="K145" s="10">
        <f t="shared" ca="1" si="1"/>
        <v>21</v>
      </c>
      <c r="L145" s="6"/>
      <c r="M145" s="6"/>
      <c r="N145" s="6"/>
      <c r="O145" s="6"/>
      <c r="P145" s="6"/>
      <c r="Q145" s="6"/>
      <c r="R145" s="6"/>
      <c r="S145" s="6"/>
      <c r="T145" s="6"/>
      <c r="U145" s="6"/>
      <c r="V145" s="6"/>
      <c r="W145" s="6"/>
      <c r="X145" s="6"/>
      <c r="Y145" s="6"/>
      <c r="Z145" s="6"/>
    </row>
    <row r="146" spans="1:26" ht="15.75" customHeight="1" x14ac:dyDescent="0.3">
      <c r="A146" s="10" t="s">
        <v>4386</v>
      </c>
      <c r="B146" s="10">
        <v>2004</v>
      </c>
      <c r="C146" s="10" t="s">
        <v>4713</v>
      </c>
      <c r="D146" s="10">
        <v>14</v>
      </c>
      <c r="E146" s="10">
        <v>0</v>
      </c>
      <c r="F146" s="24">
        <v>1704.7</v>
      </c>
      <c r="G146" s="10" t="s">
        <v>4695</v>
      </c>
      <c r="H146" s="10" t="s">
        <v>4696</v>
      </c>
      <c r="I146" s="10" t="s">
        <v>4721</v>
      </c>
      <c r="J146" s="17">
        <f t="shared" si="0"/>
        <v>38335</v>
      </c>
      <c r="K146" s="10">
        <f t="shared" ca="1" si="1"/>
        <v>20</v>
      </c>
      <c r="L146" s="6"/>
      <c r="M146" s="6"/>
      <c r="N146" s="6"/>
      <c r="O146" s="6"/>
      <c r="P146" s="6"/>
      <c r="Q146" s="6"/>
      <c r="R146" s="6"/>
      <c r="S146" s="6"/>
      <c r="T146" s="6"/>
      <c r="U146" s="6"/>
      <c r="V146" s="6"/>
      <c r="W146" s="6"/>
      <c r="X146" s="6"/>
      <c r="Y146" s="6"/>
      <c r="Z146" s="6"/>
    </row>
    <row r="147" spans="1:26" ht="15.75" customHeight="1" x14ac:dyDescent="0.3">
      <c r="A147" s="10" t="s">
        <v>4384</v>
      </c>
      <c r="B147" s="10">
        <v>2004</v>
      </c>
      <c r="C147" s="10" t="s">
        <v>4713</v>
      </c>
      <c r="D147" s="10">
        <v>6</v>
      </c>
      <c r="E147" s="10">
        <v>0</v>
      </c>
      <c r="F147" s="24">
        <v>1705.62</v>
      </c>
      <c r="G147" s="10" t="s">
        <v>4695</v>
      </c>
      <c r="H147" s="10" t="s">
        <v>4695</v>
      </c>
      <c r="I147" s="10" t="s">
        <v>4718</v>
      </c>
      <c r="J147" s="17">
        <f t="shared" si="0"/>
        <v>38327</v>
      </c>
      <c r="K147" s="10">
        <f t="shared" ca="1" si="1"/>
        <v>20</v>
      </c>
      <c r="L147" s="6"/>
      <c r="M147" s="6"/>
      <c r="N147" s="6"/>
      <c r="O147" s="6"/>
      <c r="P147" s="6"/>
      <c r="Q147" s="6"/>
      <c r="R147" s="6"/>
      <c r="S147" s="6"/>
      <c r="T147" s="6"/>
      <c r="U147" s="6"/>
      <c r="V147" s="6"/>
      <c r="W147" s="6"/>
      <c r="X147" s="6"/>
      <c r="Y147" s="6"/>
      <c r="Z147" s="6"/>
    </row>
    <row r="148" spans="1:26" ht="15.75" customHeight="1" x14ac:dyDescent="0.3">
      <c r="A148" s="10" t="s">
        <v>4382</v>
      </c>
      <c r="B148" s="10">
        <v>2004</v>
      </c>
      <c r="C148" s="10" t="s">
        <v>4715</v>
      </c>
      <c r="D148" s="10">
        <v>17</v>
      </c>
      <c r="E148" s="10">
        <v>0</v>
      </c>
      <c r="F148" s="24">
        <v>1708</v>
      </c>
      <c r="G148" s="10" t="s">
        <v>4696</v>
      </c>
      <c r="H148" s="10" t="s">
        <v>4695</v>
      </c>
      <c r="I148" s="10" t="s">
        <v>4720</v>
      </c>
      <c r="J148" s="17">
        <f t="shared" si="0"/>
        <v>38277</v>
      </c>
      <c r="K148" s="10">
        <f t="shared" ca="1" si="1"/>
        <v>21</v>
      </c>
      <c r="L148" s="6"/>
      <c r="M148" s="6"/>
      <c r="N148" s="6"/>
      <c r="O148" s="6"/>
      <c r="P148" s="6"/>
      <c r="Q148" s="6"/>
      <c r="R148" s="6"/>
      <c r="S148" s="6"/>
      <c r="T148" s="6"/>
      <c r="U148" s="6"/>
      <c r="V148" s="6"/>
      <c r="W148" s="6"/>
      <c r="X148" s="6"/>
      <c r="Y148" s="6"/>
      <c r="Z148" s="6"/>
    </row>
    <row r="149" spans="1:26" ht="15.75" customHeight="1" x14ac:dyDescent="0.3">
      <c r="A149" s="10" t="s">
        <v>4380</v>
      </c>
      <c r="B149" s="10">
        <v>2004</v>
      </c>
      <c r="C149" s="10" t="s">
        <v>4713</v>
      </c>
      <c r="D149" s="10">
        <v>12</v>
      </c>
      <c r="E149" s="10">
        <v>0</v>
      </c>
      <c r="F149" s="24">
        <v>1708.93</v>
      </c>
      <c r="G149" s="10" t="s">
        <v>4696</v>
      </c>
      <c r="H149" s="10" t="s">
        <v>4694</v>
      </c>
      <c r="I149" s="10" t="s">
        <v>4719</v>
      </c>
      <c r="J149" s="17">
        <f t="shared" si="0"/>
        <v>38333</v>
      </c>
      <c r="K149" s="10">
        <f t="shared" ca="1" si="1"/>
        <v>20</v>
      </c>
      <c r="L149" s="6"/>
      <c r="M149" s="6"/>
      <c r="N149" s="6"/>
      <c r="O149" s="6"/>
      <c r="P149" s="6"/>
      <c r="Q149" s="6"/>
      <c r="R149" s="6"/>
      <c r="S149" s="6"/>
      <c r="T149" s="6"/>
      <c r="U149" s="6"/>
      <c r="V149" s="6"/>
      <c r="W149" s="6"/>
      <c r="X149" s="6"/>
      <c r="Y149" s="6"/>
      <c r="Z149" s="6"/>
    </row>
    <row r="150" spans="1:26" ht="15.75" customHeight="1" x14ac:dyDescent="0.3">
      <c r="A150" s="10" t="s">
        <v>4378</v>
      </c>
      <c r="B150" s="10">
        <v>2004</v>
      </c>
      <c r="C150" s="10" t="s">
        <v>4711</v>
      </c>
      <c r="D150" s="10">
        <v>19</v>
      </c>
      <c r="E150" s="10">
        <v>1</v>
      </c>
      <c r="F150" s="24">
        <v>1711.03</v>
      </c>
      <c r="G150" s="10" t="s">
        <v>4696</v>
      </c>
      <c r="H150" s="10" t="s">
        <v>4696</v>
      </c>
      <c r="I150" s="10" t="s">
        <v>4708</v>
      </c>
      <c r="J150" s="17">
        <f t="shared" si="0"/>
        <v>38249</v>
      </c>
      <c r="K150" s="10">
        <f t="shared" ca="1" si="1"/>
        <v>21</v>
      </c>
      <c r="L150" s="6"/>
      <c r="M150" s="6"/>
      <c r="N150" s="6"/>
      <c r="O150" s="6"/>
      <c r="P150" s="6"/>
      <c r="Q150" s="6"/>
      <c r="R150" s="6"/>
      <c r="S150" s="6"/>
      <c r="T150" s="6"/>
      <c r="U150" s="6"/>
      <c r="V150" s="6"/>
      <c r="W150" s="6"/>
      <c r="X150" s="6"/>
      <c r="Y150" s="6"/>
      <c r="Z150" s="6"/>
    </row>
    <row r="151" spans="1:26" ht="15.75" customHeight="1" x14ac:dyDescent="0.3">
      <c r="A151" s="10" t="s">
        <v>4376</v>
      </c>
      <c r="B151" s="10">
        <v>2004</v>
      </c>
      <c r="C151" s="10" t="s">
        <v>4711</v>
      </c>
      <c r="D151" s="10">
        <v>21</v>
      </c>
      <c r="E151" s="10">
        <v>0</v>
      </c>
      <c r="F151" s="24">
        <v>1712.23</v>
      </c>
      <c r="G151" s="10" t="s">
        <v>4696</v>
      </c>
      <c r="H151" s="10" t="s">
        <v>4694</v>
      </c>
      <c r="I151" s="10" t="s">
        <v>4720</v>
      </c>
      <c r="J151" s="17">
        <f t="shared" si="0"/>
        <v>38251</v>
      </c>
      <c r="K151" s="10">
        <f t="shared" ca="1" si="1"/>
        <v>21</v>
      </c>
      <c r="L151" s="6"/>
      <c r="M151" s="6"/>
      <c r="N151" s="6"/>
      <c r="O151" s="6"/>
      <c r="P151" s="6"/>
      <c r="Q151" s="6"/>
      <c r="R151" s="6"/>
      <c r="S151" s="6"/>
      <c r="T151" s="6"/>
      <c r="U151" s="6"/>
      <c r="V151" s="6"/>
      <c r="W151" s="6"/>
      <c r="X151" s="6"/>
      <c r="Y151" s="6"/>
      <c r="Z151" s="6"/>
    </row>
    <row r="152" spans="1:26" ht="15.75" customHeight="1" x14ac:dyDescent="0.3">
      <c r="A152" s="10" t="s">
        <v>4374</v>
      </c>
      <c r="B152" s="10">
        <v>2004</v>
      </c>
      <c r="C152" s="10" t="s">
        <v>4710</v>
      </c>
      <c r="D152" s="10">
        <v>10</v>
      </c>
      <c r="E152" s="10">
        <v>1</v>
      </c>
      <c r="F152" s="24">
        <v>1719.44</v>
      </c>
      <c r="G152" s="10" t="s">
        <v>4696</v>
      </c>
      <c r="H152" s="10" t="s">
        <v>4696</v>
      </c>
      <c r="I152" s="10" t="s">
        <v>4708</v>
      </c>
      <c r="J152" s="17">
        <f t="shared" si="0"/>
        <v>38148</v>
      </c>
      <c r="K152" s="10">
        <f t="shared" ca="1" si="1"/>
        <v>21</v>
      </c>
      <c r="L152" s="6"/>
      <c r="M152" s="6"/>
      <c r="N152" s="6"/>
      <c r="O152" s="6"/>
      <c r="P152" s="6"/>
      <c r="Q152" s="6"/>
      <c r="R152" s="6"/>
      <c r="S152" s="6"/>
      <c r="T152" s="6"/>
      <c r="U152" s="6"/>
      <c r="V152" s="6"/>
      <c r="W152" s="6"/>
      <c r="X152" s="6"/>
      <c r="Y152" s="6"/>
      <c r="Z152" s="6"/>
    </row>
    <row r="153" spans="1:26" ht="15.75" customHeight="1" x14ac:dyDescent="0.3">
      <c r="A153" s="10" t="s">
        <v>4372</v>
      </c>
      <c r="B153" s="10">
        <v>2004</v>
      </c>
      <c r="C153" s="10" t="s">
        <v>4711</v>
      </c>
      <c r="D153" s="10">
        <v>11</v>
      </c>
      <c r="E153" s="10">
        <v>1</v>
      </c>
      <c r="F153" s="24">
        <v>1720.35</v>
      </c>
      <c r="G153" s="10" t="s">
        <v>4696</v>
      </c>
      <c r="H153" s="10" t="s">
        <v>4696</v>
      </c>
      <c r="I153" s="10" t="s">
        <v>4708</v>
      </c>
      <c r="J153" s="17">
        <f t="shared" si="0"/>
        <v>38241</v>
      </c>
      <c r="K153" s="10">
        <f t="shared" ca="1" si="1"/>
        <v>21</v>
      </c>
      <c r="L153" s="6"/>
      <c r="M153" s="6"/>
      <c r="N153" s="6"/>
      <c r="O153" s="6"/>
      <c r="P153" s="6"/>
      <c r="Q153" s="6"/>
      <c r="R153" s="6"/>
      <c r="S153" s="6"/>
      <c r="T153" s="6"/>
      <c r="U153" s="6"/>
      <c r="V153" s="6"/>
      <c r="W153" s="6"/>
      <c r="X153" s="6"/>
      <c r="Y153" s="6"/>
      <c r="Z153" s="6"/>
    </row>
    <row r="154" spans="1:26" ht="15.75" customHeight="1" x14ac:dyDescent="0.3">
      <c r="A154" s="10" t="s">
        <v>4370</v>
      </c>
      <c r="B154" s="10">
        <v>2004</v>
      </c>
      <c r="C154" s="10" t="s">
        <v>4715</v>
      </c>
      <c r="D154" s="10">
        <v>21</v>
      </c>
      <c r="E154" s="10">
        <v>1</v>
      </c>
      <c r="F154" s="24">
        <v>1725.55</v>
      </c>
      <c r="G154" s="10" t="s">
        <v>4696</v>
      </c>
      <c r="H154" s="10" t="s">
        <v>4695</v>
      </c>
      <c r="I154" s="10" t="s">
        <v>4708</v>
      </c>
      <c r="J154" s="17">
        <f t="shared" si="0"/>
        <v>38281</v>
      </c>
      <c r="K154" s="10">
        <f t="shared" ca="1" si="1"/>
        <v>21</v>
      </c>
      <c r="L154" s="6"/>
      <c r="M154" s="6"/>
      <c r="N154" s="6"/>
      <c r="O154" s="6"/>
      <c r="P154" s="6"/>
      <c r="Q154" s="6"/>
      <c r="R154" s="6"/>
      <c r="S154" s="6"/>
      <c r="T154" s="6"/>
      <c r="U154" s="6"/>
      <c r="V154" s="6"/>
      <c r="W154" s="6"/>
      <c r="X154" s="6"/>
      <c r="Y154" s="6"/>
      <c r="Z154" s="6"/>
    </row>
    <row r="155" spans="1:26" ht="15.75" customHeight="1" x14ac:dyDescent="0.3">
      <c r="A155" s="10" t="s">
        <v>4368</v>
      </c>
      <c r="B155" s="10">
        <v>2004</v>
      </c>
      <c r="C155" s="10" t="s">
        <v>4711</v>
      </c>
      <c r="D155" s="10">
        <v>9</v>
      </c>
      <c r="E155" s="10">
        <v>1</v>
      </c>
      <c r="F155" s="24">
        <v>1727.54</v>
      </c>
      <c r="G155" s="10" t="s">
        <v>4696</v>
      </c>
      <c r="H155" s="10" t="s">
        <v>4694</v>
      </c>
      <c r="I155" s="10" t="s">
        <v>4708</v>
      </c>
      <c r="J155" s="17">
        <f t="shared" si="0"/>
        <v>38239</v>
      </c>
      <c r="K155" s="10">
        <f t="shared" ca="1" si="1"/>
        <v>21</v>
      </c>
      <c r="L155" s="6"/>
      <c r="M155" s="6"/>
      <c r="N155" s="6"/>
      <c r="O155" s="6"/>
      <c r="P155" s="6"/>
      <c r="Q155" s="6"/>
      <c r="R155" s="6"/>
      <c r="S155" s="6"/>
      <c r="T155" s="6"/>
      <c r="U155" s="6"/>
      <c r="V155" s="6"/>
      <c r="W155" s="6"/>
      <c r="X155" s="6"/>
      <c r="Y155" s="6"/>
      <c r="Z155" s="6"/>
    </row>
    <row r="156" spans="1:26" ht="15.75" customHeight="1" x14ac:dyDescent="0.3">
      <c r="A156" s="10" t="s">
        <v>4366</v>
      </c>
      <c r="B156" s="10">
        <v>2003</v>
      </c>
      <c r="C156" s="10" t="s">
        <v>4709</v>
      </c>
      <c r="D156" s="10">
        <v>21</v>
      </c>
      <c r="E156" s="10">
        <v>0</v>
      </c>
      <c r="F156" s="24">
        <v>1727.79</v>
      </c>
      <c r="G156" s="10" t="s">
        <v>4696</v>
      </c>
      <c r="H156" s="10" t="s">
        <v>4696</v>
      </c>
      <c r="I156" s="10" t="s">
        <v>4716</v>
      </c>
      <c r="J156" s="17">
        <f t="shared" si="0"/>
        <v>37946</v>
      </c>
      <c r="K156" s="10">
        <f t="shared" ca="1" si="1"/>
        <v>22</v>
      </c>
      <c r="L156" s="6"/>
      <c r="M156" s="6"/>
      <c r="N156" s="6"/>
      <c r="O156" s="6"/>
      <c r="P156" s="6"/>
      <c r="Q156" s="6"/>
      <c r="R156" s="6"/>
      <c r="S156" s="6"/>
      <c r="T156" s="6"/>
      <c r="U156" s="6"/>
      <c r="V156" s="6"/>
      <c r="W156" s="6"/>
      <c r="X156" s="6"/>
      <c r="Y156" s="6"/>
      <c r="Z156" s="6"/>
    </row>
    <row r="157" spans="1:26" ht="15.75" customHeight="1" x14ac:dyDescent="0.3">
      <c r="A157" s="10" t="s">
        <v>4364</v>
      </c>
      <c r="B157" s="10">
        <v>2003</v>
      </c>
      <c r="C157" s="10" t="s">
        <v>4711</v>
      </c>
      <c r="D157" s="10">
        <v>1</v>
      </c>
      <c r="E157" s="10">
        <v>0</v>
      </c>
      <c r="F157" s="24">
        <v>1728.9</v>
      </c>
      <c r="G157" s="10" t="s">
        <v>4696</v>
      </c>
      <c r="H157" s="10" t="s">
        <v>4695</v>
      </c>
      <c r="I157" s="10" t="s">
        <v>4716</v>
      </c>
      <c r="J157" s="17">
        <f t="shared" si="0"/>
        <v>37865</v>
      </c>
      <c r="K157" s="10">
        <f t="shared" ca="1" si="1"/>
        <v>22</v>
      </c>
      <c r="L157" s="6"/>
      <c r="M157" s="6"/>
      <c r="N157" s="6"/>
      <c r="O157" s="6"/>
      <c r="P157" s="6"/>
      <c r="Q157" s="6"/>
      <c r="R157" s="6"/>
      <c r="S157" s="6"/>
      <c r="T157" s="6"/>
      <c r="U157" s="6"/>
      <c r="V157" s="6"/>
      <c r="W157" s="6"/>
      <c r="X157" s="6"/>
      <c r="Y157" s="6"/>
      <c r="Z157" s="6"/>
    </row>
    <row r="158" spans="1:26" ht="15.75" customHeight="1" x14ac:dyDescent="0.3">
      <c r="A158" s="10" t="s">
        <v>4362</v>
      </c>
      <c r="B158" s="10">
        <v>2003</v>
      </c>
      <c r="C158" s="10" t="s">
        <v>4709</v>
      </c>
      <c r="D158" s="10">
        <v>9</v>
      </c>
      <c r="E158" s="10">
        <v>0</v>
      </c>
      <c r="F158" s="24">
        <v>1731.68</v>
      </c>
      <c r="G158" s="10" t="s">
        <v>4696</v>
      </c>
      <c r="H158" s="10" t="s">
        <v>4695</v>
      </c>
      <c r="I158" s="10" t="s">
        <v>4716</v>
      </c>
      <c r="J158" s="17">
        <f t="shared" si="0"/>
        <v>37934</v>
      </c>
      <c r="K158" s="10">
        <f t="shared" ca="1" si="1"/>
        <v>22</v>
      </c>
      <c r="L158" s="6"/>
      <c r="M158" s="6"/>
      <c r="N158" s="6"/>
      <c r="O158" s="6"/>
      <c r="P158" s="6"/>
      <c r="Q158" s="6"/>
      <c r="R158" s="6"/>
      <c r="S158" s="6"/>
      <c r="T158" s="6"/>
      <c r="U158" s="6"/>
      <c r="V158" s="6"/>
      <c r="W158" s="6"/>
      <c r="X158" s="6"/>
      <c r="Y158" s="6"/>
      <c r="Z158" s="6"/>
    </row>
    <row r="159" spans="1:26" ht="15.75" customHeight="1" x14ac:dyDescent="0.3">
      <c r="A159" s="10" t="s">
        <v>4360</v>
      </c>
      <c r="B159" s="10">
        <v>2003</v>
      </c>
      <c r="C159" s="10" t="s">
        <v>4709</v>
      </c>
      <c r="D159" s="10">
        <v>14</v>
      </c>
      <c r="E159" s="10">
        <v>0</v>
      </c>
      <c r="F159" s="24">
        <v>1737.38</v>
      </c>
      <c r="G159" s="10" t="s">
        <v>4696</v>
      </c>
      <c r="H159" s="10" t="s">
        <v>4695</v>
      </c>
      <c r="I159" s="10" t="s">
        <v>4716</v>
      </c>
      <c r="J159" s="17">
        <f t="shared" si="0"/>
        <v>37939</v>
      </c>
      <c r="K159" s="10">
        <f t="shared" ca="1" si="1"/>
        <v>22</v>
      </c>
      <c r="L159" s="6"/>
      <c r="M159" s="6"/>
      <c r="N159" s="6"/>
      <c r="O159" s="6"/>
      <c r="P159" s="6"/>
      <c r="Q159" s="6"/>
      <c r="R159" s="6"/>
      <c r="S159" s="6"/>
      <c r="T159" s="6"/>
      <c r="U159" s="6"/>
      <c r="V159" s="6"/>
      <c r="W159" s="6"/>
      <c r="X159" s="6"/>
      <c r="Y159" s="6"/>
      <c r="Z159" s="6"/>
    </row>
    <row r="160" spans="1:26" ht="15.75" customHeight="1" x14ac:dyDescent="0.3">
      <c r="A160" s="10" t="s">
        <v>4358</v>
      </c>
      <c r="B160" s="10">
        <v>2003</v>
      </c>
      <c r="C160" s="10" t="s">
        <v>4707</v>
      </c>
      <c r="D160" s="10">
        <v>25</v>
      </c>
      <c r="E160" s="10">
        <v>0</v>
      </c>
      <c r="F160" s="24">
        <v>1743.21</v>
      </c>
      <c r="G160" s="10" t="s">
        <v>4696</v>
      </c>
      <c r="H160" s="10" t="s">
        <v>4694</v>
      </c>
      <c r="I160" s="10" t="s">
        <v>4716</v>
      </c>
      <c r="J160" s="17">
        <f t="shared" si="0"/>
        <v>37827</v>
      </c>
      <c r="K160" s="10">
        <f t="shared" ca="1" si="1"/>
        <v>22</v>
      </c>
      <c r="L160" s="6"/>
      <c r="M160" s="6"/>
      <c r="N160" s="6"/>
      <c r="O160" s="6"/>
      <c r="P160" s="6"/>
      <c r="Q160" s="6"/>
      <c r="R160" s="6"/>
      <c r="S160" s="6"/>
      <c r="T160" s="6"/>
      <c r="U160" s="6"/>
      <c r="V160" s="6"/>
      <c r="W160" s="6"/>
      <c r="X160" s="6"/>
      <c r="Y160" s="6"/>
      <c r="Z160" s="6"/>
    </row>
    <row r="161" spans="1:26" ht="15.75" customHeight="1" x14ac:dyDescent="0.3">
      <c r="A161" s="10" t="s">
        <v>4356</v>
      </c>
      <c r="B161" s="10">
        <v>2003</v>
      </c>
      <c r="C161" s="10" t="s">
        <v>4707</v>
      </c>
      <c r="D161" s="10">
        <v>28</v>
      </c>
      <c r="E161" s="10">
        <v>0</v>
      </c>
      <c r="F161" s="24">
        <v>1744.47</v>
      </c>
      <c r="G161" s="10" t="s">
        <v>4696</v>
      </c>
      <c r="H161" s="10" t="s">
        <v>4694</v>
      </c>
      <c r="I161" s="10" t="s">
        <v>4716</v>
      </c>
      <c r="J161" s="17">
        <f t="shared" si="0"/>
        <v>37830</v>
      </c>
      <c r="K161" s="10">
        <f t="shared" ca="1" si="1"/>
        <v>22</v>
      </c>
      <c r="L161" s="6"/>
      <c r="M161" s="6"/>
      <c r="N161" s="6"/>
      <c r="O161" s="6"/>
      <c r="P161" s="6"/>
      <c r="Q161" s="6"/>
      <c r="R161" s="6"/>
      <c r="S161" s="6"/>
      <c r="T161" s="6"/>
      <c r="U161" s="6"/>
      <c r="V161" s="6"/>
      <c r="W161" s="6"/>
      <c r="X161" s="6"/>
      <c r="Y161" s="6"/>
      <c r="Z161" s="6"/>
    </row>
    <row r="162" spans="1:26" ht="15.75" customHeight="1" x14ac:dyDescent="0.3">
      <c r="A162" s="10" t="s">
        <v>4354</v>
      </c>
      <c r="B162" s="10">
        <v>2003</v>
      </c>
      <c r="C162" s="10" t="s">
        <v>4711</v>
      </c>
      <c r="D162" s="10">
        <v>26</v>
      </c>
      <c r="E162" s="10">
        <v>0</v>
      </c>
      <c r="F162" s="24">
        <v>1748.77</v>
      </c>
      <c r="G162" s="10" t="s">
        <v>4696</v>
      </c>
      <c r="H162" s="10" t="s">
        <v>4694</v>
      </c>
      <c r="I162" s="10" t="s">
        <v>4716</v>
      </c>
      <c r="J162" s="17">
        <f t="shared" si="0"/>
        <v>37890</v>
      </c>
      <c r="K162" s="10">
        <f t="shared" ca="1" si="1"/>
        <v>22</v>
      </c>
      <c r="L162" s="6"/>
      <c r="M162" s="6"/>
      <c r="N162" s="6"/>
      <c r="O162" s="6"/>
      <c r="P162" s="6"/>
      <c r="Q162" s="6"/>
      <c r="R162" s="6"/>
      <c r="S162" s="6"/>
      <c r="T162" s="6"/>
      <c r="U162" s="6"/>
      <c r="V162" s="6"/>
      <c r="W162" s="6"/>
      <c r="X162" s="6"/>
      <c r="Y162" s="6"/>
      <c r="Z162" s="6"/>
    </row>
    <row r="163" spans="1:26" ht="15.75" customHeight="1" x14ac:dyDescent="0.3">
      <c r="A163" s="10" t="s">
        <v>4352</v>
      </c>
      <c r="B163" s="10">
        <v>1998</v>
      </c>
      <c r="C163" s="10" t="s">
        <v>4715</v>
      </c>
      <c r="D163" s="10">
        <v>7</v>
      </c>
      <c r="E163" s="10">
        <v>0</v>
      </c>
      <c r="F163" s="24">
        <v>1756.6</v>
      </c>
      <c r="G163" s="10" t="s">
        <v>4696</v>
      </c>
      <c r="H163" s="10" t="s">
        <v>4696</v>
      </c>
      <c r="I163" s="10" t="s">
        <v>4708</v>
      </c>
      <c r="J163" s="17">
        <f t="shared" si="0"/>
        <v>36075</v>
      </c>
      <c r="K163" s="10">
        <f t="shared" ca="1" si="1"/>
        <v>27</v>
      </c>
      <c r="L163" s="6"/>
      <c r="M163" s="6"/>
      <c r="N163" s="6"/>
      <c r="O163" s="6"/>
      <c r="P163" s="6"/>
      <c r="Q163" s="6"/>
      <c r="R163" s="6"/>
      <c r="S163" s="6"/>
      <c r="T163" s="6"/>
      <c r="U163" s="6"/>
      <c r="V163" s="6"/>
      <c r="W163" s="6"/>
      <c r="X163" s="6"/>
      <c r="Y163" s="6"/>
      <c r="Z163" s="6"/>
    </row>
    <row r="164" spans="1:26" ht="15.75" customHeight="1" x14ac:dyDescent="0.3">
      <c r="A164" s="10" t="s">
        <v>4350</v>
      </c>
      <c r="B164" s="10">
        <v>2003</v>
      </c>
      <c r="C164" s="10" t="s">
        <v>4709</v>
      </c>
      <c r="D164" s="10">
        <v>19</v>
      </c>
      <c r="E164" s="10">
        <v>0</v>
      </c>
      <c r="F164" s="24">
        <v>1759.34</v>
      </c>
      <c r="G164" s="10" t="s">
        <v>4696</v>
      </c>
      <c r="H164" s="10" t="s">
        <v>4694</v>
      </c>
      <c r="I164" s="10" t="s">
        <v>4716</v>
      </c>
      <c r="J164" s="17">
        <f t="shared" si="0"/>
        <v>37944</v>
      </c>
      <c r="K164" s="10">
        <f t="shared" ca="1" si="1"/>
        <v>22</v>
      </c>
      <c r="L164" s="6"/>
      <c r="M164" s="6"/>
      <c r="N164" s="6"/>
      <c r="O164" s="6"/>
      <c r="P164" s="6"/>
      <c r="Q164" s="6"/>
      <c r="R164" s="6"/>
      <c r="S164" s="6"/>
      <c r="T164" s="6"/>
      <c r="U164" s="6"/>
      <c r="V164" s="6"/>
      <c r="W164" s="6"/>
      <c r="X164" s="6"/>
      <c r="Y164" s="6"/>
      <c r="Z164" s="6"/>
    </row>
    <row r="165" spans="1:26" ht="15.75" customHeight="1" x14ac:dyDescent="0.3">
      <c r="A165" s="10" t="s">
        <v>4348</v>
      </c>
      <c r="B165" s="10">
        <v>2002</v>
      </c>
      <c r="C165" s="10" t="s">
        <v>4713</v>
      </c>
      <c r="D165" s="10">
        <v>13</v>
      </c>
      <c r="E165" s="10">
        <v>0</v>
      </c>
      <c r="F165" s="24">
        <v>1769.53</v>
      </c>
      <c r="G165" s="10" t="s">
        <v>4696</v>
      </c>
      <c r="H165" s="10" t="s">
        <v>4696</v>
      </c>
      <c r="I165" s="10" t="s">
        <v>4712</v>
      </c>
      <c r="J165" s="17">
        <f t="shared" si="0"/>
        <v>37603</v>
      </c>
      <c r="K165" s="10">
        <f t="shared" ca="1" si="1"/>
        <v>22</v>
      </c>
      <c r="L165" s="6"/>
      <c r="M165" s="6"/>
      <c r="N165" s="6"/>
      <c r="O165" s="6"/>
      <c r="P165" s="6"/>
      <c r="Q165" s="6"/>
      <c r="R165" s="6"/>
      <c r="S165" s="6"/>
      <c r="T165" s="6"/>
      <c r="U165" s="6"/>
      <c r="V165" s="6"/>
      <c r="W165" s="6"/>
      <c r="X165" s="6"/>
      <c r="Y165" s="6"/>
      <c r="Z165" s="6"/>
    </row>
    <row r="166" spans="1:26" ht="15.75" customHeight="1" x14ac:dyDescent="0.3">
      <c r="A166" s="10" t="s">
        <v>4346</v>
      </c>
      <c r="B166" s="10">
        <v>1999</v>
      </c>
      <c r="C166" s="10" t="s">
        <v>4711</v>
      </c>
      <c r="D166" s="10">
        <v>25</v>
      </c>
      <c r="E166" s="10">
        <v>0</v>
      </c>
      <c r="F166" s="24">
        <v>1815.88</v>
      </c>
      <c r="G166" s="10" t="s">
        <v>4696</v>
      </c>
      <c r="H166" s="10" t="s">
        <v>4696</v>
      </c>
      <c r="I166" s="10" t="s">
        <v>4708</v>
      </c>
      <c r="J166" s="17">
        <f t="shared" si="0"/>
        <v>36428</v>
      </c>
      <c r="K166" s="10">
        <f t="shared" ca="1" si="1"/>
        <v>26</v>
      </c>
      <c r="L166" s="6"/>
      <c r="M166" s="6"/>
      <c r="N166" s="6"/>
      <c r="O166" s="6"/>
      <c r="P166" s="6"/>
      <c r="Q166" s="6"/>
      <c r="R166" s="6"/>
      <c r="S166" s="6"/>
      <c r="T166" s="6"/>
      <c r="U166" s="6"/>
      <c r="V166" s="6"/>
      <c r="W166" s="6"/>
      <c r="X166" s="6"/>
      <c r="Y166" s="6"/>
      <c r="Z166" s="6"/>
    </row>
    <row r="167" spans="1:26" ht="15.75" customHeight="1" x14ac:dyDescent="0.3">
      <c r="A167" s="10" t="s">
        <v>4344</v>
      </c>
      <c r="B167" s="10">
        <v>2004</v>
      </c>
      <c r="C167" s="10" t="s">
        <v>4714</v>
      </c>
      <c r="D167" s="10">
        <v>19</v>
      </c>
      <c r="E167" s="10">
        <v>0</v>
      </c>
      <c r="F167" s="24">
        <v>1822.54</v>
      </c>
      <c r="G167" s="10" t="s">
        <v>4696</v>
      </c>
      <c r="H167" s="10" t="s">
        <v>4694</v>
      </c>
      <c r="I167" s="10" t="s">
        <v>4712</v>
      </c>
      <c r="J167" s="17">
        <f t="shared" si="0"/>
        <v>38218</v>
      </c>
      <c r="K167" s="10">
        <f t="shared" ca="1" si="1"/>
        <v>21</v>
      </c>
      <c r="L167" s="6"/>
      <c r="M167" s="6"/>
      <c r="N167" s="6"/>
      <c r="O167" s="6"/>
      <c r="P167" s="6"/>
      <c r="Q167" s="6"/>
      <c r="R167" s="6"/>
      <c r="S167" s="6"/>
      <c r="T167" s="6"/>
      <c r="U167" s="6"/>
      <c r="V167" s="6"/>
      <c r="W167" s="6"/>
      <c r="X167" s="6"/>
      <c r="Y167" s="6"/>
      <c r="Z167" s="6"/>
    </row>
    <row r="168" spans="1:26" ht="15.75" customHeight="1" x14ac:dyDescent="0.3">
      <c r="A168" s="10" t="s">
        <v>4342</v>
      </c>
      <c r="B168" s="10">
        <v>1999</v>
      </c>
      <c r="C168" s="10" t="s">
        <v>4709</v>
      </c>
      <c r="D168" s="10">
        <v>17</v>
      </c>
      <c r="E168" s="10">
        <v>0</v>
      </c>
      <c r="F168" s="24">
        <v>1824.29</v>
      </c>
      <c r="G168" s="10" t="s">
        <v>4696</v>
      </c>
      <c r="H168" s="10" t="s">
        <v>4696</v>
      </c>
      <c r="I168" s="10" t="s">
        <v>4708</v>
      </c>
      <c r="J168" s="17">
        <f t="shared" si="0"/>
        <v>36481</v>
      </c>
      <c r="K168" s="10">
        <f t="shared" ca="1" si="1"/>
        <v>26</v>
      </c>
      <c r="L168" s="6"/>
      <c r="M168" s="6"/>
      <c r="N168" s="6"/>
      <c r="O168" s="6"/>
      <c r="P168" s="6"/>
      <c r="Q168" s="6"/>
      <c r="R168" s="6"/>
      <c r="S168" s="6"/>
      <c r="T168" s="6"/>
      <c r="U168" s="6"/>
      <c r="V168" s="6"/>
      <c r="W168" s="6"/>
      <c r="X168" s="6"/>
      <c r="Y168" s="6"/>
      <c r="Z168" s="6"/>
    </row>
    <row r="169" spans="1:26" ht="15.75" customHeight="1" x14ac:dyDescent="0.3">
      <c r="A169" s="10" t="s">
        <v>4340</v>
      </c>
      <c r="B169" s="10">
        <v>1999</v>
      </c>
      <c r="C169" s="10" t="s">
        <v>4715</v>
      </c>
      <c r="D169" s="10">
        <v>1</v>
      </c>
      <c r="E169" s="10">
        <v>0</v>
      </c>
      <c r="F169" s="24">
        <v>1826.84</v>
      </c>
      <c r="G169" s="10" t="s">
        <v>4696</v>
      </c>
      <c r="H169" s="10" t="s">
        <v>4695</v>
      </c>
      <c r="I169" s="10" t="s">
        <v>4716</v>
      </c>
      <c r="J169" s="17">
        <f t="shared" si="0"/>
        <v>36434</v>
      </c>
      <c r="K169" s="10">
        <f t="shared" ca="1" si="1"/>
        <v>26</v>
      </c>
      <c r="L169" s="6"/>
      <c r="M169" s="6"/>
      <c r="N169" s="6"/>
      <c r="O169" s="6"/>
      <c r="P169" s="6"/>
      <c r="Q169" s="6"/>
      <c r="R169" s="6"/>
      <c r="S169" s="6"/>
      <c r="T169" s="6"/>
      <c r="U169" s="6"/>
      <c r="V169" s="6"/>
      <c r="W169" s="6"/>
      <c r="X169" s="6"/>
      <c r="Y169" s="6"/>
      <c r="Z169" s="6"/>
    </row>
    <row r="170" spans="1:26" ht="15.75" customHeight="1" x14ac:dyDescent="0.3">
      <c r="A170" s="10" t="s">
        <v>4338</v>
      </c>
      <c r="B170" s="10">
        <v>2003</v>
      </c>
      <c r="C170" s="10" t="s">
        <v>4714</v>
      </c>
      <c r="D170" s="10">
        <v>11</v>
      </c>
      <c r="E170" s="10">
        <v>1</v>
      </c>
      <c r="F170" s="24">
        <v>1832.09</v>
      </c>
      <c r="G170" s="10" t="s">
        <v>4696</v>
      </c>
      <c r="H170" s="10" t="s">
        <v>4696</v>
      </c>
      <c r="I170" s="10" t="s">
        <v>4716</v>
      </c>
      <c r="J170" s="17">
        <f t="shared" si="0"/>
        <v>37844</v>
      </c>
      <c r="K170" s="10">
        <f t="shared" ca="1" si="1"/>
        <v>22</v>
      </c>
      <c r="L170" s="6"/>
      <c r="M170" s="6"/>
      <c r="N170" s="6"/>
      <c r="O170" s="6"/>
      <c r="P170" s="6"/>
      <c r="Q170" s="6"/>
      <c r="R170" s="6"/>
      <c r="S170" s="6"/>
      <c r="T170" s="6"/>
      <c r="U170" s="6"/>
      <c r="V170" s="6"/>
      <c r="W170" s="6"/>
      <c r="X170" s="6"/>
      <c r="Y170" s="6"/>
      <c r="Z170" s="6"/>
    </row>
    <row r="171" spans="1:26" ht="15.75" customHeight="1" x14ac:dyDescent="0.3">
      <c r="A171" s="10" t="s">
        <v>4336</v>
      </c>
      <c r="B171" s="10">
        <v>2003</v>
      </c>
      <c r="C171" s="10" t="s">
        <v>4714</v>
      </c>
      <c r="D171" s="10">
        <v>4</v>
      </c>
      <c r="E171" s="10">
        <v>1</v>
      </c>
      <c r="F171" s="24">
        <v>1837.24</v>
      </c>
      <c r="G171" s="10" t="s">
        <v>4696</v>
      </c>
      <c r="H171" s="10" t="s">
        <v>4695</v>
      </c>
      <c r="I171" s="10" t="s">
        <v>4716</v>
      </c>
      <c r="J171" s="17">
        <f t="shared" si="0"/>
        <v>37837</v>
      </c>
      <c r="K171" s="10">
        <f t="shared" ca="1" si="1"/>
        <v>22</v>
      </c>
      <c r="L171" s="6"/>
      <c r="M171" s="6"/>
      <c r="N171" s="6"/>
      <c r="O171" s="6"/>
      <c r="P171" s="6"/>
      <c r="Q171" s="6"/>
      <c r="R171" s="6"/>
      <c r="S171" s="6"/>
      <c r="T171" s="6"/>
      <c r="U171" s="6"/>
      <c r="V171" s="6"/>
      <c r="W171" s="6"/>
      <c r="X171" s="6"/>
      <c r="Y171" s="6"/>
      <c r="Z171" s="6"/>
    </row>
    <row r="172" spans="1:26" ht="15.75" customHeight="1" x14ac:dyDescent="0.3">
      <c r="A172" s="10" t="s">
        <v>4334</v>
      </c>
      <c r="B172" s="10">
        <v>1999</v>
      </c>
      <c r="C172" s="10" t="s">
        <v>4713</v>
      </c>
      <c r="D172" s="10">
        <v>12</v>
      </c>
      <c r="E172" s="10">
        <v>0</v>
      </c>
      <c r="F172" s="24">
        <v>1837.28</v>
      </c>
      <c r="G172" s="10" t="s">
        <v>4696</v>
      </c>
      <c r="H172" s="10" t="s">
        <v>4695</v>
      </c>
      <c r="I172" s="10" t="s">
        <v>4708</v>
      </c>
      <c r="J172" s="17">
        <f t="shared" si="0"/>
        <v>36506</v>
      </c>
      <c r="K172" s="10">
        <f t="shared" ca="1" si="1"/>
        <v>25</v>
      </c>
      <c r="L172" s="6"/>
      <c r="M172" s="6"/>
      <c r="N172" s="6"/>
      <c r="O172" s="6"/>
      <c r="P172" s="6"/>
      <c r="Q172" s="6"/>
      <c r="R172" s="6"/>
      <c r="S172" s="6"/>
      <c r="T172" s="6"/>
      <c r="U172" s="6"/>
      <c r="V172" s="6"/>
      <c r="W172" s="6"/>
      <c r="X172" s="6"/>
      <c r="Y172" s="6"/>
      <c r="Z172" s="6"/>
    </row>
    <row r="173" spans="1:26" ht="15.75" customHeight="1" x14ac:dyDescent="0.3">
      <c r="A173" s="10" t="s">
        <v>4332</v>
      </c>
      <c r="B173" s="10">
        <v>2003</v>
      </c>
      <c r="C173" s="10" t="s">
        <v>4707</v>
      </c>
      <c r="D173" s="10">
        <v>20</v>
      </c>
      <c r="E173" s="10">
        <v>1</v>
      </c>
      <c r="F173" s="24">
        <v>1842.52</v>
      </c>
      <c r="G173" s="10" t="s">
        <v>4696</v>
      </c>
      <c r="H173" s="10" t="s">
        <v>4695</v>
      </c>
      <c r="I173" s="10" t="s">
        <v>4716</v>
      </c>
      <c r="J173" s="17">
        <f t="shared" si="0"/>
        <v>37822</v>
      </c>
      <c r="K173" s="10">
        <f t="shared" ca="1" si="1"/>
        <v>22</v>
      </c>
      <c r="L173" s="6"/>
      <c r="M173" s="6"/>
      <c r="N173" s="6"/>
      <c r="O173" s="6"/>
      <c r="P173" s="6"/>
      <c r="Q173" s="6"/>
      <c r="R173" s="6"/>
      <c r="S173" s="6"/>
      <c r="T173" s="6"/>
      <c r="U173" s="6"/>
      <c r="V173" s="6"/>
      <c r="W173" s="6"/>
      <c r="X173" s="6"/>
      <c r="Y173" s="6"/>
      <c r="Z173" s="6"/>
    </row>
    <row r="174" spans="1:26" ht="15.75" customHeight="1" x14ac:dyDescent="0.3">
      <c r="A174" s="10" t="s">
        <v>4330</v>
      </c>
      <c r="B174" s="10">
        <v>1994</v>
      </c>
      <c r="C174" s="10" t="s">
        <v>4713</v>
      </c>
      <c r="D174" s="10">
        <v>6</v>
      </c>
      <c r="E174" s="10">
        <v>0</v>
      </c>
      <c r="F174" s="24">
        <v>1850.55</v>
      </c>
      <c r="G174" s="10" t="s">
        <v>4696</v>
      </c>
      <c r="H174" s="10" t="s">
        <v>4695</v>
      </c>
      <c r="I174" s="10" t="s">
        <v>4712</v>
      </c>
      <c r="J174" s="17">
        <f t="shared" si="0"/>
        <v>34674</v>
      </c>
      <c r="K174" s="10">
        <f t="shared" ca="1" si="1"/>
        <v>30</v>
      </c>
      <c r="L174" s="6"/>
      <c r="M174" s="6"/>
      <c r="N174" s="6"/>
      <c r="O174" s="6"/>
      <c r="P174" s="6"/>
      <c r="Q174" s="6"/>
      <c r="R174" s="6"/>
      <c r="S174" s="6"/>
      <c r="T174" s="6"/>
      <c r="U174" s="6"/>
      <c r="V174" s="6"/>
      <c r="W174" s="6"/>
      <c r="X174" s="6"/>
      <c r="Y174" s="6"/>
      <c r="Z174" s="6"/>
    </row>
    <row r="175" spans="1:26" ht="15.75" customHeight="1" x14ac:dyDescent="0.3">
      <c r="A175" s="10" t="s">
        <v>4328</v>
      </c>
      <c r="B175" s="10">
        <v>2004</v>
      </c>
      <c r="C175" s="10" t="s">
        <v>4713</v>
      </c>
      <c r="D175" s="10">
        <v>27</v>
      </c>
      <c r="E175" s="10">
        <v>0</v>
      </c>
      <c r="F175" s="24">
        <v>1863.45</v>
      </c>
      <c r="G175" s="10" t="s">
        <v>4696</v>
      </c>
      <c r="H175" s="10" t="s">
        <v>4694</v>
      </c>
      <c r="I175" s="10" t="s">
        <v>4722</v>
      </c>
      <c r="J175" s="17">
        <f t="shared" si="0"/>
        <v>38348</v>
      </c>
      <c r="K175" s="10">
        <f t="shared" ca="1" si="1"/>
        <v>20</v>
      </c>
      <c r="L175" s="6"/>
      <c r="M175" s="6"/>
      <c r="N175" s="6"/>
      <c r="O175" s="6"/>
      <c r="P175" s="6"/>
      <c r="Q175" s="6"/>
      <c r="R175" s="6"/>
      <c r="S175" s="6"/>
      <c r="T175" s="6"/>
      <c r="U175" s="6"/>
      <c r="V175" s="6"/>
      <c r="W175" s="6"/>
      <c r="X175" s="6"/>
      <c r="Y175" s="6"/>
      <c r="Z175" s="6"/>
    </row>
    <row r="176" spans="1:26" ht="15.75" customHeight="1" x14ac:dyDescent="0.3">
      <c r="A176" s="10" t="s">
        <v>4326</v>
      </c>
      <c r="B176" s="10">
        <v>1996</v>
      </c>
      <c r="C176" s="10" t="s">
        <v>4707</v>
      </c>
      <c r="D176" s="10">
        <v>2</v>
      </c>
      <c r="E176" s="10">
        <v>0</v>
      </c>
      <c r="F176" s="24">
        <v>1865.98</v>
      </c>
      <c r="G176" s="10" t="s">
        <v>4696</v>
      </c>
      <c r="H176" s="10" t="s">
        <v>4696</v>
      </c>
      <c r="I176" s="10" t="s">
        <v>4712</v>
      </c>
      <c r="J176" s="17">
        <f t="shared" si="0"/>
        <v>35248</v>
      </c>
      <c r="K176" s="10">
        <f t="shared" ca="1" si="1"/>
        <v>29</v>
      </c>
      <c r="L176" s="6"/>
      <c r="M176" s="6"/>
      <c r="N176" s="6"/>
      <c r="O176" s="6"/>
      <c r="P176" s="6"/>
      <c r="Q176" s="6"/>
      <c r="R176" s="6"/>
      <c r="S176" s="6"/>
      <c r="T176" s="6"/>
      <c r="U176" s="6"/>
      <c r="V176" s="6"/>
      <c r="W176" s="6"/>
      <c r="X176" s="6"/>
      <c r="Y176" s="6"/>
      <c r="Z176" s="6"/>
    </row>
    <row r="177" spans="1:26" ht="15.75" customHeight="1" x14ac:dyDescent="0.3">
      <c r="A177" s="10" t="s">
        <v>4324</v>
      </c>
      <c r="B177" s="10">
        <v>2002</v>
      </c>
      <c r="C177" s="10" t="s">
        <v>4711</v>
      </c>
      <c r="D177" s="10">
        <v>22</v>
      </c>
      <c r="E177" s="10">
        <v>0</v>
      </c>
      <c r="F177" s="24">
        <v>1875.34</v>
      </c>
      <c r="G177" s="10" t="s">
        <v>4696</v>
      </c>
      <c r="H177" s="10" t="s">
        <v>4695</v>
      </c>
      <c r="I177" s="10" t="s">
        <v>4716</v>
      </c>
      <c r="J177" s="17">
        <f t="shared" si="0"/>
        <v>37521</v>
      </c>
      <c r="K177" s="10">
        <f t="shared" ca="1" si="1"/>
        <v>23</v>
      </c>
      <c r="L177" s="6"/>
      <c r="M177" s="6"/>
      <c r="N177" s="6"/>
      <c r="O177" s="6"/>
      <c r="P177" s="6"/>
      <c r="Q177" s="6"/>
      <c r="R177" s="6"/>
      <c r="S177" s="6"/>
      <c r="T177" s="6"/>
      <c r="U177" s="6"/>
      <c r="V177" s="6"/>
      <c r="W177" s="6"/>
      <c r="X177" s="6"/>
      <c r="Y177" s="6"/>
      <c r="Z177" s="6"/>
    </row>
    <row r="178" spans="1:26" ht="15.75" customHeight="1" x14ac:dyDescent="0.3">
      <c r="A178" s="10" t="s">
        <v>4322</v>
      </c>
      <c r="B178" s="10">
        <v>2002</v>
      </c>
      <c r="C178" s="10" t="s">
        <v>4715</v>
      </c>
      <c r="D178" s="10">
        <v>29</v>
      </c>
      <c r="E178" s="10">
        <v>0</v>
      </c>
      <c r="F178" s="24">
        <v>1877.93</v>
      </c>
      <c r="G178" s="10" t="s">
        <v>4696</v>
      </c>
      <c r="H178" s="10" t="s">
        <v>4694</v>
      </c>
      <c r="I178" s="10" t="s">
        <v>4708</v>
      </c>
      <c r="J178" s="17">
        <f t="shared" si="0"/>
        <v>37558</v>
      </c>
      <c r="K178" s="10">
        <f t="shared" ca="1" si="1"/>
        <v>23</v>
      </c>
      <c r="L178" s="6"/>
      <c r="M178" s="6"/>
      <c r="N178" s="6"/>
      <c r="O178" s="6"/>
      <c r="P178" s="6"/>
      <c r="Q178" s="6"/>
      <c r="R178" s="6"/>
      <c r="S178" s="6"/>
      <c r="T178" s="6"/>
      <c r="U178" s="6"/>
      <c r="V178" s="6"/>
      <c r="W178" s="6"/>
      <c r="X178" s="6"/>
      <c r="Y178" s="6"/>
      <c r="Z178" s="6"/>
    </row>
    <row r="179" spans="1:26" ht="15.75" customHeight="1" x14ac:dyDescent="0.3">
      <c r="A179" s="10" t="s">
        <v>4320</v>
      </c>
      <c r="B179" s="10">
        <v>2002</v>
      </c>
      <c r="C179" s="10" t="s">
        <v>4714</v>
      </c>
      <c r="D179" s="10">
        <v>29</v>
      </c>
      <c r="E179" s="10">
        <v>0</v>
      </c>
      <c r="F179" s="24">
        <v>1880.07</v>
      </c>
      <c r="G179" s="10" t="s">
        <v>4696</v>
      </c>
      <c r="H179" s="10" t="s">
        <v>4695</v>
      </c>
      <c r="I179" s="10" t="s">
        <v>4708</v>
      </c>
      <c r="J179" s="17">
        <f t="shared" si="0"/>
        <v>37497</v>
      </c>
      <c r="K179" s="10">
        <f t="shared" ca="1" si="1"/>
        <v>23</v>
      </c>
      <c r="L179" s="6"/>
      <c r="M179" s="6"/>
      <c r="N179" s="6"/>
      <c r="O179" s="6"/>
      <c r="P179" s="6"/>
      <c r="Q179" s="6"/>
      <c r="R179" s="6"/>
      <c r="S179" s="6"/>
      <c r="T179" s="6"/>
      <c r="U179" s="6"/>
      <c r="V179" s="6"/>
      <c r="W179" s="6"/>
      <c r="X179" s="6"/>
      <c r="Y179" s="6"/>
      <c r="Z179" s="6"/>
    </row>
    <row r="180" spans="1:26" ht="15.75" customHeight="1" x14ac:dyDescent="0.3">
      <c r="A180" s="10" t="s">
        <v>4318</v>
      </c>
      <c r="B180" s="10">
        <v>2002</v>
      </c>
      <c r="C180" s="10" t="s">
        <v>4714</v>
      </c>
      <c r="D180" s="10">
        <v>21</v>
      </c>
      <c r="E180" s="10">
        <v>0</v>
      </c>
      <c r="F180" s="24">
        <v>1880.49</v>
      </c>
      <c r="G180" s="10" t="s">
        <v>4696</v>
      </c>
      <c r="H180" s="10" t="s">
        <v>4694</v>
      </c>
      <c r="I180" s="10" t="s">
        <v>4716</v>
      </c>
      <c r="J180" s="17">
        <f t="shared" si="0"/>
        <v>37489</v>
      </c>
      <c r="K180" s="10">
        <f t="shared" ca="1" si="1"/>
        <v>23</v>
      </c>
      <c r="L180" s="6"/>
      <c r="M180" s="6"/>
      <c r="N180" s="6"/>
      <c r="O180" s="6"/>
      <c r="P180" s="6"/>
      <c r="Q180" s="6"/>
      <c r="R180" s="6"/>
      <c r="S180" s="6"/>
      <c r="T180" s="6"/>
      <c r="U180" s="6"/>
      <c r="V180" s="6"/>
      <c r="W180" s="6"/>
      <c r="X180" s="6"/>
      <c r="Y180" s="6"/>
      <c r="Z180" s="6"/>
    </row>
    <row r="181" spans="1:26" ht="15.75" customHeight="1" x14ac:dyDescent="0.3">
      <c r="A181" s="10" t="s">
        <v>4316</v>
      </c>
      <c r="B181" s="10">
        <v>2001</v>
      </c>
      <c r="C181" s="10" t="s">
        <v>4714</v>
      </c>
      <c r="D181" s="10">
        <v>10</v>
      </c>
      <c r="E181" s="10">
        <v>0</v>
      </c>
      <c r="F181" s="24">
        <v>1906.36</v>
      </c>
      <c r="G181" s="10" t="s">
        <v>4696</v>
      </c>
      <c r="H181" s="10" t="s">
        <v>4694</v>
      </c>
      <c r="I181" s="10" t="s">
        <v>4712</v>
      </c>
      <c r="J181" s="17">
        <f t="shared" si="0"/>
        <v>37113</v>
      </c>
      <c r="K181" s="10">
        <f t="shared" ca="1" si="1"/>
        <v>24</v>
      </c>
      <c r="L181" s="6"/>
      <c r="M181" s="6"/>
      <c r="N181" s="6"/>
      <c r="O181" s="6"/>
      <c r="P181" s="6"/>
      <c r="Q181" s="6"/>
      <c r="R181" s="6"/>
      <c r="S181" s="6"/>
      <c r="T181" s="6"/>
      <c r="U181" s="6"/>
      <c r="V181" s="6"/>
      <c r="W181" s="6"/>
      <c r="X181" s="6"/>
      <c r="Y181" s="6"/>
      <c r="Z181" s="6"/>
    </row>
    <row r="182" spans="1:26" ht="15.75" customHeight="1" x14ac:dyDescent="0.3">
      <c r="A182" s="10" t="s">
        <v>4314</v>
      </c>
      <c r="B182" s="10">
        <v>1994</v>
      </c>
      <c r="C182" s="10" t="s">
        <v>4715</v>
      </c>
      <c r="D182" s="10">
        <v>6</v>
      </c>
      <c r="E182" s="10">
        <v>0</v>
      </c>
      <c r="F182" s="24">
        <v>1908.9</v>
      </c>
      <c r="G182" s="10" t="s">
        <v>4696</v>
      </c>
      <c r="H182" s="10" t="s">
        <v>4696</v>
      </c>
      <c r="I182" s="10" t="s">
        <v>4708</v>
      </c>
      <c r="J182" s="17">
        <f t="shared" si="0"/>
        <v>34613</v>
      </c>
      <c r="K182" s="10">
        <f t="shared" ca="1" si="1"/>
        <v>31</v>
      </c>
      <c r="L182" s="6"/>
      <c r="M182" s="6"/>
      <c r="N182" s="6"/>
      <c r="O182" s="6"/>
      <c r="P182" s="6"/>
      <c r="Q182" s="6"/>
      <c r="R182" s="6"/>
      <c r="S182" s="6"/>
      <c r="T182" s="6"/>
      <c r="U182" s="6"/>
      <c r="V182" s="6"/>
      <c r="W182" s="6"/>
      <c r="X182" s="6"/>
      <c r="Y182" s="6"/>
      <c r="Z182" s="6"/>
    </row>
    <row r="183" spans="1:26" ht="15.75" customHeight="1" x14ac:dyDescent="0.3">
      <c r="A183" s="10" t="s">
        <v>4312</v>
      </c>
      <c r="B183" s="10">
        <v>2001</v>
      </c>
      <c r="C183" s="10" t="s">
        <v>4714</v>
      </c>
      <c r="D183" s="10">
        <v>3</v>
      </c>
      <c r="E183" s="10">
        <v>0</v>
      </c>
      <c r="F183" s="24">
        <v>1909.53</v>
      </c>
      <c r="G183" s="10" t="s">
        <v>4696</v>
      </c>
      <c r="H183" s="10" t="s">
        <v>4696</v>
      </c>
      <c r="I183" s="10" t="s">
        <v>4712</v>
      </c>
      <c r="J183" s="17">
        <f t="shared" si="0"/>
        <v>37106</v>
      </c>
      <c r="K183" s="10">
        <f t="shared" ca="1" si="1"/>
        <v>24</v>
      </c>
      <c r="L183" s="6"/>
      <c r="M183" s="6"/>
      <c r="N183" s="6"/>
      <c r="O183" s="6"/>
      <c r="P183" s="6"/>
      <c r="Q183" s="6"/>
      <c r="R183" s="6"/>
      <c r="S183" s="6"/>
      <c r="T183" s="6"/>
      <c r="U183" s="6"/>
      <c r="V183" s="6"/>
      <c r="W183" s="6"/>
      <c r="X183" s="6"/>
      <c r="Y183" s="6"/>
      <c r="Z183" s="6"/>
    </row>
    <row r="184" spans="1:26" ht="15.75" customHeight="1" x14ac:dyDescent="0.3">
      <c r="A184" s="10" t="s">
        <v>4310</v>
      </c>
      <c r="B184" s="10">
        <v>2001</v>
      </c>
      <c r="C184" s="10" t="s">
        <v>4713</v>
      </c>
      <c r="D184" s="10">
        <v>9</v>
      </c>
      <c r="E184" s="10">
        <v>0</v>
      </c>
      <c r="F184" s="24">
        <v>1917.32</v>
      </c>
      <c r="G184" s="10" t="s">
        <v>4696</v>
      </c>
      <c r="H184" s="10" t="s">
        <v>4695</v>
      </c>
      <c r="I184" s="10" t="s">
        <v>4712</v>
      </c>
      <c r="J184" s="17">
        <f t="shared" si="0"/>
        <v>37234</v>
      </c>
      <c r="K184" s="10">
        <f t="shared" ca="1" si="1"/>
        <v>23</v>
      </c>
      <c r="L184" s="6"/>
      <c r="M184" s="6"/>
      <c r="N184" s="6"/>
      <c r="O184" s="6"/>
      <c r="P184" s="6"/>
      <c r="Q184" s="6"/>
      <c r="R184" s="6"/>
      <c r="S184" s="6"/>
      <c r="T184" s="6"/>
      <c r="U184" s="6"/>
      <c r="V184" s="6"/>
      <c r="W184" s="6"/>
      <c r="X184" s="6"/>
      <c r="Y184" s="6"/>
      <c r="Z184" s="6"/>
    </row>
    <row r="185" spans="1:26" ht="15.75" customHeight="1" x14ac:dyDescent="0.3">
      <c r="A185" s="10" t="s">
        <v>4308</v>
      </c>
      <c r="B185" s="10">
        <v>2002</v>
      </c>
      <c r="C185" s="10" t="s">
        <v>4711</v>
      </c>
      <c r="D185" s="10">
        <v>7</v>
      </c>
      <c r="E185" s="10">
        <v>1</v>
      </c>
      <c r="F185" s="24">
        <v>1964.78</v>
      </c>
      <c r="G185" s="10" t="s">
        <v>4696</v>
      </c>
      <c r="H185" s="10" t="s">
        <v>4694</v>
      </c>
      <c r="I185" s="10" t="s">
        <v>4716</v>
      </c>
      <c r="J185" s="17">
        <f t="shared" si="0"/>
        <v>37506</v>
      </c>
      <c r="K185" s="10">
        <f t="shared" ca="1" si="1"/>
        <v>23</v>
      </c>
      <c r="L185" s="6"/>
      <c r="M185" s="6"/>
      <c r="N185" s="6"/>
      <c r="O185" s="6"/>
      <c r="P185" s="6"/>
      <c r="Q185" s="6"/>
      <c r="R185" s="6"/>
      <c r="S185" s="6"/>
      <c r="T185" s="6"/>
      <c r="U185" s="6"/>
      <c r="V185" s="6"/>
      <c r="W185" s="6"/>
      <c r="X185" s="6"/>
      <c r="Y185" s="6"/>
      <c r="Z185" s="6"/>
    </row>
    <row r="186" spans="1:26" ht="15.75" customHeight="1" x14ac:dyDescent="0.3">
      <c r="A186" s="10" t="s">
        <v>4306</v>
      </c>
      <c r="B186" s="10">
        <v>2002</v>
      </c>
      <c r="C186" s="10" t="s">
        <v>4707</v>
      </c>
      <c r="D186" s="10">
        <v>29</v>
      </c>
      <c r="E186" s="10">
        <v>0</v>
      </c>
      <c r="F186" s="24">
        <v>1967.02</v>
      </c>
      <c r="G186" s="10" t="s">
        <v>4696</v>
      </c>
      <c r="H186" s="10" t="s">
        <v>4695</v>
      </c>
      <c r="I186" s="10" t="s">
        <v>4720</v>
      </c>
      <c r="J186" s="17">
        <f t="shared" si="0"/>
        <v>37466</v>
      </c>
      <c r="K186" s="10">
        <f t="shared" ca="1" si="1"/>
        <v>23</v>
      </c>
      <c r="L186" s="6"/>
      <c r="M186" s="6"/>
      <c r="N186" s="6"/>
      <c r="O186" s="6"/>
      <c r="P186" s="6"/>
      <c r="Q186" s="6"/>
      <c r="R186" s="6"/>
      <c r="S186" s="6"/>
      <c r="T186" s="6"/>
      <c r="U186" s="6"/>
      <c r="V186" s="6"/>
      <c r="W186" s="6"/>
      <c r="X186" s="6"/>
      <c r="Y186" s="6"/>
      <c r="Z186" s="6"/>
    </row>
    <row r="187" spans="1:26" ht="15.75" customHeight="1" x14ac:dyDescent="0.3">
      <c r="A187" s="10" t="s">
        <v>4304</v>
      </c>
      <c r="B187" s="10">
        <v>1998</v>
      </c>
      <c r="C187" s="10" t="s">
        <v>4711</v>
      </c>
      <c r="D187" s="10">
        <v>28</v>
      </c>
      <c r="E187" s="10">
        <v>0</v>
      </c>
      <c r="F187" s="24">
        <v>1969.61</v>
      </c>
      <c r="G187" s="10" t="s">
        <v>4696</v>
      </c>
      <c r="H187" s="10" t="s">
        <v>4696</v>
      </c>
      <c r="I187" s="10" t="s">
        <v>4716</v>
      </c>
      <c r="J187" s="17">
        <f t="shared" si="0"/>
        <v>36066</v>
      </c>
      <c r="K187" s="10">
        <f t="shared" ca="1" si="1"/>
        <v>27</v>
      </c>
      <c r="L187" s="6"/>
      <c r="M187" s="6"/>
      <c r="N187" s="6"/>
      <c r="O187" s="6"/>
      <c r="P187" s="6"/>
      <c r="Q187" s="6"/>
      <c r="R187" s="6"/>
      <c r="S187" s="6"/>
      <c r="T187" s="6"/>
      <c r="U187" s="6"/>
      <c r="V187" s="6"/>
      <c r="W187" s="6"/>
      <c r="X187" s="6"/>
      <c r="Y187" s="6"/>
      <c r="Z187" s="6"/>
    </row>
    <row r="188" spans="1:26" ht="15.75" customHeight="1" x14ac:dyDescent="0.3">
      <c r="A188" s="10" t="s">
        <v>4302</v>
      </c>
      <c r="B188" s="10">
        <v>1998</v>
      </c>
      <c r="C188" s="10" t="s">
        <v>4715</v>
      </c>
      <c r="D188" s="10">
        <v>5</v>
      </c>
      <c r="E188" s="10">
        <v>0</v>
      </c>
      <c r="F188" s="24">
        <v>1972.95</v>
      </c>
      <c r="G188" s="10" t="s">
        <v>4696</v>
      </c>
      <c r="H188" s="10" t="s">
        <v>4694</v>
      </c>
      <c r="I188" s="10" t="s">
        <v>4716</v>
      </c>
      <c r="J188" s="17">
        <f t="shared" si="0"/>
        <v>36073</v>
      </c>
      <c r="K188" s="10">
        <f t="shared" ca="1" si="1"/>
        <v>27</v>
      </c>
      <c r="L188" s="6"/>
      <c r="M188" s="6"/>
      <c r="N188" s="6"/>
      <c r="O188" s="6"/>
      <c r="P188" s="6"/>
      <c r="Q188" s="6"/>
      <c r="R188" s="6"/>
      <c r="S188" s="6"/>
      <c r="T188" s="6"/>
      <c r="U188" s="6"/>
      <c r="V188" s="6"/>
      <c r="W188" s="6"/>
      <c r="X188" s="6"/>
      <c r="Y188" s="6"/>
      <c r="Z188" s="6"/>
    </row>
    <row r="189" spans="1:26" ht="15.75" customHeight="1" x14ac:dyDescent="0.3">
      <c r="A189" s="10" t="s">
        <v>4300</v>
      </c>
      <c r="B189" s="10">
        <v>1998</v>
      </c>
      <c r="C189" s="10" t="s">
        <v>4711</v>
      </c>
      <c r="D189" s="10">
        <v>29</v>
      </c>
      <c r="E189" s="10">
        <v>0</v>
      </c>
      <c r="F189" s="24">
        <v>1977.82</v>
      </c>
      <c r="G189" s="10" t="s">
        <v>4696</v>
      </c>
      <c r="H189" s="10" t="s">
        <v>4694</v>
      </c>
      <c r="I189" s="10" t="s">
        <v>4716</v>
      </c>
      <c r="J189" s="17">
        <f t="shared" si="0"/>
        <v>36067</v>
      </c>
      <c r="K189" s="10">
        <f t="shared" ca="1" si="1"/>
        <v>27</v>
      </c>
      <c r="L189" s="6"/>
      <c r="M189" s="6"/>
      <c r="N189" s="6"/>
      <c r="O189" s="6"/>
      <c r="P189" s="6"/>
      <c r="Q189" s="6"/>
      <c r="R189" s="6"/>
      <c r="S189" s="6"/>
      <c r="T189" s="6"/>
      <c r="U189" s="6"/>
      <c r="V189" s="6"/>
      <c r="W189" s="6"/>
      <c r="X189" s="6"/>
      <c r="Y189" s="6"/>
      <c r="Z189" s="6"/>
    </row>
    <row r="190" spans="1:26" ht="15.75" customHeight="1" x14ac:dyDescent="0.3">
      <c r="A190" s="10" t="s">
        <v>4298</v>
      </c>
      <c r="B190" s="10">
        <v>2002</v>
      </c>
      <c r="C190" s="10" t="s">
        <v>4707</v>
      </c>
      <c r="D190" s="10">
        <v>16</v>
      </c>
      <c r="E190" s="10">
        <v>1</v>
      </c>
      <c r="F190" s="24">
        <v>1980.07</v>
      </c>
      <c r="G190" s="10" t="s">
        <v>4696</v>
      </c>
      <c r="H190" s="10" t="s">
        <v>4696</v>
      </c>
      <c r="I190" s="10" t="s">
        <v>4716</v>
      </c>
      <c r="J190" s="17">
        <f t="shared" si="0"/>
        <v>37453</v>
      </c>
      <c r="K190" s="10">
        <f t="shared" ca="1" si="1"/>
        <v>23</v>
      </c>
      <c r="L190" s="6"/>
      <c r="M190" s="6"/>
      <c r="N190" s="6"/>
      <c r="O190" s="6"/>
      <c r="P190" s="6"/>
      <c r="Q190" s="6"/>
      <c r="R190" s="6"/>
      <c r="S190" s="6"/>
      <c r="T190" s="6"/>
      <c r="U190" s="6"/>
      <c r="V190" s="6"/>
      <c r="W190" s="6"/>
      <c r="X190" s="6"/>
      <c r="Y190" s="6"/>
      <c r="Z190" s="6"/>
    </row>
    <row r="191" spans="1:26" ht="15.75" customHeight="1" x14ac:dyDescent="0.3">
      <c r="A191" s="10" t="s">
        <v>4296</v>
      </c>
      <c r="B191" s="10">
        <v>1998</v>
      </c>
      <c r="C191" s="10" t="s">
        <v>4713</v>
      </c>
      <c r="D191" s="10">
        <v>29</v>
      </c>
      <c r="E191" s="10">
        <v>0</v>
      </c>
      <c r="F191" s="24">
        <v>1981.58</v>
      </c>
      <c r="G191" s="10" t="s">
        <v>4696</v>
      </c>
      <c r="H191" s="10" t="s">
        <v>4694</v>
      </c>
      <c r="I191" s="10" t="s">
        <v>4708</v>
      </c>
      <c r="J191" s="17">
        <f t="shared" si="0"/>
        <v>36158</v>
      </c>
      <c r="K191" s="10">
        <f t="shared" ca="1" si="1"/>
        <v>26</v>
      </c>
      <c r="L191" s="6"/>
      <c r="M191" s="6"/>
      <c r="N191" s="6"/>
      <c r="O191" s="6"/>
      <c r="P191" s="6"/>
      <c r="Q191" s="6"/>
      <c r="R191" s="6"/>
      <c r="S191" s="6"/>
      <c r="T191" s="6"/>
      <c r="U191" s="6"/>
      <c r="V191" s="6"/>
      <c r="W191" s="6"/>
      <c r="X191" s="6"/>
      <c r="Y191" s="6"/>
      <c r="Z191" s="6"/>
    </row>
    <row r="192" spans="1:26" ht="15.75" customHeight="1" x14ac:dyDescent="0.3">
      <c r="A192" s="10" t="s">
        <v>4294</v>
      </c>
      <c r="B192" s="10">
        <v>2002</v>
      </c>
      <c r="C192" s="10" t="s">
        <v>4711</v>
      </c>
      <c r="D192" s="10">
        <v>29</v>
      </c>
      <c r="E192" s="10">
        <v>0</v>
      </c>
      <c r="F192" s="24">
        <v>1984.45</v>
      </c>
      <c r="G192" s="10" t="s">
        <v>4696</v>
      </c>
      <c r="H192" s="10" t="s">
        <v>4696</v>
      </c>
      <c r="I192" s="10" t="s">
        <v>4720</v>
      </c>
      <c r="J192" s="17">
        <f t="shared" si="0"/>
        <v>37528</v>
      </c>
      <c r="K192" s="10">
        <f t="shared" ca="1" si="1"/>
        <v>23</v>
      </c>
      <c r="L192" s="6"/>
      <c r="M192" s="6"/>
      <c r="N192" s="6"/>
      <c r="O192" s="6"/>
      <c r="P192" s="6"/>
      <c r="Q192" s="6"/>
      <c r="R192" s="6"/>
      <c r="S192" s="6"/>
      <c r="T192" s="6"/>
      <c r="U192" s="6"/>
      <c r="V192" s="6"/>
      <c r="W192" s="6"/>
      <c r="X192" s="6"/>
      <c r="Y192" s="6"/>
      <c r="Z192" s="6"/>
    </row>
    <row r="193" spans="1:26" ht="15.75" customHeight="1" x14ac:dyDescent="0.3">
      <c r="A193" s="10" t="s">
        <v>4292</v>
      </c>
      <c r="B193" s="10">
        <v>1998</v>
      </c>
      <c r="C193" s="10" t="s">
        <v>4711</v>
      </c>
      <c r="D193" s="10">
        <v>14</v>
      </c>
      <c r="E193" s="10">
        <v>0</v>
      </c>
      <c r="F193" s="24">
        <v>1986.93</v>
      </c>
      <c r="G193" s="10" t="s">
        <v>4696</v>
      </c>
      <c r="H193" s="10" t="s">
        <v>4695</v>
      </c>
      <c r="I193" s="10" t="s">
        <v>4708</v>
      </c>
      <c r="J193" s="17">
        <f t="shared" si="0"/>
        <v>36052</v>
      </c>
      <c r="K193" s="10">
        <f t="shared" ca="1" si="1"/>
        <v>27</v>
      </c>
      <c r="L193" s="6"/>
      <c r="M193" s="6"/>
      <c r="N193" s="6"/>
      <c r="O193" s="6"/>
      <c r="P193" s="6"/>
      <c r="Q193" s="6"/>
      <c r="R193" s="6"/>
      <c r="S193" s="6"/>
      <c r="T193" s="6"/>
      <c r="U193" s="6"/>
      <c r="V193" s="6"/>
      <c r="W193" s="6"/>
      <c r="X193" s="6"/>
      <c r="Y193" s="6"/>
      <c r="Z193" s="6"/>
    </row>
    <row r="194" spans="1:26" ht="15.75" customHeight="1" x14ac:dyDescent="0.3">
      <c r="A194" s="10" t="s">
        <v>4290</v>
      </c>
      <c r="B194" s="10">
        <v>2001</v>
      </c>
      <c r="C194" s="10" t="s">
        <v>4714</v>
      </c>
      <c r="D194" s="10">
        <v>14</v>
      </c>
      <c r="E194" s="10">
        <v>0</v>
      </c>
      <c r="F194" s="24">
        <v>2007.95</v>
      </c>
      <c r="G194" s="10" t="s">
        <v>4696</v>
      </c>
      <c r="H194" s="10" t="s">
        <v>4695</v>
      </c>
      <c r="I194" s="10" t="s">
        <v>4716</v>
      </c>
      <c r="J194" s="17">
        <f t="shared" si="0"/>
        <v>37117</v>
      </c>
      <c r="K194" s="10">
        <f t="shared" ca="1" si="1"/>
        <v>24</v>
      </c>
      <c r="L194" s="6"/>
      <c r="M194" s="6"/>
      <c r="N194" s="6"/>
      <c r="O194" s="6"/>
      <c r="P194" s="6"/>
      <c r="Q194" s="6"/>
      <c r="R194" s="6"/>
      <c r="S194" s="6"/>
      <c r="T194" s="6"/>
      <c r="U194" s="6"/>
      <c r="V194" s="6"/>
      <c r="W194" s="6"/>
      <c r="X194" s="6"/>
      <c r="Y194" s="6"/>
      <c r="Z194" s="6"/>
    </row>
    <row r="195" spans="1:26" ht="15.75" customHeight="1" x14ac:dyDescent="0.3">
      <c r="A195" s="10" t="s">
        <v>4288</v>
      </c>
      <c r="B195" s="10">
        <v>2001</v>
      </c>
      <c r="C195" s="10" t="s">
        <v>4707</v>
      </c>
      <c r="D195" s="10">
        <v>1</v>
      </c>
      <c r="E195" s="10">
        <v>0</v>
      </c>
      <c r="F195" s="24">
        <v>2020.18</v>
      </c>
      <c r="G195" s="10" t="s">
        <v>4696</v>
      </c>
      <c r="H195" s="10" t="s">
        <v>4694</v>
      </c>
      <c r="I195" s="10" t="s">
        <v>4716</v>
      </c>
      <c r="J195" s="17">
        <f t="shared" si="0"/>
        <v>37073</v>
      </c>
      <c r="K195" s="10">
        <f t="shared" ca="1" si="1"/>
        <v>24</v>
      </c>
      <c r="L195" s="6"/>
      <c r="M195" s="6"/>
      <c r="N195" s="6"/>
      <c r="O195" s="6"/>
      <c r="P195" s="6"/>
      <c r="Q195" s="6"/>
      <c r="R195" s="6"/>
      <c r="S195" s="6"/>
      <c r="T195" s="6"/>
      <c r="U195" s="6"/>
      <c r="V195" s="6"/>
      <c r="W195" s="6"/>
      <c r="X195" s="6"/>
      <c r="Y195" s="6"/>
      <c r="Z195" s="6"/>
    </row>
    <row r="196" spans="1:26" ht="15.75" customHeight="1" x14ac:dyDescent="0.3">
      <c r="A196" s="10" t="s">
        <v>4286</v>
      </c>
      <c r="B196" s="10">
        <v>2001</v>
      </c>
      <c r="C196" s="10" t="s">
        <v>4711</v>
      </c>
      <c r="D196" s="10">
        <v>6</v>
      </c>
      <c r="E196" s="10">
        <v>0</v>
      </c>
      <c r="F196" s="24">
        <v>2020.55</v>
      </c>
      <c r="G196" s="10" t="s">
        <v>4696</v>
      </c>
      <c r="H196" s="10" t="s">
        <v>4695</v>
      </c>
      <c r="I196" s="10" t="s">
        <v>4708</v>
      </c>
      <c r="J196" s="17">
        <f t="shared" si="0"/>
        <v>37140</v>
      </c>
      <c r="K196" s="10">
        <f t="shared" ca="1" si="1"/>
        <v>24</v>
      </c>
      <c r="L196" s="6"/>
      <c r="M196" s="6"/>
      <c r="N196" s="6"/>
      <c r="O196" s="6"/>
      <c r="P196" s="6"/>
      <c r="Q196" s="6"/>
      <c r="R196" s="6"/>
      <c r="S196" s="6"/>
      <c r="T196" s="6"/>
      <c r="U196" s="6"/>
      <c r="V196" s="6"/>
      <c r="W196" s="6"/>
      <c r="X196" s="6"/>
      <c r="Y196" s="6"/>
      <c r="Z196" s="6"/>
    </row>
    <row r="197" spans="1:26" ht="15.75" customHeight="1" x14ac:dyDescent="0.3">
      <c r="A197" s="10" t="s">
        <v>4284</v>
      </c>
      <c r="B197" s="10">
        <v>2001</v>
      </c>
      <c r="C197" s="10" t="s">
        <v>4714</v>
      </c>
      <c r="D197" s="10">
        <v>4</v>
      </c>
      <c r="E197" s="10">
        <v>0</v>
      </c>
      <c r="F197" s="24">
        <v>2026.97</v>
      </c>
      <c r="G197" s="10" t="s">
        <v>4696</v>
      </c>
      <c r="H197" s="10" t="s">
        <v>4695</v>
      </c>
      <c r="I197" s="10" t="s">
        <v>4708</v>
      </c>
      <c r="J197" s="17">
        <f t="shared" si="0"/>
        <v>37107</v>
      </c>
      <c r="K197" s="10">
        <f t="shared" ca="1" si="1"/>
        <v>24</v>
      </c>
      <c r="L197" s="6"/>
      <c r="M197" s="6"/>
      <c r="N197" s="6"/>
      <c r="O197" s="6"/>
      <c r="P197" s="6"/>
      <c r="Q197" s="6"/>
      <c r="R197" s="6"/>
      <c r="S197" s="6"/>
      <c r="T197" s="6"/>
      <c r="U197" s="6"/>
      <c r="V197" s="6"/>
      <c r="W197" s="6"/>
      <c r="X197" s="6"/>
      <c r="Y197" s="6"/>
      <c r="Z197" s="6"/>
    </row>
    <row r="198" spans="1:26" ht="15.75" customHeight="1" x14ac:dyDescent="0.3">
      <c r="A198" s="10" t="s">
        <v>4282</v>
      </c>
      <c r="B198" s="10">
        <v>2000</v>
      </c>
      <c r="C198" s="10" t="s">
        <v>4711</v>
      </c>
      <c r="D198" s="10">
        <v>2</v>
      </c>
      <c r="E198" s="10">
        <v>0</v>
      </c>
      <c r="F198" s="24">
        <v>2045.69</v>
      </c>
      <c r="G198" s="10" t="s">
        <v>4696</v>
      </c>
      <c r="H198" s="10" t="s">
        <v>4696</v>
      </c>
      <c r="I198" s="10" t="s">
        <v>4712</v>
      </c>
      <c r="J198" s="17">
        <f t="shared" si="0"/>
        <v>36771</v>
      </c>
      <c r="K198" s="10">
        <f t="shared" ca="1" si="1"/>
        <v>25</v>
      </c>
      <c r="L198" s="6"/>
      <c r="M198" s="6"/>
      <c r="N198" s="6"/>
      <c r="O198" s="6"/>
      <c r="P198" s="6"/>
      <c r="Q198" s="6"/>
      <c r="R198" s="6"/>
      <c r="S198" s="6"/>
      <c r="T198" s="6"/>
      <c r="U198" s="6"/>
      <c r="V198" s="6"/>
      <c r="W198" s="6"/>
      <c r="X198" s="6"/>
      <c r="Y198" s="6"/>
      <c r="Z198" s="6"/>
    </row>
    <row r="199" spans="1:26" ht="15.75" customHeight="1" x14ac:dyDescent="0.3">
      <c r="A199" s="10" t="s">
        <v>4280</v>
      </c>
      <c r="B199" s="10">
        <v>2000</v>
      </c>
      <c r="C199" s="10" t="s">
        <v>4707</v>
      </c>
      <c r="D199" s="10">
        <v>26</v>
      </c>
      <c r="E199" s="10">
        <v>0</v>
      </c>
      <c r="F199" s="24">
        <v>2055.3200000000002</v>
      </c>
      <c r="G199" s="10" t="s">
        <v>4696</v>
      </c>
      <c r="H199" s="10" t="s">
        <v>4696</v>
      </c>
      <c r="I199" s="10" t="s">
        <v>4712</v>
      </c>
      <c r="J199" s="17">
        <f t="shared" si="0"/>
        <v>36733</v>
      </c>
      <c r="K199" s="10">
        <f t="shared" ca="1" si="1"/>
        <v>25</v>
      </c>
      <c r="L199" s="6"/>
      <c r="M199" s="6"/>
      <c r="N199" s="6"/>
      <c r="O199" s="6"/>
      <c r="P199" s="6"/>
      <c r="Q199" s="6"/>
      <c r="R199" s="6"/>
      <c r="S199" s="6"/>
      <c r="T199" s="6"/>
      <c r="U199" s="6"/>
      <c r="V199" s="6"/>
      <c r="W199" s="6"/>
      <c r="X199" s="6"/>
      <c r="Y199" s="6"/>
      <c r="Z199" s="6"/>
    </row>
    <row r="200" spans="1:26" ht="15.75" customHeight="1" x14ac:dyDescent="0.3">
      <c r="A200" s="10" t="s">
        <v>4278</v>
      </c>
      <c r="B200" s="10">
        <v>2004</v>
      </c>
      <c r="C200" s="10" t="s">
        <v>4710</v>
      </c>
      <c r="D200" s="10">
        <v>12</v>
      </c>
      <c r="E200" s="10">
        <v>0</v>
      </c>
      <c r="F200" s="24">
        <v>2094.1</v>
      </c>
      <c r="G200" s="10" t="s">
        <v>4696</v>
      </c>
      <c r="H200" s="10" t="s">
        <v>4695</v>
      </c>
      <c r="I200" s="10" t="s">
        <v>4722</v>
      </c>
      <c r="J200" s="17">
        <f t="shared" si="0"/>
        <v>38150</v>
      </c>
      <c r="K200" s="10">
        <f t="shared" ca="1" si="1"/>
        <v>21</v>
      </c>
      <c r="L200" s="6"/>
      <c r="M200" s="6"/>
      <c r="N200" s="6"/>
      <c r="O200" s="6"/>
      <c r="P200" s="6"/>
      <c r="Q200" s="6"/>
      <c r="R200" s="6"/>
      <c r="S200" s="6"/>
      <c r="T200" s="6"/>
      <c r="U200" s="6"/>
      <c r="V200" s="6"/>
      <c r="W200" s="6"/>
      <c r="X200" s="6"/>
      <c r="Y200" s="6"/>
      <c r="Z200" s="6"/>
    </row>
    <row r="201" spans="1:26" ht="15.75" customHeight="1" x14ac:dyDescent="0.3">
      <c r="A201" s="10" t="s">
        <v>4276</v>
      </c>
      <c r="B201" s="10">
        <v>2001</v>
      </c>
      <c r="C201" s="10" t="s">
        <v>4714</v>
      </c>
      <c r="D201" s="10">
        <v>14</v>
      </c>
      <c r="E201" s="10">
        <v>0</v>
      </c>
      <c r="F201" s="24">
        <v>2102.2600000000002</v>
      </c>
      <c r="G201" s="10" t="s">
        <v>4696</v>
      </c>
      <c r="H201" s="10" t="s">
        <v>4695</v>
      </c>
      <c r="I201" s="10" t="s">
        <v>4719</v>
      </c>
      <c r="J201" s="17">
        <f t="shared" si="0"/>
        <v>37117</v>
      </c>
      <c r="K201" s="10">
        <f t="shared" ca="1" si="1"/>
        <v>24</v>
      </c>
      <c r="L201" s="6"/>
      <c r="M201" s="6"/>
      <c r="N201" s="6"/>
      <c r="O201" s="6"/>
      <c r="P201" s="6"/>
      <c r="Q201" s="6"/>
      <c r="R201" s="6"/>
      <c r="S201" s="6"/>
      <c r="T201" s="6"/>
      <c r="U201" s="6"/>
      <c r="V201" s="6"/>
      <c r="W201" s="6"/>
      <c r="X201" s="6"/>
      <c r="Y201" s="6"/>
      <c r="Z201" s="6"/>
    </row>
    <row r="202" spans="1:26" ht="15.75" customHeight="1" x14ac:dyDescent="0.3">
      <c r="A202" s="10" t="s">
        <v>4274</v>
      </c>
      <c r="B202" s="10">
        <v>2001</v>
      </c>
      <c r="C202" s="10" t="s">
        <v>4710</v>
      </c>
      <c r="D202" s="10">
        <v>22</v>
      </c>
      <c r="E202" s="10">
        <v>1</v>
      </c>
      <c r="F202" s="24">
        <v>2103.08</v>
      </c>
      <c r="G202" s="10" t="s">
        <v>4696</v>
      </c>
      <c r="H202" s="10" t="s">
        <v>4695</v>
      </c>
      <c r="I202" s="10" t="s">
        <v>4716</v>
      </c>
      <c r="J202" s="17">
        <f t="shared" si="0"/>
        <v>37064</v>
      </c>
      <c r="K202" s="10">
        <f t="shared" ca="1" si="1"/>
        <v>24</v>
      </c>
      <c r="L202" s="6"/>
      <c r="M202" s="6"/>
      <c r="N202" s="6"/>
      <c r="O202" s="6"/>
      <c r="P202" s="6"/>
      <c r="Q202" s="6"/>
      <c r="R202" s="6"/>
      <c r="S202" s="6"/>
      <c r="T202" s="6"/>
      <c r="U202" s="6"/>
      <c r="V202" s="6"/>
      <c r="W202" s="6"/>
      <c r="X202" s="6"/>
      <c r="Y202" s="6"/>
      <c r="Z202" s="6"/>
    </row>
    <row r="203" spans="1:26" ht="15.75" customHeight="1" x14ac:dyDescent="0.3">
      <c r="A203" s="10" t="s">
        <v>4272</v>
      </c>
      <c r="B203" s="10">
        <v>2001</v>
      </c>
      <c r="C203" s="10" t="s">
        <v>4709</v>
      </c>
      <c r="D203" s="10">
        <v>28</v>
      </c>
      <c r="E203" s="10">
        <v>0</v>
      </c>
      <c r="F203" s="24">
        <v>2104.11</v>
      </c>
      <c r="G203" s="10" t="s">
        <v>4695</v>
      </c>
      <c r="H203" s="10" t="s">
        <v>4694</v>
      </c>
      <c r="I203" s="10" t="s">
        <v>4720</v>
      </c>
      <c r="J203" s="17">
        <f t="shared" si="0"/>
        <v>37223</v>
      </c>
      <c r="K203" s="10">
        <f t="shared" ca="1" si="1"/>
        <v>24</v>
      </c>
      <c r="L203" s="6"/>
      <c r="M203" s="6"/>
      <c r="N203" s="6"/>
      <c r="O203" s="6"/>
      <c r="P203" s="6"/>
      <c r="Q203" s="6"/>
      <c r="R203" s="6"/>
      <c r="S203" s="6"/>
      <c r="T203" s="6"/>
      <c r="U203" s="6"/>
      <c r="V203" s="6"/>
      <c r="W203" s="6"/>
      <c r="X203" s="6"/>
      <c r="Y203" s="6"/>
      <c r="Z203" s="6"/>
    </row>
    <row r="204" spans="1:26" ht="15.75" customHeight="1" x14ac:dyDescent="0.3">
      <c r="A204" s="10" t="s">
        <v>4270</v>
      </c>
      <c r="B204" s="10">
        <v>1989</v>
      </c>
      <c r="C204" s="10" t="s">
        <v>4707</v>
      </c>
      <c r="D204" s="10">
        <v>21</v>
      </c>
      <c r="E204" s="10">
        <v>3</v>
      </c>
      <c r="F204" s="24">
        <v>2106.2600000000002</v>
      </c>
      <c r="G204" s="10" t="s">
        <v>4695</v>
      </c>
      <c r="H204" s="10" t="s">
        <v>4695</v>
      </c>
      <c r="I204" s="10" t="s">
        <v>4708</v>
      </c>
      <c r="J204" s="17">
        <f t="shared" si="0"/>
        <v>32710</v>
      </c>
      <c r="K204" s="10">
        <f t="shared" ca="1" si="1"/>
        <v>36</v>
      </c>
      <c r="L204" s="6"/>
      <c r="M204" s="6"/>
      <c r="N204" s="6"/>
      <c r="O204" s="6"/>
      <c r="P204" s="6"/>
      <c r="Q204" s="6"/>
      <c r="R204" s="6"/>
      <c r="S204" s="6"/>
      <c r="T204" s="6"/>
      <c r="U204" s="6"/>
      <c r="V204" s="6"/>
      <c r="W204" s="6"/>
      <c r="X204" s="6"/>
      <c r="Y204" s="6"/>
      <c r="Z204" s="6"/>
    </row>
    <row r="205" spans="1:26" ht="15.75" customHeight="1" x14ac:dyDescent="0.3">
      <c r="A205" s="10" t="s">
        <v>4268</v>
      </c>
      <c r="B205" s="10">
        <v>2003</v>
      </c>
      <c r="C205" s="10" t="s">
        <v>4711</v>
      </c>
      <c r="D205" s="10">
        <v>30</v>
      </c>
      <c r="E205" s="10">
        <v>0</v>
      </c>
      <c r="F205" s="24">
        <v>2117.34</v>
      </c>
      <c r="G205" s="10" t="s">
        <v>4695</v>
      </c>
      <c r="H205" s="10" t="s">
        <v>4696</v>
      </c>
      <c r="I205" s="10" t="s">
        <v>4712</v>
      </c>
      <c r="J205" s="17">
        <f t="shared" si="0"/>
        <v>37894</v>
      </c>
      <c r="K205" s="10">
        <f t="shared" ca="1" si="1"/>
        <v>22</v>
      </c>
      <c r="L205" s="6"/>
      <c r="M205" s="6"/>
      <c r="N205" s="6"/>
      <c r="O205" s="6"/>
      <c r="P205" s="6"/>
      <c r="Q205" s="6"/>
      <c r="R205" s="6"/>
      <c r="S205" s="6"/>
      <c r="T205" s="6"/>
      <c r="U205" s="6"/>
      <c r="V205" s="6"/>
      <c r="W205" s="6"/>
      <c r="X205" s="6"/>
      <c r="Y205" s="6"/>
      <c r="Z205" s="6"/>
    </row>
    <row r="206" spans="1:26" ht="15.75" customHeight="1" x14ac:dyDescent="0.3">
      <c r="A206" s="10" t="s">
        <v>4266</v>
      </c>
      <c r="B206" s="10">
        <v>2004</v>
      </c>
      <c r="C206" s="10" t="s">
        <v>4709</v>
      </c>
      <c r="D206" s="10">
        <v>4</v>
      </c>
      <c r="E206" s="10">
        <v>0</v>
      </c>
      <c r="F206" s="24">
        <v>2118.61</v>
      </c>
      <c r="G206" s="10" t="s">
        <v>4695</v>
      </c>
      <c r="H206" s="10" t="s">
        <v>4694</v>
      </c>
      <c r="I206" s="10" t="s">
        <v>4712</v>
      </c>
      <c r="J206" s="17">
        <f t="shared" si="0"/>
        <v>38295</v>
      </c>
      <c r="K206" s="10">
        <f t="shared" ca="1" si="1"/>
        <v>21</v>
      </c>
      <c r="L206" s="6"/>
      <c r="M206" s="6"/>
      <c r="N206" s="6"/>
      <c r="O206" s="6"/>
      <c r="P206" s="6"/>
      <c r="Q206" s="6"/>
      <c r="R206" s="6"/>
      <c r="S206" s="6"/>
      <c r="T206" s="6"/>
      <c r="U206" s="6"/>
      <c r="V206" s="6"/>
      <c r="W206" s="6"/>
      <c r="X206" s="6"/>
      <c r="Y206" s="6"/>
      <c r="Z206" s="6"/>
    </row>
    <row r="207" spans="1:26" ht="15.75" customHeight="1" x14ac:dyDescent="0.3">
      <c r="A207" s="10" t="s">
        <v>4264</v>
      </c>
      <c r="B207" s="10">
        <v>2003</v>
      </c>
      <c r="C207" s="10" t="s">
        <v>4714</v>
      </c>
      <c r="D207" s="10">
        <v>30</v>
      </c>
      <c r="E207" s="10">
        <v>0</v>
      </c>
      <c r="F207" s="24">
        <v>2128.4299999999998</v>
      </c>
      <c r="G207" s="10" t="s">
        <v>4695</v>
      </c>
      <c r="H207" s="10" t="s">
        <v>4694</v>
      </c>
      <c r="I207" s="10" t="s">
        <v>4712</v>
      </c>
      <c r="J207" s="17">
        <f t="shared" si="0"/>
        <v>37863</v>
      </c>
      <c r="K207" s="10">
        <f t="shared" ca="1" si="1"/>
        <v>22</v>
      </c>
      <c r="L207" s="6"/>
      <c r="M207" s="6"/>
      <c r="N207" s="6"/>
      <c r="O207" s="6"/>
      <c r="P207" s="6"/>
      <c r="Q207" s="6"/>
      <c r="R207" s="6"/>
      <c r="S207" s="6"/>
      <c r="T207" s="6"/>
      <c r="U207" s="6"/>
      <c r="V207" s="6"/>
      <c r="W207" s="6"/>
      <c r="X207" s="6"/>
      <c r="Y207" s="6"/>
      <c r="Z207" s="6"/>
    </row>
    <row r="208" spans="1:26" ht="15.75" customHeight="1" x14ac:dyDescent="0.3">
      <c r="A208" s="10" t="s">
        <v>4262</v>
      </c>
      <c r="B208" s="10">
        <v>2003</v>
      </c>
      <c r="C208" s="10" t="s">
        <v>4713</v>
      </c>
      <c r="D208" s="10">
        <v>22</v>
      </c>
      <c r="E208" s="10">
        <v>0</v>
      </c>
      <c r="F208" s="24">
        <v>2130.6799999999998</v>
      </c>
      <c r="G208" s="10" t="s">
        <v>4695</v>
      </c>
      <c r="H208" s="10" t="s">
        <v>4696</v>
      </c>
      <c r="I208" s="10" t="s">
        <v>4712</v>
      </c>
      <c r="J208" s="17">
        <f t="shared" si="0"/>
        <v>37977</v>
      </c>
      <c r="K208" s="10">
        <f t="shared" ca="1" si="1"/>
        <v>21</v>
      </c>
      <c r="L208" s="6"/>
      <c r="M208" s="6"/>
      <c r="N208" s="6"/>
      <c r="O208" s="6"/>
      <c r="P208" s="6"/>
      <c r="Q208" s="6"/>
      <c r="R208" s="6"/>
      <c r="S208" s="6"/>
      <c r="T208" s="6"/>
      <c r="U208" s="6"/>
      <c r="V208" s="6"/>
      <c r="W208" s="6"/>
      <c r="X208" s="6"/>
      <c r="Y208" s="6"/>
      <c r="Z208" s="6"/>
    </row>
    <row r="209" spans="1:26" ht="15.75" customHeight="1" x14ac:dyDescent="0.3">
      <c r="A209" s="10" t="s">
        <v>4260</v>
      </c>
      <c r="B209" s="10">
        <v>2003</v>
      </c>
      <c r="C209" s="10" t="s">
        <v>4711</v>
      </c>
      <c r="D209" s="10">
        <v>1</v>
      </c>
      <c r="E209" s="10">
        <v>0</v>
      </c>
      <c r="F209" s="24">
        <v>2134.9</v>
      </c>
      <c r="G209" s="10" t="s">
        <v>4695</v>
      </c>
      <c r="H209" s="10" t="s">
        <v>4696</v>
      </c>
      <c r="I209" s="10" t="s">
        <v>4712</v>
      </c>
      <c r="J209" s="17">
        <f t="shared" si="0"/>
        <v>37865</v>
      </c>
      <c r="K209" s="10">
        <f t="shared" ca="1" si="1"/>
        <v>22</v>
      </c>
      <c r="L209" s="6"/>
      <c r="M209" s="6"/>
      <c r="N209" s="6"/>
      <c r="O209" s="6"/>
      <c r="P209" s="6"/>
      <c r="Q209" s="6"/>
      <c r="R209" s="6"/>
      <c r="S209" s="6"/>
      <c r="T209" s="6"/>
      <c r="U209" s="6"/>
      <c r="V209" s="6"/>
      <c r="W209" s="6"/>
      <c r="X209" s="6"/>
      <c r="Y209" s="6"/>
      <c r="Z209" s="6"/>
    </row>
    <row r="210" spans="1:26" ht="15.75" customHeight="1" x14ac:dyDescent="0.3">
      <c r="A210" s="10" t="s">
        <v>4258</v>
      </c>
      <c r="B210" s="10">
        <v>2003</v>
      </c>
      <c r="C210" s="10" t="s">
        <v>4711</v>
      </c>
      <c r="D210" s="10">
        <v>26</v>
      </c>
      <c r="E210" s="10">
        <v>0</v>
      </c>
      <c r="F210" s="24">
        <v>2136.88</v>
      </c>
      <c r="G210" s="10" t="s">
        <v>4695</v>
      </c>
      <c r="H210" s="10" t="s">
        <v>4695</v>
      </c>
      <c r="I210" s="10" t="s">
        <v>4712</v>
      </c>
      <c r="J210" s="17">
        <f t="shared" si="0"/>
        <v>37890</v>
      </c>
      <c r="K210" s="10">
        <f t="shared" ca="1" si="1"/>
        <v>22</v>
      </c>
      <c r="L210" s="6"/>
      <c r="M210" s="6"/>
      <c r="N210" s="6"/>
      <c r="O210" s="6"/>
      <c r="P210" s="6"/>
      <c r="Q210" s="6"/>
      <c r="R210" s="6"/>
      <c r="S210" s="6"/>
      <c r="T210" s="6"/>
      <c r="U210" s="6"/>
      <c r="V210" s="6"/>
      <c r="W210" s="6"/>
      <c r="X210" s="6"/>
      <c r="Y210" s="6"/>
      <c r="Z210" s="6"/>
    </row>
    <row r="211" spans="1:26" ht="15.75" customHeight="1" x14ac:dyDescent="0.3">
      <c r="A211" s="10" t="s">
        <v>4256</v>
      </c>
      <c r="B211" s="10">
        <v>1997</v>
      </c>
      <c r="C211" s="10" t="s">
        <v>4711</v>
      </c>
      <c r="D211" s="10">
        <v>3</v>
      </c>
      <c r="E211" s="10">
        <v>0</v>
      </c>
      <c r="F211" s="24">
        <v>2137.65</v>
      </c>
      <c r="G211" s="10" t="s">
        <v>4696</v>
      </c>
      <c r="H211" s="10" t="s">
        <v>4694</v>
      </c>
      <c r="I211" s="10" t="s">
        <v>4708</v>
      </c>
      <c r="J211" s="17">
        <f t="shared" si="0"/>
        <v>35676</v>
      </c>
      <c r="K211" s="10">
        <f t="shared" ca="1" si="1"/>
        <v>28</v>
      </c>
      <c r="L211" s="6"/>
      <c r="M211" s="6"/>
      <c r="N211" s="6"/>
      <c r="O211" s="6"/>
      <c r="P211" s="6"/>
      <c r="Q211" s="6"/>
      <c r="R211" s="6"/>
      <c r="S211" s="6"/>
      <c r="T211" s="6"/>
      <c r="U211" s="6"/>
      <c r="V211" s="6"/>
      <c r="W211" s="6"/>
      <c r="X211" s="6"/>
      <c r="Y211" s="6"/>
      <c r="Z211" s="6"/>
    </row>
    <row r="212" spans="1:26" ht="15.75" customHeight="1" x14ac:dyDescent="0.3">
      <c r="A212" s="10" t="s">
        <v>4254</v>
      </c>
      <c r="B212" s="10">
        <v>2003</v>
      </c>
      <c r="C212" s="10" t="s">
        <v>4714</v>
      </c>
      <c r="D212" s="10">
        <v>19</v>
      </c>
      <c r="E212" s="10">
        <v>0</v>
      </c>
      <c r="F212" s="24">
        <v>2138.0700000000002</v>
      </c>
      <c r="G212" s="10" t="s">
        <v>4695</v>
      </c>
      <c r="H212" s="10" t="s">
        <v>4694</v>
      </c>
      <c r="I212" s="10" t="s">
        <v>4712</v>
      </c>
      <c r="J212" s="17">
        <f t="shared" si="0"/>
        <v>37852</v>
      </c>
      <c r="K212" s="10">
        <f t="shared" ca="1" si="1"/>
        <v>22</v>
      </c>
      <c r="L212" s="6"/>
      <c r="M212" s="6"/>
      <c r="N212" s="6"/>
      <c r="O212" s="6"/>
      <c r="P212" s="6"/>
      <c r="Q212" s="6"/>
      <c r="R212" s="6"/>
      <c r="S212" s="6"/>
      <c r="T212" s="6"/>
      <c r="U212" s="6"/>
      <c r="V212" s="6"/>
      <c r="W212" s="6"/>
      <c r="X212" s="6"/>
      <c r="Y212" s="6"/>
      <c r="Z212" s="6"/>
    </row>
    <row r="213" spans="1:26" ht="15.75" customHeight="1" x14ac:dyDescent="0.3">
      <c r="A213" s="10" t="s">
        <v>4252</v>
      </c>
      <c r="B213" s="10">
        <v>2004</v>
      </c>
      <c r="C213" s="10" t="s">
        <v>4715</v>
      </c>
      <c r="D213" s="10">
        <v>4</v>
      </c>
      <c r="E213" s="10">
        <v>0</v>
      </c>
      <c r="F213" s="24">
        <v>2144.85</v>
      </c>
      <c r="G213" s="10" t="s">
        <v>4695</v>
      </c>
      <c r="H213" s="10" t="s">
        <v>4694</v>
      </c>
      <c r="I213" s="10" t="s">
        <v>4716</v>
      </c>
      <c r="J213" s="17">
        <f t="shared" si="0"/>
        <v>38264</v>
      </c>
      <c r="K213" s="10">
        <f t="shared" ca="1" si="1"/>
        <v>21</v>
      </c>
      <c r="L213" s="6"/>
      <c r="M213" s="6"/>
      <c r="N213" s="6"/>
      <c r="O213" s="6"/>
      <c r="P213" s="6"/>
      <c r="Q213" s="6"/>
      <c r="R213" s="6"/>
      <c r="S213" s="6"/>
      <c r="T213" s="6"/>
      <c r="U213" s="6"/>
      <c r="V213" s="6"/>
      <c r="W213" s="6"/>
      <c r="X213" s="6"/>
      <c r="Y213" s="6"/>
      <c r="Z213" s="6"/>
    </row>
    <row r="214" spans="1:26" ht="15.75" customHeight="1" x14ac:dyDescent="0.3">
      <c r="A214" s="10" t="s">
        <v>4250</v>
      </c>
      <c r="B214" s="10">
        <v>2000</v>
      </c>
      <c r="C214" s="10" t="s">
        <v>4713</v>
      </c>
      <c r="D214" s="10">
        <v>27</v>
      </c>
      <c r="E214" s="10">
        <v>0</v>
      </c>
      <c r="F214" s="24">
        <v>2150.4699999999998</v>
      </c>
      <c r="G214" s="10" t="s">
        <v>4695</v>
      </c>
      <c r="H214" s="10" t="s">
        <v>4696</v>
      </c>
      <c r="I214" s="10" t="s">
        <v>4716</v>
      </c>
      <c r="J214" s="17">
        <f t="shared" si="0"/>
        <v>36887</v>
      </c>
      <c r="K214" s="10">
        <f t="shared" ca="1" si="1"/>
        <v>24</v>
      </c>
      <c r="L214" s="6"/>
      <c r="M214" s="6"/>
      <c r="N214" s="6"/>
      <c r="O214" s="6"/>
      <c r="P214" s="6"/>
      <c r="Q214" s="6"/>
      <c r="R214" s="6"/>
      <c r="S214" s="6"/>
      <c r="T214" s="6"/>
      <c r="U214" s="6"/>
      <c r="V214" s="6"/>
      <c r="W214" s="6"/>
      <c r="X214" s="6"/>
      <c r="Y214" s="6"/>
      <c r="Z214" s="6"/>
    </row>
    <row r="215" spans="1:26" ht="15.75" customHeight="1" x14ac:dyDescent="0.3">
      <c r="A215" s="10" t="s">
        <v>4248</v>
      </c>
      <c r="B215" s="10">
        <v>2000</v>
      </c>
      <c r="C215" s="10" t="s">
        <v>4715</v>
      </c>
      <c r="D215" s="10">
        <v>22</v>
      </c>
      <c r="E215" s="10">
        <v>0</v>
      </c>
      <c r="F215" s="24">
        <v>2154.36</v>
      </c>
      <c r="G215" s="10" t="s">
        <v>4695</v>
      </c>
      <c r="H215" s="10" t="s">
        <v>4695</v>
      </c>
      <c r="I215" s="10" t="s">
        <v>4716</v>
      </c>
      <c r="J215" s="17">
        <f t="shared" si="0"/>
        <v>36821</v>
      </c>
      <c r="K215" s="10">
        <f t="shared" ca="1" si="1"/>
        <v>25</v>
      </c>
      <c r="L215" s="6"/>
      <c r="M215" s="6"/>
      <c r="N215" s="6"/>
      <c r="O215" s="6"/>
      <c r="P215" s="6"/>
      <c r="Q215" s="6"/>
      <c r="R215" s="6"/>
      <c r="S215" s="6"/>
      <c r="T215" s="6"/>
      <c r="U215" s="6"/>
      <c r="V215" s="6"/>
      <c r="W215" s="6"/>
      <c r="X215" s="6"/>
      <c r="Y215" s="6"/>
      <c r="Z215" s="6"/>
    </row>
    <row r="216" spans="1:26" ht="15.75" customHeight="1" x14ac:dyDescent="0.3">
      <c r="A216" s="10" t="s">
        <v>4246</v>
      </c>
      <c r="B216" s="10">
        <v>2000</v>
      </c>
      <c r="C216" s="10" t="s">
        <v>4709</v>
      </c>
      <c r="D216" s="10">
        <v>29</v>
      </c>
      <c r="E216" s="10">
        <v>0</v>
      </c>
      <c r="F216" s="24">
        <v>2155.6799999999998</v>
      </c>
      <c r="G216" s="10" t="s">
        <v>4695</v>
      </c>
      <c r="H216" s="10" t="s">
        <v>4696</v>
      </c>
      <c r="I216" s="10" t="s">
        <v>4708</v>
      </c>
      <c r="J216" s="17">
        <f t="shared" si="0"/>
        <v>36859</v>
      </c>
      <c r="K216" s="10">
        <f t="shared" ca="1" si="1"/>
        <v>25</v>
      </c>
      <c r="L216" s="6"/>
      <c r="M216" s="6"/>
      <c r="N216" s="6"/>
      <c r="O216" s="6"/>
      <c r="P216" s="6"/>
      <c r="Q216" s="6"/>
      <c r="R216" s="6"/>
      <c r="S216" s="6"/>
      <c r="T216" s="6"/>
      <c r="U216" s="6"/>
      <c r="V216" s="6"/>
      <c r="W216" s="6"/>
      <c r="X216" s="6"/>
      <c r="Y216" s="6"/>
      <c r="Z216" s="6"/>
    </row>
    <row r="217" spans="1:26" ht="15.75" customHeight="1" x14ac:dyDescent="0.3">
      <c r="A217" s="10" t="s">
        <v>4244</v>
      </c>
      <c r="B217" s="10">
        <v>2000</v>
      </c>
      <c r="C217" s="10" t="s">
        <v>4713</v>
      </c>
      <c r="D217" s="10">
        <v>10</v>
      </c>
      <c r="E217" s="10">
        <v>0</v>
      </c>
      <c r="F217" s="24">
        <v>2156.75</v>
      </c>
      <c r="G217" s="10" t="s">
        <v>4695</v>
      </c>
      <c r="H217" s="10" t="s">
        <v>4695</v>
      </c>
      <c r="I217" s="10" t="s">
        <v>4708</v>
      </c>
      <c r="J217" s="17">
        <f t="shared" si="0"/>
        <v>36870</v>
      </c>
      <c r="K217" s="10">
        <f t="shared" ca="1" si="1"/>
        <v>24</v>
      </c>
      <c r="L217" s="6"/>
      <c r="M217" s="6"/>
      <c r="N217" s="6"/>
      <c r="O217" s="6"/>
      <c r="P217" s="6"/>
      <c r="Q217" s="6"/>
      <c r="R217" s="6"/>
      <c r="S217" s="6"/>
      <c r="T217" s="6"/>
      <c r="U217" s="6"/>
      <c r="V217" s="6"/>
      <c r="W217" s="6"/>
      <c r="X217" s="6"/>
      <c r="Y217" s="6"/>
      <c r="Z217" s="6"/>
    </row>
    <row r="218" spans="1:26" ht="15.75" customHeight="1" x14ac:dyDescent="0.3">
      <c r="A218" s="10" t="s">
        <v>4242</v>
      </c>
      <c r="B218" s="10">
        <v>2000</v>
      </c>
      <c r="C218" s="10" t="s">
        <v>4714</v>
      </c>
      <c r="D218" s="10">
        <v>23</v>
      </c>
      <c r="E218" s="10">
        <v>0</v>
      </c>
      <c r="F218" s="24">
        <v>2166.73</v>
      </c>
      <c r="G218" s="10" t="s">
        <v>4695</v>
      </c>
      <c r="H218" s="10" t="s">
        <v>4695</v>
      </c>
      <c r="I218" s="10" t="s">
        <v>4716</v>
      </c>
      <c r="J218" s="17">
        <f t="shared" si="0"/>
        <v>36761</v>
      </c>
      <c r="K218" s="10">
        <f t="shared" ca="1" si="1"/>
        <v>25</v>
      </c>
      <c r="L218" s="6"/>
      <c r="M218" s="6"/>
      <c r="N218" s="6"/>
      <c r="O218" s="6"/>
      <c r="P218" s="6"/>
      <c r="Q218" s="6"/>
      <c r="R218" s="6"/>
      <c r="S218" s="6"/>
      <c r="T218" s="6"/>
      <c r="U218" s="6"/>
      <c r="V218" s="6"/>
      <c r="W218" s="6"/>
      <c r="X218" s="6"/>
      <c r="Y218" s="6"/>
      <c r="Z218" s="6"/>
    </row>
    <row r="219" spans="1:26" ht="15.75" customHeight="1" x14ac:dyDescent="0.3">
      <c r="A219" s="10" t="s">
        <v>4240</v>
      </c>
      <c r="B219" s="10">
        <v>1994</v>
      </c>
      <c r="C219" s="10" t="s">
        <v>4711</v>
      </c>
      <c r="D219" s="10">
        <v>27</v>
      </c>
      <c r="E219" s="10">
        <v>0</v>
      </c>
      <c r="F219" s="24">
        <v>2170.08</v>
      </c>
      <c r="G219" s="10" t="s">
        <v>4695</v>
      </c>
      <c r="H219" s="10" t="s">
        <v>4695</v>
      </c>
      <c r="I219" s="10" t="s">
        <v>4708</v>
      </c>
      <c r="J219" s="17">
        <f t="shared" si="0"/>
        <v>34604</v>
      </c>
      <c r="K219" s="10">
        <f t="shared" ca="1" si="1"/>
        <v>31</v>
      </c>
      <c r="L219" s="6"/>
      <c r="M219" s="6"/>
      <c r="N219" s="6"/>
      <c r="O219" s="6"/>
      <c r="P219" s="6"/>
      <c r="Q219" s="6"/>
      <c r="R219" s="6"/>
      <c r="S219" s="6"/>
      <c r="T219" s="6"/>
      <c r="U219" s="6"/>
      <c r="V219" s="6"/>
      <c r="W219" s="6"/>
      <c r="X219" s="6"/>
      <c r="Y219" s="6"/>
      <c r="Z219" s="6"/>
    </row>
    <row r="220" spans="1:26" ht="15.75" customHeight="1" x14ac:dyDescent="0.3">
      <c r="A220" s="10" t="s">
        <v>4238</v>
      </c>
      <c r="B220" s="10">
        <v>1991</v>
      </c>
      <c r="C220" s="10" t="s">
        <v>4713</v>
      </c>
      <c r="D220" s="10">
        <v>16</v>
      </c>
      <c r="E220" s="10">
        <v>3</v>
      </c>
      <c r="F220" s="24">
        <v>2193.1999999999998</v>
      </c>
      <c r="G220" s="10" t="s">
        <v>4695</v>
      </c>
      <c r="H220" s="10" t="s">
        <v>4695</v>
      </c>
      <c r="I220" s="10" t="s">
        <v>4712</v>
      </c>
      <c r="J220" s="17">
        <f t="shared" si="0"/>
        <v>33588</v>
      </c>
      <c r="K220" s="10">
        <f t="shared" ca="1" si="1"/>
        <v>33</v>
      </c>
      <c r="L220" s="6"/>
      <c r="M220" s="6"/>
      <c r="N220" s="6"/>
      <c r="O220" s="6"/>
      <c r="P220" s="6"/>
      <c r="Q220" s="6"/>
      <c r="R220" s="6"/>
      <c r="S220" s="6"/>
      <c r="T220" s="6"/>
      <c r="U220" s="6"/>
      <c r="V220" s="6"/>
      <c r="W220" s="6"/>
      <c r="X220" s="6"/>
      <c r="Y220" s="6"/>
      <c r="Z220" s="6"/>
    </row>
    <row r="221" spans="1:26" ht="15.75" customHeight="1" x14ac:dyDescent="0.3">
      <c r="A221" s="10" t="s">
        <v>4236</v>
      </c>
      <c r="B221" s="10">
        <v>2004</v>
      </c>
      <c r="C221" s="10" t="s">
        <v>4713</v>
      </c>
      <c r="D221" s="10">
        <v>7</v>
      </c>
      <c r="E221" s="10">
        <v>0</v>
      </c>
      <c r="F221" s="24">
        <v>2196.4699999999998</v>
      </c>
      <c r="G221" s="10" t="s">
        <v>4695</v>
      </c>
      <c r="H221" s="10" t="s">
        <v>4696</v>
      </c>
      <c r="I221" s="10" t="s">
        <v>4723</v>
      </c>
      <c r="J221" s="17">
        <f t="shared" si="0"/>
        <v>38328</v>
      </c>
      <c r="K221" s="10">
        <f t="shared" ca="1" si="1"/>
        <v>20</v>
      </c>
      <c r="L221" s="6"/>
      <c r="M221" s="6"/>
      <c r="N221" s="6"/>
      <c r="O221" s="6"/>
      <c r="P221" s="6"/>
      <c r="Q221" s="6"/>
      <c r="R221" s="6"/>
      <c r="S221" s="6"/>
      <c r="T221" s="6"/>
      <c r="U221" s="6"/>
      <c r="V221" s="6"/>
      <c r="W221" s="6"/>
      <c r="X221" s="6"/>
      <c r="Y221" s="6"/>
      <c r="Z221" s="6"/>
    </row>
    <row r="222" spans="1:26" ht="15.75" customHeight="1" x14ac:dyDescent="0.3">
      <c r="A222" s="10" t="s">
        <v>4234</v>
      </c>
      <c r="B222" s="10">
        <v>2004</v>
      </c>
      <c r="C222" s="10" t="s">
        <v>4711</v>
      </c>
      <c r="D222" s="10">
        <v>3</v>
      </c>
      <c r="E222" s="10">
        <v>0</v>
      </c>
      <c r="F222" s="24">
        <v>2198.19</v>
      </c>
      <c r="G222" s="10" t="s">
        <v>4695</v>
      </c>
      <c r="H222" s="10" t="s">
        <v>4694</v>
      </c>
      <c r="I222" s="10" t="s">
        <v>4724</v>
      </c>
      <c r="J222" s="17">
        <f t="shared" si="0"/>
        <v>38233</v>
      </c>
      <c r="K222" s="10">
        <f t="shared" ca="1" si="1"/>
        <v>21</v>
      </c>
      <c r="L222" s="6"/>
      <c r="M222" s="6"/>
      <c r="N222" s="6"/>
      <c r="O222" s="6"/>
      <c r="P222" s="6"/>
      <c r="Q222" s="6"/>
      <c r="R222" s="6"/>
      <c r="S222" s="6"/>
      <c r="T222" s="6"/>
      <c r="U222" s="6"/>
      <c r="V222" s="6"/>
      <c r="W222" s="6"/>
      <c r="X222" s="6"/>
      <c r="Y222" s="6"/>
      <c r="Z222" s="6"/>
    </row>
    <row r="223" spans="1:26" ht="15.75" customHeight="1" x14ac:dyDescent="0.3">
      <c r="A223" s="10" t="s">
        <v>4232</v>
      </c>
      <c r="B223" s="10">
        <v>2004</v>
      </c>
      <c r="C223" s="10" t="s">
        <v>4711</v>
      </c>
      <c r="D223" s="10">
        <v>12</v>
      </c>
      <c r="E223" s="10">
        <v>0</v>
      </c>
      <c r="F223" s="24">
        <v>2200.83</v>
      </c>
      <c r="G223" s="10" t="s">
        <v>4695</v>
      </c>
      <c r="H223" s="10" t="s">
        <v>4695</v>
      </c>
      <c r="I223" s="10" t="s">
        <v>4723</v>
      </c>
      <c r="J223" s="17">
        <f t="shared" si="0"/>
        <v>38242</v>
      </c>
      <c r="K223" s="10">
        <f t="shared" ca="1" si="1"/>
        <v>21</v>
      </c>
      <c r="L223" s="6"/>
      <c r="M223" s="6"/>
      <c r="N223" s="6"/>
      <c r="O223" s="6"/>
      <c r="P223" s="6"/>
      <c r="Q223" s="6"/>
      <c r="R223" s="6"/>
      <c r="S223" s="6"/>
      <c r="T223" s="6"/>
      <c r="U223" s="6"/>
      <c r="V223" s="6"/>
      <c r="W223" s="6"/>
      <c r="X223" s="6"/>
      <c r="Y223" s="6"/>
      <c r="Z223" s="6"/>
    </row>
    <row r="224" spans="1:26" ht="15.75" customHeight="1" x14ac:dyDescent="0.3">
      <c r="A224" s="10" t="s">
        <v>4230</v>
      </c>
      <c r="B224" s="10">
        <v>2004</v>
      </c>
      <c r="C224" s="10" t="s">
        <v>4707</v>
      </c>
      <c r="D224" s="10">
        <v>27</v>
      </c>
      <c r="E224" s="10">
        <v>1</v>
      </c>
      <c r="F224" s="24">
        <v>2201.1</v>
      </c>
      <c r="G224" s="10" t="s">
        <v>4695</v>
      </c>
      <c r="H224" s="10" t="s">
        <v>4696</v>
      </c>
      <c r="I224" s="10" t="s">
        <v>4708</v>
      </c>
      <c r="J224" s="17">
        <f t="shared" si="0"/>
        <v>38195</v>
      </c>
      <c r="K224" s="10">
        <f t="shared" ca="1" si="1"/>
        <v>21</v>
      </c>
      <c r="L224" s="6"/>
      <c r="M224" s="6"/>
      <c r="N224" s="6"/>
      <c r="O224" s="6"/>
      <c r="P224" s="6"/>
      <c r="Q224" s="6"/>
      <c r="R224" s="6"/>
      <c r="S224" s="6"/>
      <c r="T224" s="6"/>
      <c r="U224" s="6"/>
      <c r="V224" s="6"/>
      <c r="W224" s="6"/>
      <c r="X224" s="6"/>
      <c r="Y224" s="6"/>
      <c r="Z224" s="6"/>
    </row>
    <row r="225" spans="1:26" ht="15.75" customHeight="1" x14ac:dyDescent="0.3">
      <c r="A225" s="10" t="s">
        <v>4228</v>
      </c>
      <c r="B225" s="10">
        <v>2004</v>
      </c>
      <c r="C225" s="10" t="s">
        <v>4714</v>
      </c>
      <c r="D225" s="10">
        <v>6</v>
      </c>
      <c r="E225" s="10">
        <v>0</v>
      </c>
      <c r="F225" s="24">
        <v>2203.4699999999998</v>
      </c>
      <c r="G225" s="10" t="s">
        <v>4695</v>
      </c>
      <c r="H225" s="10" t="s">
        <v>4695</v>
      </c>
      <c r="I225" s="10" t="s">
        <v>4723</v>
      </c>
      <c r="J225" s="17">
        <f t="shared" si="0"/>
        <v>38205</v>
      </c>
      <c r="K225" s="10">
        <f t="shared" ca="1" si="1"/>
        <v>21</v>
      </c>
      <c r="L225" s="6"/>
      <c r="M225" s="6"/>
      <c r="N225" s="6"/>
      <c r="O225" s="6"/>
      <c r="P225" s="6"/>
      <c r="Q225" s="6"/>
      <c r="R225" s="6"/>
      <c r="S225" s="6"/>
      <c r="T225" s="6"/>
      <c r="U225" s="6"/>
      <c r="V225" s="6"/>
      <c r="W225" s="6"/>
      <c r="X225" s="6"/>
      <c r="Y225" s="6"/>
      <c r="Z225" s="6"/>
    </row>
    <row r="226" spans="1:26" ht="15.75" customHeight="1" x14ac:dyDescent="0.3">
      <c r="A226" s="10" t="s">
        <v>4226</v>
      </c>
      <c r="B226" s="10">
        <v>2004</v>
      </c>
      <c r="C226" s="10" t="s">
        <v>4715</v>
      </c>
      <c r="D226" s="10">
        <v>28</v>
      </c>
      <c r="E226" s="10">
        <v>0</v>
      </c>
      <c r="F226" s="24">
        <v>2203.7399999999998</v>
      </c>
      <c r="G226" s="10" t="s">
        <v>4695</v>
      </c>
      <c r="H226" s="10" t="s">
        <v>4695</v>
      </c>
      <c r="I226" s="10" t="s">
        <v>4723</v>
      </c>
      <c r="J226" s="17">
        <f t="shared" si="0"/>
        <v>38288</v>
      </c>
      <c r="K226" s="10">
        <f t="shared" ca="1" si="1"/>
        <v>21</v>
      </c>
      <c r="L226" s="6"/>
      <c r="M226" s="6"/>
      <c r="N226" s="6"/>
      <c r="O226" s="6"/>
      <c r="P226" s="6"/>
      <c r="Q226" s="6"/>
      <c r="R226" s="6"/>
      <c r="S226" s="6"/>
      <c r="T226" s="6"/>
      <c r="U226" s="6"/>
      <c r="V226" s="6"/>
      <c r="W226" s="6"/>
      <c r="X226" s="6"/>
      <c r="Y226" s="6"/>
      <c r="Z226" s="6"/>
    </row>
    <row r="227" spans="1:26" ht="15.75" customHeight="1" x14ac:dyDescent="0.3">
      <c r="A227" s="10" t="s">
        <v>4224</v>
      </c>
      <c r="B227" s="10">
        <v>2004</v>
      </c>
      <c r="C227" s="10" t="s">
        <v>4709</v>
      </c>
      <c r="D227" s="10">
        <v>13</v>
      </c>
      <c r="E227" s="10">
        <v>0</v>
      </c>
      <c r="F227" s="24">
        <v>2205.98</v>
      </c>
      <c r="G227" s="10" t="s">
        <v>4695</v>
      </c>
      <c r="H227" s="10" t="s">
        <v>4696</v>
      </c>
      <c r="I227" s="10" t="s">
        <v>4723</v>
      </c>
      <c r="J227" s="17">
        <f t="shared" si="0"/>
        <v>38304</v>
      </c>
      <c r="K227" s="10">
        <f t="shared" ca="1" si="1"/>
        <v>21</v>
      </c>
      <c r="L227" s="6"/>
      <c r="M227" s="6"/>
      <c r="N227" s="6"/>
      <c r="O227" s="6"/>
      <c r="P227" s="6"/>
      <c r="Q227" s="6"/>
      <c r="R227" s="6"/>
      <c r="S227" s="6"/>
      <c r="T227" s="6"/>
      <c r="U227" s="6"/>
      <c r="V227" s="6"/>
      <c r="W227" s="6"/>
      <c r="X227" s="6"/>
      <c r="Y227" s="6"/>
      <c r="Z227" s="6"/>
    </row>
    <row r="228" spans="1:26" ht="15.75" customHeight="1" x14ac:dyDescent="0.3">
      <c r="A228" s="10" t="s">
        <v>4222</v>
      </c>
      <c r="B228" s="10">
        <v>2004</v>
      </c>
      <c r="C228" s="10" t="s">
        <v>4714</v>
      </c>
      <c r="D228" s="10">
        <v>6</v>
      </c>
      <c r="E228" s="10">
        <v>0</v>
      </c>
      <c r="F228" s="24">
        <v>2207.6999999999998</v>
      </c>
      <c r="G228" s="10" t="s">
        <v>4695</v>
      </c>
      <c r="H228" s="10" t="s">
        <v>4695</v>
      </c>
      <c r="I228" s="10" t="s">
        <v>4723</v>
      </c>
      <c r="J228" s="17">
        <f t="shared" si="0"/>
        <v>38205</v>
      </c>
      <c r="K228" s="10">
        <f t="shared" ca="1" si="1"/>
        <v>21</v>
      </c>
      <c r="L228" s="6"/>
      <c r="M228" s="6"/>
      <c r="N228" s="6"/>
      <c r="O228" s="6"/>
      <c r="P228" s="6"/>
      <c r="Q228" s="6"/>
      <c r="R228" s="6"/>
      <c r="S228" s="6"/>
      <c r="T228" s="6"/>
      <c r="U228" s="6"/>
      <c r="V228" s="6"/>
      <c r="W228" s="6"/>
      <c r="X228" s="6"/>
      <c r="Y228" s="6"/>
      <c r="Z228" s="6"/>
    </row>
    <row r="229" spans="1:26" ht="15.75" customHeight="1" x14ac:dyDescent="0.3">
      <c r="A229" s="10" t="s">
        <v>4220</v>
      </c>
      <c r="B229" s="10">
        <v>2004</v>
      </c>
      <c r="C229" s="10" t="s">
        <v>4707</v>
      </c>
      <c r="D229" s="10">
        <v>27</v>
      </c>
      <c r="E229" s="10">
        <v>0</v>
      </c>
      <c r="F229" s="24">
        <v>2211.13</v>
      </c>
      <c r="G229" s="10" t="s">
        <v>4695</v>
      </c>
      <c r="H229" s="10" t="s">
        <v>4695</v>
      </c>
      <c r="I229" s="10" t="s">
        <v>4723</v>
      </c>
      <c r="J229" s="17">
        <f t="shared" si="0"/>
        <v>38195</v>
      </c>
      <c r="K229" s="10">
        <f t="shared" ca="1" si="1"/>
        <v>21</v>
      </c>
      <c r="L229" s="6"/>
      <c r="M229" s="6"/>
      <c r="N229" s="6"/>
      <c r="O229" s="6"/>
      <c r="P229" s="6"/>
      <c r="Q229" s="6"/>
      <c r="R229" s="6"/>
      <c r="S229" s="6"/>
      <c r="T229" s="6"/>
      <c r="U229" s="6"/>
      <c r="V229" s="6"/>
      <c r="W229" s="6"/>
      <c r="X229" s="6"/>
      <c r="Y229" s="6"/>
      <c r="Z229" s="6"/>
    </row>
    <row r="230" spans="1:26" ht="15.75" customHeight="1" x14ac:dyDescent="0.3">
      <c r="A230" s="10" t="s">
        <v>4218</v>
      </c>
      <c r="B230" s="10">
        <v>1994</v>
      </c>
      <c r="C230" s="10" t="s">
        <v>4709</v>
      </c>
      <c r="D230" s="10">
        <v>17</v>
      </c>
      <c r="E230" s="10">
        <v>0</v>
      </c>
      <c r="F230" s="24">
        <v>2213.21</v>
      </c>
      <c r="G230" s="10" t="s">
        <v>4695</v>
      </c>
      <c r="H230" s="10" t="s">
        <v>4695</v>
      </c>
      <c r="I230" s="10" t="s">
        <v>4708</v>
      </c>
      <c r="J230" s="17">
        <f t="shared" si="0"/>
        <v>34655</v>
      </c>
      <c r="K230" s="10">
        <f t="shared" ca="1" si="1"/>
        <v>31</v>
      </c>
      <c r="L230" s="6"/>
      <c r="M230" s="6"/>
      <c r="N230" s="6"/>
      <c r="O230" s="6"/>
      <c r="P230" s="6"/>
      <c r="Q230" s="6"/>
      <c r="R230" s="6"/>
      <c r="S230" s="6"/>
      <c r="T230" s="6"/>
      <c r="U230" s="6"/>
      <c r="V230" s="6"/>
      <c r="W230" s="6"/>
      <c r="X230" s="6"/>
      <c r="Y230" s="6"/>
      <c r="Z230" s="6"/>
    </row>
    <row r="231" spans="1:26" ht="15.75" customHeight="1" x14ac:dyDescent="0.3">
      <c r="A231" s="10" t="s">
        <v>4216</v>
      </c>
      <c r="B231" s="10">
        <v>2004</v>
      </c>
      <c r="C231" s="10" t="s">
        <v>4710</v>
      </c>
      <c r="D231" s="10">
        <v>13</v>
      </c>
      <c r="E231" s="10">
        <v>0</v>
      </c>
      <c r="F231" s="24">
        <v>2217.4699999999998</v>
      </c>
      <c r="G231" s="10" t="s">
        <v>4695</v>
      </c>
      <c r="H231" s="10" t="s">
        <v>4694</v>
      </c>
      <c r="I231" s="10" t="s">
        <v>4723</v>
      </c>
      <c r="J231" s="17">
        <f t="shared" si="0"/>
        <v>38151</v>
      </c>
      <c r="K231" s="10">
        <f t="shared" ca="1" si="1"/>
        <v>21</v>
      </c>
      <c r="L231" s="6"/>
      <c r="M231" s="6"/>
      <c r="N231" s="6"/>
      <c r="O231" s="6"/>
      <c r="P231" s="6"/>
      <c r="Q231" s="6"/>
      <c r="R231" s="6"/>
      <c r="S231" s="6"/>
      <c r="T231" s="6"/>
      <c r="U231" s="6"/>
      <c r="V231" s="6"/>
      <c r="W231" s="6"/>
      <c r="X231" s="6"/>
      <c r="Y231" s="6"/>
      <c r="Z231" s="6"/>
    </row>
    <row r="232" spans="1:26" ht="15.75" customHeight="1" x14ac:dyDescent="0.3">
      <c r="A232" s="10" t="s">
        <v>4214</v>
      </c>
      <c r="B232" s="10">
        <v>2004</v>
      </c>
      <c r="C232" s="10" t="s">
        <v>4711</v>
      </c>
      <c r="D232" s="10">
        <v>25</v>
      </c>
      <c r="E232" s="10">
        <v>0</v>
      </c>
      <c r="F232" s="24">
        <v>2217.6</v>
      </c>
      <c r="G232" s="10" t="s">
        <v>4695</v>
      </c>
      <c r="H232" s="10" t="s">
        <v>4694</v>
      </c>
      <c r="I232" s="10" t="s">
        <v>4723</v>
      </c>
      <c r="J232" s="17">
        <f t="shared" si="0"/>
        <v>38255</v>
      </c>
      <c r="K232" s="10">
        <f t="shared" ca="1" si="1"/>
        <v>21</v>
      </c>
      <c r="L232" s="6"/>
      <c r="M232" s="6"/>
      <c r="N232" s="6"/>
      <c r="O232" s="6"/>
      <c r="P232" s="6"/>
      <c r="Q232" s="6"/>
      <c r="R232" s="6"/>
      <c r="S232" s="6"/>
      <c r="T232" s="6"/>
      <c r="U232" s="6"/>
      <c r="V232" s="6"/>
      <c r="W232" s="6"/>
      <c r="X232" s="6"/>
      <c r="Y232" s="6"/>
      <c r="Z232" s="6"/>
    </row>
    <row r="233" spans="1:26" ht="15.75" customHeight="1" x14ac:dyDescent="0.3">
      <c r="A233" s="10" t="s">
        <v>4212</v>
      </c>
      <c r="B233" s="10">
        <v>2004</v>
      </c>
      <c r="C233" s="10" t="s">
        <v>4713</v>
      </c>
      <c r="D233" s="10">
        <v>12</v>
      </c>
      <c r="E233" s="10">
        <v>1</v>
      </c>
      <c r="F233" s="24">
        <v>2219.4499999999998</v>
      </c>
      <c r="G233" s="10" t="s">
        <v>4695</v>
      </c>
      <c r="H233" s="10" t="s">
        <v>4694</v>
      </c>
      <c r="I233" s="10" t="s">
        <v>4708</v>
      </c>
      <c r="J233" s="17">
        <f t="shared" si="0"/>
        <v>38333</v>
      </c>
      <c r="K233" s="10">
        <f t="shared" ca="1" si="1"/>
        <v>20</v>
      </c>
      <c r="L233" s="6"/>
      <c r="M233" s="6"/>
      <c r="N233" s="6"/>
      <c r="O233" s="6"/>
      <c r="P233" s="6"/>
      <c r="Q233" s="6"/>
      <c r="R233" s="6"/>
      <c r="S233" s="6"/>
      <c r="T233" s="6"/>
      <c r="U233" s="6"/>
      <c r="V233" s="6"/>
      <c r="W233" s="6"/>
      <c r="X233" s="6"/>
      <c r="Y233" s="6"/>
      <c r="Z233" s="6"/>
    </row>
    <row r="234" spans="1:26" ht="15.75" customHeight="1" x14ac:dyDescent="0.3">
      <c r="A234" s="10" t="s">
        <v>4210</v>
      </c>
      <c r="B234" s="10">
        <v>2003</v>
      </c>
      <c r="C234" s="10" t="s">
        <v>4713</v>
      </c>
      <c r="D234" s="10">
        <v>10</v>
      </c>
      <c r="E234" s="10">
        <v>1</v>
      </c>
      <c r="F234" s="24">
        <v>2221.56</v>
      </c>
      <c r="G234" s="10" t="s">
        <v>4695</v>
      </c>
      <c r="H234" s="10" t="s">
        <v>4696</v>
      </c>
      <c r="I234" s="10" t="s">
        <v>4712</v>
      </c>
      <c r="J234" s="17">
        <f t="shared" si="0"/>
        <v>37965</v>
      </c>
      <c r="K234" s="10">
        <f t="shared" ca="1" si="1"/>
        <v>21</v>
      </c>
      <c r="L234" s="6"/>
      <c r="M234" s="6"/>
      <c r="N234" s="6"/>
      <c r="O234" s="6"/>
      <c r="P234" s="6"/>
      <c r="Q234" s="6"/>
      <c r="R234" s="6"/>
      <c r="S234" s="6"/>
      <c r="T234" s="6"/>
      <c r="U234" s="6"/>
      <c r="V234" s="6"/>
      <c r="W234" s="6"/>
      <c r="X234" s="6"/>
      <c r="Y234" s="6"/>
      <c r="Z234" s="6"/>
    </row>
    <row r="235" spans="1:26" ht="15.75" customHeight="1" x14ac:dyDescent="0.3">
      <c r="A235" s="10" t="s">
        <v>4208</v>
      </c>
      <c r="B235" s="10">
        <v>2000</v>
      </c>
      <c r="C235" s="10" t="s">
        <v>4710</v>
      </c>
      <c r="D235" s="10">
        <v>30</v>
      </c>
      <c r="E235" s="10">
        <v>0</v>
      </c>
      <c r="F235" s="24">
        <v>2250.84</v>
      </c>
      <c r="G235" s="10" t="s">
        <v>4695</v>
      </c>
      <c r="H235" s="10" t="s">
        <v>4695</v>
      </c>
      <c r="I235" s="10" t="s">
        <v>4721</v>
      </c>
      <c r="J235" s="17">
        <f t="shared" si="0"/>
        <v>36707</v>
      </c>
      <c r="K235" s="10">
        <f t="shared" ca="1" si="1"/>
        <v>25</v>
      </c>
      <c r="L235" s="6"/>
      <c r="M235" s="6"/>
      <c r="N235" s="6"/>
      <c r="O235" s="6"/>
      <c r="P235" s="6"/>
      <c r="Q235" s="6"/>
      <c r="R235" s="6"/>
      <c r="S235" s="6"/>
      <c r="T235" s="6"/>
      <c r="U235" s="6"/>
      <c r="V235" s="6"/>
      <c r="W235" s="6"/>
      <c r="X235" s="6"/>
      <c r="Y235" s="6"/>
      <c r="Z235" s="6"/>
    </row>
    <row r="236" spans="1:26" ht="15.75" customHeight="1" x14ac:dyDescent="0.3">
      <c r="A236" s="10" t="s">
        <v>4206</v>
      </c>
      <c r="B236" s="10">
        <v>2000</v>
      </c>
      <c r="C236" s="10" t="s">
        <v>4713</v>
      </c>
      <c r="D236" s="10">
        <v>11</v>
      </c>
      <c r="E236" s="10">
        <v>0</v>
      </c>
      <c r="F236" s="24">
        <v>2254.8000000000002</v>
      </c>
      <c r="G236" s="10" t="s">
        <v>4695</v>
      </c>
      <c r="H236" s="10" t="s">
        <v>4696</v>
      </c>
      <c r="I236" s="10" t="s">
        <v>4720</v>
      </c>
      <c r="J236" s="17">
        <f t="shared" si="0"/>
        <v>36871</v>
      </c>
      <c r="K236" s="10">
        <f t="shared" ca="1" si="1"/>
        <v>24</v>
      </c>
      <c r="L236" s="6"/>
      <c r="M236" s="6"/>
      <c r="N236" s="6"/>
      <c r="O236" s="6"/>
      <c r="P236" s="6"/>
      <c r="Q236" s="6"/>
      <c r="R236" s="6"/>
      <c r="S236" s="6"/>
      <c r="T236" s="6"/>
      <c r="U236" s="6"/>
      <c r="V236" s="6"/>
      <c r="W236" s="6"/>
      <c r="X236" s="6"/>
      <c r="Y236" s="6"/>
      <c r="Z236" s="6"/>
    </row>
    <row r="237" spans="1:26" ht="15.75" customHeight="1" x14ac:dyDescent="0.3">
      <c r="A237" s="10" t="s">
        <v>4204</v>
      </c>
      <c r="B237" s="10">
        <v>2002</v>
      </c>
      <c r="C237" s="10" t="s">
        <v>4707</v>
      </c>
      <c r="D237" s="10">
        <v>15</v>
      </c>
      <c r="E237" s="10">
        <v>0</v>
      </c>
      <c r="F237" s="24">
        <v>2257.48</v>
      </c>
      <c r="G237" s="10" t="s">
        <v>4695</v>
      </c>
      <c r="H237" s="10" t="s">
        <v>4694</v>
      </c>
      <c r="I237" s="10" t="s">
        <v>4712</v>
      </c>
      <c r="J237" s="17">
        <f t="shared" si="0"/>
        <v>37452</v>
      </c>
      <c r="K237" s="10">
        <f t="shared" ca="1" si="1"/>
        <v>23</v>
      </c>
      <c r="L237" s="6"/>
      <c r="M237" s="6"/>
      <c r="N237" s="6"/>
      <c r="O237" s="6"/>
      <c r="P237" s="6"/>
      <c r="Q237" s="6"/>
      <c r="R237" s="6"/>
      <c r="S237" s="6"/>
      <c r="T237" s="6"/>
      <c r="U237" s="6"/>
      <c r="V237" s="6"/>
      <c r="W237" s="6"/>
      <c r="X237" s="6"/>
      <c r="Y237" s="6"/>
      <c r="Z237" s="6"/>
    </row>
    <row r="238" spans="1:26" ht="15.75" customHeight="1" x14ac:dyDescent="0.3">
      <c r="A238" s="10" t="s">
        <v>4202</v>
      </c>
      <c r="B238" s="10">
        <v>2002</v>
      </c>
      <c r="C238" s="10" t="s">
        <v>4709</v>
      </c>
      <c r="D238" s="10">
        <v>12</v>
      </c>
      <c r="E238" s="10">
        <v>0</v>
      </c>
      <c r="F238" s="24">
        <v>2261.5700000000002</v>
      </c>
      <c r="G238" s="10" t="s">
        <v>4695</v>
      </c>
      <c r="H238" s="10" t="s">
        <v>4694</v>
      </c>
      <c r="I238" s="10" t="s">
        <v>4712</v>
      </c>
      <c r="J238" s="17">
        <f t="shared" si="0"/>
        <v>37572</v>
      </c>
      <c r="K238" s="10">
        <f t="shared" ca="1" si="1"/>
        <v>23</v>
      </c>
      <c r="L238" s="6"/>
      <c r="M238" s="6"/>
      <c r="N238" s="6"/>
      <c r="O238" s="6"/>
      <c r="P238" s="6"/>
      <c r="Q238" s="6"/>
      <c r="R238" s="6"/>
      <c r="S238" s="6"/>
      <c r="T238" s="6"/>
      <c r="U238" s="6"/>
      <c r="V238" s="6"/>
      <c r="W238" s="6"/>
      <c r="X238" s="6"/>
      <c r="Y238" s="6"/>
      <c r="Z238" s="6"/>
    </row>
    <row r="239" spans="1:26" ht="15.75" customHeight="1" x14ac:dyDescent="0.3">
      <c r="A239" s="10" t="s">
        <v>4200</v>
      </c>
      <c r="B239" s="10">
        <v>1991</v>
      </c>
      <c r="C239" s="10" t="s">
        <v>4710</v>
      </c>
      <c r="D239" s="10">
        <v>16</v>
      </c>
      <c r="E239" s="10">
        <v>3</v>
      </c>
      <c r="F239" s="24">
        <v>2277.7199999999998</v>
      </c>
      <c r="G239" s="10" t="s">
        <v>4695</v>
      </c>
      <c r="H239" s="10" t="s">
        <v>4694</v>
      </c>
      <c r="I239" s="10" t="s">
        <v>4708</v>
      </c>
      <c r="J239" s="17">
        <f t="shared" si="0"/>
        <v>33405</v>
      </c>
      <c r="K239" s="10">
        <f t="shared" ca="1" si="1"/>
        <v>34</v>
      </c>
      <c r="L239" s="6"/>
      <c r="M239" s="6"/>
      <c r="N239" s="6"/>
      <c r="O239" s="6"/>
      <c r="P239" s="6"/>
      <c r="Q239" s="6"/>
      <c r="R239" s="6"/>
      <c r="S239" s="6"/>
      <c r="T239" s="6"/>
      <c r="U239" s="6"/>
      <c r="V239" s="6"/>
      <c r="W239" s="6"/>
      <c r="X239" s="6"/>
      <c r="Y239" s="6"/>
      <c r="Z239" s="6"/>
    </row>
    <row r="240" spans="1:26" ht="15.75" customHeight="1" x14ac:dyDescent="0.3">
      <c r="A240" s="10" t="s">
        <v>4198</v>
      </c>
      <c r="B240" s="10">
        <v>1989</v>
      </c>
      <c r="C240" s="10" t="s">
        <v>4715</v>
      </c>
      <c r="D240" s="10">
        <v>5</v>
      </c>
      <c r="E240" s="10">
        <v>3</v>
      </c>
      <c r="F240" s="24">
        <v>2295.2399999999998</v>
      </c>
      <c r="G240" s="10" t="s">
        <v>4695</v>
      </c>
      <c r="H240" s="10" t="s">
        <v>4694</v>
      </c>
      <c r="I240" s="10" t="s">
        <v>4708</v>
      </c>
      <c r="J240" s="17">
        <f t="shared" si="0"/>
        <v>32786</v>
      </c>
      <c r="K240" s="10">
        <f t="shared" ca="1" si="1"/>
        <v>36</v>
      </c>
      <c r="L240" s="6"/>
      <c r="M240" s="6"/>
      <c r="N240" s="6"/>
      <c r="O240" s="6"/>
      <c r="P240" s="6"/>
      <c r="Q240" s="6"/>
      <c r="R240" s="6"/>
      <c r="S240" s="6"/>
      <c r="T240" s="6"/>
      <c r="U240" s="6"/>
      <c r="V240" s="6"/>
      <c r="W240" s="6"/>
      <c r="X240" s="6"/>
      <c r="Y240" s="6"/>
      <c r="Z240" s="6"/>
    </row>
    <row r="241" spans="1:26" ht="15.75" customHeight="1" x14ac:dyDescent="0.3">
      <c r="A241" s="10" t="s">
        <v>4196</v>
      </c>
      <c r="B241" s="10">
        <v>1996</v>
      </c>
      <c r="C241" s="10" t="s">
        <v>4709</v>
      </c>
      <c r="D241" s="10">
        <v>28</v>
      </c>
      <c r="E241" s="10">
        <v>0</v>
      </c>
      <c r="F241" s="24">
        <v>2302.3000000000002</v>
      </c>
      <c r="G241" s="10" t="s">
        <v>4694</v>
      </c>
      <c r="H241" s="10" t="s">
        <v>4695</v>
      </c>
      <c r="I241" s="10" t="s">
        <v>4716</v>
      </c>
      <c r="J241" s="17">
        <f t="shared" si="0"/>
        <v>35397</v>
      </c>
      <c r="K241" s="10">
        <f t="shared" ca="1" si="1"/>
        <v>29</v>
      </c>
      <c r="L241" s="6"/>
      <c r="M241" s="6"/>
      <c r="N241" s="6"/>
      <c r="O241" s="6"/>
      <c r="P241" s="6"/>
      <c r="Q241" s="6"/>
      <c r="R241" s="6"/>
      <c r="S241" s="6"/>
      <c r="T241" s="6"/>
      <c r="U241" s="6"/>
      <c r="V241" s="6"/>
      <c r="W241" s="6"/>
      <c r="X241" s="6"/>
      <c r="Y241" s="6"/>
      <c r="Z241" s="6"/>
    </row>
    <row r="242" spans="1:26" ht="15.75" customHeight="1" x14ac:dyDescent="0.3">
      <c r="A242" s="10" t="s">
        <v>4194</v>
      </c>
      <c r="B242" s="10">
        <v>2004</v>
      </c>
      <c r="C242" s="10" t="s">
        <v>4711</v>
      </c>
      <c r="D242" s="10">
        <v>6</v>
      </c>
      <c r="E242" s="10">
        <v>2</v>
      </c>
      <c r="F242" s="24">
        <v>2304</v>
      </c>
      <c r="G242" s="10" t="s">
        <v>4695</v>
      </c>
      <c r="H242" s="10" t="s">
        <v>4696</v>
      </c>
      <c r="I242" s="10" t="s">
        <v>4708</v>
      </c>
      <c r="J242" s="17">
        <f t="shared" si="0"/>
        <v>38236</v>
      </c>
      <c r="K242" s="10">
        <f t="shared" ca="1" si="1"/>
        <v>21</v>
      </c>
      <c r="L242" s="6"/>
      <c r="M242" s="6"/>
      <c r="N242" s="6"/>
      <c r="O242" s="6"/>
      <c r="P242" s="6"/>
      <c r="Q242" s="6"/>
      <c r="R242" s="6"/>
      <c r="S242" s="6"/>
      <c r="T242" s="6"/>
      <c r="U242" s="6"/>
      <c r="V242" s="6"/>
      <c r="W242" s="6"/>
      <c r="X242" s="6"/>
      <c r="Y242" s="6"/>
      <c r="Z242" s="6"/>
    </row>
    <row r="243" spans="1:26" ht="15.75" customHeight="1" x14ac:dyDescent="0.3">
      <c r="A243" s="10" t="s">
        <v>4192</v>
      </c>
      <c r="B243" s="10">
        <v>1996</v>
      </c>
      <c r="C243" s="10" t="s">
        <v>4713</v>
      </c>
      <c r="D243" s="10">
        <v>17</v>
      </c>
      <c r="E243" s="10">
        <v>0</v>
      </c>
      <c r="F243" s="24">
        <v>2322.62</v>
      </c>
      <c r="G243" s="10" t="s">
        <v>4695</v>
      </c>
      <c r="H243" s="10" t="s">
        <v>4694</v>
      </c>
      <c r="I243" s="10" t="s">
        <v>4708</v>
      </c>
      <c r="J243" s="17">
        <f t="shared" si="0"/>
        <v>35416</v>
      </c>
      <c r="K243" s="10">
        <f t="shared" ca="1" si="1"/>
        <v>28</v>
      </c>
      <c r="L243" s="6"/>
      <c r="M243" s="6"/>
      <c r="N243" s="6"/>
      <c r="O243" s="6"/>
      <c r="P243" s="6"/>
      <c r="Q243" s="6"/>
      <c r="R243" s="6"/>
      <c r="S243" s="6"/>
      <c r="T243" s="6"/>
      <c r="U243" s="6"/>
      <c r="V243" s="6"/>
      <c r="W243" s="6"/>
      <c r="X243" s="6"/>
      <c r="Y243" s="6"/>
      <c r="Z243" s="6"/>
    </row>
    <row r="244" spans="1:26" ht="15.75" customHeight="1" x14ac:dyDescent="0.3">
      <c r="A244" s="10" t="s">
        <v>4190</v>
      </c>
      <c r="B244" s="10">
        <v>2003</v>
      </c>
      <c r="C244" s="10" t="s">
        <v>4709</v>
      </c>
      <c r="D244" s="10">
        <v>18</v>
      </c>
      <c r="E244" s="10">
        <v>1</v>
      </c>
      <c r="F244" s="24">
        <v>2331.52</v>
      </c>
      <c r="G244" s="10" t="s">
        <v>4695</v>
      </c>
      <c r="H244" s="10" t="s">
        <v>4696</v>
      </c>
      <c r="I244" s="10" t="s">
        <v>4716</v>
      </c>
      <c r="J244" s="17">
        <f t="shared" si="0"/>
        <v>37943</v>
      </c>
      <c r="K244" s="10">
        <f t="shared" ca="1" si="1"/>
        <v>22</v>
      </c>
      <c r="L244" s="6"/>
      <c r="M244" s="6"/>
      <c r="N244" s="6"/>
      <c r="O244" s="6"/>
      <c r="P244" s="6"/>
      <c r="Q244" s="6"/>
      <c r="R244" s="6"/>
      <c r="S244" s="6"/>
      <c r="T244" s="6"/>
      <c r="U244" s="6"/>
      <c r="V244" s="6"/>
      <c r="W244" s="6"/>
      <c r="X244" s="6"/>
      <c r="Y244" s="6"/>
      <c r="Z244" s="6"/>
    </row>
    <row r="245" spans="1:26" ht="15.75" customHeight="1" x14ac:dyDescent="0.3">
      <c r="A245" s="10" t="s">
        <v>4188</v>
      </c>
      <c r="B245" s="10">
        <v>1998</v>
      </c>
      <c r="C245" s="10" t="s">
        <v>4715</v>
      </c>
      <c r="D245" s="10">
        <v>21</v>
      </c>
      <c r="E245" s="10">
        <v>0</v>
      </c>
      <c r="F245" s="24">
        <v>2352.9699999999998</v>
      </c>
      <c r="G245" s="10" t="s">
        <v>4696</v>
      </c>
      <c r="H245" s="10" t="s">
        <v>4696</v>
      </c>
      <c r="I245" s="10" t="s">
        <v>4712</v>
      </c>
      <c r="J245" s="17">
        <f t="shared" si="0"/>
        <v>36089</v>
      </c>
      <c r="K245" s="10">
        <f t="shared" ca="1" si="1"/>
        <v>27</v>
      </c>
      <c r="L245" s="6"/>
      <c r="M245" s="6"/>
      <c r="N245" s="6"/>
      <c r="O245" s="6"/>
      <c r="P245" s="6"/>
      <c r="Q245" s="6"/>
      <c r="R245" s="6"/>
      <c r="S245" s="6"/>
      <c r="T245" s="6"/>
      <c r="U245" s="6"/>
      <c r="V245" s="6"/>
      <c r="W245" s="6"/>
      <c r="X245" s="6"/>
      <c r="Y245" s="6"/>
      <c r="Z245" s="6"/>
    </row>
    <row r="246" spans="1:26" ht="15.75" customHeight="1" x14ac:dyDescent="0.3">
      <c r="A246" s="10" t="s">
        <v>4186</v>
      </c>
      <c r="B246" s="10">
        <v>2002</v>
      </c>
      <c r="C246" s="10" t="s">
        <v>4709</v>
      </c>
      <c r="D246" s="10">
        <v>5</v>
      </c>
      <c r="E246" s="10">
        <v>1</v>
      </c>
      <c r="F246" s="24">
        <v>2362.23</v>
      </c>
      <c r="G246" s="10" t="s">
        <v>4695</v>
      </c>
      <c r="H246" s="10" t="s">
        <v>4694</v>
      </c>
      <c r="I246" s="10" t="s">
        <v>4712</v>
      </c>
      <c r="J246" s="17">
        <f t="shared" si="0"/>
        <v>37565</v>
      </c>
      <c r="K246" s="10">
        <f t="shared" ca="1" si="1"/>
        <v>23</v>
      </c>
      <c r="L246" s="6"/>
      <c r="M246" s="6"/>
      <c r="N246" s="6"/>
      <c r="O246" s="6"/>
      <c r="P246" s="6"/>
      <c r="Q246" s="6"/>
      <c r="R246" s="6"/>
      <c r="S246" s="6"/>
      <c r="T246" s="6"/>
      <c r="U246" s="6"/>
      <c r="V246" s="6"/>
      <c r="W246" s="6"/>
      <c r="X246" s="6"/>
      <c r="Y246" s="6"/>
      <c r="Z246" s="6"/>
    </row>
    <row r="247" spans="1:26" ht="15.75" customHeight="1" x14ac:dyDescent="0.3">
      <c r="A247" s="10" t="s">
        <v>4184</v>
      </c>
      <c r="B247" s="10">
        <v>1988</v>
      </c>
      <c r="C247" s="10" t="s">
        <v>4713</v>
      </c>
      <c r="D247" s="10">
        <v>12</v>
      </c>
      <c r="E247" s="10">
        <v>3</v>
      </c>
      <c r="F247" s="24">
        <v>2373.3000000000002</v>
      </c>
      <c r="G247" s="10" t="s">
        <v>4695</v>
      </c>
      <c r="H247" s="10" t="s">
        <v>4695</v>
      </c>
      <c r="I247" s="10" t="s">
        <v>4708</v>
      </c>
      <c r="J247" s="17">
        <f t="shared" si="0"/>
        <v>32489</v>
      </c>
      <c r="K247" s="10">
        <f t="shared" ca="1" si="1"/>
        <v>36</v>
      </c>
      <c r="L247" s="6"/>
      <c r="M247" s="6"/>
      <c r="N247" s="6"/>
      <c r="O247" s="6"/>
      <c r="P247" s="6"/>
      <c r="Q247" s="6"/>
      <c r="R247" s="6"/>
      <c r="S247" s="6"/>
      <c r="T247" s="6"/>
      <c r="U247" s="6"/>
      <c r="V247" s="6"/>
      <c r="W247" s="6"/>
      <c r="X247" s="6"/>
      <c r="Y247" s="6"/>
      <c r="Z247" s="6"/>
    </row>
    <row r="248" spans="1:26" ht="15.75" customHeight="1" x14ac:dyDescent="0.3">
      <c r="A248" s="10" t="s">
        <v>4182</v>
      </c>
      <c r="B248" s="10">
        <v>1999</v>
      </c>
      <c r="C248" s="10" t="s">
        <v>4713</v>
      </c>
      <c r="D248" s="10">
        <v>17</v>
      </c>
      <c r="E248" s="10">
        <v>0</v>
      </c>
      <c r="F248" s="24">
        <v>2395.17</v>
      </c>
      <c r="G248" s="10" t="s">
        <v>4695</v>
      </c>
      <c r="H248" s="10" t="s">
        <v>4694</v>
      </c>
      <c r="I248" s="10" t="s">
        <v>4725</v>
      </c>
      <c r="J248" s="17">
        <f t="shared" si="0"/>
        <v>36511</v>
      </c>
      <c r="K248" s="10">
        <f t="shared" ca="1" si="1"/>
        <v>25</v>
      </c>
      <c r="L248" s="6"/>
      <c r="M248" s="6"/>
      <c r="N248" s="6"/>
      <c r="O248" s="6"/>
      <c r="P248" s="6"/>
      <c r="Q248" s="6"/>
      <c r="R248" s="6"/>
      <c r="S248" s="6"/>
      <c r="T248" s="6"/>
      <c r="U248" s="6"/>
      <c r="V248" s="6"/>
      <c r="W248" s="6"/>
      <c r="X248" s="6"/>
      <c r="Y248" s="6"/>
      <c r="Z248" s="6"/>
    </row>
    <row r="249" spans="1:26" ht="15.75" customHeight="1" x14ac:dyDescent="0.3">
      <c r="A249" s="10" t="s">
        <v>4180</v>
      </c>
      <c r="B249" s="10">
        <v>1999</v>
      </c>
      <c r="C249" s="10" t="s">
        <v>4714</v>
      </c>
      <c r="D249" s="10">
        <v>10</v>
      </c>
      <c r="E249" s="10">
        <v>0</v>
      </c>
      <c r="F249" s="24">
        <v>2396.1</v>
      </c>
      <c r="G249" s="10" t="s">
        <v>4695</v>
      </c>
      <c r="H249" s="10" t="s">
        <v>4694</v>
      </c>
      <c r="I249" s="10" t="s">
        <v>4719</v>
      </c>
      <c r="J249" s="17">
        <f t="shared" si="0"/>
        <v>36382</v>
      </c>
      <c r="K249" s="10">
        <f t="shared" ca="1" si="1"/>
        <v>26</v>
      </c>
      <c r="L249" s="6"/>
      <c r="M249" s="6"/>
      <c r="N249" s="6"/>
      <c r="O249" s="6"/>
      <c r="P249" s="6"/>
      <c r="Q249" s="6"/>
      <c r="R249" s="6"/>
      <c r="S249" s="6"/>
      <c r="T249" s="6"/>
      <c r="U249" s="6"/>
      <c r="V249" s="6"/>
      <c r="W249" s="6"/>
      <c r="X249" s="6"/>
      <c r="Y249" s="6"/>
      <c r="Z249" s="6"/>
    </row>
    <row r="250" spans="1:26" ht="15.75" customHeight="1" x14ac:dyDescent="0.3">
      <c r="A250" s="10" t="s">
        <v>4178</v>
      </c>
      <c r="B250" s="10">
        <v>2001</v>
      </c>
      <c r="C250" s="10" t="s">
        <v>4710</v>
      </c>
      <c r="D250" s="10">
        <v>3</v>
      </c>
      <c r="E250" s="10">
        <v>0</v>
      </c>
      <c r="F250" s="24">
        <v>2404.73</v>
      </c>
      <c r="G250" s="10" t="s">
        <v>4695</v>
      </c>
      <c r="H250" s="10" t="s">
        <v>4696</v>
      </c>
      <c r="I250" s="10" t="s">
        <v>4712</v>
      </c>
      <c r="J250" s="17">
        <f t="shared" si="0"/>
        <v>37045</v>
      </c>
      <c r="K250" s="10">
        <f t="shared" ca="1" si="1"/>
        <v>24</v>
      </c>
      <c r="L250" s="6"/>
      <c r="M250" s="6"/>
      <c r="N250" s="6"/>
      <c r="O250" s="6"/>
      <c r="P250" s="6"/>
      <c r="Q250" s="6"/>
      <c r="R250" s="6"/>
      <c r="S250" s="6"/>
      <c r="T250" s="6"/>
      <c r="U250" s="6"/>
      <c r="V250" s="6"/>
      <c r="W250" s="6"/>
      <c r="X250" s="6"/>
      <c r="Y250" s="6"/>
      <c r="Z250" s="6"/>
    </row>
    <row r="251" spans="1:26" ht="15.75" customHeight="1" x14ac:dyDescent="0.3">
      <c r="A251" s="10" t="s">
        <v>4176</v>
      </c>
      <c r="B251" s="10">
        <v>1999</v>
      </c>
      <c r="C251" s="10" t="s">
        <v>4709</v>
      </c>
      <c r="D251" s="10">
        <v>12</v>
      </c>
      <c r="E251" s="10">
        <v>1</v>
      </c>
      <c r="F251" s="24">
        <v>2416.96</v>
      </c>
      <c r="G251" s="10" t="s">
        <v>4695</v>
      </c>
      <c r="H251" s="10" t="s">
        <v>4695</v>
      </c>
      <c r="I251" s="10" t="s">
        <v>4716</v>
      </c>
      <c r="J251" s="17">
        <f t="shared" si="0"/>
        <v>36476</v>
      </c>
      <c r="K251" s="10">
        <f t="shared" ca="1" si="1"/>
        <v>26</v>
      </c>
      <c r="L251" s="6"/>
      <c r="M251" s="6"/>
      <c r="N251" s="6"/>
      <c r="O251" s="6"/>
      <c r="P251" s="6"/>
      <c r="Q251" s="6"/>
      <c r="R251" s="6"/>
      <c r="S251" s="6"/>
      <c r="T251" s="6"/>
      <c r="U251" s="6"/>
      <c r="V251" s="6"/>
      <c r="W251" s="6"/>
      <c r="X251" s="6"/>
      <c r="Y251" s="6"/>
      <c r="Z251" s="6"/>
    </row>
    <row r="252" spans="1:26" ht="15.75" customHeight="1" x14ac:dyDescent="0.3">
      <c r="A252" s="10" t="s">
        <v>4174</v>
      </c>
      <c r="B252" s="10">
        <v>1999</v>
      </c>
      <c r="C252" s="10" t="s">
        <v>4709</v>
      </c>
      <c r="D252" s="10">
        <v>21</v>
      </c>
      <c r="E252" s="10">
        <v>1</v>
      </c>
      <c r="F252" s="24">
        <v>2438.06</v>
      </c>
      <c r="G252" s="10" t="s">
        <v>4695</v>
      </c>
      <c r="H252" s="10" t="s">
        <v>4695</v>
      </c>
      <c r="I252" s="10" t="s">
        <v>4708</v>
      </c>
      <c r="J252" s="17">
        <f t="shared" si="0"/>
        <v>36485</v>
      </c>
      <c r="K252" s="10">
        <f t="shared" ca="1" si="1"/>
        <v>26</v>
      </c>
      <c r="L252" s="6"/>
      <c r="M252" s="6"/>
      <c r="N252" s="6"/>
      <c r="O252" s="6"/>
      <c r="P252" s="6"/>
      <c r="Q252" s="6"/>
      <c r="R252" s="6"/>
      <c r="S252" s="6"/>
      <c r="T252" s="6"/>
      <c r="U252" s="6"/>
      <c r="V252" s="6"/>
      <c r="W252" s="6"/>
      <c r="X252" s="6"/>
      <c r="Y252" s="6"/>
      <c r="Z252" s="6"/>
    </row>
    <row r="253" spans="1:26" ht="15.75" customHeight="1" x14ac:dyDescent="0.3">
      <c r="A253" s="10" t="s">
        <v>4172</v>
      </c>
      <c r="B253" s="10">
        <v>2002</v>
      </c>
      <c r="C253" s="10" t="s">
        <v>4707</v>
      </c>
      <c r="D253" s="10">
        <v>29</v>
      </c>
      <c r="E253" s="10">
        <v>0</v>
      </c>
      <c r="F253" s="24">
        <v>2457.21</v>
      </c>
      <c r="G253" s="10" t="s">
        <v>4695</v>
      </c>
      <c r="H253" s="10" t="s">
        <v>4694</v>
      </c>
      <c r="I253" s="10" t="s">
        <v>4723</v>
      </c>
      <c r="J253" s="17">
        <f t="shared" si="0"/>
        <v>37466</v>
      </c>
      <c r="K253" s="10">
        <f t="shared" ca="1" si="1"/>
        <v>23</v>
      </c>
      <c r="L253" s="6"/>
      <c r="M253" s="6"/>
      <c r="N253" s="6"/>
      <c r="O253" s="6"/>
      <c r="P253" s="6"/>
      <c r="Q253" s="6"/>
      <c r="R253" s="6"/>
      <c r="S253" s="6"/>
      <c r="T253" s="6"/>
      <c r="U253" s="6"/>
      <c r="V253" s="6"/>
      <c r="W253" s="6"/>
      <c r="X253" s="6"/>
      <c r="Y253" s="6"/>
      <c r="Z253" s="6"/>
    </row>
    <row r="254" spans="1:26" ht="15.75" customHeight="1" x14ac:dyDescent="0.3">
      <c r="A254" s="10" t="s">
        <v>4170</v>
      </c>
      <c r="B254" s="10">
        <v>1998</v>
      </c>
      <c r="C254" s="10" t="s">
        <v>4709</v>
      </c>
      <c r="D254" s="10">
        <v>19</v>
      </c>
      <c r="E254" s="10">
        <v>0</v>
      </c>
      <c r="F254" s="24">
        <v>2457.5</v>
      </c>
      <c r="G254" s="10" t="s">
        <v>4695</v>
      </c>
      <c r="H254" s="10" t="s">
        <v>4694</v>
      </c>
      <c r="I254" s="10" t="s">
        <v>4716</v>
      </c>
      <c r="J254" s="17">
        <f t="shared" si="0"/>
        <v>36118</v>
      </c>
      <c r="K254" s="10">
        <f t="shared" ca="1" si="1"/>
        <v>27</v>
      </c>
      <c r="L254" s="6"/>
      <c r="M254" s="6"/>
      <c r="N254" s="6"/>
      <c r="O254" s="6"/>
      <c r="P254" s="6"/>
      <c r="Q254" s="6"/>
      <c r="R254" s="6"/>
      <c r="S254" s="6"/>
      <c r="T254" s="6"/>
      <c r="U254" s="6"/>
      <c r="V254" s="6"/>
      <c r="W254" s="6"/>
      <c r="X254" s="6"/>
      <c r="Y254" s="6"/>
      <c r="Z254" s="6"/>
    </row>
    <row r="255" spans="1:26" ht="15.75" customHeight="1" x14ac:dyDescent="0.3">
      <c r="A255" s="10" t="s">
        <v>4168</v>
      </c>
      <c r="B255" s="10">
        <v>2002</v>
      </c>
      <c r="C255" s="10" t="s">
        <v>4707</v>
      </c>
      <c r="D255" s="10">
        <v>11</v>
      </c>
      <c r="E255" s="10">
        <v>0</v>
      </c>
      <c r="F255" s="24">
        <v>2459.7199999999998</v>
      </c>
      <c r="G255" s="10" t="s">
        <v>4695</v>
      </c>
      <c r="H255" s="10" t="s">
        <v>4695</v>
      </c>
      <c r="I255" s="10" t="s">
        <v>4723</v>
      </c>
      <c r="J255" s="17">
        <f t="shared" si="0"/>
        <v>37448</v>
      </c>
      <c r="K255" s="10">
        <f t="shared" ca="1" si="1"/>
        <v>23</v>
      </c>
      <c r="L255" s="6"/>
      <c r="M255" s="6"/>
      <c r="N255" s="6"/>
      <c r="O255" s="6"/>
      <c r="P255" s="6"/>
      <c r="Q255" s="6"/>
      <c r="R255" s="6"/>
      <c r="S255" s="6"/>
      <c r="T255" s="6"/>
      <c r="U255" s="6"/>
      <c r="V255" s="6"/>
      <c r="W255" s="6"/>
      <c r="X255" s="6"/>
      <c r="Y255" s="6"/>
      <c r="Z255" s="6"/>
    </row>
    <row r="256" spans="1:26" ht="15.75" customHeight="1" x14ac:dyDescent="0.3">
      <c r="A256" s="10" t="s">
        <v>4166</v>
      </c>
      <c r="B256" s="10">
        <v>1998</v>
      </c>
      <c r="C256" s="10" t="s">
        <v>4714</v>
      </c>
      <c r="D256" s="10">
        <v>17</v>
      </c>
      <c r="E256" s="10">
        <v>0</v>
      </c>
      <c r="F256" s="24">
        <v>2464.62</v>
      </c>
      <c r="G256" s="10" t="s">
        <v>4695</v>
      </c>
      <c r="H256" s="10" t="s">
        <v>4696</v>
      </c>
      <c r="I256" s="10" t="s">
        <v>4708</v>
      </c>
      <c r="J256" s="17">
        <f t="shared" si="0"/>
        <v>36024</v>
      </c>
      <c r="K256" s="10">
        <f t="shared" ca="1" si="1"/>
        <v>27</v>
      </c>
      <c r="L256" s="6"/>
      <c r="M256" s="6"/>
      <c r="N256" s="6"/>
      <c r="O256" s="6"/>
      <c r="P256" s="6"/>
      <c r="Q256" s="6"/>
      <c r="R256" s="6"/>
      <c r="S256" s="6"/>
      <c r="T256" s="6"/>
      <c r="U256" s="6"/>
      <c r="V256" s="6"/>
      <c r="W256" s="6"/>
      <c r="X256" s="6"/>
      <c r="Y256" s="6"/>
      <c r="Z256" s="6"/>
    </row>
    <row r="257" spans="1:26" ht="15.75" customHeight="1" x14ac:dyDescent="0.3">
      <c r="A257" s="10" t="s">
        <v>4164</v>
      </c>
      <c r="B257" s="10">
        <v>1998</v>
      </c>
      <c r="C257" s="10" t="s">
        <v>4707</v>
      </c>
      <c r="D257" s="10">
        <v>2</v>
      </c>
      <c r="E257" s="10">
        <v>0</v>
      </c>
      <c r="F257" s="24">
        <v>2473.33</v>
      </c>
      <c r="G257" s="10" t="s">
        <v>4695</v>
      </c>
      <c r="H257" s="10" t="s">
        <v>4696</v>
      </c>
      <c r="I257" s="10" t="s">
        <v>4708</v>
      </c>
      <c r="J257" s="17">
        <f t="shared" ref="J257:J511" si="2">DATEVALUE(D257&amp;"-"&amp;C257&amp;" -"&amp;B257)</f>
        <v>35978</v>
      </c>
      <c r="K257" s="10">
        <f t="shared" ref="K257:K511" ca="1" si="3">DATEDIF(J257,TODAY(),"Y")</f>
        <v>27</v>
      </c>
      <c r="L257" s="6"/>
      <c r="M257" s="6"/>
      <c r="N257" s="6"/>
      <c r="O257" s="6"/>
      <c r="P257" s="6"/>
      <c r="Q257" s="6"/>
      <c r="R257" s="6"/>
      <c r="S257" s="6"/>
      <c r="T257" s="6"/>
      <c r="U257" s="6"/>
      <c r="V257" s="6"/>
      <c r="W257" s="6"/>
      <c r="X257" s="6"/>
      <c r="Y257" s="6"/>
      <c r="Z257" s="6"/>
    </row>
    <row r="258" spans="1:26" ht="15.75" customHeight="1" x14ac:dyDescent="0.3">
      <c r="A258" s="10" t="s">
        <v>4162</v>
      </c>
      <c r="B258" s="10">
        <v>1998</v>
      </c>
      <c r="C258" s="10" t="s">
        <v>4710</v>
      </c>
      <c r="D258" s="10">
        <v>20</v>
      </c>
      <c r="E258" s="10">
        <v>0</v>
      </c>
      <c r="F258" s="24">
        <v>2480.98</v>
      </c>
      <c r="G258" s="10" t="s">
        <v>4695</v>
      </c>
      <c r="H258" s="10" t="s">
        <v>4695</v>
      </c>
      <c r="I258" s="10" t="s">
        <v>4708</v>
      </c>
      <c r="J258" s="17">
        <f t="shared" si="2"/>
        <v>35966</v>
      </c>
      <c r="K258" s="10">
        <f t="shared" ca="1" si="3"/>
        <v>27</v>
      </c>
      <c r="L258" s="6"/>
      <c r="M258" s="6"/>
      <c r="N258" s="6"/>
      <c r="O258" s="6"/>
      <c r="P258" s="6"/>
      <c r="Q258" s="6"/>
      <c r="R258" s="6"/>
      <c r="S258" s="6"/>
      <c r="T258" s="6"/>
      <c r="U258" s="6"/>
      <c r="V258" s="6"/>
      <c r="W258" s="6"/>
      <c r="X258" s="6"/>
      <c r="Y258" s="6"/>
      <c r="Z258" s="6"/>
    </row>
    <row r="259" spans="1:26" ht="15.75" customHeight="1" x14ac:dyDescent="0.3">
      <c r="A259" s="10" t="s">
        <v>4160</v>
      </c>
      <c r="B259" s="10">
        <v>1995</v>
      </c>
      <c r="C259" s="10" t="s">
        <v>4709</v>
      </c>
      <c r="D259" s="10">
        <v>6</v>
      </c>
      <c r="E259" s="10">
        <v>0</v>
      </c>
      <c r="F259" s="24">
        <v>2483.7399999999998</v>
      </c>
      <c r="G259" s="10" t="s">
        <v>4696</v>
      </c>
      <c r="H259" s="10" t="s">
        <v>4695</v>
      </c>
      <c r="I259" s="10" t="s">
        <v>4708</v>
      </c>
      <c r="J259" s="17">
        <f t="shared" si="2"/>
        <v>35009</v>
      </c>
      <c r="K259" s="10">
        <f t="shared" ca="1" si="3"/>
        <v>30</v>
      </c>
      <c r="L259" s="6"/>
      <c r="M259" s="6"/>
      <c r="N259" s="6"/>
      <c r="O259" s="6"/>
      <c r="P259" s="6"/>
      <c r="Q259" s="6"/>
      <c r="R259" s="6"/>
      <c r="S259" s="6"/>
      <c r="T259" s="6"/>
      <c r="U259" s="6"/>
      <c r="V259" s="6"/>
      <c r="W259" s="6"/>
      <c r="X259" s="6"/>
      <c r="Y259" s="6"/>
      <c r="Z259" s="6"/>
    </row>
    <row r="260" spans="1:26" ht="15.75" customHeight="1" x14ac:dyDescent="0.3">
      <c r="A260" s="10" t="s">
        <v>4158</v>
      </c>
      <c r="B260" s="10">
        <v>1995</v>
      </c>
      <c r="C260" s="10" t="s">
        <v>4715</v>
      </c>
      <c r="D260" s="10">
        <v>14</v>
      </c>
      <c r="E260" s="10">
        <v>0</v>
      </c>
      <c r="F260" s="24">
        <v>2494.02</v>
      </c>
      <c r="G260" s="10" t="s">
        <v>4696</v>
      </c>
      <c r="H260" s="10" t="s">
        <v>4694</v>
      </c>
      <c r="I260" s="10" t="s">
        <v>4716</v>
      </c>
      <c r="J260" s="17">
        <f t="shared" si="2"/>
        <v>34986</v>
      </c>
      <c r="K260" s="10">
        <f t="shared" ca="1" si="3"/>
        <v>30</v>
      </c>
      <c r="L260" s="6"/>
      <c r="M260" s="6"/>
      <c r="N260" s="6"/>
      <c r="O260" s="6"/>
      <c r="P260" s="6"/>
      <c r="Q260" s="6"/>
      <c r="R260" s="6"/>
      <c r="S260" s="6"/>
      <c r="T260" s="6"/>
      <c r="U260" s="6"/>
      <c r="V260" s="6"/>
      <c r="W260" s="6"/>
      <c r="X260" s="6"/>
      <c r="Y260" s="6"/>
      <c r="Z260" s="6"/>
    </row>
    <row r="261" spans="1:26" ht="15.75" customHeight="1" x14ac:dyDescent="0.3">
      <c r="A261" s="10" t="s">
        <v>4156</v>
      </c>
      <c r="B261" s="10">
        <v>1995</v>
      </c>
      <c r="C261" s="10" t="s">
        <v>4707</v>
      </c>
      <c r="D261" s="10">
        <v>9</v>
      </c>
      <c r="E261" s="10">
        <v>0</v>
      </c>
      <c r="F261" s="24">
        <v>2497.04</v>
      </c>
      <c r="G261" s="10" t="s">
        <v>4696</v>
      </c>
      <c r="H261" s="10" t="s">
        <v>4696</v>
      </c>
      <c r="I261" s="10" t="s">
        <v>4708</v>
      </c>
      <c r="J261" s="17">
        <f t="shared" si="2"/>
        <v>34889</v>
      </c>
      <c r="K261" s="10">
        <f t="shared" ca="1" si="3"/>
        <v>30</v>
      </c>
      <c r="L261" s="6"/>
      <c r="M261" s="6"/>
      <c r="N261" s="6"/>
      <c r="O261" s="6"/>
      <c r="P261" s="6"/>
      <c r="Q261" s="6"/>
      <c r="R261" s="6"/>
      <c r="S261" s="6"/>
      <c r="T261" s="6"/>
      <c r="U261" s="6"/>
      <c r="V261" s="6"/>
      <c r="W261" s="6"/>
      <c r="X261" s="6"/>
      <c r="Y261" s="6"/>
      <c r="Z261" s="6"/>
    </row>
    <row r="262" spans="1:26" ht="15.75" customHeight="1" x14ac:dyDescent="0.3">
      <c r="A262" s="10" t="s">
        <v>4154</v>
      </c>
      <c r="B262" s="10">
        <v>1995</v>
      </c>
      <c r="C262" s="10" t="s">
        <v>4715</v>
      </c>
      <c r="D262" s="10">
        <v>15</v>
      </c>
      <c r="E262" s="10">
        <v>0</v>
      </c>
      <c r="F262" s="24">
        <v>2498.41</v>
      </c>
      <c r="G262" s="10" t="s">
        <v>4696</v>
      </c>
      <c r="H262" s="10" t="s">
        <v>4696</v>
      </c>
      <c r="I262" s="10" t="s">
        <v>4708</v>
      </c>
      <c r="J262" s="17">
        <f t="shared" si="2"/>
        <v>34987</v>
      </c>
      <c r="K262" s="10">
        <f t="shared" ca="1" si="3"/>
        <v>30</v>
      </c>
      <c r="L262" s="6"/>
      <c r="M262" s="6"/>
      <c r="N262" s="6"/>
      <c r="O262" s="6"/>
      <c r="P262" s="6"/>
      <c r="Q262" s="6"/>
      <c r="R262" s="6"/>
      <c r="S262" s="6"/>
      <c r="T262" s="6"/>
      <c r="U262" s="6"/>
      <c r="V262" s="6"/>
      <c r="W262" s="6"/>
      <c r="X262" s="6"/>
      <c r="Y262" s="6"/>
      <c r="Z262" s="6"/>
    </row>
    <row r="263" spans="1:26" ht="15.75" customHeight="1" x14ac:dyDescent="0.3">
      <c r="A263" s="10" t="s">
        <v>4152</v>
      </c>
      <c r="B263" s="10">
        <v>2004</v>
      </c>
      <c r="C263" s="10" t="s">
        <v>4711</v>
      </c>
      <c r="D263" s="10">
        <v>6</v>
      </c>
      <c r="E263" s="10">
        <v>0</v>
      </c>
      <c r="F263" s="24">
        <v>2500.9299999999998</v>
      </c>
      <c r="G263" s="10" t="s">
        <v>4695</v>
      </c>
      <c r="H263" s="10" t="s">
        <v>4695</v>
      </c>
      <c r="I263" s="10" t="s">
        <v>4712</v>
      </c>
      <c r="J263" s="17">
        <f t="shared" si="2"/>
        <v>38236</v>
      </c>
      <c r="K263" s="10">
        <f t="shared" ca="1" si="3"/>
        <v>21</v>
      </c>
      <c r="L263" s="6"/>
      <c r="M263" s="6"/>
      <c r="N263" s="6"/>
      <c r="O263" s="6"/>
      <c r="P263" s="6"/>
      <c r="Q263" s="6"/>
      <c r="R263" s="6"/>
      <c r="S263" s="6"/>
      <c r="T263" s="6"/>
      <c r="U263" s="6"/>
      <c r="V263" s="6"/>
      <c r="W263" s="6"/>
      <c r="X263" s="6"/>
      <c r="Y263" s="6"/>
      <c r="Z263" s="6"/>
    </row>
    <row r="264" spans="1:26" ht="15.75" customHeight="1" x14ac:dyDescent="0.3">
      <c r="A264" s="10" t="s">
        <v>4150</v>
      </c>
      <c r="B264" s="10">
        <v>1991</v>
      </c>
      <c r="C264" s="10" t="s">
        <v>4714</v>
      </c>
      <c r="D264" s="10">
        <v>5</v>
      </c>
      <c r="E264" s="10">
        <v>3</v>
      </c>
      <c r="F264" s="24">
        <v>2510.79</v>
      </c>
      <c r="G264" s="10" t="s">
        <v>4695</v>
      </c>
      <c r="H264" s="10" t="s">
        <v>4694</v>
      </c>
      <c r="I264" s="10" t="s">
        <v>4708</v>
      </c>
      <c r="J264" s="17">
        <f t="shared" si="2"/>
        <v>33455</v>
      </c>
      <c r="K264" s="10">
        <f t="shared" ca="1" si="3"/>
        <v>34</v>
      </c>
      <c r="L264" s="6"/>
      <c r="M264" s="6"/>
      <c r="N264" s="6"/>
      <c r="O264" s="6"/>
      <c r="P264" s="6"/>
      <c r="Q264" s="6"/>
      <c r="R264" s="6"/>
      <c r="S264" s="6"/>
      <c r="T264" s="6"/>
      <c r="U264" s="6"/>
      <c r="V264" s="6"/>
      <c r="W264" s="6"/>
      <c r="X264" s="6"/>
      <c r="Y264" s="6"/>
      <c r="Z264" s="6"/>
    </row>
    <row r="265" spans="1:26" ht="15.75" customHeight="1" x14ac:dyDescent="0.3">
      <c r="A265" s="10" t="s">
        <v>4148</v>
      </c>
      <c r="B265" s="10">
        <v>1997</v>
      </c>
      <c r="C265" s="10" t="s">
        <v>4709</v>
      </c>
      <c r="D265" s="10">
        <v>2</v>
      </c>
      <c r="E265" s="10">
        <v>0</v>
      </c>
      <c r="F265" s="24">
        <v>2523.17</v>
      </c>
      <c r="G265" s="10" t="s">
        <v>4696</v>
      </c>
      <c r="H265" s="10" t="s">
        <v>4694</v>
      </c>
      <c r="I265" s="10" t="s">
        <v>4712</v>
      </c>
      <c r="J265" s="17">
        <f t="shared" si="2"/>
        <v>35736</v>
      </c>
      <c r="K265" s="10">
        <f t="shared" ca="1" si="3"/>
        <v>28</v>
      </c>
      <c r="L265" s="6"/>
      <c r="M265" s="6"/>
      <c r="N265" s="6"/>
      <c r="O265" s="6"/>
      <c r="P265" s="6"/>
      <c r="Q265" s="6"/>
      <c r="R265" s="6"/>
      <c r="S265" s="6"/>
      <c r="T265" s="6"/>
      <c r="U265" s="6"/>
      <c r="V265" s="6"/>
      <c r="W265" s="6"/>
      <c r="X265" s="6"/>
      <c r="Y265" s="6"/>
      <c r="Z265" s="6"/>
    </row>
    <row r="266" spans="1:26" ht="15.75" customHeight="1" x14ac:dyDescent="0.3">
      <c r="A266" s="10" t="s">
        <v>4146</v>
      </c>
      <c r="B266" s="10">
        <v>2000</v>
      </c>
      <c r="C266" s="10" t="s">
        <v>4714</v>
      </c>
      <c r="D266" s="10">
        <v>25</v>
      </c>
      <c r="E266" s="10">
        <v>0</v>
      </c>
      <c r="F266" s="24">
        <v>2527.8200000000002</v>
      </c>
      <c r="G266" s="10" t="s">
        <v>4695</v>
      </c>
      <c r="H266" s="10" t="s">
        <v>4696</v>
      </c>
      <c r="I266" s="10" t="s">
        <v>4712</v>
      </c>
      <c r="J266" s="17">
        <f t="shared" si="2"/>
        <v>36763</v>
      </c>
      <c r="K266" s="10">
        <f t="shared" ca="1" si="3"/>
        <v>25</v>
      </c>
      <c r="L266" s="6"/>
      <c r="M266" s="6"/>
      <c r="N266" s="6"/>
      <c r="O266" s="6"/>
      <c r="P266" s="6"/>
      <c r="Q266" s="6"/>
      <c r="R266" s="6"/>
      <c r="S266" s="6"/>
      <c r="T266" s="6"/>
      <c r="U266" s="6"/>
      <c r="V266" s="6"/>
      <c r="W266" s="6"/>
      <c r="X266" s="6"/>
      <c r="Y266" s="6"/>
      <c r="Z266" s="6"/>
    </row>
    <row r="267" spans="1:26" ht="15.75" customHeight="1" x14ac:dyDescent="0.3">
      <c r="A267" s="10" t="s">
        <v>4144</v>
      </c>
      <c r="B267" s="10">
        <v>1997</v>
      </c>
      <c r="C267" s="10" t="s">
        <v>4707</v>
      </c>
      <c r="D267" s="10">
        <v>28</v>
      </c>
      <c r="E267" s="10">
        <v>0</v>
      </c>
      <c r="F267" s="24">
        <v>2534.39</v>
      </c>
      <c r="G267" s="10" t="s">
        <v>4696</v>
      </c>
      <c r="H267" s="10" t="s">
        <v>4696</v>
      </c>
      <c r="I267" s="10" t="s">
        <v>4712</v>
      </c>
      <c r="J267" s="17">
        <f t="shared" si="2"/>
        <v>35639</v>
      </c>
      <c r="K267" s="10">
        <f t="shared" ca="1" si="3"/>
        <v>28</v>
      </c>
      <c r="L267" s="6"/>
      <c r="M267" s="6"/>
      <c r="N267" s="6"/>
      <c r="O267" s="6"/>
      <c r="P267" s="6"/>
      <c r="Q267" s="6"/>
      <c r="R267" s="6"/>
      <c r="S267" s="6"/>
      <c r="T267" s="6"/>
      <c r="U267" s="6"/>
      <c r="V267" s="6"/>
      <c r="W267" s="6"/>
      <c r="X267" s="6"/>
      <c r="Y267" s="6"/>
      <c r="Z267" s="6"/>
    </row>
    <row r="268" spans="1:26" ht="15.75" customHeight="1" x14ac:dyDescent="0.3">
      <c r="A268" s="10" t="s">
        <v>4142</v>
      </c>
      <c r="B268" s="10">
        <v>1990</v>
      </c>
      <c r="C268" s="10" t="s">
        <v>4715</v>
      </c>
      <c r="D268" s="10">
        <v>1</v>
      </c>
      <c r="E268" s="10">
        <v>3</v>
      </c>
      <c r="F268" s="24">
        <v>2540.39</v>
      </c>
      <c r="G268" s="10" t="s">
        <v>4695</v>
      </c>
      <c r="H268" s="10" t="s">
        <v>4695</v>
      </c>
      <c r="I268" s="10" t="s">
        <v>4708</v>
      </c>
      <c r="J268" s="17">
        <f t="shared" si="2"/>
        <v>33147</v>
      </c>
      <c r="K268" s="10">
        <f t="shared" ca="1" si="3"/>
        <v>35</v>
      </c>
      <c r="L268" s="6"/>
      <c r="M268" s="6"/>
      <c r="N268" s="6"/>
      <c r="O268" s="6"/>
      <c r="P268" s="6"/>
      <c r="Q268" s="6"/>
      <c r="R268" s="6"/>
      <c r="S268" s="6"/>
      <c r="T268" s="6"/>
      <c r="U268" s="6"/>
      <c r="V268" s="6"/>
      <c r="W268" s="6"/>
      <c r="X268" s="6"/>
      <c r="Y268" s="6"/>
      <c r="Z268" s="6"/>
    </row>
    <row r="269" spans="1:26" ht="15.75" customHeight="1" x14ac:dyDescent="0.3">
      <c r="A269" s="10" t="s">
        <v>4140</v>
      </c>
      <c r="B269" s="10">
        <v>1991</v>
      </c>
      <c r="C269" s="10" t="s">
        <v>4709</v>
      </c>
      <c r="D269" s="10">
        <v>17</v>
      </c>
      <c r="E269" s="10">
        <v>3</v>
      </c>
      <c r="F269" s="24">
        <v>2545.6799999999998</v>
      </c>
      <c r="G269" s="10" t="s">
        <v>4695</v>
      </c>
      <c r="H269" s="10" t="s">
        <v>4694</v>
      </c>
      <c r="I269" s="10" t="s">
        <v>4708</v>
      </c>
      <c r="J269" s="17">
        <f t="shared" si="2"/>
        <v>33559</v>
      </c>
      <c r="K269" s="10">
        <f t="shared" ca="1" si="3"/>
        <v>34</v>
      </c>
      <c r="L269" s="6"/>
      <c r="M269" s="6"/>
      <c r="N269" s="6"/>
      <c r="O269" s="6"/>
      <c r="P269" s="6"/>
      <c r="Q269" s="6"/>
      <c r="R269" s="6"/>
      <c r="S269" s="6"/>
      <c r="T269" s="6"/>
      <c r="U269" s="6"/>
      <c r="V269" s="6"/>
      <c r="W269" s="6"/>
      <c r="X269" s="6"/>
      <c r="Y269" s="6"/>
      <c r="Z269" s="6"/>
    </row>
    <row r="270" spans="1:26" ht="15.75" customHeight="1" x14ac:dyDescent="0.3">
      <c r="A270" s="10" t="s">
        <v>4138</v>
      </c>
      <c r="B270" s="10">
        <v>2002</v>
      </c>
      <c r="C270" s="10" t="s">
        <v>4715</v>
      </c>
      <c r="D270" s="10">
        <v>11</v>
      </c>
      <c r="E270" s="10">
        <v>2</v>
      </c>
      <c r="F270" s="24">
        <v>2566.4699999999998</v>
      </c>
      <c r="G270" s="10" t="s">
        <v>4695</v>
      </c>
      <c r="H270" s="10" t="s">
        <v>4696</v>
      </c>
      <c r="I270" s="10" t="s">
        <v>4708</v>
      </c>
      <c r="J270" s="17">
        <f t="shared" si="2"/>
        <v>37540</v>
      </c>
      <c r="K270" s="10">
        <f t="shared" ca="1" si="3"/>
        <v>23</v>
      </c>
      <c r="L270" s="6"/>
      <c r="M270" s="6"/>
      <c r="N270" s="6"/>
      <c r="O270" s="6"/>
      <c r="P270" s="6"/>
      <c r="Q270" s="6"/>
      <c r="R270" s="6"/>
      <c r="S270" s="6"/>
      <c r="T270" s="6"/>
      <c r="U270" s="6"/>
      <c r="V270" s="6"/>
      <c r="W270" s="6"/>
      <c r="X270" s="6"/>
      <c r="Y270" s="6"/>
      <c r="Z270" s="6"/>
    </row>
    <row r="271" spans="1:26" ht="15.75" customHeight="1" x14ac:dyDescent="0.3">
      <c r="A271" s="10" t="s">
        <v>4136</v>
      </c>
      <c r="B271" s="10">
        <v>2002</v>
      </c>
      <c r="C271" s="10" t="s">
        <v>4707</v>
      </c>
      <c r="D271" s="10">
        <v>20</v>
      </c>
      <c r="E271" s="10">
        <v>0</v>
      </c>
      <c r="F271" s="24">
        <v>2585.04</v>
      </c>
      <c r="G271" s="10" t="s">
        <v>4695</v>
      </c>
      <c r="H271" s="10" t="s">
        <v>4695</v>
      </c>
      <c r="I271" s="10" t="s">
        <v>4726</v>
      </c>
      <c r="J271" s="17">
        <f t="shared" si="2"/>
        <v>37457</v>
      </c>
      <c r="K271" s="10">
        <f t="shared" ca="1" si="3"/>
        <v>23</v>
      </c>
      <c r="L271" s="6"/>
      <c r="M271" s="6"/>
      <c r="N271" s="6"/>
      <c r="O271" s="6"/>
      <c r="P271" s="6"/>
      <c r="Q271" s="6"/>
      <c r="R271" s="6"/>
      <c r="S271" s="6"/>
      <c r="T271" s="6"/>
      <c r="U271" s="6"/>
      <c r="V271" s="6"/>
      <c r="W271" s="6"/>
      <c r="X271" s="6"/>
      <c r="Y271" s="6"/>
      <c r="Z271" s="6"/>
    </row>
    <row r="272" spans="1:26" ht="15.75" customHeight="1" x14ac:dyDescent="0.3">
      <c r="A272" s="10" t="s">
        <v>4134</v>
      </c>
      <c r="B272" s="10">
        <v>2001</v>
      </c>
      <c r="C272" s="10" t="s">
        <v>4715</v>
      </c>
      <c r="D272" s="10">
        <v>15</v>
      </c>
      <c r="E272" s="10">
        <v>1</v>
      </c>
      <c r="F272" s="24">
        <v>2585.27</v>
      </c>
      <c r="G272" s="10" t="s">
        <v>4695</v>
      </c>
      <c r="H272" s="10" t="s">
        <v>4696</v>
      </c>
      <c r="I272" s="10" t="s">
        <v>4716</v>
      </c>
      <c r="J272" s="17">
        <f t="shared" si="2"/>
        <v>37179</v>
      </c>
      <c r="K272" s="10">
        <f t="shared" ca="1" si="3"/>
        <v>24</v>
      </c>
      <c r="L272" s="6"/>
      <c r="M272" s="6"/>
      <c r="N272" s="6"/>
      <c r="O272" s="6"/>
      <c r="P272" s="6"/>
      <c r="Q272" s="6"/>
      <c r="R272" s="6"/>
      <c r="S272" s="6"/>
      <c r="T272" s="6"/>
      <c r="U272" s="6"/>
      <c r="V272" s="6"/>
      <c r="W272" s="6"/>
      <c r="X272" s="6"/>
      <c r="Y272" s="6"/>
      <c r="Z272" s="6"/>
    </row>
    <row r="273" spans="1:26" ht="15.75" customHeight="1" x14ac:dyDescent="0.3">
      <c r="A273" s="10" t="s">
        <v>4132</v>
      </c>
      <c r="B273" s="10">
        <v>2001</v>
      </c>
      <c r="C273" s="10" t="s">
        <v>4707</v>
      </c>
      <c r="D273" s="10">
        <v>28</v>
      </c>
      <c r="E273" s="10">
        <v>0</v>
      </c>
      <c r="F273" s="24">
        <v>2585.85</v>
      </c>
      <c r="G273" s="10" t="s">
        <v>4695</v>
      </c>
      <c r="H273" s="10" t="s">
        <v>4695</v>
      </c>
      <c r="I273" s="10" t="s">
        <v>4723</v>
      </c>
      <c r="J273" s="17">
        <f t="shared" si="2"/>
        <v>37100</v>
      </c>
      <c r="K273" s="10">
        <f t="shared" ca="1" si="3"/>
        <v>24</v>
      </c>
      <c r="L273" s="6"/>
      <c r="M273" s="6"/>
      <c r="N273" s="6"/>
      <c r="O273" s="6"/>
      <c r="P273" s="6"/>
      <c r="Q273" s="6"/>
      <c r="R273" s="6"/>
      <c r="S273" s="6"/>
      <c r="T273" s="6"/>
      <c r="U273" s="6"/>
      <c r="V273" s="6"/>
      <c r="W273" s="6"/>
      <c r="X273" s="6"/>
      <c r="Y273" s="6"/>
      <c r="Z273" s="6"/>
    </row>
    <row r="274" spans="1:26" ht="15.75" customHeight="1" x14ac:dyDescent="0.3">
      <c r="A274" s="10" t="s">
        <v>4130</v>
      </c>
      <c r="B274" s="10">
        <v>2001</v>
      </c>
      <c r="C274" s="10" t="s">
        <v>4714</v>
      </c>
      <c r="D274" s="10">
        <v>26</v>
      </c>
      <c r="E274" s="10">
        <v>1</v>
      </c>
      <c r="F274" s="24">
        <v>2597.7800000000002</v>
      </c>
      <c r="G274" s="10" t="s">
        <v>4695</v>
      </c>
      <c r="H274" s="10" t="s">
        <v>4694</v>
      </c>
      <c r="I274" s="10" t="s">
        <v>4716</v>
      </c>
      <c r="J274" s="17">
        <f t="shared" si="2"/>
        <v>37129</v>
      </c>
      <c r="K274" s="10">
        <f t="shared" ca="1" si="3"/>
        <v>24</v>
      </c>
      <c r="L274" s="6"/>
      <c r="M274" s="6"/>
      <c r="N274" s="6"/>
      <c r="O274" s="6"/>
      <c r="P274" s="6"/>
      <c r="Q274" s="6"/>
      <c r="R274" s="6"/>
      <c r="S274" s="6"/>
      <c r="T274" s="6"/>
      <c r="U274" s="6"/>
      <c r="V274" s="6"/>
      <c r="W274" s="6"/>
      <c r="X274" s="6"/>
      <c r="Y274" s="6"/>
      <c r="Z274" s="6"/>
    </row>
    <row r="275" spans="1:26" ht="15.75" customHeight="1" x14ac:dyDescent="0.3">
      <c r="A275" s="10" t="s">
        <v>4128</v>
      </c>
      <c r="B275" s="10">
        <v>1997</v>
      </c>
      <c r="C275" s="10" t="s">
        <v>4714</v>
      </c>
      <c r="D275" s="10">
        <v>26</v>
      </c>
      <c r="E275" s="10">
        <v>0</v>
      </c>
      <c r="F275" s="24">
        <v>2632.99</v>
      </c>
      <c r="G275" s="10" t="s">
        <v>4695</v>
      </c>
      <c r="H275" s="10" t="s">
        <v>4694</v>
      </c>
      <c r="I275" s="10" t="s">
        <v>4716</v>
      </c>
      <c r="J275" s="17">
        <f t="shared" si="2"/>
        <v>35668</v>
      </c>
      <c r="K275" s="10">
        <f t="shared" ca="1" si="3"/>
        <v>28</v>
      </c>
      <c r="L275" s="6"/>
      <c r="M275" s="6"/>
      <c r="N275" s="6"/>
      <c r="O275" s="6"/>
      <c r="P275" s="6"/>
      <c r="Q275" s="6"/>
      <c r="R275" s="6"/>
      <c r="S275" s="6"/>
      <c r="T275" s="6"/>
      <c r="U275" s="6"/>
      <c r="V275" s="6"/>
      <c r="W275" s="6"/>
      <c r="X275" s="6"/>
      <c r="Y275" s="6"/>
      <c r="Z275" s="6"/>
    </row>
    <row r="276" spans="1:26" ht="15.75" customHeight="1" x14ac:dyDescent="0.3">
      <c r="A276" s="10" t="s">
        <v>4126</v>
      </c>
      <c r="B276" s="10">
        <v>2000</v>
      </c>
      <c r="C276" s="10" t="s">
        <v>4710</v>
      </c>
      <c r="D276" s="10">
        <v>24</v>
      </c>
      <c r="E276" s="10">
        <v>1</v>
      </c>
      <c r="F276" s="24">
        <v>2639.04</v>
      </c>
      <c r="G276" s="10" t="s">
        <v>4695</v>
      </c>
      <c r="H276" s="10" t="s">
        <v>4695</v>
      </c>
      <c r="I276" s="10" t="s">
        <v>4712</v>
      </c>
      <c r="J276" s="17">
        <f t="shared" si="2"/>
        <v>36701</v>
      </c>
      <c r="K276" s="10">
        <f t="shared" ca="1" si="3"/>
        <v>25</v>
      </c>
      <c r="L276" s="6"/>
      <c r="M276" s="6"/>
      <c r="N276" s="6"/>
      <c r="O276" s="6"/>
      <c r="P276" s="6"/>
      <c r="Q276" s="6"/>
      <c r="R276" s="6"/>
      <c r="S276" s="6"/>
      <c r="T276" s="6"/>
      <c r="U276" s="6"/>
      <c r="V276" s="6"/>
      <c r="W276" s="6"/>
      <c r="X276" s="6"/>
      <c r="Y276" s="6"/>
      <c r="Z276" s="6"/>
    </row>
    <row r="277" spans="1:26" ht="15.75" customHeight="1" x14ac:dyDescent="0.3">
      <c r="A277" s="10" t="s">
        <v>4124</v>
      </c>
      <c r="B277" s="10">
        <v>2000</v>
      </c>
      <c r="C277" s="10" t="s">
        <v>4713</v>
      </c>
      <c r="D277" s="10">
        <v>9</v>
      </c>
      <c r="E277" s="10">
        <v>1</v>
      </c>
      <c r="F277" s="24">
        <v>2643.27</v>
      </c>
      <c r="G277" s="10" t="s">
        <v>4695</v>
      </c>
      <c r="H277" s="10" t="s">
        <v>4694</v>
      </c>
      <c r="I277" s="10" t="s">
        <v>4712</v>
      </c>
      <c r="J277" s="17">
        <f t="shared" si="2"/>
        <v>36869</v>
      </c>
      <c r="K277" s="10">
        <f t="shared" ca="1" si="3"/>
        <v>24</v>
      </c>
      <c r="L277" s="6"/>
      <c r="M277" s="6"/>
      <c r="N277" s="6"/>
      <c r="O277" s="6"/>
      <c r="P277" s="6"/>
      <c r="Q277" s="6"/>
      <c r="R277" s="6"/>
      <c r="S277" s="6"/>
      <c r="T277" s="6"/>
      <c r="U277" s="6"/>
      <c r="V277" s="6"/>
      <c r="W277" s="6"/>
      <c r="X277" s="6"/>
      <c r="Y277" s="6"/>
      <c r="Z277" s="6"/>
    </row>
    <row r="278" spans="1:26" ht="15.75" customHeight="1" x14ac:dyDescent="0.3">
      <c r="A278" s="10" t="s">
        <v>4122</v>
      </c>
      <c r="B278" s="10">
        <v>1996</v>
      </c>
      <c r="C278" s="10" t="s">
        <v>4714</v>
      </c>
      <c r="D278" s="10">
        <v>5</v>
      </c>
      <c r="E278" s="10">
        <v>0</v>
      </c>
      <c r="F278" s="24">
        <v>2680.95</v>
      </c>
      <c r="G278" s="10" t="s">
        <v>4696</v>
      </c>
      <c r="H278" s="10" t="s">
        <v>4695</v>
      </c>
      <c r="I278" s="10" t="s">
        <v>4712</v>
      </c>
      <c r="J278" s="17">
        <f t="shared" si="2"/>
        <v>35282</v>
      </c>
      <c r="K278" s="10">
        <f t="shared" ca="1" si="3"/>
        <v>29</v>
      </c>
      <c r="L278" s="6"/>
      <c r="M278" s="6"/>
      <c r="N278" s="6"/>
      <c r="O278" s="6"/>
      <c r="P278" s="6"/>
      <c r="Q278" s="6"/>
      <c r="R278" s="6"/>
      <c r="S278" s="6"/>
      <c r="T278" s="6"/>
      <c r="U278" s="6"/>
      <c r="V278" s="6"/>
      <c r="W278" s="6"/>
      <c r="X278" s="6"/>
      <c r="Y278" s="6"/>
      <c r="Z278" s="6"/>
    </row>
    <row r="279" spans="1:26" ht="15.75" customHeight="1" x14ac:dyDescent="0.3">
      <c r="A279" s="10" t="s">
        <v>4120</v>
      </c>
      <c r="B279" s="10">
        <v>1994</v>
      </c>
      <c r="C279" s="10" t="s">
        <v>4711</v>
      </c>
      <c r="D279" s="10">
        <v>17</v>
      </c>
      <c r="E279" s="10">
        <v>0</v>
      </c>
      <c r="F279" s="24">
        <v>2684.69</v>
      </c>
      <c r="G279" s="10" t="s">
        <v>4695</v>
      </c>
      <c r="H279" s="10" t="s">
        <v>4695</v>
      </c>
      <c r="I279" s="10" t="s">
        <v>4708</v>
      </c>
      <c r="J279" s="17">
        <f t="shared" si="2"/>
        <v>34594</v>
      </c>
      <c r="K279" s="10">
        <f t="shared" ca="1" si="3"/>
        <v>31</v>
      </c>
      <c r="L279" s="6"/>
      <c r="M279" s="6"/>
      <c r="N279" s="6"/>
      <c r="O279" s="6"/>
      <c r="P279" s="6"/>
      <c r="Q279" s="6"/>
      <c r="R279" s="6"/>
      <c r="S279" s="6"/>
      <c r="T279" s="6"/>
      <c r="U279" s="6"/>
      <c r="V279" s="6"/>
      <c r="W279" s="6"/>
      <c r="X279" s="6"/>
      <c r="Y279" s="6"/>
      <c r="Z279" s="6"/>
    </row>
    <row r="280" spans="1:26" ht="15.75" customHeight="1" x14ac:dyDescent="0.3">
      <c r="A280" s="10" t="s">
        <v>4118</v>
      </c>
      <c r="B280" s="10">
        <v>1994</v>
      </c>
      <c r="C280" s="10" t="s">
        <v>4715</v>
      </c>
      <c r="D280" s="10">
        <v>2</v>
      </c>
      <c r="E280" s="10">
        <v>0</v>
      </c>
      <c r="F280" s="24">
        <v>2689.5</v>
      </c>
      <c r="G280" s="10" t="s">
        <v>4696</v>
      </c>
      <c r="H280" s="10" t="s">
        <v>4695</v>
      </c>
      <c r="I280" s="10" t="s">
        <v>4708</v>
      </c>
      <c r="J280" s="17">
        <f t="shared" si="2"/>
        <v>34609</v>
      </c>
      <c r="K280" s="10">
        <f t="shared" ca="1" si="3"/>
        <v>31</v>
      </c>
      <c r="L280" s="6"/>
      <c r="M280" s="6"/>
      <c r="N280" s="6"/>
      <c r="O280" s="6"/>
      <c r="P280" s="6"/>
      <c r="Q280" s="6"/>
      <c r="R280" s="6"/>
      <c r="S280" s="6"/>
      <c r="T280" s="6"/>
      <c r="U280" s="6"/>
      <c r="V280" s="6"/>
      <c r="W280" s="6"/>
      <c r="X280" s="6"/>
      <c r="Y280" s="6"/>
      <c r="Z280" s="6"/>
    </row>
    <row r="281" spans="1:26" ht="15.75" customHeight="1" x14ac:dyDescent="0.3">
      <c r="A281" s="10" t="s">
        <v>4116</v>
      </c>
      <c r="B281" s="10">
        <v>1999</v>
      </c>
      <c r="C281" s="10" t="s">
        <v>4710</v>
      </c>
      <c r="D281" s="10">
        <v>11</v>
      </c>
      <c r="E281" s="10">
        <v>0</v>
      </c>
      <c r="F281" s="24">
        <v>2690.11</v>
      </c>
      <c r="G281" s="10" t="s">
        <v>4695</v>
      </c>
      <c r="H281" s="10" t="s">
        <v>4695</v>
      </c>
      <c r="I281" s="10" t="s">
        <v>4712</v>
      </c>
      <c r="J281" s="17">
        <f t="shared" si="2"/>
        <v>36322</v>
      </c>
      <c r="K281" s="10">
        <f t="shared" ca="1" si="3"/>
        <v>26</v>
      </c>
      <c r="L281" s="6"/>
      <c r="M281" s="6"/>
      <c r="N281" s="6"/>
      <c r="O281" s="6"/>
      <c r="P281" s="6"/>
      <c r="Q281" s="6"/>
      <c r="R281" s="6"/>
      <c r="S281" s="6"/>
      <c r="T281" s="6"/>
      <c r="U281" s="6"/>
      <c r="V281" s="6"/>
      <c r="W281" s="6"/>
      <c r="X281" s="6"/>
      <c r="Y281" s="6"/>
      <c r="Z281" s="6"/>
    </row>
    <row r="282" spans="1:26" ht="15.75" customHeight="1" x14ac:dyDescent="0.3">
      <c r="A282" s="10" t="s">
        <v>4114</v>
      </c>
      <c r="B282" s="10">
        <v>1996</v>
      </c>
      <c r="C282" s="10" t="s">
        <v>4710</v>
      </c>
      <c r="D282" s="10">
        <v>13</v>
      </c>
      <c r="E282" s="10">
        <v>0</v>
      </c>
      <c r="F282" s="24">
        <v>2699.57</v>
      </c>
      <c r="G282" s="10" t="s">
        <v>4695</v>
      </c>
      <c r="H282" s="10" t="s">
        <v>4694</v>
      </c>
      <c r="I282" s="10" t="s">
        <v>4712</v>
      </c>
      <c r="J282" s="17">
        <f t="shared" si="2"/>
        <v>35229</v>
      </c>
      <c r="K282" s="10">
        <f t="shared" ca="1" si="3"/>
        <v>29</v>
      </c>
      <c r="L282" s="6"/>
      <c r="M282" s="6"/>
      <c r="N282" s="6"/>
      <c r="O282" s="6"/>
      <c r="P282" s="6"/>
      <c r="Q282" s="6"/>
      <c r="R282" s="6"/>
      <c r="S282" s="6"/>
      <c r="T282" s="6"/>
      <c r="U282" s="6"/>
      <c r="V282" s="6"/>
      <c r="W282" s="6"/>
      <c r="X282" s="6"/>
      <c r="Y282" s="6"/>
      <c r="Z282" s="6"/>
    </row>
    <row r="283" spans="1:26" ht="15.75" customHeight="1" x14ac:dyDescent="0.3">
      <c r="A283" s="10" t="s">
        <v>4112</v>
      </c>
      <c r="B283" s="10">
        <v>2003</v>
      </c>
      <c r="C283" s="10" t="s">
        <v>4707</v>
      </c>
      <c r="D283" s="10">
        <v>17</v>
      </c>
      <c r="E283" s="10">
        <v>1</v>
      </c>
      <c r="F283" s="24">
        <v>2709.11</v>
      </c>
      <c r="G283" s="10" t="s">
        <v>4695</v>
      </c>
      <c r="H283" s="10" t="s">
        <v>4695</v>
      </c>
      <c r="I283" s="10" t="s">
        <v>4712</v>
      </c>
      <c r="J283" s="17">
        <f t="shared" si="2"/>
        <v>37819</v>
      </c>
      <c r="K283" s="10">
        <f t="shared" ca="1" si="3"/>
        <v>22</v>
      </c>
      <c r="L283" s="6"/>
      <c r="M283" s="6"/>
      <c r="N283" s="6"/>
      <c r="O283" s="6"/>
      <c r="P283" s="6"/>
      <c r="Q283" s="6"/>
      <c r="R283" s="6"/>
      <c r="S283" s="6"/>
      <c r="T283" s="6"/>
      <c r="U283" s="6"/>
      <c r="V283" s="6"/>
      <c r="W283" s="6"/>
      <c r="X283" s="6"/>
      <c r="Y283" s="6"/>
      <c r="Z283" s="6"/>
    </row>
    <row r="284" spans="1:26" ht="15.75" customHeight="1" x14ac:dyDescent="0.3">
      <c r="A284" s="10" t="s">
        <v>4110</v>
      </c>
      <c r="B284" s="10">
        <v>2003</v>
      </c>
      <c r="C284" s="10" t="s">
        <v>4709</v>
      </c>
      <c r="D284" s="10">
        <v>21</v>
      </c>
      <c r="E284" s="10">
        <v>1</v>
      </c>
      <c r="F284" s="24">
        <v>2709.24</v>
      </c>
      <c r="G284" s="10" t="s">
        <v>4695</v>
      </c>
      <c r="H284" s="10" t="s">
        <v>4695</v>
      </c>
      <c r="I284" s="10" t="s">
        <v>4712</v>
      </c>
      <c r="J284" s="17">
        <f t="shared" si="2"/>
        <v>37946</v>
      </c>
      <c r="K284" s="10">
        <f t="shared" ca="1" si="3"/>
        <v>22</v>
      </c>
      <c r="L284" s="6"/>
      <c r="M284" s="6"/>
      <c r="N284" s="6"/>
      <c r="O284" s="6"/>
      <c r="P284" s="6"/>
      <c r="Q284" s="6"/>
      <c r="R284" s="6"/>
      <c r="S284" s="6"/>
      <c r="T284" s="6"/>
      <c r="U284" s="6"/>
      <c r="V284" s="6"/>
      <c r="W284" s="6"/>
      <c r="X284" s="6"/>
      <c r="Y284" s="6"/>
      <c r="Z284" s="6"/>
    </row>
    <row r="285" spans="1:26" ht="15.75" customHeight="1" x14ac:dyDescent="0.3">
      <c r="A285" s="10" t="s">
        <v>4108</v>
      </c>
      <c r="B285" s="10">
        <v>2003</v>
      </c>
      <c r="C285" s="10" t="s">
        <v>4713</v>
      </c>
      <c r="D285" s="10">
        <v>1</v>
      </c>
      <c r="E285" s="10">
        <v>1</v>
      </c>
      <c r="F285" s="24">
        <v>2710.83</v>
      </c>
      <c r="G285" s="10" t="s">
        <v>4695</v>
      </c>
      <c r="H285" s="10" t="s">
        <v>4696</v>
      </c>
      <c r="I285" s="10" t="s">
        <v>4712</v>
      </c>
      <c r="J285" s="17">
        <f t="shared" si="2"/>
        <v>37956</v>
      </c>
      <c r="K285" s="10">
        <f t="shared" ca="1" si="3"/>
        <v>21</v>
      </c>
      <c r="L285" s="6"/>
      <c r="M285" s="6"/>
      <c r="N285" s="6"/>
      <c r="O285" s="6"/>
      <c r="P285" s="6"/>
      <c r="Q285" s="6"/>
      <c r="R285" s="6"/>
      <c r="S285" s="6"/>
      <c r="T285" s="6"/>
      <c r="U285" s="6"/>
      <c r="V285" s="6"/>
      <c r="W285" s="6"/>
      <c r="X285" s="6"/>
      <c r="Y285" s="6"/>
      <c r="Z285" s="6"/>
    </row>
    <row r="286" spans="1:26" ht="15.75" customHeight="1" x14ac:dyDescent="0.3">
      <c r="A286" s="10" t="s">
        <v>4106</v>
      </c>
      <c r="B286" s="10">
        <v>2003</v>
      </c>
      <c r="C286" s="10" t="s">
        <v>4714</v>
      </c>
      <c r="D286" s="10">
        <v>6</v>
      </c>
      <c r="E286" s="10">
        <v>1</v>
      </c>
      <c r="F286" s="24">
        <v>2719.28</v>
      </c>
      <c r="G286" s="10" t="s">
        <v>4695</v>
      </c>
      <c r="H286" s="10" t="s">
        <v>4695</v>
      </c>
      <c r="I286" s="10" t="s">
        <v>4712</v>
      </c>
      <c r="J286" s="17">
        <f t="shared" si="2"/>
        <v>37839</v>
      </c>
      <c r="K286" s="10">
        <f t="shared" ca="1" si="3"/>
        <v>22</v>
      </c>
      <c r="L286" s="6"/>
      <c r="M286" s="6"/>
      <c r="N286" s="6"/>
      <c r="O286" s="6"/>
      <c r="P286" s="6"/>
      <c r="Q286" s="6"/>
      <c r="R286" s="6"/>
      <c r="S286" s="6"/>
      <c r="T286" s="6"/>
      <c r="U286" s="6"/>
      <c r="V286" s="6"/>
      <c r="W286" s="6"/>
      <c r="X286" s="6"/>
      <c r="Y286" s="6"/>
      <c r="Z286" s="6"/>
    </row>
    <row r="287" spans="1:26" ht="15.75" customHeight="1" x14ac:dyDescent="0.3">
      <c r="A287" s="10" t="s">
        <v>4104</v>
      </c>
      <c r="B287" s="10">
        <v>1997</v>
      </c>
      <c r="C287" s="10" t="s">
        <v>4715</v>
      </c>
      <c r="D287" s="10">
        <v>30</v>
      </c>
      <c r="E287" s="10">
        <v>0</v>
      </c>
      <c r="F287" s="24">
        <v>2721.32</v>
      </c>
      <c r="G287" s="10" t="s">
        <v>4694</v>
      </c>
      <c r="H287" s="10" t="s">
        <v>4696</v>
      </c>
      <c r="I287" s="10" t="s">
        <v>4725</v>
      </c>
      <c r="J287" s="17">
        <f t="shared" si="2"/>
        <v>35733</v>
      </c>
      <c r="K287" s="10">
        <f t="shared" ca="1" si="3"/>
        <v>28</v>
      </c>
      <c r="L287" s="6"/>
      <c r="M287" s="6"/>
      <c r="N287" s="6"/>
      <c r="O287" s="6"/>
      <c r="P287" s="6"/>
      <c r="Q287" s="6"/>
      <c r="R287" s="6"/>
      <c r="S287" s="6"/>
      <c r="T287" s="6"/>
      <c r="U287" s="6"/>
      <c r="V287" s="6"/>
      <c r="W287" s="6"/>
      <c r="X287" s="6"/>
      <c r="Y287" s="6"/>
      <c r="Z287" s="6"/>
    </row>
    <row r="288" spans="1:26" ht="15.75" customHeight="1" x14ac:dyDescent="0.3">
      <c r="A288" s="10" t="s">
        <v>4102</v>
      </c>
      <c r="B288" s="10">
        <v>1988</v>
      </c>
      <c r="C288" s="10" t="s">
        <v>4714</v>
      </c>
      <c r="D288" s="10">
        <v>20</v>
      </c>
      <c r="E288" s="10">
        <v>3</v>
      </c>
      <c r="F288" s="24">
        <v>2726.06</v>
      </c>
      <c r="G288" s="10" t="s">
        <v>4695</v>
      </c>
      <c r="H288" s="10" t="s">
        <v>4695</v>
      </c>
      <c r="I288" s="10" t="s">
        <v>4708</v>
      </c>
      <c r="J288" s="17">
        <f t="shared" si="2"/>
        <v>32375</v>
      </c>
      <c r="K288" s="10">
        <f t="shared" ca="1" si="3"/>
        <v>37</v>
      </c>
      <c r="L288" s="6"/>
      <c r="M288" s="6"/>
      <c r="N288" s="6"/>
      <c r="O288" s="6"/>
      <c r="P288" s="6"/>
      <c r="Q288" s="6"/>
      <c r="R288" s="6"/>
      <c r="S288" s="6"/>
      <c r="T288" s="6"/>
      <c r="U288" s="6"/>
      <c r="V288" s="6"/>
      <c r="W288" s="6"/>
      <c r="X288" s="6"/>
      <c r="Y288" s="6"/>
      <c r="Z288" s="6"/>
    </row>
    <row r="289" spans="1:26" ht="15.75" customHeight="1" x14ac:dyDescent="0.3">
      <c r="A289" s="10" t="s">
        <v>4100</v>
      </c>
      <c r="B289" s="10">
        <v>1997</v>
      </c>
      <c r="C289" s="10" t="s">
        <v>4715</v>
      </c>
      <c r="D289" s="10">
        <v>6</v>
      </c>
      <c r="E289" s="10">
        <v>0</v>
      </c>
      <c r="F289" s="24">
        <v>2727.4</v>
      </c>
      <c r="G289" s="10" t="s">
        <v>4696</v>
      </c>
      <c r="H289" s="10" t="s">
        <v>4696</v>
      </c>
      <c r="I289" s="10" t="s">
        <v>4720</v>
      </c>
      <c r="J289" s="17">
        <f t="shared" si="2"/>
        <v>35709</v>
      </c>
      <c r="K289" s="10">
        <f t="shared" ca="1" si="3"/>
        <v>28</v>
      </c>
      <c r="L289" s="6"/>
      <c r="M289" s="6"/>
      <c r="N289" s="6"/>
      <c r="O289" s="6"/>
      <c r="P289" s="6"/>
      <c r="Q289" s="6"/>
      <c r="R289" s="6"/>
      <c r="S289" s="6"/>
      <c r="T289" s="6"/>
      <c r="U289" s="6"/>
      <c r="V289" s="6"/>
      <c r="W289" s="6"/>
      <c r="X289" s="6"/>
      <c r="Y289" s="6"/>
      <c r="Z289" s="6"/>
    </row>
    <row r="290" spans="1:26" ht="15.75" customHeight="1" x14ac:dyDescent="0.3">
      <c r="A290" s="10" t="s">
        <v>4098</v>
      </c>
      <c r="B290" s="10">
        <v>2003</v>
      </c>
      <c r="C290" s="10" t="s">
        <v>4713</v>
      </c>
      <c r="D290" s="10">
        <v>3</v>
      </c>
      <c r="E290" s="10">
        <v>1</v>
      </c>
      <c r="F290" s="24">
        <v>2730.11</v>
      </c>
      <c r="G290" s="10" t="s">
        <v>4695</v>
      </c>
      <c r="H290" s="10" t="s">
        <v>4696</v>
      </c>
      <c r="I290" s="10" t="s">
        <v>4712</v>
      </c>
      <c r="J290" s="17">
        <f t="shared" si="2"/>
        <v>37958</v>
      </c>
      <c r="K290" s="10">
        <f t="shared" ca="1" si="3"/>
        <v>21</v>
      </c>
      <c r="L290" s="6"/>
      <c r="M290" s="6"/>
      <c r="N290" s="6"/>
      <c r="O290" s="6"/>
      <c r="P290" s="6"/>
      <c r="Q290" s="6"/>
      <c r="R290" s="6"/>
      <c r="S290" s="6"/>
      <c r="T290" s="6"/>
      <c r="U290" s="6"/>
      <c r="V290" s="6"/>
      <c r="W290" s="6"/>
      <c r="X290" s="6"/>
      <c r="Y290" s="6"/>
      <c r="Z290" s="6"/>
    </row>
    <row r="291" spans="1:26" ht="15.75" customHeight="1" x14ac:dyDescent="0.3">
      <c r="A291" s="10" t="s">
        <v>4096</v>
      </c>
      <c r="B291" s="10">
        <v>2000</v>
      </c>
      <c r="C291" s="10" t="s">
        <v>4713</v>
      </c>
      <c r="D291" s="10">
        <v>17</v>
      </c>
      <c r="E291" s="10">
        <v>0</v>
      </c>
      <c r="F291" s="24">
        <v>2731.91</v>
      </c>
      <c r="G291" s="10" t="s">
        <v>4695</v>
      </c>
      <c r="H291" s="10" t="s">
        <v>4696</v>
      </c>
      <c r="I291" s="10" t="s">
        <v>4723</v>
      </c>
      <c r="J291" s="17">
        <f t="shared" si="2"/>
        <v>36877</v>
      </c>
      <c r="K291" s="10">
        <f t="shared" ca="1" si="3"/>
        <v>24</v>
      </c>
      <c r="L291" s="6"/>
      <c r="M291" s="6"/>
      <c r="N291" s="6"/>
      <c r="O291" s="6"/>
      <c r="P291" s="6"/>
      <c r="Q291" s="6"/>
      <c r="R291" s="6"/>
      <c r="S291" s="6"/>
      <c r="T291" s="6"/>
      <c r="U291" s="6"/>
      <c r="V291" s="6"/>
      <c r="W291" s="6"/>
      <c r="X291" s="6"/>
      <c r="Y291" s="6"/>
      <c r="Z291" s="6"/>
    </row>
    <row r="292" spans="1:26" ht="15.75" customHeight="1" x14ac:dyDescent="0.3">
      <c r="A292" s="10" t="s">
        <v>4094</v>
      </c>
      <c r="B292" s="10">
        <v>2000</v>
      </c>
      <c r="C292" s="10" t="s">
        <v>4715</v>
      </c>
      <c r="D292" s="10">
        <v>3</v>
      </c>
      <c r="E292" s="10">
        <v>0</v>
      </c>
      <c r="F292" s="24">
        <v>2741.95</v>
      </c>
      <c r="G292" s="10" t="s">
        <v>4695</v>
      </c>
      <c r="H292" s="10" t="s">
        <v>4696</v>
      </c>
      <c r="I292" s="10" t="s">
        <v>4723</v>
      </c>
      <c r="J292" s="17">
        <f t="shared" si="2"/>
        <v>36802</v>
      </c>
      <c r="K292" s="10">
        <f t="shared" ca="1" si="3"/>
        <v>25</v>
      </c>
      <c r="L292" s="6"/>
      <c r="M292" s="6"/>
      <c r="N292" s="6"/>
      <c r="O292" s="6"/>
      <c r="P292" s="6"/>
      <c r="Q292" s="6"/>
      <c r="R292" s="6"/>
      <c r="S292" s="6"/>
      <c r="T292" s="6"/>
      <c r="U292" s="6"/>
      <c r="V292" s="6"/>
      <c r="W292" s="6"/>
      <c r="X292" s="6"/>
      <c r="Y292" s="6"/>
      <c r="Z292" s="6"/>
    </row>
    <row r="293" spans="1:26" ht="15.75" customHeight="1" x14ac:dyDescent="0.3">
      <c r="A293" s="10" t="s">
        <v>4092</v>
      </c>
      <c r="B293" s="10">
        <v>2000</v>
      </c>
      <c r="C293" s="10" t="s">
        <v>4715</v>
      </c>
      <c r="D293" s="10">
        <v>11</v>
      </c>
      <c r="E293" s="10">
        <v>0</v>
      </c>
      <c r="F293" s="24">
        <v>2755.02</v>
      </c>
      <c r="G293" s="10" t="s">
        <v>4695</v>
      </c>
      <c r="H293" s="10" t="s">
        <v>4694</v>
      </c>
      <c r="I293" s="10" t="s">
        <v>4723</v>
      </c>
      <c r="J293" s="17">
        <f t="shared" si="2"/>
        <v>36810</v>
      </c>
      <c r="K293" s="10">
        <f t="shared" ca="1" si="3"/>
        <v>25</v>
      </c>
      <c r="L293" s="6"/>
      <c r="M293" s="6"/>
      <c r="N293" s="6"/>
      <c r="O293" s="6"/>
      <c r="P293" s="6"/>
      <c r="Q293" s="6"/>
      <c r="R293" s="6"/>
      <c r="S293" s="6"/>
      <c r="T293" s="6"/>
      <c r="U293" s="6"/>
      <c r="V293" s="6"/>
      <c r="W293" s="6"/>
      <c r="X293" s="6"/>
      <c r="Y293" s="6"/>
      <c r="Z293" s="6"/>
    </row>
    <row r="294" spans="1:26" ht="15.75" customHeight="1" x14ac:dyDescent="0.3">
      <c r="A294" s="10" t="s">
        <v>4090</v>
      </c>
      <c r="B294" s="10">
        <v>1997</v>
      </c>
      <c r="C294" s="10" t="s">
        <v>4714</v>
      </c>
      <c r="D294" s="10">
        <v>10</v>
      </c>
      <c r="E294" s="10">
        <v>0</v>
      </c>
      <c r="F294" s="24">
        <v>2758.99</v>
      </c>
      <c r="G294" s="10" t="s">
        <v>4695</v>
      </c>
      <c r="H294" s="10" t="s">
        <v>4694</v>
      </c>
      <c r="I294" s="10" t="s">
        <v>4712</v>
      </c>
      <c r="J294" s="17">
        <f t="shared" si="2"/>
        <v>35652</v>
      </c>
      <c r="K294" s="10">
        <f t="shared" ca="1" si="3"/>
        <v>28</v>
      </c>
      <c r="L294" s="6"/>
      <c r="M294" s="6"/>
      <c r="N294" s="6"/>
      <c r="O294" s="6"/>
      <c r="P294" s="6"/>
      <c r="Q294" s="6"/>
      <c r="R294" s="6"/>
      <c r="S294" s="6"/>
      <c r="T294" s="6"/>
      <c r="U294" s="6"/>
      <c r="V294" s="6"/>
      <c r="W294" s="6"/>
      <c r="X294" s="6"/>
      <c r="Y294" s="6"/>
      <c r="Z294" s="6"/>
    </row>
    <row r="295" spans="1:26" ht="15.75" customHeight="1" x14ac:dyDescent="0.3">
      <c r="A295" s="10" t="s">
        <v>4088</v>
      </c>
      <c r="B295" s="10">
        <v>2004</v>
      </c>
      <c r="C295" s="10" t="s">
        <v>4709</v>
      </c>
      <c r="D295" s="10">
        <v>14</v>
      </c>
      <c r="E295" s="10">
        <v>0</v>
      </c>
      <c r="F295" s="24">
        <v>2773.46</v>
      </c>
      <c r="G295" s="10" t="s">
        <v>4695</v>
      </c>
      <c r="H295" s="10" t="s">
        <v>4694</v>
      </c>
      <c r="I295" s="10" t="s">
        <v>4726</v>
      </c>
      <c r="J295" s="17">
        <f t="shared" si="2"/>
        <v>38305</v>
      </c>
      <c r="K295" s="10">
        <f t="shared" ca="1" si="3"/>
        <v>21</v>
      </c>
      <c r="L295" s="6"/>
      <c r="M295" s="6"/>
      <c r="N295" s="6"/>
      <c r="O295" s="6"/>
      <c r="P295" s="6"/>
      <c r="Q295" s="6"/>
      <c r="R295" s="6"/>
      <c r="S295" s="6"/>
      <c r="T295" s="6"/>
      <c r="U295" s="6"/>
      <c r="V295" s="6"/>
      <c r="W295" s="6"/>
      <c r="X295" s="6"/>
      <c r="Y295" s="6"/>
      <c r="Z295" s="6"/>
    </row>
    <row r="296" spans="1:26" ht="15.75" customHeight="1" x14ac:dyDescent="0.3">
      <c r="A296" s="10" t="s">
        <v>4717</v>
      </c>
      <c r="B296" s="10">
        <v>1999</v>
      </c>
      <c r="C296" s="10" t="s">
        <v>4710</v>
      </c>
      <c r="D296" s="10">
        <v>9</v>
      </c>
      <c r="E296" s="10">
        <v>1</v>
      </c>
      <c r="F296" s="24">
        <v>2775.19</v>
      </c>
      <c r="G296" s="10" t="s">
        <v>4695</v>
      </c>
      <c r="H296" s="10" t="s">
        <v>4694</v>
      </c>
      <c r="I296" s="10" t="s">
        <v>4712</v>
      </c>
      <c r="J296" s="17">
        <f t="shared" si="2"/>
        <v>36320</v>
      </c>
      <c r="K296" s="10">
        <f t="shared" ca="1" si="3"/>
        <v>26</v>
      </c>
      <c r="L296" s="6"/>
      <c r="M296" s="6"/>
      <c r="N296" s="6"/>
      <c r="O296" s="6"/>
      <c r="P296" s="6"/>
      <c r="Q296" s="6"/>
      <c r="R296" s="6"/>
      <c r="S296" s="6"/>
      <c r="T296" s="6"/>
      <c r="U296" s="6"/>
      <c r="V296" s="6"/>
      <c r="W296" s="6"/>
      <c r="X296" s="6"/>
      <c r="Y296" s="6"/>
      <c r="Z296" s="6"/>
    </row>
    <row r="297" spans="1:26" ht="15.75" customHeight="1" x14ac:dyDescent="0.3">
      <c r="A297" s="10" t="s">
        <v>4086</v>
      </c>
      <c r="B297" s="10">
        <v>1999</v>
      </c>
      <c r="C297" s="10" t="s">
        <v>4714</v>
      </c>
      <c r="D297" s="10">
        <v>29</v>
      </c>
      <c r="E297" s="10">
        <v>1</v>
      </c>
      <c r="F297" s="24">
        <v>2775.19</v>
      </c>
      <c r="G297" s="10" t="s">
        <v>4695</v>
      </c>
      <c r="H297" s="10" t="s">
        <v>4694</v>
      </c>
      <c r="I297" s="10" t="s">
        <v>4712</v>
      </c>
      <c r="J297" s="17">
        <f t="shared" si="2"/>
        <v>36401</v>
      </c>
      <c r="K297" s="10">
        <f t="shared" ca="1" si="3"/>
        <v>26</v>
      </c>
      <c r="L297" s="6"/>
      <c r="M297" s="6"/>
      <c r="N297" s="6"/>
      <c r="O297" s="6"/>
      <c r="P297" s="6"/>
      <c r="Q297" s="6"/>
      <c r="R297" s="6"/>
      <c r="S297" s="6"/>
      <c r="T297" s="6"/>
      <c r="U297" s="6"/>
      <c r="V297" s="6"/>
      <c r="W297" s="6"/>
      <c r="X297" s="6"/>
      <c r="Y297" s="6"/>
      <c r="Z297" s="6"/>
    </row>
    <row r="298" spans="1:26" ht="15.75" customHeight="1" x14ac:dyDescent="0.3">
      <c r="A298" s="10" t="s">
        <v>4084</v>
      </c>
      <c r="B298" s="10">
        <v>1999</v>
      </c>
      <c r="C298" s="10" t="s">
        <v>4713</v>
      </c>
      <c r="D298" s="10">
        <v>24</v>
      </c>
      <c r="E298" s="10">
        <v>1</v>
      </c>
      <c r="F298" s="24">
        <v>2789.06</v>
      </c>
      <c r="G298" s="10" t="s">
        <v>4695</v>
      </c>
      <c r="H298" s="10" t="s">
        <v>4696</v>
      </c>
      <c r="I298" s="10" t="s">
        <v>4712</v>
      </c>
      <c r="J298" s="17">
        <f t="shared" si="2"/>
        <v>36518</v>
      </c>
      <c r="K298" s="10">
        <f t="shared" ca="1" si="3"/>
        <v>25</v>
      </c>
      <c r="L298" s="6"/>
      <c r="M298" s="6"/>
      <c r="N298" s="6"/>
      <c r="O298" s="6"/>
      <c r="P298" s="6"/>
      <c r="Q298" s="6"/>
      <c r="R298" s="6"/>
      <c r="S298" s="6"/>
      <c r="T298" s="6"/>
      <c r="U298" s="6"/>
      <c r="V298" s="6"/>
      <c r="W298" s="6"/>
      <c r="X298" s="6"/>
      <c r="Y298" s="6"/>
      <c r="Z298" s="6"/>
    </row>
    <row r="299" spans="1:26" ht="15.75" customHeight="1" x14ac:dyDescent="0.3">
      <c r="A299" s="10" t="s">
        <v>4082</v>
      </c>
      <c r="B299" s="10">
        <v>2004</v>
      </c>
      <c r="C299" s="10" t="s">
        <v>4714</v>
      </c>
      <c r="D299" s="10">
        <v>4</v>
      </c>
      <c r="E299" s="10">
        <v>2</v>
      </c>
      <c r="F299" s="24">
        <v>2801.26</v>
      </c>
      <c r="G299" s="10" t="s">
        <v>4695</v>
      </c>
      <c r="H299" s="10" t="s">
        <v>4696</v>
      </c>
      <c r="I299" s="10" t="s">
        <v>4708</v>
      </c>
      <c r="J299" s="17">
        <f t="shared" si="2"/>
        <v>38203</v>
      </c>
      <c r="K299" s="10">
        <f t="shared" ca="1" si="3"/>
        <v>21</v>
      </c>
      <c r="L299" s="6"/>
      <c r="M299" s="6"/>
      <c r="N299" s="6"/>
      <c r="O299" s="6"/>
      <c r="P299" s="6"/>
      <c r="Q299" s="6"/>
      <c r="R299" s="6"/>
      <c r="S299" s="6"/>
      <c r="T299" s="6"/>
      <c r="U299" s="6"/>
      <c r="V299" s="6"/>
      <c r="W299" s="6"/>
      <c r="X299" s="6"/>
      <c r="Y299" s="6"/>
      <c r="Z299" s="6"/>
    </row>
    <row r="300" spans="1:26" ht="15.75" customHeight="1" x14ac:dyDescent="0.3">
      <c r="A300" s="10" t="s">
        <v>4080</v>
      </c>
      <c r="B300" s="10">
        <v>2003</v>
      </c>
      <c r="C300" s="10" t="s">
        <v>4711</v>
      </c>
      <c r="D300" s="10">
        <v>23</v>
      </c>
      <c r="E300" s="10">
        <v>2</v>
      </c>
      <c r="F300" s="24">
        <v>2803.7</v>
      </c>
      <c r="G300" s="10" t="s">
        <v>4695</v>
      </c>
      <c r="H300" s="10" t="s">
        <v>4694</v>
      </c>
      <c r="I300" s="10" t="s">
        <v>4712</v>
      </c>
      <c r="J300" s="17">
        <f t="shared" si="2"/>
        <v>37887</v>
      </c>
      <c r="K300" s="10">
        <f t="shared" ca="1" si="3"/>
        <v>22</v>
      </c>
      <c r="L300" s="6"/>
      <c r="M300" s="6"/>
      <c r="N300" s="6"/>
      <c r="O300" s="6"/>
      <c r="P300" s="6"/>
      <c r="Q300" s="6"/>
      <c r="R300" s="6"/>
      <c r="S300" s="6"/>
      <c r="T300" s="6"/>
      <c r="U300" s="6"/>
      <c r="V300" s="6"/>
      <c r="W300" s="6"/>
      <c r="X300" s="6"/>
      <c r="Y300" s="6"/>
      <c r="Z300" s="6"/>
    </row>
    <row r="301" spans="1:26" ht="15.75" customHeight="1" x14ac:dyDescent="0.3">
      <c r="A301" s="10" t="s">
        <v>4078</v>
      </c>
      <c r="B301" s="10">
        <v>2000</v>
      </c>
      <c r="C301" s="10" t="s">
        <v>4715</v>
      </c>
      <c r="D301" s="10">
        <v>1</v>
      </c>
      <c r="E301" s="10">
        <v>0</v>
      </c>
      <c r="F301" s="24">
        <v>2819.51</v>
      </c>
      <c r="G301" s="10" t="s">
        <v>4695</v>
      </c>
      <c r="H301" s="10" t="s">
        <v>4696</v>
      </c>
      <c r="I301" s="10" t="s">
        <v>4716</v>
      </c>
      <c r="J301" s="17">
        <f t="shared" si="2"/>
        <v>36800</v>
      </c>
      <c r="K301" s="10">
        <f t="shared" ca="1" si="3"/>
        <v>25</v>
      </c>
      <c r="L301" s="6"/>
      <c r="M301" s="6"/>
      <c r="N301" s="6"/>
      <c r="O301" s="6"/>
      <c r="P301" s="6"/>
      <c r="Q301" s="6"/>
      <c r="R301" s="6"/>
      <c r="S301" s="6"/>
      <c r="T301" s="6"/>
      <c r="U301" s="6"/>
      <c r="V301" s="6"/>
      <c r="W301" s="6"/>
      <c r="X301" s="6"/>
      <c r="Y301" s="6"/>
      <c r="Z301" s="6"/>
    </row>
    <row r="302" spans="1:26" ht="15.75" customHeight="1" x14ac:dyDescent="0.3">
      <c r="A302" s="10" t="s">
        <v>4076</v>
      </c>
      <c r="B302" s="10">
        <v>1998</v>
      </c>
      <c r="C302" s="10" t="s">
        <v>4709</v>
      </c>
      <c r="D302" s="10">
        <v>15</v>
      </c>
      <c r="E302" s="10">
        <v>0</v>
      </c>
      <c r="F302" s="24">
        <v>2842.76</v>
      </c>
      <c r="G302" s="10" t="s">
        <v>4695</v>
      </c>
      <c r="H302" s="10" t="s">
        <v>4696</v>
      </c>
      <c r="I302" s="10" t="s">
        <v>4712</v>
      </c>
      <c r="J302" s="17">
        <f t="shared" si="2"/>
        <v>36114</v>
      </c>
      <c r="K302" s="10">
        <f t="shared" ca="1" si="3"/>
        <v>27</v>
      </c>
      <c r="L302" s="6"/>
      <c r="M302" s="6"/>
      <c r="N302" s="6"/>
      <c r="O302" s="6"/>
      <c r="P302" s="6"/>
      <c r="Q302" s="6"/>
      <c r="R302" s="6"/>
      <c r="S302" s="6"/>
      <c r="T302" s="6"/>
      <c r="U302" s="6"/>
      <c r="V302" s="6"/>
      <c r="W302" s="6"/>
      <c r="X302" s="6"/>
      <c r="Y302" s="6"/>
      <c r="Z302" s="6"/>
    </row>
    <row r="303" spans="1:26" ht="15.75" customHeight="1" x14ac:dyDescent="0.3">
      <c r="A303" s="10" t="s">
        <v>4074</v>
      </c>
      <c r="B303" s="10">
        <v>1998</v>
      </c>
      <c r="C303" s="10" t="s">
        <v>4710</v>
      </c>
      <c r="D303" s="10">
        <v>17</v>
      </c>
      <c r="E303" s="10">
        <v>0</v>
      </c>
      <c r="F303" s="24">
        <v>2850.68</v>
      </c>
      <c r="G303" s="10" t="s">
        <v>4695</v>
      </c>
      <c r="H303" s="10" t="s">
        <v>4696</v>
      </c>
      <c r="I303" s="10" t="s">
        <v>4712</v>
      </c>
      <c r="J303" s="17">
        <f t="shared" si="2"/>
        <v>35963</v>
      </c>
      <c r="K303" s="10">
        <f t="shared" ca="1" si="3"/>
        <v>27</v>
      </c>
      <c r="L303" s="6"/>
      <c r="M303" s="6"/>
      <c r="N303" s="6"/>
      <c r="O303" s="6"/>
      <c r="P303" s="6"/>
      <c r="Q303" s="6"/>
      <c r="R303" s="6"/>
      <c r="S303" s="6"/>
      <c r="T303" s="6"/>
      <c r="U303" s="6"/>
      <c r="V303" s="6"/>
      <c r="W303" s="6"/>
      <c r="X303" s="6"/>
      <c r="Y303" s="6"/>
      <c r="Z303" s="6"/>
    </row>
    <row r="304" spans="1:26" ht="15.75" customHeight="1" x14ac:dyDescent="0.3">
      <c r="A304" s="10" t="s">
        <v>4072</v>
      </c>
      <c r="B304" s="10">
        <v>1998</v>
      </c>
      <c r="C304" s="10" t="s">
        <v>4711</v>
      </c>
      <c r="D304" s="10">
        <v>4</v>
      </c>
      <c r="E304" s="10">
        <v>0</v>
      </c>
      <c r="F304" s="24">
        <v>2855.44</v>
      </c>
      <c r="G304" s="10" t="s">
        <v>4695</v>
      </c>
      <c r="H304" s="10" t="s">
        <v>4696</v>
      </c>
      <c r="I304" s="10" t="s">
        <v>4712</v>
      </c>
      <c r="J304" s="17">
        <f t="shared" si="2"/>
        <v>36042</v>
      </c>
      <c r="K304" s="10">
        <f t="shared" ca="1" si="3"/>
        <v>27</v>
      </c>
      <c r="L304" s="6"/>
      <c r="M304" s="6"/>
      <c r="N304" s="6"/>
      <c r="O304" s="6"/>
      <c r="P304" s="6"/>
      <c r="Q304" s="6"/>
      <c r="R304" s="6"/>
      <c r="S304" s="6"/>
      <c r="T304" s="6"/>
      <c r="U304" s="6"/>
      <c r="V304" s="6"/>
      <c r="W304" s="6"/>
      <c r="X304" s="6"/>
      <c r="Y304" s="6"/>
      <c r="Z304" s="6"/>
    </row>
    <row r="305" spans="1:26" ht="15.75" customHeight="1" x14ac:dyDescent="0.3">
      <c r="A305" s="10" t="s">
        <v>4070</v>
      </c>
      <c r="B305" s="10">
        <v>1993</v>
      </c>
      <c r="C305" s="10" t="s">
        <v>4709</v>
      </c>
      <c r="D305" s="10">
        <v>1</v>
      </c>
      <c r="E305" s="10">
        <v>0</v>
      </c>
      <c r="F305" s="24">
        <v>2866.09</v>
      </c>
      <c r="G305" s="10" t="s">
        <v>4696</v>
      </c>
      <c r="H305" s="10" t="s">
        <v>4696</v>
      </c>
      <c r="I305" s="10" t="s">
        <v>4716</v>
      </c>
      <c r="J305" s="17">
        <f t="shared" si="2"/>
        <v>34274</v>
      </c>
      <c r="K305" s="10">
        <f t="shared" ca="1" si="3"/>
        <v>32</v>
      </c>
      <c r="L305" s="6"/>
      <c r="M305" s="6"/>
      <c r="N305" s="6"/>
      <c r="O305" s="6"/>
      <c r="P305" s="6"/>
      <c r="Q305" s="6"/>
      <c r="R305" s="6"/>
      <c r="S305" s="6"/>
      <c r="T305" s="6"/>
      <c r="U305" s="6"/>
      <c r="V305" s="6"/>
      <c r="W305" s="6"/>
      <c r="X305" s="6"/>
      <c r="Y305" s="6"/>
      <c r="Z305" s="6"/>
    </row>
    <row r="306" spans="1:26" ht="15.75" customHeight="1" x14ac:dyDescent="0.3">
      <c r="A306" s="10" t="s">
        <v>4068</v>
      </c>
      <c r="B306" s="10">
        <v>1993</v>
      </c>
      <c r="C306" s="10" t="s">
        <v>4714</v>
      </c>
      <c r="D306" s="10">
        <v>12</v>
      </c>
      <c r="E306" s="10">
        <v>0</v>
      </c>
      <c r="F306" s="24">
        <v>2867.12</v>
      </c>
      <c r="G306" s="10" t="s">
        <v>4694</v>
      </c>
      <c r="H306" s="10" t="s">
        <v>4696</v>
      </c>
      <c r="I306" s="10" t="s">
        <v>4708</v>
      </c>
      <c r="J306" s="17">
        <f t="shared" si="2"/>
        <v>34193</v>
      </c>
      <c r="K306" s="10">
        <f t="shared" ca="1" si="3"/>
        <v>32</v>
      </c>
      <c r="L306" s="6"/>
      <c r="M306" s="6"/>
      <c r="N306" s="6"/>
      <c r="O306" s="6"/>
      <c r="P306" s="6"/>
      <c r="Q306" s="6"/>
      <c r="R306" s="6"/>
      <c r="S306" s="6"/>
      <c r="T306" s="6"/>
      <c r="U306" s="6"/>
      <c r="V306" s="6"/>
      <c r="W306" s="6"/>
      <c r="X306" s="6"/>
      <c r="Y306" s="6"/>
      <c r="Z306" s="6"/>
    </row>
    <row r="307" spans="1:26" ht="15.75" customHeight="1" x14ac:dyDescent="0.3">
      <c r="A307" s="10" t="s">
        <v>4066</v>
      </c>
      <c r="B307" s="10">
        <v>1996</v>
      </c>
      <c r="C307" s="10" t="s">
        <v>4710</v>
      </c>
      <c r="D307" s="10">
        <v>21</v>
      </c>
      <c r="E307" s="10">
        <v>0</v>
      </c>
      <c r="F307" s="24">
        <v>2897.32</v>
      </c>
      <c r="G307" s="10" t="s">
        <v>4696</v>
      </c>
      <c r="H307" s="10" t="s">
        <v>4696</v>
      </c>
      <c r="I307" s="10" t="s">
        <v>4720</v>
      </c>
      <c r="J307" s="17">
        <f t="shared" si="2"/>
        <v>35237</v>
      </c>
      <c r="K307" s="10">
        <f t="shared" ca="1" si="3"/>
        <v>29</v>
      </c>
      <c r="L307" s="6"/>
      <c r="M307" s="6"/>
      <c r="N307" s="6"/>
      <c r="O307" s="6"/>
      <c r="P307" s="6"/>
      <c r="Q307" s="6"/>
      <c r="R307" s="6"/>
      <c r="S307" s="6"/>
      <c r="T307" s="6"/>
      <c r="U307" s="6"/>
      <c r="V307" s="6"/>
      <c r="W307" s="6"/>
      <c r="X307" s="6"/>
      <c r="Y307" s="6"/>
      <c r="Z307" s="6"/>
    </row>
    <row r="308" spans="1:26" ht="15.75" customHeight="1" x14ac:dyDescent="0.3">
      <c r="A308" s="10" t="s">
        <v>4064</v>
      </c>
      <c r="B308" s="10">
        <v>2000</v>
      </c>
      <c r="C308" s="10" t="s">
        <v>4707</v>
      </c>
      <c r="D308" s="10">
        <v>14</v>
      </c>
      <c r="E308" s="10">
        <v>0</v>
      </c>
      <c r="F308" s="24">
        <v>2897.46</v>
      </c>
      <c r="G308" s="10" t="s">
        <v>4695</v>
      </c>
      <c r="H308" s="10" t="s">
        <v>4694</v>
      </c>
      <c r="I308" s="10" t="s">
        <v>4712</v>
      </c>
      <c r="J308" s="17">
        <f t="shared" si="2"/>
        <v>36721</v>
      </c>
      <c r="K308" s="10">
        <f t="shared" ca="1" si="3"/>
        <v>25</v>
      </c>
      <c r="L308" s="6"/>
      <c r="M308" s="6"/>
      <c r="N308" s="6"/>
      <c r="O308" s="6"/>
      <c r="P308" s="6"/>
      <c r="Q308" s="6"/>
      <c r="R308" s="6"/>
      <c r="S308" s="6"/>
      <c r="T308" s="6"/>
      <c r="U308" s="6"/>
      <c r="V308" s="6"/>
      <c r="W308" s="6"/>
      <c r="X308" s="6"/>
      <c r="Y308" s="6"/>
      <c r="Z308" s="6"/>
    </row>
    <row r="309" spans="1:26" ht="15.75" customHeight="1" x14ac:dyDescent="0.3">
      <c r="A309" s="10" t="s">
        <v>4062</v>
      </c>
      <c r="B309" s="10">
        <v>1999</v>
      </c>
      <c r="C309" s="10" t="s">
        <v>4709</v>
      </c>
      <c r="D309" s="10">
        <v>1</v>
      </c>
      <c r="E309" s="10">
        <v>0</v>
      </c>
      <c r="F309" s="24">
        <v>2899.49</v>
      </c>
      <c r="G309" s="10" t="s">
        <v>4695</v>
      </c>
      <c r="H309" s="10" t="s">
        <v>4695</v>
      </c>
      <c r="I309" s="10" t="s">
        <v>4723</v>
      </c>
      <c r="J309" s="17">
        <f t="shared" si="2"/>
        <v>36465</v>
      </c>
      <c r="K309" s="10">
        <f t="shared" ca="1" si="3"/>
        <v>26</v>
      </c>
      <c r="L309" s="6"/>
      <c r="M309" s="6"/>
      <c r="N309" s="6"/>
      <c r="O309" s="6"/>
      <c r="P309" s="6"/>
      <c r="Q309" s="6"/>
      <c r="R309" s="6"/>
      <c r="S309" s="6"/>
      <c r="T309" s="6"/>
      <c r="U309" s="6"/>
      <c r="V309" s="6"/>
      <c r="W309" s="6"/>
      <c r="X309" s="6"/>
      <c r="Y309" s="6"/>
      <c r="Z309" s="6"/>
    </row>
    <row r="310" spans="1:26" ht="15.75" customHeight="1" x14ac:dyDescent="0.3">
      <c r="A310" s="10" t="s">
        <v>4060</v>
      </c>
      <c r="B310" s="10">
        <v>1996</v>
      </c>
      <c r="C310" s="10" t="s">
        <v>4715</v>
      </c>
      <c r="D310" s="10">
        <v>24</v>
      </c>
      <c r="E310" s="10">
        <v>1</v>
      </c>
      <c r="F310" s="24">
        <v>2902.91</v>
      </c>
      <c r="G310" s="10" t="s">
        <v>4695</v>
      </c>
      <c r="H310" s="10" t="s">
        <v>4695</v>
      </c>
      <c r="I310" s="10" t="s">
        <v>4708</v>
      </c>
      <c r="J310" s="17">
        <f t="shared" si="2"/>
        <v>35362</v>
      </c>
      <c r="K310" s="10">
        <f t="shared" ca="1" si="3"/>
        <v>29</v>
      </c>
      <c r="L310" s="6"/>
      <c r="M310" s="6"/>
      <c r="N310" s="6"/>
      <c r="O310" s="6"/>
      <c r="P310" s="6"/>
      <c r="Q310" s="6"/>
      <c r="R310" s="6"/>
      <c r="S310" s="6"/>
      <c r="T310" s="6"/>
      <c r="U310" s="6"/>
      <c r="V310" s="6"/>
      <c r="W310" s="6"/>
      <c r="X310" s="6"/>
      <c r="Y310" s="6"/>
      <c r="Z310" s="6"/>
    </row>
    <row r="311" spans="1:26" ht="15.75" customHeight="1" x14ac:dyDescent="0.3">
      <c r="A311" s="10" t="s">
        <v>4058</v>
      </c>
      <c r="B311" s="10">
        <v>1996</v>
      </c>
      <c r="C311" s="10" t="s">
        <v>4710</v>
      </c>
      <c r="D311" s="10">
        <v>13</v>
      </c>
      <c r="E311" s="10">
        <v>1</v>
      </c>
      <c r="F311" s="24">
        <v>2904.09</v>
      </c>
      <c r="G311" s="10" t="s">
        <v>4695</v>
      </c>
      <c r="H311" s="10" t="s">
        <v>4695</v>
      </c>
      <c r="I311" s="10" t="s">
        <v>4716</v>
      </c>
      <c r="J311" s="17">
        <f t="shared" si="2"/>
        <v>35229</v>
      </c>
      <c r="K311" s="10">
        <f t="shared" ca="1" si="3"/>
        <v>29</v>
      </c>
      <c r="L311" s="6"/>
      <c r="M311" s="6"/>
      <c r="N311" s="6"/>
      <c r="O311" s="6"/>
      <c r="P311" s="6"/>
      <c r="Q311" s="6"/>
      <c r="R311" s="6"/>
      <c r="S311" s="6"/>
      <c r="T311" s="6"/>
      <c r="U311" s="6"/>
      <c r="V311" s="6"/>
      <c r="W311" s="6"/>
      <c r="X311" s="6"/>
      <c r="Y311" s="6"/>
      <c r="Z311" s="6"/>
    </row>
    <row r="312" spans="1:26" ht="15.75" customHeight="1" x14ac:dyDescent="0.3">
      <c r="A312" s="10" t="s">
        <v>4056</v>
      </c>
      <c r="B312" s="10">
        <v>2003</v>
      </c>
      <c r="C312" s="10" t="s">
        <v>4710</v>
      </c>
      <c r="D312" s="10">
        <v>5</v>
      </c>
      <c r="E312" s="10">
        <v>2</v>
      </c>
      <c r="F312" s="24">
        <v>2913.57</v>
      </c>
      <c r="G312" s="10" t="s">
        <v>4695</v>
      </c>
      <c r="H312" s="10" t="s">
        <v>4695</v>
      </c>
      <c r="I312" s="10" t="s">
        <v>4716</v>
      </c>
      <c r="J312" s="17">
        <f t="shared" si="2"/>
        <v>37777</v>
      </c>
      <c r="K312" s="10">
        <f t="shared" ca="1" si="3"/>
        <v>22</v>
      </c>
      <c r="L312" s="6"/>
      <c r="M312" s="6"/>
      <c r="N312" s="6"/>
      <c r="O312" s="6"/>
      <c r="P312" s="6"/>
      <c r="Q312" s="6"/>
      <c r="R312" s="6"/>
      <c r="S312" s="6"/>
      <c r="T312" s="6"/>
      <c r="U312" s="6"/>
      <c r="V312" s="6"/>
      <c r="W312" s="6"/>
      <c r="X312" s="6"/>
      <c r="Y312" s="6"/>
      <c r="Z312" s="6"/>
    </row>
    <row r="313" spans="1:26" ht="15.75" customHeight="1" x14ac:dyDescent="0.3">
      <c r="A313" s="10" t="s">
        <v>4054</v>
      </c>
      <c r="B313" s="10">
        <v>1996</v>
      </c>
      <c r="C313" s="10" t="s">
        <v>4710</v>
      </c>
      <c r="D313" s="10">
        <v>30</v>
      </c>
      <c r="E313" s="10">
        <v>1</v>
      </c>
      <c r="F313" s="24">
        <v>2927.06</v>
      </c>
      <c r="G313" s="10" t="s">
        <v>4695</v>
      </c>
      <c r="H313" s="10" t="s">
        <v>4695</v>
      </c>
      <c r="I313" s="10" t="s">
        <v>4708</v>
      </c>
      <c r="J313" s="17">
        <f t="shared" si="2"/>
        <v>35246</v>
      </c>
      <c r="K313" s="10">
        <f t="shared" ca="1" si="3"/>
        <v>29</v>
      </c>
      <c r="L313" s="6"/>
      <c r="M313" s="6"/>
      <c r="N313" s="6"/>
      <c r="O313" s="6"/>
      <c r="P313" s="6"/>
      <c r="Q313" s="6"/>
      <c r="R313" s="6"/>
      <c r="S313" s="6"/>
      <c r="T313" s="6"/>
      <c r="U313" s="6"/>
      <c r="V313" s="6"/>
      <c r="W313" s="6"/>
      <c r="X313" s="6"/>
      <c r="Y313" s="6"/>
      <c r="Z313" s="6"/>
    </row>
    <row r="314" spans="1:26" ht="15.75" customHeight="1" x14ac:dyDescent="0.3">
      <c r="A314" s="10" t="s">
        <v>4052</v>
      </c>
      <c r="B314" s="10">
        <v>2002</v>
      </c>
      <c r="C314" s="10" t="s">
        <v>4711</v>
      </c>
      <c r="D314" s="10">
        <v>30</v>
      </c>
      <c r="E314" s="10">
        <v>0</v>
      </c>
      <c r="F314" s="24">
        <v>2943.41</v>
      </c>
      <c r="G314" s="10" t="s">
        <v>4695</v>
      </c>
      <c r="H314" s="10" t="s">
        <v>4696</v>
      </c>
      <c r="I314" s="10" t="s">
        <v>4712</v>
      </c>
      <c r="J314" s="17">
        <f t="shared" si="2"/>
        <v>37529</v>
      </c>
      <c r="K314" s="10">
        <f t="shared" ca="1" si="3"/>
        <v>23</v>
      </c>
      <c r="L314" s="6"/>
      <c r="M314" s="6"/>
      <c r="N314" s="6"/>
      <c r="O314" s="6"/>
      <c r="P314" s="6"/>
      <c r="Q314" s="6"/>
      <c r="R314" s="6"/>
      <c r="S314" s="6"/>
      <c r="T314" s="6"/>
      <c r="U314" s="6"/>
      <c r="V314" s="6"/>
      <c r="W314" s="6"/>
      <c r="X314" s="6"/>
      <c r="Y314" s="6"/>
      <c r="Z314" s="6"/>
    </row>
    <row r="315" spans="1:26" ht="15.75" customHeight="1" x14ac:dyDescent="0.3">
      <c r="A315" s="10" t="s">
        <v>4050</v>
      </c>
      <c r="B315" s="10">
        <v>1995</v>
      </c>
      <c r="C315" s="10" t="s">
        <v>4711</v>
      </c>
      <c r="D315" s="10">
        <v>24</v>
      </c>
      <c r="E315" s="10">
        <v>0</v>
      </c>
      <c r="F315" s="24">
        <v>2974.13</v>
      </c>
      <c r="G315" s="10" t="s">
        <v>4695</v>
      </c>
      <c r="H315" s="10" t="s">
        <v>4694</v>
      </c>
      <c r="I315" s="10" t="s">
        <v>4716</v>
      </c>
      <c r="J315" s="17">
        <f t="shared" si="2"/>
        <v>34966</v>
      </c>
      <c r="K315" s="10">
        <f t="shared" ca="1" si="3"/>
        <v>30</v>
      </c>
      <c r="L315" s="6"/>
      <c r="M315" s="6"/>
      <c r="N315" s="6"/>
      <c r="O315" s="6"/>
      <c r="P315" s="6"/>
      <c r="Q315" s="6"/>
      <c r="R315" s="6"/>
      <c r="S315" s="6"/>
      <c r="T315" s="6"/>
      <c r="U315" s="6"/>
      <c r="V315" s="6"/>
      <c r="W315" s="6"/>
      <c r="X315" s="6"/>
      <c r="Y315" s="6"/>
      <c r="Z315" s="6"/>
    </row>
    <row r="316" spans="1:26" ht="15.75" customHeight="1" x14ac:dyDescent="0.3">
      <c r="A316" s="10" t="s">
        <v>4048</v>
      </c>
      <c r="B316" s="10">
        <v>1987</v>
      </c>
      <c r="C316" s="10" t="s">
        <v>4710</v>
      </c>
      <c r="D316" s="10">
        <v>18</v>
      </c>
      <c r="E316" s="10">
        <v>3</v>
      </c>
      <c r="F316" s="24">
        <v>2979.52</v>
      </c>
      <c r="G316" s="10" t="s">
        <v>4695</v>
      </c>
      <c r="H316" s="10" t="s">
        <v>4696</v>
      </c>
      <c r="I316" s="10" t="s">
        <v>4708</v>
      </c>
      <c r="J316" s="17">
        <f t="shared" si="2"/>
        <v>31946</v>
      </c>
      <c r="K316" s="10">
        <f t="shared" ca="1" si="3"/>
        <v>38</v>
      </c>
      <c r="L316" s="6"/>
      <c r="M316" s="6"/>
      <c r="N316" s="6"/>
      <c r="O316" s="6"/>
      <c r="P316" s="6"/>
      <c r="Q316" s="6"/>
      <c r="R316" s="6"/>
      <c r="S316" s="6"/>
      <c r="T316" s="6"/>
      <c r="U316" s="6"/>
      <c r="V316" s="6"/>
      <c r="W316" s="6"/>
      <c r="X316" s="6"/>
      <c r="Y316" s="6"/>
      <c r="Z316" s="6"/>
    </row>
    <row r="317" spans="1:26" ht="15.75" customHeight="1" x14ac:dyDescent="0.3">
      <c r="A317" s="10" t="s">
        <v>4046</v>
      </c>
      <c r="B317" s="10">
        <v>1991</v>
      </c>
      <c r="C317" s="10" t="s">
        <v>4709</v>
      </c>
      <c r="D317" s="10">
        <v>20</v>
      </c>
      <c r="E317" s="10">
        <v>3</v>
      </c>
      <c r="F317" s="24">
        <v>2985.67</v>
      </c>
      <c r="G317" s="10" t="s">
        <v>4695</v>
      </c>
      <c r="H317" s="10" t="s">
        <v>4695</v>
      </c>
      <c r="I317" s="10" t="s">
        <v>4708</v>
      </c>
      <c r="J317" s="17">
        <f t="shared" si="2"/>
        <v>33562</v>
      </c>
      <c r="K317" s="10">
        <f t="shared" ca="1" si="3"/>
        <v>34</v>
      </c>
      <c r="L317" s="6"/>
      <c r="M317" s="6"/>
      <c r="N317" s="6"/>
      <c r="O317" s="6"/>
      <c r="P317" s="6"/>
      <c r="Q317" s="6"/>
      <c r="R317" s="6"/>
      <c r="S317" s="6"/>
      <c r="T317" s="6"/>
      <c r="U317" s="6"/>
      <c r="V317" s="6"/>
      <c r="W317" s="6"/>
      <c r="X317" s="6"/>
      <c r="Y317" s="6"/>
      <c r="Z317" s="6"/>
    </row>
    <row r="318" spans="1:26" ht="15.75" customHeight="1" x14ac:dyDescent="0.3">
      <c r="A318" s="10" t="s">
        <v>4044</v>
      </c>
      <c r="B318" s="10">
        <v>2002</v>
      </c>
      <c r="C318" s="10" t="s">
        <v>4713</v>
      </c>
      <c r="D318" s="10">
        <v>15</v>
      </c>
      <c r="E318" s="10">
        <v>0</v>
      </c>
      <c r="F318" s="24">
        <v>3012.22</v>
      </c>
      <c r="G318" s="10" t="s">
        <v>4695</v>
      </c>
      <c r="H318" s="10" t="s">
        <v>4696</v>
      </c>
      <c r="I318" s="10" t="s">
        <v>4712</v>
      </c>
      <c r="J318" s="17">
        <f t="shared" si="2"/>
        <v>37605</v>
      </c>
      <c r="K318" s="10">
        <f t="shared" ca="1" si="3"/>
        <v>22</v>
      </c>
      <c r="L318" s="6"/>
      <c r="M318" s="6"/>
      <c r="N318" s="6"/>
      <c r="O318" s="6"/>
      <c r="P318" s="6"/>
      <c r="Q318" s="6"/>
      <c r="R318" s="6"/>
      <c r="S318" s="6"/>
      <c r="T318" s="6"/>
      <c r="U318" s="6"/>
      <c r="V318" s="6"/>
      <c r="W318" s="6"/>
      <c r="X318" s="6"/>
      <c r="Y318" s="6"/>
      <c r="Z318" s="6"/>
    </row>
    <row r="319" spans="1:26" ht="15.75" customHeight="1" x14ac:dyDescent="0.3">
      <c r="A319" s="10" t="s">
        <v>4042</v>
      </c>
      <c r="B319" s="10">
        <v>1988</v>
      </c>
      <c r="C319" s="10" t="s">
        <v>4711</v>
      </c>
      <c r="D319" s="10">
        <v>28</v>
      </c>
      <c r="E319" s="10">
        <v>3</v>
      </c>
      <c r="F319" s="24">
        <v>3018.04</v>
      </c>
      <c r="G319" s="10" t="s">
        <v>4695</v>
      </c>
      <c r="H319" s="10" t="s">
        <v>4695</v>
      </c>
      <c r="I319" s="10" t="s">
        <v>4712</v>
      </c>
      <c r="J319" s="17">
        <f t="shared" si="2"/>
        <v>32414</v>
      </c>
      <c r="K319" s="10">
        <f t="shared" ca="1" si="3"/>
        <v>37</v>
      </c>
      <c r="L319" s="6"/>
      <c r="M319" s="6"/>
      <c r="N319" s="6"/>
      <c r="O319" s="6"/>
      <c r="P319" s="6"/>
      <c r="Q319" s="6"/>
      <c r="R319" s="6"/>
      <c r="S319" s="6"/>
      <c r="T319" s="6"/>
      <c r="U319" s="6"/>
      <c r="V319" s="6"/>
      <c r="W319" s="6"/>
      <c r="X319" s="6"/>
      <c r="Y319" s="6"/>
      <c r="Z319" s="6"/>
    </row>
    <row r="320" spans="1:26" ht="15.75" customHeight="1" x14ac:dyDescent="0.3">
      <c r="A320" s="10" t="s">
        <v>4040</v>
      </c>
      <c r="B320" s="10">
        <v>1997</v>
      </c>
      <c r="C320" s="10" t="s">
        <v>4713</v>
      </c>
      <c r="D320" s="10">
        <v>19</v>
      </c>
      <c r="E320" s="10">
        <v>0</v>
      </c>
      <c r="F320" s="24">
        <v>3021.81</v>
      </c>
      <c r="G320" s="10" t="s">
        <v>4695</v>
      </c>
      <c r="H320" s="10" t="s">
        <v>4696</v>
      </c>
      <c r="I320" s="10" t="s">
        <v>4712</v>
      </c>
      <c r="J320" s="17">
        <f t="shared" si="2"/>
        <v>35783</v>
      </c>
      <c r="K320" s="10">
        <f t="shared" ca="1" si="3"/>
        <v>27</v>
      </c>
      <c r="L320" s="6"/>
      <c r="M320" s="6"/>
      <c r="N320" s="6"/>
      <c r="O320" s="6"/>
      <c r="P320" s="6"/>
      <c r="Q320" s="6"/>
      <c r="R320" s="6"/>
      <c r="S320" s="6"/>
      <c r="T320" s="6"/>
      <c r="U320" s="6"/>
      <c r="V320" s="6"/>
      <c r="W320" s="6"/>
      <c r="X320" s="6"/>
      <c r="Y320" s="6"/>
      <c r="Z320" s="6"/>
    </row>
    <row r="321" spans="1:26" ht="15.75" customHeight="1" x14ac:dyDescent="0.3">
      <c r="A321" s="10" t="s">
        <v>4038</v>
      </c>
      <c r="B321" s="10">
        <v>1998</v>
      </c>
      <c r="C321" s="10" t="s">
        <v>4711</v>
      </c>
      <c r="D321" s="10">
        <v>15</v>
      </c>
      <c r="E321" s="10">
        <v>0</v>
      </c>
      <c r="F321" s="24">
        <v>3044.21</v>
      </c>
      <c r="G321" s="10" t="s">
        <v>4695</v>
      </c>
      <c r="H321" s="10" t="s">
        <v>4696</v>
      </c>
      <c r="I321" s="10" t="s">
        <v>4723</v>
      </c>
      <c r="J321" s="17">
        <f t="shared" si="2"/>
        <v>36053</v>
      </c>
      <c r="K321" s="10">
        <f t="shared" ca="1" si="3"/>
        <v>27</v>
      </c>
      <c r="L321" s="6"/>
      <c r="M321" s="6"/>
      <c r="N321" s="6"/>
      <c r="O321" s="6"/>
      <c r="P321" s="6"/>
      <c r="Q321" s="6"/>
      <c r="R321" s="6"/>
      <c r="S321" s="6"/>
      <c r="T321" s="6"/>
      <c r="U321" s="6"/>
      <c r="V321" s="6"/>
      <c r="W321" s="6"/>
      <c r="X321" s="6"/>
      <c r="Y321" s="6"/>
      <c r="Z321" s="6"/>
    </row>
    <row r="322" spans="1:26" ht="15.75" customHeight="1" x14ac:dyDescent="0.3">
      <c r="A322" s="10" t="s">
        <v>4036</v>
      </c>
      <c r="B322" s="10">
        <v>1998</v>
      </c>
      <c r="C322" s="10" t="s">
        <v>4714</v>
      </c>
      <c r="D322" s="10">
        <v>9</v>
      </c>
      <c r="E322" s="10">
        <v>0</v>
      </c>
      <c r="F322" s="24">
        <v>3046.06</v>
      </c>
      <c r="G322" s="10" t="s">
        <v>4695</v>
      </c>
      <c r="H322" s="10" t="s">
        <v>4694</v>
      </c>
      <c r="I322" s="10" t="s">
        <v>4724</v>
      </c>
      <c r="J322" s="17">
        <f t="shared" si="2"/>
        <v>36016</v>
      </c>
      <c r="K322" s="10">
        <f t="shared" ca="1" si="3"/>
        <v>27</v>
      </c>
      <c r="L322" s="6"/>
      <c r="M322" s="6"/>
      <c r="N322" s="6"/>
      <c r="O322" s="6"/>
      <c r="P322" s="6"/>
      <c r="Q322" s="6"/>
      <c r="R322" s="6"/>
      <c r="S322" s="6"/>
      <c r="T322" s="6"/>
      <c r="U322" s="6"/>
      <c r="V322" s="6"/>
      <c r="W322" s="6"/>
      <c r="X322" s="6"/>
      <c r="Y322" s="6"/>
      <c r="Z322" s="6"/>
    </row>
    <row r="323" spans="1:26" ht="15.75" customHeight="1" x14ac:dyDescent="0.3">
      <c r="A323" s="10" t="s">
        <v>4034</v>
      </c>
      <c r="B323" s="10">
        <v>1997</v>
      </c>
      <c r="C323" s="10" t="s">
        <v>4713</v>
      </c>
      <c r="D323" s="10">
        <v>22</v>
      </c>
      <c r="E323" s="10">
        <v>0</v>
      </c>
      <c r="F323" s="24">
        <v>3051.73</v>
      </c>
      <c r="G323" s="10" t="s">
        <v>4695</v>
      </c>
      <c r="H323" s="10" t="s">
        <v>4695</v>
      </c>
      <c r="I323" s="10" t="s">
        <v>4716</v>
      </c>
      <c r="J323" s="17">
        <f t="shared" si="2"/>
        <v>35786</v>
      </c>
      <c r="K323" s="10">
        <f t="shared" ca="1" si="3"/>
        <v>27</v>
      </c>
      <c r="L323" s="6"/>
      <c r="M323" s="6"/>
      <c r="N323" s="6"/>
      <c r="O323" s="6"/>
      <c r="P323" s="6"/>
      <c r="Q323" s="6"/>
      <c r="R323" s="6"/>
      <c r="S323" s="6"/>
      <c r="T323" s="6"/>
      <c r="U323" s="6"/>
      <c r="V323" s="6"/>
      <c r="W323" s="6"/>
      <c r="X323" s="6"/>
      <c r="Y323" s="6"/>
      <c r="Z323" s="6"/>
    </row>
    <row r="324" spans="1:26" ht="15.75" customHeight="1" x14ac:dyDescent="0.3">
      <c r="A324" s="10" t="s">
        <v>4032</v>
      </c>
      <c r="B324" s="10">
        <v>2002</v>
      </c>
      <c r="C324" s="10" t="s">
        <v>4710</v>
      </c>
      <c r="D324" s="10">
        <v>21</v>
      </c>
      <c r="E324" s="10">
        <v>2</v>
      </c>
      <c r="F324" s="24">
        <v>3056.39</v>
      </c>
      <c r="G324" s="10" t="s">
        <v>4695</v>
      </c>
      <c r="H324" s="10" t="s">
        <v>4696</v>
      </c>
      <c r="I324" s="10" t="s">
        <v>4708</v>
      </c>
      <c r="J324" s="17">
        <f t="shared" si="2"/>
        <v>37428</v>
      </c>
      <c r="K324" s="10">
        <f t="shared" ca="1" si="3"/>
        <v>23</v>
      </c>
      <c r="L324" s="6"/>
      <c r="M324" s="6"/>
      <c r="N324" s="6"/>
      <c r="O324" s="6"/>
      <c r="P324" s="6"/>
      <c r="Q324" s="6"/>
      <c r="R324" s="6"/>
      <c r="S324" s="6"/>
      <c r="T324" s="6"/>
      <c r="U324" s="6"/>
      <c r="V324" s="6"/>
      <c r="W324" s="6"/>
      <c r="X324" s="6"/>
      <c r="Y324" s="6"/>
      <c r="Z324" s="6"/>
    </row>
    <row r="325" spans="1:26" ht="15.75" customHeight="1" x14ac:dyDescent="0.3">
      <c r="A325" s="10" t="s">
        <v>4030</v>
      </c>
      <c r="B325" s="10">
        <v>1994</v>
      </c>
      <c r="C325" s="10" t="s">
        <v>4711</v>
      </c>
      <c r="D325" s="10">
        <v>26</v>
      </c>
      <c r="E325" s="10">
        <v>0</v>
      </c>
      <c r="F325" s="24">
        <v>3062.51</v>
      </c>
      <c r="G325" s="10" t="s">
        <v>4696</v>
      </c>
      <c r="H325" s="10" t="s">
        <v>4694</v>
      </c>
      <c r="I325" s="10" t="s">
        <v>4712</v>
      </c>
      <c r="J325" s="17">
        <f t="shared" si="2"/>
        <v>34603</v>
      </c>
      <c r="K325" s="10">
        <f t="shared" ca="1" si="3"/>
        <v>31</v>
      </c>
      <c r="L325" s="6"/>
      <c r="M325" s="6"/>
      <c r="N325" s="6"/>
      <c r="O325" s="6"/>
      <c r="P325" s="6"/>
      <c r="Q325" s="6"/>
      <c r="R325" s="6"/>
      <c r="S325" s="6"/>
      <c r="T325" s="6"/>
      <c r="U325" s="6"/>
      <c r="V325" s="6"/>
      <c r="W325" s="6"/>
      <c r="X325" s="6"/>
      <c r="Y325" s="6"/>
      <c r="Z325" s="6"/>
    </row>
    <row r="326" spans="1:26" ht="15.75" customHeight="1" x14ac:dyDescent="0.3">
      <c r="A326" s="10" t="s">
        <v>4028</v>
      </c>
      <c r="B326" s="10">
        <v>1989</v>
      </c>
      <c r="C326" s="10" t="s">
        <v>4715</v>
      </c>
      <c r="D326" s="10">
        <v>1</v>
      </c>
      <c r="E326" s="10">
        <v>3</v>
      </c>
      <c r="F326" s="24">
        <v>3065.49</v>
      </c>
      <c r="G326" s="10" t="s">
        <v>4695</v>
      </c>
      <c r="H326" s="10" t="s">
        <v>4694</v>
      </c>
      <c r="I326" s="10" t="s">
        <v>4712</v>
      </c>
      <c r="J326" s="17">
        <f t="shared" si="2"/>
        <v>32782</v>
      </c>
      <c r="K326" s="10">
        <f t="shared" ca="1" si="3"/>
        <v>36</v>
      </c>
      <c r="L326" s="6"/>
      <c r="M326" s="6"/>
      <c r="N326" s="6"/>
      <c r="O326" s="6"/>
      <c r="P326" s="6"/>
      <c r="Q326" s="6"/>
      <c r="R326" s="6"/>
      <c r="S326" s="6"/>
      <c r="T326" s="6"/>
      <c r="U326" s="6"/>
      <c r="V326" s="6"/>
      <c r="W326" s="6"/>
      <c r="X326" s="6"/>
      <c r="Y326" s="6"/>
      <c r="Z326" s="6"/>
    </row>
    <row r="327" spans="1:26" ht="15.75" customHeight="1" x14ac:dyDescent="0.3">
      <c r="A327" s="10" t="s">
        <v>4026</v>
      </c>
      <c r="B327" s="10">
        <v>1995</v>
      </c>
      <c r="C327" s="10" t="s">
        <v>4711</v>
      </c>
      <c r="D327" s="10">
        <v>10</v>
      </c>
      <c r="E327" s="10">
        <v>0</v>
      </c>
      <c r="F327" s="24">
        <v>3070.81</v>
      </c>
      <c r="G327" s="10" t="s">
        <v>4696</v>
      </c>
      <c r="H327" s="10" t="s">
        <v>4694</v>
      </c>
      <c r="I327" s="10" t="s">
        <v>4727</v>
      </c>
      <c r="J327" s="17">
        <f t="shared" si="2"/>
        <v>34952</v>
      </c>
      <c r="K327" s="10">
        <f t="shared" ca="1" si="3"/>
        <v>30</v>
      </c>
      <c r="L327" s="6"/>
      <c r="M327" s="6"/>
      <c r="N327" s="6"/>
      <c r="O327" s="6"/>
      <c r="P327" s="6"/>
      <c r="Q327" s="6"/>
      <c r="R327" s="6"/>
      <c r="S327" s="6"/>
      <c r="T327" s="6"/>
      <c r="U327" s="6"/>
      <c r="V327" s="6"/>
      <c r="W327" s="6"/>
      <c r="X327" s="6"/>
      <c r="Y327" s="6"/>
      <c r="Z327" s="6"/>
    </row>
    <row r="328" spans="1:26" ht="15.75" customHeight="1" x14ac:dyDescent="0.3">
      <c r="A328" s="10" t="s">
        <v>4024</v>
      </c>
      <c r="B328" s="10">
        <v>2001</v>
      </c>
      <c r="C328" s="10" t="s">
        <v>4715</v>
      </c>
      <c r="D328" s="10">
        <v>13</v>
      </c>
      <c r="E328" s="10">
        <v>2</v>
      </c>
      <c r="F328" s="24">
        <v>3077.1</v>
      </c>
      <c r="G328" s="10" t="s">
        <v>4695</v>
      </c>
      <c r="H328" s="10" t="s">
        <v>4694</v>
      </c>
      <c r="I328" s="10" t="s">
        <v>4712</v>
      </c>
      <c r="J328" s="17">
        <f t="shared" si="2"/>
        <v>37177</v>
      </c>
      <c r="K328" s="10">
        <f t="shared" ca="1" si="3"/>
        <v>24</v>
      </c>
      <c r="L328" s="6"/>
      <c r="M328" s="6"/>
      <c r="N328" s="6"/>
      <c r="O328" s="6"/>
      <c r="P328" s="6"/>
      <c r="Q328" s="6"/>
      <c r="R328" s="6"/>
      <c r="S328" s="6"/>
      <c r="T328" s="6"/>
      <c r="U328" s="6"/>
      <c r="V328" s="6"/>
      <c r="W328" s="6"/>
      <c r="X328" s="6"/>
      <c r="Y328" s="6"/>
      <c r="Z328" s="6"/>
    </row>
    <row r="329" spans="1:26" ht="15.75" customHeight="1" x14ac:dyDescent="0.3">
      <c r="A329" s="10" t="s">
        <v>4022</v>
      </c>
      <c r="B329" s="10">
        <v>1987</v>
      </c>
      <c r="C329" s="10" t="s">
        <v>4714</v>
      </c>
      <c r="D329" s="10">
        <v>1</v>
      </c>
      <c r="E329" s="10">
        <v>3</v>
      </c>
      <c r="F329" s="24">
        <v>3088.06</v>
      </c>
      <c r="G329" s="10" t="s">
        <v>4695</v>
      </c>
      <c r="H329" s="10" t="s">
        <v>4695</v>
      </c>
      <c r="I329" s="10" t="s">
        <v>4708</v>
      </c>
      <c r="J329" s="17">
        <f t="shared" si="2"/>
        <v>31990</v>
      </c>
      <c r="K329" s="10">
        <f t="shared" ca="1" si="3"/>
        <v>38</v>
      </c>
      <c r="L329" s="6"/>
      <c r="M329" s="6"/>
      <c r="N329" s="6"/>
      <c r="O329" s="6"/>
      <c r="P329" s="6"/>
      <c r="Q329" s="6"/>
      <c r="R329" s="6"/>
      <c r="S329" s="6"/>
      <c r="T329" s="6"/>
      <c r="U329" s="6"/>
      <c r="V329" s="6"/>
      <c r="W329" s="6"/>
      <c r="X329" s="6"/>
      <c r="Y329" s="6"/>
      <c r="Z329" s="6"/>
    </row>
    <row r="330" spans="1:26" ht="15.75" customHeight="1" x14ac:dyDescent="0.3">
      <c r="A330" s="10" t="s">
        <v>4020</v>
      </c>
      <c r="B330" s="10">
        <v>1999</v>
      </c>
      <c r="C330" s="10" t="s">
        <v>4710</v>
      </c>
      <c r="D330" s="10">
        <v>25</v>
      </c>
      <c r="E330" s="10">
        <v>0</v>
      </c>
      <c r="F330" s="24">
        <v>3128.35</v>
      </c>
      <c r="G330" s="10" t="s">
        <v>4695</v>
      </c>
      <c r="H330" s="10" t="s">
        <v>4696</v>
      </c>
      <c r="I330" s="10" t="s">
        <v>4726</v>
      </c>
      <c r="J330" s="17">
        <f t="shared" si="2"/>
        <v>36336</v>
      </c>
      <c r="K330" s="10">
        <f t="shared" ca="1" si="3"/>
        <v>26</v>
      </c>
      <c r="L330" s="6"/>
      <c r="M330" s="6"/>
      <c r="N330" s="6"/>
      <c r="O330" s="6"/>
      <c r="P330" s="6"/>
      <c r="Q330" s="6"/>
      <c r="R330" s="6"/>
      <c r="S330" s="6"/>
      <c r="T330" s="6"/>
      <c r="U330" s="6"/>
      <c r="V330" s="6"/>
      <c r="W330" s="6"/>
      <c r="X330" s="6"/>
      <c r="Y330" s="6"/>
      <c r="Z330" s="6"/>
    </row>
    <row r="331" spans="1:26" ht="15.75" customHeight="1" x14ac:dyDescent="0.3">
      <c r="A331" s="10" t="s">
        <v>4018</v>
      </c>
      <c r="B331" s="10">
        <v>1994</v>
      </c>
      <c r="C331" s="10" t="s">
        <v>4707</v>
      </c>
      <c r="D331" s="10">
        <v>10</v>
      </c>
      <c r="E331" s="10">
        <v>0</v>
      </c>
      <c r="F331" s="24">
        <v>3161.45</v>
      </c>
      <c r="G331" s="10" t="s">
        <v>4695</v>
      </c>
      <c r="H331" s="10" t="s">
        <v>4694</v>
      </c>
      <c r="I331" s="10" t="s">
        <v>4716</v>
      </c>
      <c r="J331" s="17">
        <f t="shared" si="2"/>
        <v>34525</v>
      </c>
      <c r="K331" s="10">
        <f t="shared" ca="1" si="3"/>
        <v>31</v>
      </c>
      <c r="L331" s="6"/>
      <c r="M331" s="6"/>
      <c r="N331" s="6"/>
      <c r="O331" s="6"/>
      <c r="P331" s="6"/>
      <c r="Q331" s="6"/>
      <c r="R331" s="6"/>
      <c r="S331" s="6"/>
      <c r="T331" s="6"/>
      <c r="U331" s="6"/>
      <c r="V331" s="6"/>
      <c r="W331" s="6"/>
      <c r="X331" s="6"/>
      <c r="Y331" s="6"/>
      <c r="Z331" s="6"/>
    </row>
    <row r="332" spans="1:26" ht="15.75" customHeight="1" x14ac:dyDescent="0.3">
      <c r="A332" s="10" t="s">
        <v>4016</v>
      </c>
      <c r="B332" s="10">
        <v>1993</v>
      </c>
      <c r="C332" s="10" t="s">
        <v>4711</v>
      </c>
      <c r="D332" s="10">
        <v>25</v>
      </c>
      <c r="E332" s="10">
        <v>0</v>
      </c>
      <c r="F332" s="24">
        <v>3162.02</v>
      </c>
      <c r="G332" s="10" t="s">
        <v>4695</v>
      </c>
      <c r="H332" s="10" t="s">
        <v>4696</v>
      </c>
      <c r="I332" s="10" t="s">
        <v>4708</v>
      </c>
      <c r="J332" s="17">
        <f t="shared" si="2"/>
        <v>34237</v>
      </c>
      <c r="K332" s="10">
        <f t="shared" ca="1" si="3"/>
        <v>32</v>
      </c>
      <c r="L332" s="6"/>
      <c r="M332" s="6"/>
      <c r="N332" s="6"/>
      <c r="O332" s="6"/>
      <c r="P332" s="6"/>
      <c r="Q332" s="6"/>
      <c r="R332" s="6"/>
      <c r="S332" s="6"/>
      <c r="T332" s="6"/>
      <c r="U332" s="6"/>
      <c r="V332" s="6"/>
      <c r="W332" s="6"/>
      <c r="X332" s="6"/>
      <c r="Y332" s="6"/>
      <c r="Z332" s="6"/>
    </row>
    <row r="333" spans="1:26" ht="15.75" customHeight="1" x14ac:dyDescent="0.3">
      <c r="A333" s="10" t="s">
        <v>4014</v>
      </c>
      <c r="B333" s="10">
        <v>2001</v>
      </c>
      <c r="C333" s="10" t="s">
        <v>4714</v>
      </c>
      <c r="D333" s="10">
        <v>29</v>
      </c>
      <c r="E333" s="10">
        <v>1</v>
      </c>
      <c r="F333" s="24">
        <v>3167.46</v>
      </c>
      <c r="G333" s="10" t="s">
        <v>4695</v>
      </c>
      <c r="H333" s="10" t="s">
        <v>4696</v>
      </c>
      <c r="I333" s="10" t="s">
        <v>4723</v>
      </c>
      <c r="J333" s="17">
        <f t="shared" si="2"/>
        <v>37132</v>
      </c>
      <c r="K333" s="10">
        <f t="shared" ca="1" si="3"/>
        <v>24</v>
      </c>
      <c r="L333" s="6"/>
      <c r="M333" s="6"/>
      <c r="N333" s="6"/>
      <c r="O333" s="6"/>
      <c r="P333" s="6"/>
      <c r="Q333" s="6"/>
      <c r="R333" s="6"/>
      <c r="S333" s="6"/>
      <c r="T333" s="6"/>
      <c r="U333" s="6"/>
      <c r="V333" s="6"/>
      <c r="W333" s="6"/>
      <c r="X333" s="6"/>
      <c r="Y333" s="6"/>
      <c r="Z333" s="6"/>
    </row>
    <row r="334" spans="1:26" ht="15.75" customHeight="1" x14ac:dyDescent="0.3">
      <c r="A334" s="10" t="s">
        <v>4012</v>
      </c>
      <c r="B334" s="10">
        <v>1994</v>
      </c>
      <c r="C334" s="10" t="s">
        <v>4715</v>
      </c>
      <c r="D334" s="10">
        <v>25</v>
      </c>
      <c r="E334" s="10">
        <v>0</v>
      </c>
      <c r="F334" s="24">
        <v>3171.61</v>
      </c>
      <c r="G334" s="10" t="s">
        <v>4695</v>
      </c>
      <c r="H334" s="10" t="s">
        <v>4696</v>
      </c>
      <c r="I334" s="10" t="s">
        <v>4708</v>
      </c>
      <c r="J334" s="17">
        <f t="shared" si="2"/>
        <v>34632</v>
      </c>
      <c r="K334" s="10">
        <f t="shared" ca="1" si="3"/>
        <v>31</v>
      </c>
      <c r="L334" s="6"/>
      <c r="M334" s="6"/>
      <c r="N334" s="6"/>
      <c r="O334" s="6"/>
      <c r="P334" s="6"/>
      <c r="Q334" s="6"/>
      <c r="R334" s="6"/>
      <c r="S334" s="6"/>
      <c r="T334" s="6"/>
      <c r="U334" s="6"/>
      <c r="V334" s="6"/>
      <c r="W334" s="6"/>
      <c r="X334" s="6"/>
      <c r="Y334" s="6"/>
      <c r="Z334" s="6"/>
    </row>
    <row r="335" spans="1:26" ht="15.75" customHeight="1" x14ac:dyDescent="0.3">
      <c r="A335" s="10" t="s">
        <v>4010</v>
      </c>
      <c r="B335" s="10">
        <v>1994</v>
      </c>
      <c r="C335" s="10" t="s">
        <v>4707</v>
      </c>
      <c r="D335" s="10">
        <v>6</v>
      </c>
      <c r="E335" s="10">
        <v>0</v>
      </c>
      <c r="F335" s="24">
        <v>3172.02</v>
      </c>
      <c r="G335" s="10" t="s">
        <v>4695</v>
      </c>
      <c r="H335" s="10" t="s">
        <v>4694</v>
      </c>
      <c r="I335" s="10" t="s">
        <v>4716</v>
      </c>
      <c r="J335" s="17">
        <f t="shared" si="2"/>
        <v>34521</v>
      </c>
      <c r="K335" s="10">
        <f t="shared" ca="1" si="3"/>
        <v>31</v>
      </c>
      <c r="L335" s="6"/>
      <c r="M335" s="6"/>
      <c r="N335" s="6"/>
      <c r="O335" s="6"/>
      <c r="P335" s="6"/>
      <c r="Q335" s="6"/>
      <c r="R335" s="6"/>
      <c r="S335" s="6"/>
      <c r="T335" s="6"/>
      <c r="U335" s="6"/>
      <c r="V335" s="6"/>
      <c r="W335" s="6"/>
      <c r="X335" s="6"/>
      <c r="Y335" s="6"/>
      <c r="Z335" s="6"/>
    </row>
    <row r="336" spans="1:26" ht="15.75" customHeight="1" x14ac:dyDescent="0.3">
      <c r="A336" s="10" t="s">
        <v>4008</v>
      </c>
      <c r="B336" s="10">
        <v>1996</v>
      </c>
      <c r="C336" s="10" t="s">
        <v>4714</v>
      </c>
      <c r="D336" s="10">
        <v>14</v>
      </c>
      <c r="E336" s="10">
        <v>0</v>
      </c>
      <c r="F336" s="24">
        <v>3176.29</v>
      </c>
      <c r="G336" s="10" t="s">
        <v>4695</v>
      </c>
      <c r="H336" s="10" t="s">
        <v>4695</v>
      </c>
      <c r="I336" s="10" t="s">
        <v>4712</v>
      </c>
      <c r="J336" s="17">
        <f t="shared" si="2"/>
        <v>35291</v>
      </c>
      <c r="K336" s="10">
        <f t="shared" ca="1" si="3"/>
        <v>29</v>
      </c>
      <c r="L336" s="6"/>
      <c r="M336" s="6"/>
      <c r="N336" s="6"/>
      <c r="O336" s="6"/>
      <c r="P336" s="6"/>
      <c r="Q336" s="6"/>
      <c r="R336" s="6"/>
      <c r="S336" s="6"/>
      <c r="T336" s="6"/>
      <c r="U336" s="6"/>
      <c r="V336" s="6"/>
      <c r="W336" s="6"/>
      <c r="X336" s="6"/>
      <c r="Y336" s="6"/>
      <c r="Z336" s="6"/>
    </row>
    <row r="337" spans="1:26" ht="15.75" customHeight="1" x14ac:dyDescent="0.3">
      <c r="A337" s="10" t="s">
        <v>4006</v>
      </c>
      <c r="B337" s="10">
        <v>1996</v>
      </c>
      <c r="C337" s="10" t="s">
        <v>4707</v>
      </c>
      <c r="D337" s="10">
        <v>3</v>
      </c>
      <c r="E337" s="10">
        <v>0</v>
      </c>
      <c r="F337" s="24">
        <v>3176.82</v>
      </c>
      <c r="G337" s="10" t="s">
        <v>4695</v>
      </c>
      <c r="H337" s="10" t="s">
        <v>4694</v>
      </c>
      <c r="I337" s="10" t="s">
        <v>4712</v>
      </c>
      <c r="J337" s="17">
        <f t="shared" si="2"/>
        <v>35249</v>
      </c>
      <c r="K337" s="10">
        <f t="shared" ca="1" si="3"/>
        <v>29</v>
      </c>
      <c r="L337" s="6"/>
      <c r="M337" s="6"/>
      <c r="N337" s="6"/>
      <c r="O337" s="6"/>
      <c r="P337" s="6"/>
      <c r="Q337" s="6"/>
      <c r="R337" s="6"/>
      <c r="S337" s="6"/>
      <c r="T337" s="6"/>
      <c r="U337" s="6"/>
      <c r="V337" s="6"/>
      <c r="W337" s="6"/>
      <c r="X337" s="6"/>
      <c r="Y337" s="6"/>
      <c r="Z337" s="6"/>
    </row>
    <row r="338" spans="1:26" ht="15.75" customHeight="1" x14ac:dyDescent="0.3">
      <c r="A338" s="10" t="s">
        <v>4004</v>
      </c>
      <c r="B338" s="10">
        <v>2000</v>
      </c>
      <c r="C338" s="10" t="s">
        <v>4711</v>
      </c>
      <c r="D338" s="10">
        <v>23</v>
      </c>
      <c r="E338" s="10">
        <v>0</v>
      </c>
      <c r="F338" s="24">
        <v>3179.96</v>
      </c>
      <c r="G338" s="10" t="s">
        <v>4695</v>
      </c>
      <c r="H338" s="10" t="s">
        <v>4695</v>
      </c>
      <c r="I338" s="10" t="s">
        <v>4712</v>
      </c>
      <c r="J338" s="17">
        <f t="shared" si="2"/>
        <v>36792</v>
      </c>
      <c r="K338" s="10">
        <f t="shared" ca="1" si="3"/>
        <v>25</v>
      </c>
      <c r="L338" s="6"/>
      <c r="M338" s="6"/>
      <c r="N338" s="6"/>
      <c r="O338" s="6"/>
      <c r="P338" s="6"/>
      <c r="Q338" s="6"/>
      <c r="R338" s="6"/>
      <c r="S338" s="6"/>
      <c r="T338" s="6"/>
      <c r="U338" s="6"/>
      <c r="V338" s="6"/>
      <c r="W338" s="6"/>
      <c r="X338" s="6"/>
      <c r="Y338" s="6"/>
      <c r="Z338" s="6"/>
    </row>
    <row r="339" spans="1:26" ht="15.75" customHeight="1" x14ac:dyDescent="0.3">
      <c r="A339" s="10" t="s">
        <v>4002</v>
      </c>
      <c r="B339" s="10">
        <v>2001</v>
      </c>
      <c r="C339" s="10" t="s">
        <v>4711</v>
      </c>
      <c r="D339" s="10">
        <v>2</v>
      </c>
      <c r="E339" s="10">
        <v>2</v>
      </c>
      <c r="F339" s="24">
        <v>3180.51</v>
      </c>
      <c r="G339" s="10" t="s">
        <v>4695</v>
      </c>
      <c r="H339" s="10" t="s">
        <v>4695</v>
      </c>
      <c r="I339" s="10" t="s">
        <v>4708</v>
      </c>
      <c r="J339" s="17">
        <f t="shared" si="2"/>
        <v>37136</v>
      </c>
      <c r="K339" s="10">
        <f t="shared" ca="1" si="3"/>
        <v>24</v>
      </c>
      <c r="L339" s="6"/>
      <c r="M339" s="6"/>
      <c r="N339" s="6"/>
      <c r="O339" s="6"/>
      <c r="P339" s="6"/>
      <c r="Q339" s="6"/>
      <c r="R339" s="6"/>
      <c r="S339" s="6"/>
      <c r="T339" s="6"/>
      <c r="U339" s="6"/>
      <c r="V339" s="6"/>
      <c r="W339" s="6"/>
      <c r="X339" s="6"/>
      <c r="Y339" s="6"/>
      <c r="Z339" s="6"/>
    </row>
    <row r="340" spans="1:26" ht="15.75" customHeight="1" x14ac:dyDescent="0.3">
      <c r="A340" s="10" t="s">
        <v>4000</v>
      </c>
      <c r="B340" s="10">
        <v>1996</v>
      </c>
      <c r="C340" s="10" t="s">
        <v>4715</v>
      </c>
      <c r="D340" s="10">
        <v>11</v>
      </c>
      <c r="E340" s="10">
        <v>0</v>
      </c>
      <c r="F340" s="24">
        <v>3201.25</v>
      </c>
      <c r="G340" s="10" t="s">
        <v>4695</v>
      </c>
      <c r="H340" s="10" t="s">
        <v>4696</v>
      </c>
      <c r="I340" s="10" t="s">
        <v>4712</v>
      </c>
      <c r="J340" s="17">
        <f t="shared" si="2"/>
        <v>35349</v>
      </c>
      <c r="K340" s="10">
        <f t="shared" ca="1" si="3"/>
        <v>29</v>
      </c>
      <c r="L340" s="6"/>
      <c r="M340" s="6"/>
      <c r="N340" s="6"/>
      <c r="O340" s="6"/>
      <c r="P340" s="6"/>
      <c r="Q340" s="6"/>
      <c r="R340" s="6"/>
      <c r="S340" s="6"/>
      <c r="T340" s="6"/>
      <c r="U340" s="6"/>
      <c r="V340" s="6"/>
      <c r="W340" s="6"/>
      <c r="X340" s="6"/>
      <c r="Y340" s="6"/>
      <c r="Z340" s="6"/>
    </row>
    <row r="341" spans="1:26" ht="15.75" customHeight="1" x14ac:dyDescent="0.3">
      <c r="A341" s="10" t="s">
        <v>3998</v>
      </c>
      <c r="B341" s="10">
        <v>1997</v>
      </c>
      <c r="C341" s="10" t="s">
        <v>4707</v>
      </c>
      <c r="D341" s="10">
        <v>5</v>
      </c>
      <c r="E341" s="10">
        <v>0</v>
      </c>
      <c r="F341" s="24">
        <v>3206.49</v>
      </c>
      <c r="G341" s="10" t="s">
        <v>4695</v>
      </c>
      <c r="H341" s="10" t="s">
        <v>4696</v>
      </c>
      <c r="I341" s="10" t="s">
        <v>4723</v>
      </c>
      <c r="J341" s="17">
        <f t="shared" si="2"/>
        <v>35616</v>
      </c>
      <c r="K341" s="10">
        <f t="shared" ca="1" si="3"/>
        <v>28</v>
      </c>
      <c r="L341" s="6"/>
      <c r="M341" s="6"/>
      <c r="N341" s="6"/>
      <c r="O341" s="6"/>
      <c r="P341" s="6"/>
      <c r="Q341" s="6"/>
      <c r="R341" s="6"/>
      <c r="S341" s="6"/>
      <c r="T341" s="6"/>
      <c r="U341" s="6"/>
      <c r="V341" s="6"/>
      <c r="W341" s="6"/>
      <c r="X341" s="6"/>
      <c r="Y341" s="6"/>
      <c r="Z341" s="6"/>
    </row>
    <row r="342" spans="1:26" ht="15.75" customHeight="1" x14ac:dyDescent="0.3">
      <c r="A342" s="10" t="s">
        <v>3996</v>
      </c>
      <c r="B342" s="10">
        <v>1997</v>
      </c>
      <c r="C342" s="10" t="s">
        <v>4713</v>
      </c>
      <c r="D342" s="10">
        <v>22</v>
      </c>
      <c r="E342" s="10">
        <v>1</v>
      </c>
      <c r="F342" s="24">
        <v>3208.79</v>
      </c>
      <c r="G342" s="10" t="s">
        <v>4695</v>
      </c>
      <c r="H342" s="10" t="s">
        <v>4696</v>
      </c>
      <c r="I342" s="10" t="s">
        <v>4716</v>
      </c>
      <c r="J342" s="17">
        <f t="shared" si="2"/>
        <v>35786</v>
      </c>
      <c r="K342" s="10">
        <f t="shared" ca="1" si="3"/>
        <v>27</v>
      </c>
      <c r="L342" s="6"/>
      <c r="M342" s="6"/>
      <c r="N342" s="6"/>
      <c r="O342" s="6"/>
      <c r="P342" s="6"/>
      <c r="Q342" s="6"/>
      <c r="R342" s="6"/>
      <c r="S342" s="6"/>
      <c r="T342" s="6"/>
      <c r="U342" s="6"/>
      <c r="V342" s="6"/>
      <c r="W342" s="6"/>
      <c r="X342" s="6"/>
      <c r="Y342" s="6"/>
      <c r="Z342" s="6"/>
    </row>
    <row r="343" spans="1:26" ht="15.75" customHeight="1" x14ac:dyDescent="0.3">
      <c r="A343" s="10" t="s">
        <v>3994</v>
      </c>
      <c r="B343" s="10">
        <v>1997</v>
      </c>
      <c r="C343" s="10" t="s">
        <v>4707</v>
      </c>
      <c r="D343" s="10">
        <v>6</v>
      </c>
      <c r="E343" s="10">
        <v>0</v>
      </c>
      <c r="F343" s="24">
        <v>3213.62</v>
      </c>
      <c r="G343" s="10" t="s">
        <v>4695</v>
      </c>
      <c r="H343" s="10" t="s">
        <v>4695</v>
      </c>
      <c r="I343" s="10" t="s">
        <v>4723</v>
      </c>
      <c r="J343" s="17">
        <f t="shared" si="2"/>
        <v>35617</v>
      </c>
      <c r="K343" s="10">
        <f t="shared" ca="1" si="3"/>
        <v>28</v>
      </c>
      <c r="L343" s="6"/>
      <c r="M343" s="6"/>
      <c r="N343" s="6"/>
      <c r="O343" s="6"/>
      <c r="P343" s="6"/>
      <c r="Q343" s="6"/>
      <c r="R343" s="6"/>
      <c r="S343" s="6"/>
      <c r="T343" s="6"/>
      <c r="U343" s="6"/>
      <c r="V343" s="6"/>
      <c r="W343" s="6"/>
      <c r="X343" s="6"/>
      <c r="Y343" s="6"/>
      <c r="Z343" s="6"/>
    </row>
    <row r="344" spans="1:26" ht="15.75" customHeight="1" x14ac:dyDescent="0.3">
      <c r="A344" s="10" t="s">
        <v>3992</v>
      </c>
      <c r="B344" s="10">
        <v>1997</v>
      </c>
      <c r="C344" s="10" t="s">
        <v>4714</v>
      </c>
      <c r="D344" s="10">
        <v>2</v>
      </c>
      <c r="E344" s="10">
        <v>1</v>
      </c>
      <c r="F344" s="24">
        <v>3227.12</v>
      </c>
      <c r="G344" s="10" t="s">
        <v>4695</v>
      </c>
      <c r="H344" s="10" t="s">
        <v>4696</v>
      </c>
      <c r="I344" s="10" t="s">
        <v>4708</v>
      </c>
      <c r="J344" s="17">
        <f t="shared" si="2"/>
        <v>35644</v>
      </c>
      <c r="K344" s="10">
        <f t="shared" ca="1" si="3"/>
        <v>28</v>
      </c>
      <c r="L344" s="6"/>
      <c r="M344" s="6"/>
      <c r="N344" s="6"/>
      <c r="O344" s="6"/>
      <c r="P344" s="6"/>
      <c r="Q344" s="6"/>
      <c r="R344" s="6"/>
      <c r="S344" s="6"/>
      <c r="T344" s="6"/>
      <c r="U344" s="6"/>
      <c r="V344" s="6"/>
      <c r="W344" s="6"/>
      <c r="X344" s="6"/>
      <c r="Y344" s="6"/>
      <c r="Z344" s="6"/>
    </row>
    <row r="345" spans="1:26" ht="15.75" customHeight="1" x14ac:dyDescent="0.3">
      <c r="A345" s="10" t="s">
        <v>3990</v>
      </c>
      <c r="B345" s="10">
        <v>1997</v>
      </c>
      <c r="C345" s="10" t="s">
        <v>4711</v>
      </c>
      <c r="D345" s="10">
        <v>2</v>
      </c>
      <c r="E345" s="10">
        <v>1</v>
      </c>
      <c r="F345" s="24">
        <v>3238.44</v>
      </c>
      <c r="G345" s="10" t="s">
        <v>4695</v>
      </c>
      <c r="H345" s="10" t="s">
        <v>4696</v>
      </c>
      <c r="I345" s="10" t="s">
        <v>4708</v>
      </c>
      <c r="J345" s="17">
        <f t="shared" si="2"/>
        <v>35675</v>
      </c>
      <c r="K345" s="10">
        <f t="shared" ca="1" si="3"/>
        <v>28</v>
      </c>
      <c r="L345" s="6"/>
      <c r="M345" s="6"/>
      <c r="N345" s="6"/>
      <c r="O345" s="6"/>
      <c r="P345" s="6"/>
      <c r="Q345" s="6"/>
      <c r="R345" s="6"/>
      <c r="S345" s="6"/>
      <c r="T345" s="6"/>
      <c r="U345" s="6"/>
      <c r="V345" s="6"/>
      <c r="W345" s="6"/>
      <c r="X345" s="6"/>
      <c r="Y345" s="6"/>
      <c r="Z345" s="6"/>
    </row>
    <row r="346" spans="1:26" ht="15.75" customHeight="1" x14ac:dyDescent="0.3">
      <c r="A346" s="10" t="s">
        <v>3988</v>
      </c>
      <c r="B346" s="10">
        <v>1991</v>
      </c>
      <c r="C346" s="10" t="s">
        <v>4709</v>
      </c>
      <c r="D346" s="10">
        <v>13</v>
      </c>
      <c r="E346" s="10">
        <v>0</v>
      </c>
      <c r="F346" s="24">
        <v>3260.2</v>
      </c>
      <c r="G346" s="10" t="s">
        <v>4696</v>
      </c>
      <c r="H346" s="10" t="s">
        <v>4695</v>
      </c>
      <c r="I346" s="10" t="s">
        <v>4716</v>
      </c>
      <c r="J346" s="17">
        <f t="shared" si="2"/>
        <v>33555</v>
      </c>
      <c r="K346" s="10">
        <f t="shared" ca="1" si="3"/>
        <v>34</v>
      </c>
      <c r="L346" s="6"/>
      <c r="M346" s="6"/>
      <c r="N346" s="6"/>
      <c r="O346" s="6"/>
      <c r="P346" s="6"/>
      <c r="Q346" s="6"/>
      <c r="R346" s="6"/>
      <c r="S346" s="6"/>
      <c r="T346" s="6"/>
      <c r="U346" s="6"/>
      <c r="V346" s="6"/>
      <c r="W346" s="6"/>
      <c r="X346" s="6"/>
      <c r="Y346" s="6"/>
      <c r="Z346" s="6"/>
    </row>
    <row r="347" spans="1:26" ht="15.75" customHeight="1" x14ac:dyDescent="0.3">
      <c r="A347" s="10" t="s">
        <v>3986</v>
      </c>
      <c r="B347" s="10">
        <v>1994</v>
      </c>
      <c r="C347" s="10" t="s">
        <v>4713</v>
      </c>
      <c r="D347" s="10">
        <v>2</v>
      </c>
      <c r="E347" s="10">
        <v>0</v>
      </c>
      <c r="F347" s="24">
        <v>3268.85</v>
      </c>
      <c r="G347" s="10" t="s">
        <v>4696</v>
      </c>
      <c r="H347" s="10" t="s">
        <v>4694</v>
      </c>
      <c r="I347" s="10" t="s">
        <v>4720</v>
      </c>
      <c r="J347" s="17">
        <f t="shared" si="2"/>
        <v>34670</v>
      </c>
      <c r="K347" s="10">
        <f t="shared" ca="1" si="3"/>
        <v>30</v>
      </c>
      <c r="L347" s="6"/>
      <c r="M347" s="6"/>
      <c r="N347" s="6"/>
      <c r="O347" s="6"/>
      <c r="P347" s="6"/>
      <c r="Q347" s="6"/>
      <c r="R347" s="6"/>
      <c r="S347" s="6"/>
      <c r="T347" s="6"/>
      <c r="U347" s="6"/>
      <c r="V347" s="6"/>
      <c r="W347" s="6"/>
      <c r="X347" s="6"/>
      <c r="Y347" s="6"/>
      <c r="Z347" s="6"/>
    </row>
    <row r="348" spans="1:26" ht="15.75" customHeight="1" x14ac:dyDescent="0.3">
      <c r="A348" s="10" t="s">
        <v>3984</v>
      </c>
      <c r="B348" s="10">
        <v>1994</v>
      </c>
      <c r="C348" s="10" t="s">
        <v>4707</v>
      </c>
      <c r="D348" s="10">
        <v>1</v>
      </c>
      <c r="E348" s="10">
        <v>1</v>
      </c>
      <c r="F348" s="24">
        <v>3277.16</v>
      </c>
      <c r="G348" s="10" t="s">
        <v>4695</v>
      </c>
      <c r="H348" s="10" t="s">
        <v>4696</v>
      </c>
      <c r="I348" s="10" t="s">
        <v>4716</v>
      </c>
      <c r="J348" s="17">
        <f t="shared" si="2"/>
        <v>34516</v>
      </c>
      <c r="K348" s="10">
        <f t="shared" ca="1" si="3"/>
        <v>31</v>
      </c>
      <c r="L348" s="6"/>
      <c r="M348" s="6"/>
      <c r="N348" s="6"/>
      <c r="O348" s="6"/>
      <c r="P348" s="6"/>
      <c r="Q348" s="6"/>
      <c r="R348" s="6"/>
      <c r="S348" s="6"/>
      <c r="T348" s="6"/>
      <c r="U348" s="6"/>
      <c r="V348" s="6"/>
      <c r="W348" s="6"/>
      <c r="X348" s="6"/>
      <c r="Y348" s="6"/>
      <c r="Z348" s="6"/>
    </row>
    <row r="349" spans="1:26" ht="15.75" customHeight="1" x14ac:dyDescent="0.3">
      <c r="A349" s="10" t="s">
        <v>3982</v>
      </c>
      <c r="B349" s="10">
        <v>2001</v>
      </c>
      <c r="C349" s="10" t="s">
        <v>4715</v>
      </c>
      <c r="D349" s="10">
        <v>6</v>
      </c>
      <c r="E349" s="10">
        <v>2</v>
      </c>
      <c r="F349" s="24">
        <v>3279.87</v>
      </c>
      <c r="G349" s="10" t="s">
        <v>4695</v>
      </c>
      <c r="H349" s="10" t="s">
        <v>4694</v>
      </c>
      <c r="I349" s="10" t="s">
        <v>4727</v>
      </c>
      <c r="J349" s="17">
        <f t="shared" si="2"/>
        <v>37170</v>
      </c>
      <c r="K349" s="10">
        <f t="shared" ca="1" si="3"/>
        <v>24</v>
      </c>
      <c r="L349" s="6"/>
      <c r="M349" s="6"/>
      <c r="N349" s="6"/>
      <c r="O349" s="6"/>
      <c r="P349" s="6"/>
      <c r="Q349" s="6"/>
      <c r="R349" s="6"/>
      <c r="S349" s="6"/>
      <c r="T349" s="6"/>
      <c r="U349" s="6"/>
      <c r="V349" s="6"/>
      <c r="W349" s="6"/>
      <c r="X349" s="6"/>
      <c r="Y349" s="6"/>
      <c r="Z349" s="6"/>
    </row>
    <row r="350" spans="1:26" ht="15.75" customHeight="1" x14ac:dyDescent="0.3">
      <c r="A350" s="10" t="s">
        <v>3980</v>
      </c>
      <c r="B350" s="10">
        <v>2003</v>
      </c>
      <c r="C350" s="10" t="s">
        <v>4707</v>
      </c>
      <c r="D350" s="10">
        <v>3</v>
      </c>
      <c r="E350" s="10">
        <v>0</v>
      </c>
      <c r="F350" s="24">
        <v>3280.22</v>
      </c>
      <c r="G350" s="10" t="s">
        <v>4695</v>
      </c>
      <c r="H350" s="10" t="s">
        <v>4696</v>
      </c>
      <c r="I350" s="10" t="s">
        <v>4716</v>
      </c>
      <c r="J350" s="17">
        <f t="shared" si="2"/>
        <v>37805</v>
      </c>
      <c r="K350" s="10">
        <f t="shared" ca="1" si="3"/>
        <v>22</v>
      </c>
      <c r="L350" s="6"/>
      <c r="M350" s="6"/>
      <c r="N350" s="6"/>
      <c r="O350" s="6"/>
      <c r="P350" s="6"/>
      <c r="Q350" s="6"/>
      <c r="R350" s="6"/>
      <c r="S350" s="6"/>
      <c r="T350" s="6"/>
      <c r="U350" s="6"/>
      <c r="V350" s="6"/>
      <c r="W350" s="6"/>
      <c r="X350" s="6"/>
      <c r="Y350" s="6"/>
      <c r="Z350" s="6"/>
    </row>
    <row r="351" spans="1:26" ht="15.75" customHeight="1" x14ac:dyDescent="0.3">
      <c r="A351" s="10" t="s">
        <v>3978</v>
      </c>
      <c r="B351" s="10">
        <v>1996</v>
      </c>
      <c r="C351" s="10" t="s">
        <v>4709</v>
      </c>
      <c r="D351" s="10">
        <v>17</v>
      </c>
      <c r="E351" s="10">
        <v>1</v>
      </c>
      <c r="F351" s="24">
        <v>3292.53</v>
      </c>
      <c r="G351" s="10" t="s">
        <v>4695</v>
      </c>
      <c r="H351" s="10" t="s">
        <v>4695</v>
      </c>
      <c r="I351" s="10" t="s">
        <v>4712</v>
      </c>
      <c r="J351" s="17">
        <f t="shared" si="2"/>
        <v>35386</v>
      </c>
      <c r="K351" s="10">
        <f t="shared" ca="1" si="3"/>
        <v>29</v>
      </c>
      <c r="L351" s="6"/>
      <c r="M351" s="6"/>
      <c r="N351" s="6"/>
      <c r="O351" s="6"/>
      <c r="P351" s="6"/>
      <c r="Q351" s="6"/>
      <c r="R351" s="6"/>
      <c r="S351" s="6"/>
      <c r="T351" s="6"/>
      <c r="U351" s="6"/>
      <c r="V351" s="6"/>
      <c r="W351" s="6"/>
      <c r="X351" s="6"/>
      <c r="Y351" s="6"/>
      <c r="Z351" s="6"/>
    </row>
    <row r="352" spans="1:26" ht="15.75" customHeight="1" x14ac:dyDescent="0.3">
      <c r="A352" s="10" t="s">
        <v>3976</v>
      </c>
      <c r="B352" s="10">
        <v>2003</v>
      </c>
      <c r="C352" s="10" t="s">
        <v>4713</v>
      </c>
      <c r="D352" s="10">
        <v>5</v>
      </c>
      <c r="E352" s="10">
        <v>0</v>
      </c>
      <c r="F352" s="24">
        <v>3300.7</v>
      </c>
      <c r="G352" s="10" t="s">
        <v>4695</v>
      </c>
      <c r="H352" s="10" t="s">
        <v>4695</v>
      </c>
      <c r="I352" s="10" t="s">
        <v>4722</v>
      </c>
      <c r="J352" s="17">
        <f t="shared" si="2"/>
        <v>37960</v>
      </c>
      <c r="K352" s="10">
        <f t="shared" ca="1" si="3"/>
        <v>21</v>
      </c>
      <c r="L352" s="6"/>
      <c r="M352" s="6"/>
      <c r="N352" s="6"/>
      <c r="O352" s="6"/>
      <c r="P352" s="6"/>
      <c r="Q352" s="6"/>
      <c r="R352" s="6"/>
      <c r="S352" s="6"/>
      <c r="T352" s="6"/>
      <c r="U352" s="6"/>
      <c r="V352" s="6"/>
      <c r="W352" s="6"/>
      <c r="X352" s="6"/>
      <c r="Y352" s="6"/>
      <c r="Z352" s="6"/>
    </row>
    <row r="353" spans="1:26" ht="15.75" customHeight="1" x14ac:dyDescent="0.3">
      <c r="A353" s="10" t="s">
        <v>3974</v>
      </c>
      <c r="B353" s="10">
        <v>2003</v>
      </c>
      <c r="C353" s="10" t="s">
        <v>4709</v>
      </c>
      <c r="D353" s="10">
        <v>18</v>
      </c>
      <c r="E353" s="10">
        <v>0</v>
      </c>
      <c r="F353" s="24">
        <v>3308.46</v>
      </c>
      <c r="G353" s="10" t="s">
        <v>4695</v>
      </c>
      <c r="H353" s="10" t="s">
        <v>4694</v>
      </c>
      <c r="I353" s="10" t="s">
        <v>4726</v>
      </c>
      <c r="J353" s="17">
        <f t="shared" si="2"/>
        <v>37943</v>
      </c>
      <c r="K353" s="10">
        <f t="shared" ca="1" si="3"/>
        <v>22</v>
      </c>
      <c r="L353" s="6"/>
      <c r="M353" s="6"/>
      <c r="N353" s="6"/>
      <c r="O353" s="6"/>
      <c r="P353" s="6"/>
      <c r="Q353" s="6"/>
      <c r="R353" s="6"/>
      <c r="S353" s="6"/>
      <c r="T353" s="6"/>
      <c r="U353" s="6"/>
      <c r="V353" s="6"/>
      <c r="W353" s="6"/>
      <c r="X353" s="6"/>
      <c r="Y353" s="6"/>
      <c r="Z353" s="6"/>
    </row>
    <row r="354" spans="1:26" ht="15.75" customHeight="1" x14ac:dyDescent="0.3">
      <c r="A354" s="10" t="s">
        <v>3972</v>
      </c>
      <c r="B354" s="10">
        <v>1997</v>
      </c>
      <c r="C354" s="10" t="s">
        <v>4710</v>
      </c>
      <c r="D354" s="10">
        <v>20</v>
      </c>
      <c r="E354" s="10">
        <v>1</v>
      </c>
      <c r="F354" s="24">
        <v>3309.79</v>
      </c>
      <c r="G354" s="10" t="s">
        <v>4696</v>
      </c>
      <c r="H354" s="10" t="s">
        <v>4696</v>
      </c>
      <c r="I354" s="10" t="s">
        <v>4727</v>
      </c>
      <c r="J354" s="17">
        <f t="shared" si="2"/>
        <v>35601</v>
      </c>
      <c r="K354" s="10">
        <f t="shared" ca="1" si="3"/>
        <v>28</v>
      </c>
      <c r="L354" s="6"/>
      <c r="M354" s="6"/>
      <c r="N354" s="6"/>
      <c r="O354" s="6"/>
      <c r="P354" s="6"/>
      <c r="Q354" s="6"/>
      <c r="R354" s="6"/>
      <c r="S354" s="6"/>
      <c r="T354" s="6"/>
      <c r="U354" s="6"/>
      <c r="V354" s="6"/>
      <c r="W354" s="6"/>
      <c r="X354" s="6"/>
      <c r="Y354" s="6"/>
      <c r="Z354" s="6"/>
    </row>
    <row r="355" spans="1:26" ht="15.75" customHeight="1" x14ac:dyDescent="0.3">
      <c r="A355" s="10" t="s">
        <v>3970</v>
      </c>
      <c r="B355" s="10">
        <v>1991</v>
      </c>
      <c r="C355" s="10" t="s">
        <v>4711</v>
      </c>
      <c r="D355" s="10">
        <v>1</v>
      </c>
      <c r="E355" s="10">
        <v>3</v>
      </c>
      <c r="F355" s="24">
        <v>3342.79</v>
      </c>
      <c r="G355" s="10" t="s">
        <v>4695</v>
      </c>
      <c r="H355" s="10" t="s">
        <v>4694</v>
      </c>
      <c r="I355" s="10" t="s">
        <v>4708</v>
      </c>
      <c r="J355" s="17">
        <f t="shared" si="2"/>
        <v>33482</v>
      </c>
      <c r="K355" s="10">
        <f t="shared" ca="1" si="3"/>
        <v>34</v>
      </c>
      <c r="L355" s="6"/>
      <c r="M355" s="6"/>
      <c r="N355" s="6"/>
      <c r="O355" s="6"/>
      <c r="P355" s="6"/>
      <c r="Q355" s="6"/>
      <c r="R355" s="6"/>
      <c r="S355" s="6"/>
      <c r="T355" s="6"/>
      <c r="U355" s="6"/>
      <c r="V355" s="6"/>
      <c r="W355" s="6"/>
      <c r="X355" s="6"/>
      <c r="Y355" s="6"/>
      <c r="Z355" s="6"/>
    </row>
    <row r="356" spans="1:26" ht="15.75" customHeight="1" x14ac:dyDescent="0.3">
      <c r="A356" s="10" t="s">
        <v>3968</v>
      </c>
      <c r="B356" s="10">
        <v>1993</v>
      </c>
      <c r="C356" s="10" t="s">
        <v>4715</v>
      </c>
      <c r="D356" s="10">
        <v>28</v>
      </c>
      <c r="E356" s="10">
        <v>0</v>
      </c>
      <c r="F356" s="24">
        <v>3353.28</v>
      </c>
      <c r="G356" s="10" t="s">
        <v>4695</v>
      </c>
      <c r="H356" s="10" t="s">
        <v>4694</v>
      </c>
      <c r="I356" s="10" t="s">
        <v>4716</v>
      </c>
      <c r="J356" s="17">
        <f t="shared" si="2"/>
        <v>34270</v>
      </c>
      <c r="K356" s="10">
        <f t="shared" ca="1" si="3"/>
        <v>32</v>
      </c>
      <c r="L356" s="6"/>
      <c r="M356" s="6"/>
      <c r="N356" s="6"/>
      <c r="O356" s="6"/>
      <c r="P356" s="6"/>
      <c r="Q356" s="6"/>
      <c r="R356" s="6"/>
      <c r="S356" s="6"/>
      <c r="T356" s="6"/>
      <c r="U356" s="6"/>
      <c r="V356" s="6"/>
      <c r="W356" s="6"/>
      <c r="X356" s="6"/>
      <c r="Y356" s="6"/>
      <c r="Z356" s="6"/>
    </row>
    <row r="357" spans="1:26" ht="15.75" customHeight="1" x14ac:dyDescent="0.3">
      <c r="A357" s="10" t="s">
        <v>3966</v>
      </c>
      <c r="B357" s="10">
        <v>1995</v>
      </c>
      <c r="C357" s="10" t="s">
        <v>4710</v>
      </c>
      <c r="D357" s="10">
        <v>23</v>
      </c>
      <c r="E357" s="10">
        <v>0</v>
      </c>
      <c r="F357" s="24">
        <v>3353.47</v>
      </c>
      <c r="G357" s="10" t="s">
        <v>4695</v>
      </c>
      <c r="H357" s="10" t="s">
        <v>4696</v>
      </c>
      <c r="I357" s="10" t="s">
        <v>4712</v>
      </c>
      <c r="J357" s="17">
        <f t="shared" si="2"/>
        <v>34873</v>
      </c>
      <c r="K357" s="10">
        <f t="shared" ca="1" si="3"/>
        <v>30</v>
      </c>
      <c r="L357" s="6"/>
      <c r="M357" s="6"/>
      <c r="N357" s="6"/>
      <c r="O357" s="6"/>
      <c r="P357" s="6"/>
      <c r="Q357" s="6"/>
      <c r="R357" s="6"/>
      <c r="S357" s="6"/>
      <c r="T357" s="6"/>
      <c r="U357" s="6"/>
      <c r="V357" s="6"/>
      <c r="W357" s="6"/>
      <c r="X357" s="6"/>
      <c r="Y357" s="6"/>
      <c r="Z357" s="6"/>
    </row>
    <row r="358" spans="1:26" ht="15.75" customHeight="1" x14ac:dyDescent="0.3">
      <c r="A358" s="10" t="s">
        <v>3964</v>
      </c>
      <c r="B358" s="10">
        <v>1993</v>
      </c>
      <c r="C358" s="10" t="s">
        <v>4715</v>
      </c>
      <c r="D358" s="10">
        <v>7</v>
      </c>
      <c r="E358" s="10">
        <v>0</v>
      </c>
      <c r="F358" s="24">
        <v>3366.67</v>
      </c>
      <c r="G358" s="10" t="s">
        <v>4695</v>
      </c>
      <c r="H358" s="10" t="s">
        <v>4695</v>
      </c>
      <c r="I358" s="10" t="s">
        <v>4708</v>
      </c>
      <c r="J358" s="17">
        <f t="shared" si="2"/>
        <v>34249</v>
      </c>
      <c r="K358" s="10">
        <f t="shared" ca="1" si="3"/>
        <v>32</v>
      </c>
      <c r="L358" s="6"/>
      <c r="M358" s="6"/>
      <c r="N358" s="6"/>
      <c r="O358" s="6"/>
      <c r="P358" s="6"/>
      <c r="Q358" s="6"/>
      <c r="R358" s="6"/>
      <c r="S358" s="6"/>
      <c r="T358" s="6"/>
      <c r="U358" s="6"/>
      <c r="V358" s="6"/>
      <c r="W358" s="6"/>
      <c r="X358" s="6"/>
      <c r="Y358" s="6"/>
      <c r="Z358" s="6"/>
    </row>
    <row r="359" spans="1:26" ht="15.75" customHeight="1" x14ac:dyDescent="0.3">
      <c r="A359" s="10" t="s">
        <v>3962</v>
      </c>
      <c r="B359" s="10">
        <v>1996</v>
      </c>
      <c r="C359" s="10" t="s">
        <v>4713</v>
      </c>
      <c r="D359" s="10">
        <v>14</v>
      </c>
      <c r="E359" s="10">
        <v>1</v>
      </c>
      <c r="F359" s="24">
        <v>3378.91</v>
      </c>
      <c r="G359" s="10" t="s">
        <v>4695</v>
      </c>
      <c r="H359" s="10" t="s">
        <v>4694</v>
      </c>
      <c r="I359" s="10" t="s">
        <v>4716</v>
      </c>
      <c r="J359" s="17">
        <f t="shared" si="2"/>
        <v>35413</v>
      </c>
      <c r="K359" s="10">
        <f t="shared" ca="1" si="3"/>
        <v>28</v>
      </c>
      <c r="L359" s="6"/>
      <c r="M359" s="6"/>
      <c r="N359" s="6"/>
      <c r="O359" s="6"/>
      <c r="P359" s="6"/>
      <c r="Q359" s="6"/>
      <c r="R359" s="6"/>
      <c r="S359" s="6"/>
      <c r="T359" s="6"/>
      <c r="U359" s="6"/>
      <c r="V359" s="6"/>
      <c r="W359" s="6"/>
      <c r="X359" s="6"/>
      <c r="Y359" s="6"/>
      <c r="Z359" s="6"/>
    </row>
    <row r="360" spans="1:26" ht="15.75" customHeight="1" x14ac:dyDescent="0.3">
      <c r="A360" s="10" t="s">
        <v>3960</v>
      </c>
      <c r="B360" s="10">
        <v>1996</v>
      </c>
      <c r="C360" s="10" t="s">
        <v>4709</v>
      </c>
      <c r="D360" s="10">
        <v>13</v>
      </c>
      <c r="E360" s="10">
        <v>0</v>
      </c>
      <c r="F360" s="24">
        <v>3385.4</v>
      </c>
      <c r="G360" s="10" t="s">
        <v>4695</v>
      </c>
      <c r="H360" s="10" t="s">
        <v>4695</v>
      </c>
      <c r="I360" s="10" t="s">
        <v>4723</v>
      </c>
      <c r="J360" s="17">
        <f t="shared" si="2"/>
        <v>35382</v>
      </c>
      <c r="K360" s="10">
        <f t="shared" ca="1" si="3"/>
        <v>29</v>
      </c>
      <c r="L360" s="6"/>
      <c r="M360" s="6"/>
      <c r="N360" s="6"/>
      <c r="O360" s="6"/>
      <c r="P360" s="6"/>
      <c r="Q360" s="6"/>
      <c r="R360" s="6"/>
      <c r="S360" s="6"/>
      <c r="T360" s="6"/>
      <c r="U360" s="6"/>
      <c r="V360" s="6"/>
      <c r="W360" s="6"/>
      <c r="X360" s="6"/>
      <c r="Y360" s="6"/>
      <c r="Z360" s="6"/>
    </row>
    <row r="361" spans="1:26" ht="15.75" customHeight="1" x14ac:dyDescent="0.3">
      <c r="A361" s="10" t="s">
        <v>3958</v>
      </c>
      <c r="B361" s="10">
        <v>1996</v>
      </c>
      <c r="C361" s="10" t="s">
        <v>4714</v>
      </c>
      <c r="D361" s="10">
        <v>10</v>
      </c>
      <c r="E361" s="10">
        <v>1</v>
      </c>
      <c r="F361" s="24">
        <v>3392.37</v>
      </c>
      <c r="G361" s="10" t="s">
        <v>4695</v>
      </c>
      <c r="H361" s="10" t="s">
        <v>4696</v>
      </c>
      <c r="I361" s="10" t="s">
        <v>4708</v>
      </c>
      <c r="J361" s="17">
        <f t="shared" si="2"/>
        <v>35287</v>
      </c>
      <c r="K361" s="10">
        <f t="shared" ca="1" si="3"/>
        <v>29</v>
      </c>
      <c r="L361" s="6"/>
      <c r="M361" s="6"/>
      <c r="N361" s="6"/>
      <c r="O361" s="6"/>
      <c r="P361" s="6"/>
      <c r="Q361" s="6"/>
      <c r="R361" s="6"/>
      <c r="S361" s="6"/>
      <c r="T361" s="6"/>
      <c r="U361" s="6"/>
      <c r="V361" s="6"/>
      <c r="W361" s="6"/>
      <c r="X361" s="6"/>
      <c r="Y361" s="6"/>
      <c r="Z361" s="6"/>
    </row>
    <row r="362" spans="1:26" ht="15.75" customHeight="1" x14ac:dyDescent="0.3">
      <c r="A362" s="10" t="s">
        <v>3956</v>
      </c>
      <c r="B362" s="10">
        <v>1996</v>
      </c>
      <c r="C362" s="10" t="s">
        <v>4715</v>
      </c>
      <c r="D362" s="10">
        <v>27</v>
      </c>
      <c r="E362" s="10">
        <v>1</v>
      </c>
      <c r="F362" s="24">
        <v>3392.98</v>
      </c>
      <c r="G362" s="10" t="s">
        <v>4695</v>
      </c>
      <c r="H362" s="10" t="s">
        <v>4696</v>
      </c>
      <c r="I362" s="10" t="s">
        <v>4708</v>
      </c>
      <c r="J362" s="17">
        <f t="shared" si="2"/>
        <v>35365</v>
      </c>
      <c r="K362" s="10">
        <f t="shared" ca="1" si="3"/>
        <v>29</v>
      </c>
      <c r="L362" s="6"/>
      <c r="M362" s="6"/>
      <c r="N362" s="6"/>
      <c r="O362" s="6"/>
      <c r="P362" s="6"/>
      <c r="Q362" s="6"/>
      <c r="R362" s="6"/>
      <c r="S362" s="6"/>
      <c r="T362" s="6"/>
      <c r="U362" s="6"/>
      <c r="V362" s="6"/>
      <c r="W362" s="6"/>
      <c r="X362" s="6"/>
      <c r="Y362" s="6"/>
      <c r="Z362" s="6"/>
    </row>
    <row r="363" spans="1:26" ht="15.75" customHeight="1" x14ac:dyDescent="0.3">
      <c r="A363" s="10" t="s">
        <v>3954</v>
      </c>
      <c r="B363" s="10">
        <v>2004</v>
      </c>
      <c r="C363" s="10" t="s">
        <v>4707</v>
      </c>
      <c r="D363" s="10">
        <v>16</v>
      </c>
      <c r="E363" s="10">
        <v>2</v>
      </c>
      <c r="F363" s="24">
        <v>3393.36</v>
      </c>
      <c r="G363" s="10" t="s">
        <v>4695</v>
      </c>
      <c r="H363" s="10" t="s">
        <v>4695</v>
      </c>
      <c r="I363" s="10" t="s">
        <v>4724</v>
      </c>
      <c r="J363" s="17">
        <f t="shared" si="2"/>
        <v>38184</v>
      </c>
      <c r="K363" s="10">
        <f t="shared" ca="1" si="3"/>
        <v>21</v>
      </c>
      <c r="L363" s="6"/>
      <c r="M363" s="6"/>
      <c r="N363" s="6"/>
      <c r="O363" s="6"/>
      <c r="P363" s="6"/>
      <c r="Q363" s="6"/>
      <c r="R363" s="6"/>
      <c r="S363" s="6"/>
      <c r="T363" s="6"/>
      <c r="U363" s="6"/>
      <c r="V363" s="6"/>
      <c r="W363" s="6"/>
      <c r="X363" s="6"/>
      <c r="Y363" s="6"/>
      <c r="Z363" s="6"/>
    </row>
    <row r="364" spans="1:26" ht="15.75" customHeight="1" x14ac:dyDescent="0.3">
      <c r="A364" s="10" t="s">
        <v>3952</v>
      </c>
      <c r="B364" s="10">
        <v>1996</v>
      </c>
      <c r="C364" s="10" t="s">
        <v>4713</v>
      </c>
      <c r="D364" s="10">
        <v>19</v>
      </c>
      <c r="E364" s="10">
        <v>1</v>
      </c>
      <c r="F364" s="24">
        <v>3410.32</v>
      </c>
      <c r="G364" s="10" t="s">
        <v>4695</v>
      </c>
      <c r="H364" s="10" t="s">
        <v>4695</v>
      </c>
      <c r="I364" s="10" t="s">
        <v>4716</v>
      </c>
      <c r="J364" s="17">
        <f t="shared" si="2"/>
        <v>35418</v>
      </c>
      <c r="K364" s="10">
        <f t="shared" ca="1" si="3"/>
        <v>28</v>
      </c>
      <c r="L364" s="6"/>
      <c r="M364" s="6"/>
      <c r="N364" s="6"/>
      <c r="O364" s="6"/>
      <c r="P364" s="6"/>
      <c r="Q364" s="6"/>
      <c r="R364" s="6"/>
      <c r="S364" s="6"/>
      <c r="T364" s="6"/>
      <c r="U364" s="6"/>
      <c r="V364" s="6"/>
      <c r="W364" s="6"/>
      <c r="X364" s="6"/>
      <c r="Y364" s="6"/>
      <c r="Z364" s="6"/>
    </row>
    <row r="365" spans="1:26" ht="15.75" customHeight="1" x14ac:dyDescent="0.3">
      <c r="A365" s="10" t="s">
        <v>3950</v>
      </c>
      <c r="B365" s="10">
        <v>2001</v>
      </c>
      <c r="C365" s="10" t="s">
        <v>4713</v>
      </c>
      <c r="D365" s="10">
        <v>26</v>
      </c>
      <c r="E365" s="10">
        <v>0</v>
      </c>
      <c r="F365" s="24">
        <v>3434.38</v>
      </c>
      <c r="G365" s="10" t="s">
        <v>4695</v>
      </c>
      <c r="H365" s="10" t="s">
        <v>4695</v>
      </c>
      <c r="I365" s="10" t="s">
        <v>4716</v>
      </c>
      <c r="J365" s="17">
        <f t="shared" si="2"/>
        <v>37251</v>
      </c>
      <c r="K365" s="10">
        <f t="shared" ca="1" si="3"/>
        <v>23</v>
      </c>
      <c r="L365" s="6"/>
      <c r="M365" s="6"/>
      <c r="N365" s="6"/>
      <c r="O365" s="6"/>
      <c r="P365" s="6"/>
      <c r="Q365" s="6"/>
      <c r="R365" s="6"/>
      <c r="S365" s="6"/>
      <c r="T365" s="6"/>
      <c r="U365" s="6"/>
      <c r="V365" s="6"/>
      <c r="W365" s="6"/>
      <c r="X365" s="6"/>
      <c r="Y365" s="6"/>
      <c r="Z365" s="6"/>
    </row>
    <row r="366" spans="1:26" ht="15.75" customHeight="1" x14ac:dyDescent="0.3">
      <c r="A366" s="10" t="s">
        <v>3948</v>
      </c>
      <c r="B366" s="10">
        <v>1986</v>
      </c>
      <c r="C366" s="10" t="s">
        <v>4714</v>
      </c>
      <c r="D366" s="10">
        <v>27</v>
      </c>
      <c r="E366" s="10">
        <v>3</v>
      </c>
      <c r="F366" s="24">
        <v>3436.5</v>
      </c>
      <c r="G366" s="10" t="s">
        <v>4695</v>
      </c>
      <c r="H366" s="10" t="s">
        <v>4694</v>
      </c>
      <c r="I366" s="10" t="s">
        <v>4708</v>
      </c>
      <c r="J366" s="17">
        <f t="shared" si="2"/>
        <v>31651</v>
      </c>
      <c r="K366" s="10">
        <f t="shared" ca="1" si="3"/>
        <v>39</v>
      </c>
      <c r="L366" s="6"/>
      <c r="M366" s="6"/>
      <c r="N366" s="6"/>
      <c r="O366" s="6"/>
      <c r="P366" s="6"/>
      <c r="Q366" s="6"/>
      <c r="R366" s="6"/>
      <c r="S366" s="6"/>
      <c r="T366" s="6"/>
      <c r="U366" s="6"/>
      <c r="V366" s="6"/>
      <c r="W366" s="6"/>
      <c r="X366" s="6"/>
      <c r="Y366" s="6"/>
      <c r="Z366" s="6"/>
    </row>
    <row r="367" spans="1:26" ht="15.75" customHeight="1" x14ac:dyDescent="0.3">
      <c r="A367" s="10" t="s">
        <v>3946</v>
      </c>
      <c r="B367" s="10">
        <v>2000</v>
      </c>
      <c r="C367" s="10" t="s">
        <v>4710</v>
      </c>
      <c r="D367" s="10">
        <v>20</v>
      </c>
      <c r="E367" s="10">
        <v>3</v>
      </c>
      <c r="F367" s="24">
        <v>3443.06</v>
      </c>
      <c r="G367" s="10" t="s">
        <v>4695</v>
      </c>
      <c r="H367" s="10" t="s">
        <v>4694</v>
      </c>
      <c r="I367" s="10" t="s">
        <v>4716</v>
      </c>
      <c r="J367" s="17">
        <f t="shared" si="2"/>
        <v>36697</v>
      </c>
      <c r="K367" s="10">
        <f t="shared" ca="1" si="3"/>
        <v>25</v>
      </c>
      <c r="L367" s="6"/>
      <c r="M367" s="6"/>
      <c r="N367" s="6"/>
      <c r="O367" s="6"/>
      <c r="P367" s="6"/>
      <c r="Q367" s="6"/>
      <c r="R367" s="6"/>
      <c r="S367" s="6"/>
      <c r="T367" s="6"/>
      <c r="U367" s="6"/>
      <c r="V367" s="6"/>
      <c r="W367" s="6"/>
      <c r="X367" s="6"/>
      <c r="Y367" s="6"/>
      <c r="Z367" s="6"/>
    </row>
    <row r="368" spans="1:26" ht="15.75" customHeight="1" x14ac:dyDescent="0.3">
      <c r="A368" s="10" t="s">
        <v>3944</v>
      </c>
      <c r="B368" s="10">
        <v>1987</v>
      </c>
      <c r="C368" s="10" t="s">
        <v>4711</v>
      </c>
      <c r="D368" s="10">
        <v>14</v>
      </c>
      <c r="E368" s="10">
        <v>3</v>
      </c>
      <c r="F368" s="24">
        <v>3453.77</v>
      </c>
      <c r="G368" s="10" t="s">
        <v>4695</v>
      </c>
      <c r="H368" s="10" t="s">
        <v>4694</v>
      </c>
      <c r="I368" s="10" t="s">
        <v>4716</v>
      </c>
      <c r="J368" s="17">
        <f t="shared" si="2"/>
        <v>32034</v>
      </c>
      <c r="K368" s="10">
        <f t="shared" ca="1" si="3"/>
        <v>38</v>
      </c>
      <c r="L368" s="6"/>
      <c r="M368" s="6"/>
      <c r="N368" s="6"/>
      <c r="O368" s="6"/>
      <c r="P368" s="6"/>
      <c r="Q368" s="6"/>
      <c r="R368" s="6"/>
      <c r="S368" s="6"/>
      <c r="T368" s="6"/>
      <c r="U368" s="6"/>
      <c r="V368" s="6"/>
      <c r="W368" s="6"/>
      <c r="X368" s="6"/>
      <c r="Y368" s="6"/>
      <c r="Z368" s="6"/>
    </row>
    <row r="369" spans="1:26" ht="15.75" customHeight="1" x14ac:dyDescent="0.3">
      <c r="A369" s="10" t="s">
        <v>3942</v>
      </c>
      <c r="B369" s="10">
        <v>2003</v>
      </c>
      <c r="C369" s="10" t="s">
        <v>4707</v>
      </c>
      <c r="D369" s="10">
        <v>29</v>
      </c>
      <c r="E369" s="10">
        <v>0</v>
      </c>
      <c r="F369" s="24">
        <v>3463.51</v>
      </c>
      <c r="G369" s="10" t="s">
        <v>4695</v>
      </c>
      <c r="H369" s="10" t="s">
        <v>4694</v>
      </c>
      <c r="I369" s="10" t="s">
        <v>4722</v>
      </c>
      <c r="J369" s="17">
        <f t="shared" si="2"/>
        <v>37831</v>
      </c>
      <c r="K369" s="10">
        <f t="shared" ca="1" si="3"/>
        <v>22</v>
      </c>
      <c r="L369" s="6"/>
      <c r="M369" s="6"/>
      <c r="N369" s="6"/>
      <c r="O369" s="6"/>
      <c r="P369" s="6"/>
      <c r="Q369" s="6"/>
      <c r="R369" s="6"/>
      <c r="S369" s="6"/>
      <c r="T369" s="6"/>
      <c r="U369" s="6"/>
      <c r="V369" s="6"/>
      <c r="W369" s="6"/>
      <c r="X369" s="6"/>
      <c r="Y369" s="6"/>
      <c r="Z369" s="6"/>
    </row>
    <row r="370" spans="1:26" ht="15.75" customHeight="1" x14ac:dyDescent="0.3">
      <c r="A370" s="10" t="s">
        <v>3940</v>
      </c>
      <c r="B370" s="10">
        <v>1993</v>
      </c>
      <c r="C370" s="10" t="s">
        <v>4715</v>
      </c>
      <c r="D370" s="10">
        <v>12</v>
      </c>
      <c r="E370" s="10">
        <v>1</v>
      </c>
      <c r="F370" s="24">
        <v>3471.41</v>
      </c>
      <c r="G370" s="10" t="s">
        <v>4695</v>
      </c>
      <c r="H370" s="10" t="s">
        <v>4695</v>
      </c>
      <c r="I370" s="10" t="s">
        <v>4708</v>
      </c>
      <c r="J370" s="17">
        <f t="shared" si="2"/>
        <v>34254</v>
      </c>
      <c r="K370" s="10">
        <f t="shared" ca="1" si="3"/>
        <v>32</v>
      </c>
      <c r="L370" s="6"/>
      <c r="M370" s="6"/>
      <c r="N370" s="6"/>
      <c r="O370" s="6"/>
      <c r="P370" s="6"/>
      <c r="Q370" s="6"/>
      <c r="R370" s="6"/>
      <c r="S370" s="6"/>
      <c r="T370" s="6"/>
      <c r="U370" s="6"/>
      <c r="V370" s="6"/>
      <c r="W370" s="6"/>
      <c r="X370" s="6"/>
      <c r="Y370" s="6"/>
      <c r="Z370" s="6"/>
    </row>
    <row r="371" spans="1:26" ht="15.75" customHeight="1" x14ac:dyDescent="0.3">
      <c r="A371" s="10" t="s">
        <v>3938</v>
      </c>
      <c r="B371" s="10">
        <v>2004</v>
      </c>
      <c r="C371" s="10" t="s">
        <v>4710</v>
      </c>
      <c r="D371" s="10">
        <v>26</v>
      </c>
      <c r="E371" s="10">
        <v>3</v>
      </c>
      <c r="F371" s="24">
        <v>3481.87</v>
      </c>
      <c r="G371" s="10" t="s">
        <v>4695</v>
      </c>
      <c r="H371" s="10" t="s">
        <v>4696</v>
      </c>
      <c r="I371" s="10" t="s">
        <v>4720</v>
      </c>
      <c r="J371" s="17">
        <f t="shared" si="2"/>
        <v>38164</v>
      </c>
      <c r="K371" s="10">
        <f t="shared" ca="1" si="3"/>
        <v>21</v>
      </c>
      <c r="L371" s="6"/>
      <c r="M371" s="6"/>
      <c r="N371" s="6"/>
      <c r="O371" s="6"/>
      <c r="P371" s="6"/>
      <c r="Q371" s="6"/>
      <c r="R371" s="6"/>
      <c r="S371" s="6"/>
      <c r="T371" s="6"/>
      <c r="U371" s="6"/>
      <c r="V371" s="6"/>
      <c r="W371" s="6"/>
      <c r="X371" s="6"/>
      <c r="Y371" s="6"/>
      <c r="Z371" s="6"/>
    </row>
    <row r="372" spans="1:26" ht="15.75" customHeight="1" x14ac:dyDescent="0.3">
      <c r="A372" s="10" t="s">
        <v>3936</v>
      </c>
      <c r="B372" s="10">
        <v>1996</v>
      </c>
      <c r="C372" s="10" t="s">
        <v>4711</v>
      </c>
      <c r="D372" s="10">
        <v>19</v>
      </c>
      <c r="E372" s="10">
        <v>2</v>
      </c>
      <c r="F372" s="24">
        <v>3484.33</v>
      </c>
      <c r="G372" s="10" t="s">
        <v>4696</v>
      </c>
      <c r="H372" s="10" t="s">
        <v>4696</v>
      </c>
      <c r="I372" s="10" t="s">
        <v>4716</v>
      </c>
      <c r="J372" s="17">
        <f t="shared" si="2"/>
        <v>35327</v>
      </c>
      <c r="K372" s="10">
        <f t="shared" ca="1" si="3"/>
        <v>29</v>
      </c>
      <c r="L372" s="6"/>
      <c r="M372" s="6"/>
      <c r="N372" s="6"/>
      <c r="O372" s="6"/>
      <c r="P372" s="6"/>
      <c r="Q372" s="6"/>
      <c r="R372" s="6"/>
      <c r="S372" s="6"/>
      <c r="T372" s="6"/>
      <c r="U372" s="6"/>
      <c r="V372" s="6"/>
      <c r="W372" s="6"/>
      <c r="X372" s="6"/>
      <c r="Y372" s="6"/>
      <c r="Z372" s="6"/>
    </row>
    <row r="373" spans="1:26" ht="15.75" customHeight="1" x14ac:dyDescent="0.3">
      <c r="A373" s="10" t="s">
        <v>3934</v>
      </c>
      <c r="B373" s="10">
        <v>1996</v>
      </c>
      <c r="C373" s="10" t="s">
        <v>4711</v>
      </c>
      <c r="D373" s="10">
        <v>18</v>
      </c>
      <c r="E373" s="10">
        <v>1</v>
      </c>
      <c r="F373" s="24">
        <v>3490.55</v>
      </c>
      <c r="G373" s="10" t="s">
        <v>4694</v>
      </c>
      <c r="H373" s="10" t="s">
        <v>4695</v>
      </c>
      <c r="I373" s="10" t="s">
        <v>4718</v>
      </c>
      <c r="J373" s="17">
        <f t="shared" si="2"/>
        <v>35326</v>
      </c>
      <c r="K373" s="10">
        <f t="shared" ca="1" si="3"/>
        <v>29</v>
      </c>
      <c r="L373" s="6"/>
      <c r="M373" s="6"/>
      <c r="N373" s="6"/>
      <c r="O373" s="6"/>
      <c r="P373" s="6"/>
      <c r="Q373" s="6"/>
      <c r="R373" s="6"/>
      <c r="S373" s="6"/>
      <c r="T373" s="6"/>
      <c r="U373" s="6"/>
      <c r="V373" s="6"/>
      <c r="W373" s="6"/>
      <c r="X373" s="6"/>
      <c r="Y373" s="6"/>
      <c r="Z373" s="6"/>
    </row>
    <row r="374" spans="1:26" ht="15.75" customHeight="1" x14ac:dyDescent="0.3">
      <c r="A374" s="10" t="s">
        <v>3932</v>
      </c>
      <c r="B374" s="10">
        <v>1999</v>
      </c>
      <c r="C374" s="10" t="s">
        <v>4711</v>
      </c>
      <c r="D374" s="10">
        <v>22</v>
      </c>
      <c r="E374" s="10">
        <v>2</v>
      </c>
      <c r="F374" s="24">
        <v>3500.61</v>
      </c>
      <c r="G374" s="10" t="s">
        <v>4695</v>
      </c>
      <c r="H374" s="10" t="s">
        <v>4695</v>
      </c>
      <c r="I374" s="10" t="s">
        <v>4708</v>
      </c>
      <c r="J374" s="17">
        <f t="shared" si="2"/>
        <v>36425</v>
      </c>
      <c r="K374" s="10">
        <f t="shared" ca="1" si="3"/>
        <v>26</v>
      </c>
      <c r="L374" s="6"/>
      <c r="M374" s="6"/>
      <c r="N374" s="6"/>
      <c r="O374" s="6"/>
      <c r="P374" s="6"/>
      <c r="Q374" s="6"/>
      <c r="R374" s="6"/>
      <c r="S374" s="6"/>
      <c r="T374" s="6"/>
      <c r="U374" s="6"/>
      <c r="V374" s="6"/>
      <c r="W374" s="6"/>
      <c r="X374" s="6"/>
      <c r="Y374" s="6"/>
      <c r="Z374" s="6"/>
    </row>
    <row r="375" spans="1:26" ht="15.75" customHeight="1" x14ac:dyDescent="0.3">
      <c r="A375" s="10" t="s">
        <v>3930</v>
      </c>
      <c r="B375" s="10">
        <v>1998</v>
      </c>
      <c r="C375" s="10" t="s">
        <v>4711</v>
      </c>
      <c r="D375" s="10">
        <v>16</v>
      </c>
      <c r="E375" s="10">
        <v>2</v>
      </c>
      <c r="F375" s="24">
        <v>3537.7</v>
      </c>
      <c r="G375" s="10" t="s">
        <v>4696</v>
      </c>
      <c r="H375" s="10" t="s">
        <v>4696</v>
      </c>
      <c r="I375" s="10" t="s">
        <v>4712</v>
      </c>
      <c r="J375" s="17">
        <f t="shared" si="2"/>
        <v>36054</v>
      </c>
      <c r="K375" s="10">
        <f t="shared" ca="1" si="3"/>
        <v>27</v>
      </c>
      <c r="L375" s="6"/>
      <c r="M375" s="6"/>
      <c r="N375" s="6"/>
      <c r="O375" s="6"/>
      <c r="P375" s="6"/>
      <c r="Q375" s="6"/>
      <c r="R375" s="6"/>
      <c r="S375" s="6"/>
      <c r="T375" s="6"/>
      <c r="U375" s="6"/>
      <c r="V375" s="6"/>
      <c r="W375" s="6"/>
      <c r="X375" s="6"/>
      <c r="Y375" s="6"/>
      <c r="Z375" s="6"/>
    </row>
    <row r="376" spans="1:26" ht="15.75" customHeight="1" x14ac:dyDescent="0.3">
      <c r="A376" s="10" t="s">
        <v>3928</v>
      </c>
      <c r="B376" s="10">
        <v>2003</v>
      </c>
      <c r="C376" s="10" t="s">
        <v>4714</v>
      </c>
      <c r="D376" s="10">
        <v>24</v>
      </c>
      <c r="E376" s="10">
        <v>0</v>
      </c>
      <c r="F376" s="24">
        <v>3538.9</v>
      </c>
      <c r="G376" s="10" t="s">
        <v>4695</v>
      </c>
      <c r="H376" s="10" t="s">
        <v>4695</v>
      </c>
      <c r="I376" s="10" t="s">
        <v>4712</v>
      </c>
      <c r="J376" s="17">
        <f t="shared" si="2"/>
        <v>37857</v>
      </c>
      <c r="K376" s="10">
        <f t="shared" ca="1" si="3"/>
        <v>22</v>
      </c>
      <c r="L376" s="6"/>
      <c r="M376" s="6"/>
      <c r="N376" s="6"/>
      <c r="O376" s="6"/>
      <c r="P376" s="6"/>
      <c r="Q376" s="6"/>
      <c r="R376" s="6"/>
      <c r="S376" s="6"/>
      <c r="T376" s="6"/>
      <c r="U376" s="6"/>
      <c r="V376" s="6"/>
      <c r="W376" s="6"/>
      <c r="X376" s="6"/>
      <c r="Y376" s="6"/>
      <c r="Z376" s="6"/>
    </row>
    <row r="377" spans="1:26" ht="15.75" customHeight="1" x14ac:dyDescent="0.3">
      <c r="A377" s="10" t="s">
        <v>3926</v>
      </c>
      <c r="B377" s="10">
        <v>1988</v>
      </c>
      <c r="C377" s="10" t="s">
        <v>4715</v>
      </c>
      <c r="D377" s="10">
        <v>15</v>
      </c>
      <c r="E377" s="10">
        <v>3</v>
      </c>
      <c r="F377" s="24">
        <v>3540.12</v>
      </c>
      <c r="G377" s="10" t="s">
        <v>4695</v>
      </c>
      <c r="H377" s="10" t="s">
        <v>4694</v>
      </c>
      <c r="I377" s="10" t="s">
        <v>4708</v>
      </c>
      <c r="J377" s="17">
        <f t="shared" si="2"/>
        <v>32431</v>
      </c>
      <c r="K377" s="10">
        <f t="shared" ca="1" si="3"/>
        <v>37</v>
      </c>
      <c r="L377" s="6"/>
      <c r="M377" s="6"/>
      <c r="N377" s="6"/>
      <c r="O377" s="6"/>
      <c r="P377" s="6"/>
      <c r="Q377" s="6"/>
      <c r="R377" s="6"/>
      <c r="S377" s="6"/>
      <c r="T377" s="6"/>
      <c r="U377" s="6"/>
      <c r="V377" s="6"/>
      <c r="W377" s="6"/>
      <c r="X377" s="6"/>
      <c r="Y377" s="6"/>
      <c r="Z377" s="6"/>
    </row>
    <row r="378" spans="1:26" ht="15.75" customHeight="1" x14ac:dyDescent="0.3">
      <c r="A378" s="10" t="s">
        <v>3924</v>
      </c>
      <c r="B378" s="10">
        <v>1992</v>
      </c>
      <c r="C378" s="10" t="s">
        <v>4713</v>
      </c>
      <c r="D378" s="10">
        <v>22</v>
      </c>
      <c r="E378" s="10">
        <v>0</v>
      </c>
      <c r="F378" s="24">
        <v>3554.2</v>
      </c>
      <c r="G378" s="10" t="s">
        <v>4695</v>
      </c>
      <c r="H378" s="10" t="s">
        <v>4696</v>
      </c>
      <c r="I378" s="10" t="s">
        <v>4716</v>
      </c>
      <c r="J378" s="17">
        <f t="shared" si="2"/>
        <v>33960</v>
      </c>
      <c r="K378" s="10">
        <f t="shared" ca="1" si="3"/>
        <v>32</v>
      </c>
      <c r="L378" s="6"/>
      <c r="M378" s="6"/>
      <c r="N378" s="6"/>
      <c r="O378" s="6"/>
      <c r="P378" s="6"/>
      <c r="Q378" s="6"/>
      <c r="R378" s="6"/>
      <c r="S378" s="6"/>
      <c r="T378" s="6"/>
      <c r="U378" s="6"/>
      <c r="V378" s="6"/>
      <c r="W378" s="6"/>
      <c r="X378" s="6"/>
      <c r="Y378" s="6"/>
      <c r="Z378" s="6"/>
    </row>
    <row r="379" spans="1:26" ht="15.75" customHeight="1" x14ac:dyDescent="0.3">
      <c r="A379" s="10" t="s">
        <v>3922</v>
      </c>
      <c r="B379" s="10">
        <v>1994</v>
      </c>
      <c r="C379" s="10" t="s">
        <v>4711</v>
      </c>
      <c r="D379" s="10">
        <v>24</v>
      </c>
      <c r="E379" s="10">
        <v>0</v>
      </c>
      <c r="F379" s="24">
        <v>3556.92</v>
      </c>
      <c r="G379" s="10" t="s">
        <v>4695</v>
      </c>
      <c r="H379" s="10" t="s">
        <v>4696</v>
      </c>
      <c r="I379" s="10" t="s">
        <v>4712</v>
      </c>
      <c r="J379" s="17">
        <f t="shared" si="2"/>
        <v>34601</v>
      </c>
      <c r="K379" s="10">
        <f t="shared" ca="1" si="3"/>
        <v>31</v>
      </c>
      <c r="L379" s="6"/>
      <c r="M379" s="6"/>
      <c r="N379" s="6"/>
      <c r="O379" s="6"/>
      <c r="P379" s="6"/>
      <c r="Q379" s="6"/>
      <c r="R379" s="6"/>
      <c r="S379" s="6"/>
      <c r="T379" s="6"/>
      <c r="U379" s="6"/>
      <c r="V379" s="6"/>
      <c r="W379" s="6"/>
      <c r="X379" s="6"/>
      <c r="Y379" s="6"/>
      <c r="Z379" s="6"/>
    </row>
    <row r="380" spans="1:26" ht="15.75" customHeight="1" x14ac:dyDescent="0.3">
      <c r="A380" s="10" t="s">
        <v>3920</v>
      </c>
      <c r="B380" s="10">
        <v>1995</v>
      </c>
      <c r="C380" s="10" t="s">
        <v>4715</v>
      </c>
      <c r="D380" s="10">
        <v>9</v>
      </c>
      <c r="E380" s="10">
        <v>0</v>
      </c>
      <c r="F380" s="24">
        <v>3558.62</v>
      </c>
      <c r="G380" s="10" t="s">
        <v>4695</v>
      </c>
      <c r="H380" s="10" t="s">
        <v>4696</v>
      </c>
      <c r="I380" s="10" t="s">
        <v>4723</v>
      </c>
      <c r="J380" s="17">
        <f t="shared" si="2"/>
        <v>34981</v>
      </c>
      <c r="K380" s="10">
        <f t="shared" ca="1" si="3"/>
        <v>30</v>
      </c>
      <c r="L380" s="6"/>
      <c r="M380" s="6"/>
      <c r="N380" s="6"/>
      <c r="O380" s="6"/>
      <c r="P380" s="6"/>
      <c r="Q380" s="6"/>
      <c r="R380" s="6"/>
      <c r="S380" s="6"/>
      <c r="T380" s="6"/>
      <c r="U380" s="6"/>
      <c r="V380" s="6"/>
      <c r="W380" s="6"/>
      <c r="X380" s="6"/>
      <c r="Y380" s="6"/>
      <c r="Z380" s="6"/>
    </row>
    <row r="381" spans="1:26" ht="15.75" customHeight="1" x14ac:dyDescent="0.3">
      <c r="A381" s="10" t="s">
        <v>3918</v>
      </c>
      <c r="B381" s="10">
        <v>1995</v>
      </c>
      <c r="C381" s="10" t="s">
        <v>4710</v>
      </c>
      <c r="D381" s="10">
        <v>16</v>
      </c>
      <c r="E381" s="10">
        <v>1</v>
      </c>
      <c r="F381" s="24">
        <v>3561.89</v>
      </c>
      <c r="G381" s="10" t="s">
        <v>4695</v>
      </c>
      <c r="H381" s="10" t="s">
        <v>4694</v>
      </c>
      <c r="I381" s="10" t="s">
        <v>4708</v>
      </c>
      <c r="J381" s="17">
        <f t="shared" si="2"/>
        <v>34866</v>
      </c>
      <c r="K381" s="10">
        <f t="shared" ca="1" si="3"/>
        <v>30</v>
      </c>
      <c r="L381" s="6"/>
      <c r="M381" s="6"/>
      <c r="N381" s="6"/>
      <c r="O381" s="6"/>
      <c r="P381" s="6"/>
      <c r="Q381" s="6"/>
      <c r="R381" s="6"/>
      <c r="S381" s="6"/>
      <c r="T381" s="6"/>
      <c r="U381" s="6"/>
      <c r="V381" s="6"/>
      <c r="W381" s="6"/>
      <c r="X381" s="6"/>
      <c r="Y381" s="6"/>
      <c r="Z381" s="6"/>
    </row>
    <row r="382" spans="1:26" ht="15.75" customHeight="1" x14ac:dyDescent="0.3">
      <c r="A382" s="10" t="s">
        <v>3916</v>
      </c>
      <c r="B382" s="10">
        <v>1981</v>
      </c>
      <c r="C382" s="10" t="s">
        <v>4715</v>
      </c>
      <c r="D382" s="10">
        <v>10</v>
      </c>
      <c r="E382" s="10">
        <v>1</v>
      </c>
      <c r="F382" s="24">
        <v>3562.87</v>
      </c>
      <c r="G382" s="10" t="s">
        <v>4695</v>
      </c>
      <c r="H382" s="10" t="s">
        <v>4694</v>
      </c>
      <c r="I382" s="10" t="s">
        <v>4708</v>
      </c>
      <c r="J382" s="17">
        <f t="shared" si="2"/>
        <v>29869</v>
      </c>
      <c r="K382" s="10">
        <f t="shared" ca="1" si="3"/>
        <v>44</v>
      </c>
      <c r="L382" s="6"/>
      <c r="M382" s="6"/>
      <c r="N382" s="6"/>
      <c r="O382" s="6"/>
      <c r="P382" s="6"/>
      <c r="Q382" s="6"/>
      <c r="R382" s="6"/>
      <c r="S382" s="6"/>
      <c r="T382" s="6"/>
      <c r="U382" s="6"/>
      <c r="V382" s="6"/>
      <c r="W382" s="6"/>
      <c r="X382" s="6"/>
      <c r="Y382" s="6"/>
      <c r="Z382" s="6"/>
    </row>
    <row r="383" spans="1:26" ht="15.75" customHeight="1" x14ac:dyDescent="0.3">
      <c r="A383" s="10" t="s">
        <v>3914</v>
      </c>
      <c r="B383" s="10">
        <v>1988</v>
      </c>
      <c r="C383" s="10" t="s">
        <v>4714</v>
      </c>
      <c r="D383" s="10">
        <v>18</v>
      </c>
      <c r="E383" s="10">
        <v>3</v>
      </c>
      <c r="F383" s="24">
        <v>3569.96</v>
      </c>
      <c r="G383" s="10" t="s">
        <v>4695</v>
      </c>
      <c r="H383" s="10" t="s">
        <v>4694</v>
      </c>
      <c r="I383" s="10" t="s">
        <v>4712</v>
      </c>
      <c r="J383" s="17">
        <f t="shared" si="2"/>
        <v>32373</v>
      </c>
      <c r="K383" s="10">
        <f t="shared" ca="1" si="3"/>
        <v>37</v>
      </c>
      <c r="L383" s="6"/>
      <c r="M383" s="6"/>
      <c r="N383" s="6"/>
      <c r="O383" s="6"/>
      <c r="P383" s="6"/>
      <c r="Q383" s="6"/>
      <c r="R383" s="6"/>
      <c r="S383" s="6"/>
      <c r="T383" s="6"/>
      <c r="U383" s="6"/>
      <c r="V383" s="6"/>
      <c r="W383" s="6"/>
      <c r="X383" s="6"/>
      <c r="Y383" s="6"/>
      <c r="Z383" s="6"/>
    </row>
    <row r="384" spans="1:26" ht="15.75" customHeight="1" x14ac:dyDescent="0.3">
      <c r="A384" s="10" t="s">
        <v>3912</v>
      </c>
      <c r="B384" s="10">
        <v>1995</v>
      </c>
      <c r="C384" s="10" t="s">
        <v>4714</v>
      </c>
      <c r="D384" s="10">
        <v>23</v>
      </c>
      <c r="E384" s="10">
        <v>1</v>
      </c>
      <c r="F384" s="24">
        <v>3578</v>
      </c>
      <c r="G384" s="10" t="s">
        <v>4695</v>
      </c>
      <c r="H384" s="10" t="s">
        <v>4696</v>
      </c>
      <c r="I384" s="10" t="s">
        <v>4716</v>
      </c>
      <c r="J384" s="17">
        <f t="shared" si="2"/>
        <v>34934</v>
      </c>
      <c r="K384" s="10">
        <f t="shared" ca="1" si="3"/>
        <v>30</v>
      </c>
      <c r="L384" s="6"/>
      <c r="M384" s="6"/>
      <c r="N384" s="6"/>
      <c r="O384" s="6"/>
      <c r="P384" s="6"/>
      <c r="Q384" s="6"/>
      <c r="R384" s="6"/>
      <c r="S384" s="6"/>
      <c r="T384" s="6"/>
      <c r="U384" s="6"/>
      <c r="V384" s="6"/>
      <c r="W384" s="6"/>
      <c r="X384" s="6"/>
      <c r="Y384" s="6"/>
      <c r="Z384" s="6"/>
    </row>
    <row r="385" spans="1:26" ht="15.75" customHeight="1" x14ac:dyDescent="0.3">
      <c r="A385" s="10" t="s">
        <v>3910</v>
      </c>
      <c r="B385" s="10">
        <v>2001</v>
      </c>
      <c r="C385" s="10" t="s">
        <v>4709</v>
      </c>
      <c r="D385" s="10">
        <v>11</v>
      </c>
      <c r="E385" s="10">
        <v>2</v>
      </c>
      <c r="F385" s="24">
        <v>3579.83</v>
      </c>
      <c r="G385" s="10" t="s">
        <v>4695</v>
      </c>
      <c r="H385" s="10" t="s">
        <v>4695</v>
      </c>
      <c r="I385" s="10" t="s">
        <v>4712</v>
      </c>
      <c r="J385" s="17">
        <f t="shared" si="2"/>
        <v>37206</v>
      </c>
      <c r="K385" s="10">
        <f t="shared" ca="1" si="3"/>
        <v>24</v>
      </c>
      <c r="L385" s="6"/>
      <c r="M385" s="6"/>
      <c r="N385" s="6"/>
      <c r="O385" s="6"/>
      <c r="P385" s="6"/>
      <c r="Q385" s="6"/>
      <c r="R385" s="6"/>
      <c r="S385" s="6"/>
      <c r="T385" s="6"/>
      <c r="U385" s="6"/>
      <c r="V385" s="6"/>
      <c r="W385" s="6"/>
      <c r="X385" s="6"/>
      <c r="Y385" s="6"/>
      <c r="Z385" s="6"/>
    </row>
    <row r="386" spans="1:26" ht="15.75" customHeight="1" x14ac:dyDescent="0.3">
      <c r="A386" s="10" t="s">
        <v>3908</v>
      </c>
      <c r="B386" s="10">
        <v>1986</v>
      </c>
      <c r="C386" s="10" t="s">
        <v>4713</v>
      </c>
      <c r="D386" s="10">
        <v>27</v>
      </c>
      <c r="E386" s="10">
        <v>3</v>
      </c>
      <c r="F386" s="24">
        <v>3589.14</v>
      </c>
      <c r="G386" s="10" t="s">
        <v>4695</v>
      </c>
      <c r="H386" s="10" t="s">
        <v>4695</v>
      </c>
      <c r="I386" s="10" t="s">
        <v>4708</v>
      </c>
      <c r="J386" s="17">
        <f t="shared" si="2"/>
        <v>31773</v>
      </c>
      <c r="K386" s="10">
        <f t="shared" ca="1" si="3"/>
        <v>38</v>
      </c>
      <c r="L386" s="6"/>
      <c r="M386" s="6"/>
      <c r="N386" s="6"/>
      <c r="O386" s="6"/>
      <c r="P386" s="6"/>
      <c r="Q386" s="6"/>
      <c r="R386" s="6"/>
      <c r="S386" s="6"/>
      <c r="T386" s="6"/>
      <c r="U386" s="6"/>
      <c r="V386" s="6"/>
      <c r="W386" s="6"/>
      <c r="X386" s="6"/>
      <c r="Y386" s="6"/>
      <c r="Z386" s="6"/>
    </row>
    <row r="387" spans="1:26" ht="15.75" customHeight="1" x14ac:dyDescent="0.3">
      <c r="A387" s="10" t="s">
        <v>3906</v>
      </c>
      <c r="B387" s="10">
        <v>1999</v>
      </c>
      <c r="C387" s="10" t="s">
        <v>4710</v>
      </c>
      <c r="D387" s="10">
        <v>6</v>
      </c>
      <c r="E387" s="10">
        <v>3</v>
      </c>
      <c r="F387" s="24">
        <v>3591.48</v>
      </c>
      <c r="G387" s="10" t="s">
        <v>4695</v>
      </c>
      <c r="H387" s="10" t="s">
        <v>4696</v>
      </c>
      <c r="I387" s="10" t="s">
        <v>4716</v>
      </c>
      <c r="J387" s="17">
        <f t="shared" si="2"/>
        <v>36317</v>
      </c>
      <c r="K387" s="10">
        <f t="shared" ca="1" si="3"/>
        <v>26</v>
      </c>
      <c r="L387" s="6"/>
      <c r="M387" s="6"/>
      <c r="N387" s="6"/>
      <c r="O387" s="6"/>
      <c r="P387" s="6"/>
      <c r="Q387" s="6"/>
      <c r="R387" s="6"/>
      <c r="S387" s="6"/>
      <c r="T387" s="6"/>
      <c r="U387" s="6"/>
      <c r="V387" s="6"/>
      <c r="W387" s="6"/>
      <c r="X387" s="6"/>
      <c r="Y387" s="6"/>
      <c r="Z387" s="6"/>
    </row>
    <row r="388" spans="1:26" ht="15.75" customHeight="1" x14ac:dyDescent="0.3">
      <c r="A388" s="10" t="s">
        <v>3904</v>
      </c>
      <c r="B388" s="10">
        <v>1997</v>
      </c>
      <c r="C388" s="10" t="s">
        <v>4709</v>
      </c>
      <c r="D388" s="10">
        <v>4</v>
      </c>
      <c r="E388" s="10">
        <v>1</v>
      </c>
      <c r="F388" s="24">
        <v>3594.17</v>
      </c>
      <c r="G388" s="10" t="s">
        <v>4695</v>
      </c>
      <c r="H388" s="10" t="s">
        <v>4695</v>
      </c>
      <c r="I388" s="10" t="s">
        <v>4712</v>
      </c>
      <c r="J388" s="17">
        <f t="shared" si="2"/>
        <v>35738</v>
      </c>
      <c r="K388" s="10">
        <f t="shared" ca="1" si="3"/>
        <v>28</v>
      </c>
      <c r="L388" s="6"/>
      <c r="M388" s="6"/>
      <c r="N388" s="6"/>
      <c r="O388" s="6"/>
      <c r="P388" s="6"/>
      <c r="Q388" s="6"/>
      <c r="R388" s="6"/>
      <c r="S388" s="6"/>
      <c r="T388" s="6"/>
      <c r="U388" s="6"/>
      <c r="V388" s="6"/>
      <c r="W388" s="6"/>
      <c r="X388" s="6"/>
      <c r="Y388" s="6"/>
      <c r="Z388" s="6"/>
    </row>
    <row r="389" spans="1:26" ht="15.75" customHeight="1" x14ac:dyDescent="0.3">
      <c r="A389" s="10" t="s">
        <v>3902</v>
      </c>
      <c r="B389" s="10">
        <v>1999</v>
      </c>
      <c r="C389" s="10" t="s">
        <v>4714</v>
      </c>
      <c r="D389" s="10">
        <v>12</v>
      </c>
      <c r="E389" s="10">
        <v>3</v>
      </c>
      <c r="F389" s="24">
        <v>3597.6</v>
      </c>
      <c r="G389" s="10" t="s">
        <v>4695</v>
      </c>
      <c r="H389" s="10" t="s">
        <v>4695</v>
      </c>
      <c r="I389" s="10" t="s">
        <v>4716</v>
      </c>
      <c r="J389" s="17">
        <f t="shared" si="2"/>
        <v>36384</v>
      </c>
      <c r="K389" s="10">
        <f t="shared" ca="1" si="3"/>
        <v>26</v>
      </c>
      <c r="L389" s="6"/>
      <c r="M389" s="6"/>
      <c r="N389" s="6"/>
      <c r="O389" s="6"/>
      <c r="P389" s="6"/>
      <c r="Q389" s="6"/>
      <c r="R389" s="6"/>
      <c r="S389" s="6"/>
      <c r="T389" s="6"/>
      <c r="U389" s="6"/>
      <c r="V389" s="6"/>
      <c r="W389" s="6"/>
      <c r="X389" s="6"/>
      <c r="Y389" s="6"/>
      <c r="Z389" s="6"/>
    </row>
    <row r="390" spans="1:26" ht="15.75" customHeight="1" x14ac:dyDescent="0.3">
      <c r="A390" s="10" t="s">
        <v>3900</v>
      </c>
      <c r="B390" s="10">
        <v>1988</v>
      </c>
      <c r="C390" s="10" t="s">
        <v>4709</v>
      </c>
      <c r="D390" s="10">
        <v>4</v>
      </c>
      <c r="E390" s="10">
        <v>3</v>
      </c>
      <c r="F390" s="24">
        <v>3603.6</v>
      </c>
      <c r="G390" s="10" t="s">
        <v>4695</v>
      </c>
      <c r="H390" s="10" t="s">
        <v>4694</v>
      </c>
      <c r="I390" s="10" t="s">
        <v>4708</v>
      </c>
      <c r="J390" s="17">
        <f t="shared" si="2"/>
        <v>32451</v>
      </c>
      <c r="K390" s="10">
        <f t="shared" ca="1" si="3"/>
        <v>37</v>
      </c>
      <c r="L390" s="6"/>
      <c r="M390" s="6"/>
      <c r="N390" s="6"/>
      <c r="O390" s="6"/>
      <c r="P390" s="6"/>
      <c r="Q390" s="6"/>
      <c r="R390" s="6"/>
      <c r="S390" s="6"/>
      <c r="T390" s="6"/>
      <c r="U390" s="6"/>
      <c r="V390" s="6"/>
      <c r="W390" s="6"/>
      <c r="X390" s="6"/>
      <c r="Y390" s="6"/>
      <c r="Z390" s="6"/>
    </row>
    <row r="391" spans="1:26" ht="15.75" customHeight="1" x14ac:dyDescent="0.3">
      <c r="A391" s="10" t="s">
        <v>3898</v>
      </c>
      <c r="B391" s="10">
        <v>1990</v>
      </c>
      <c r="C391" s="10" t="s">
        <v>4715</v>
      </c>
      <c r="D391" s="10">
        <v>11</v>
      </c>
      <c r="E391" s="10">
        <v>3</v>
      </c>
      <c r="F391" s="24">
        <v>3606.43</v>
      </c>
      <c r="G391" s="10" t="s">
        <v>4695</v>
      </c>
      <c r="H391" s="10" t="s">
        <v>4694</v>
      </c>
      <c r="I391" s="10" t="s">
        <v>4708</v>
      </c>
      <c r="J391" s="17">
        <f t="shared" si="2"/>
        <v>33157</v>
      </c>
      <c r="K391" s="10">
        <f t="shared" ca="1" si="3"/>
        <v>35</v>
      </c>
      <c r="L391" s="6"/>
      <c r="M391" s="6"/>
      <c r="N391" s="6"/>
      <c r="O391" s="6"/>
      <c r="P391" s="6"/>
      <c r="Q391" s="6"/>
      <c r="R391" s="6"/>
      <c r="S391" s="6"/>
      <c r="T391" s="6"/>
      <c r="U391" s="6"/>
      <c r="V391" s="6"/>
      <c r="W391" s="6"/>
      <c r="X391" s="6"/>
      <c r="Y391" s="6"/>
      <c r="Z391" s="6"/>
    </row>
    <row r="392" spans="1:26" ht="15.75" customHeight="1" x14ac:dyDescent="0.3">
      <c r="A392" s="10" t="s">
        <v>3896</v>
      </c>
      <c r="B392" s="10">
        <v>1985</v>
      </c>
      <c r="C392" s="10" t="s">
        <v>4710</v>
      </c>
      <c r="D392" s="10">
        <v>14</v>
      </c>
      <c r="E392" s="10">
        <v>3</v>
      </c>
      <c r="F392" s="24">
        <v>3622.13</v>
      </c>
      <c r="G392" s="10" t="s">
        <v>4695</v>
      </c>
      <c r="H392" s="10" t="s">
        <v>4694</v>
      </c>
      <c r="I392" s="10" t="s">
        <v>4708</v>
      </c>
      <c r="J392" s="17">
        <f t="shared" si="2"/>
        <v>31212</v>
      </c>
      <c r="K392" s="10">
        <f t="shared" ca="1" si="3"/>
        <v>40</v>
      </c>
      <c r="L392" s="6"/>
      <c r="M392" s="6"/>
      <c r="N392" s="6"/>
      <c r="O392" s="6"/>
      <c r="P392" s="6"/>
      <c r="Q392" s="6"/>
      <c r="R392" s="6"/>
      <c r="S392" s="6"/>
      <c r="T392" s="6"/>
      <c r="U392" s="6"/>
      <c r="V392" s="6"/>
      <c r="W392" s="6"/>
      <c r="X392" s="6"/>
      <c r="Y392" s="6"/>
      <c r="Z392" s="6"/>
    </row>
    <row r="393" spans="1:26" ht="15.75" customHeight="1" x14ac:dyDescent="0.3">
      <c r="A393" s="10" t="s">
        <v>3894</v>
      </c>
      <c r="B393" s="10">
        <v>1992</v>
      </c>
      <c r="C393" s="10" t="s">
        <v>4709</v>
      </c>
      <c r="D393" s="10">
        <v>17</v>
      </c>
      <c r="E393" s="10">
        <v>0</v>
      </c>
      <c r="F393" s="24">
        <v>3645.09</v>
      </c>
      <c r="G393" s="10" t="s">
        <v>4694</v>
      </c>
      <c r="H393" s="10" t="s">
        <v>4695</v>
      </c>
      <c r="I393" s="10" t="s">
        <v>4725</v>
      </c>
      <c r="J393" s="17">
        <f t="shared" si="2"/>
        <v>33925</v>
      </c>
      <c r="K393" s="10">
        <f t="shared" ca="1" si="3"/>
        <v>33</v>
      </c>
      <c r="L393" s="6"/>
      <c r="M393" s="6"/>
      <c r="N393" s="6"/>
      <c r="O393" s="6"/>
      <c r="P393" s="6"/>
      <c r="Q393" s="6"/>
      <c r="R393" s="6"/>
      <c r="S393" s="6"/>
      <c r="T393" s="6"/>
      <c r="U393" s="6"/>
      <c r="V393" s="6"/>
      <c r="W393" s="6"/>
      <c r="X393" s="6"/>
      <c r="Y393" s="6"/>
      <c r="Z393" s="6"/>
    </row>
    <row r="394" spans="1:26" ht="15.75" customHeight="1" x14ac:dyDescent="0.3">
      <c r="A394" s="10" t="s">
        <v>3892</v>
      </c>
      <c r="B394" s="10">
        <v>1990</v>
      </c>
      <c r="C394" s="10" t="s">
        <v>4709</v>
      </c>
      <c r="D394" s="10">
        <v>8</v>
      </c>
      <c r="E394" s="10">
        <v>3</v>
      </c>
      <c r="F394" s="24">
        <v>3653.29</v>
      </c>
      <c r="G394" s="10" t="s">
        <v>4695</v>
      </c>
      <c r="H394" s="10" t="s">
        <v>4696</v>
      </c>
      <c r="I394" s="10" t="s">
        <v>4716</v>
      </c>
      <c r="J394" s="17">
        <f t="shared" si="2"/>
        <v>33185</v>
      </c>
      <c r="K394" s="10">
        <f t="shared" ca="1" si="3"/>
        <v>35</v>
      </c>
      <c r="L394" s="6"/>
      <c r="M394" s="6"/>
      <c r="N394" s="6"/>
      <c r="O394" s="6"/>
      <c r="P394" s="6"/>
      <c r="Q394" s="6"/>
      <c r="R394" s="6"/>
      <c r="S394" s="6"/>
      <c r="T394" s="6"/>
      <c r="U394" s="6"/>
      <c r="V394" s="6"/>
      <c r="W394" s="6"/>
      <c r="X394" s="6"/>
      <c r="Y394" s="6"/>
      <c r="Z394" s="6"/>
    </row>
    <row r="395" spans="1:26" ht="15.75" customHeight="1" x14ac:dyDescent="0.3">
      <c r="A395" s="10" t="s">
        <v>3890</v>
      </c>
      <c r="B395" s="10">
        <v>1992</v>
      </c>
      <c r="C395" s="10" t="s">
        <v>4711</v>
      </c>
      <c r="D395" s="10">
        <v>14</v>
      </c>
      <c r="E395" s="10">
        <v>1</v>
      </c>
      <c r="F395" s="24">
        <v>3659.35</v>
      </c>
      <c r="G395" s="10" t="s">
        <v>4696</v>
      </c>
      <c r="H395" s="10" t="s">
        <v>4694</v>
      </c>
      <c r="I395" s="10" t="s">
        <v>4716</v>
      </c>
      <c r="J395" s="17">
        <f t="shared" si="2"/>
        <v>33861</v>
      </c>
      <c r="K395" s="10">
        <f t="shared" ca="1" si="3"/>
        <v>33</v>
      </c>
      <c r="L395" s="6"/>
      <c r="M395" s="6"/>
      <c r="N395" s="6"/>
      <c r="O395" s="6"/>
      <c r="P395" s="6"/>
      <c r="Q395" s="6"/>
      <c r="R395" s="6"/>
      <c r="S395" s="6"/>
      <c r="T395" s="6"/>
      <c r="U395" s="6"/>
      <c r="V395" s="6"/>
      <c r="W395" s="6"/>
      <c r="X395" s="6"/>
      <c r="Y395" s="6"/>
      <c r="Z395" s="6"/>
    </row>
    <row r="396" spans="1:26" ht="15.75" customHeight="1" x14ac:dyDescent="0.3">
      <c r="A396" s="10" t="s">
        <v>3888</v>
      </c>
      <c r="B396" s="10">
        <v>1984</v>
      </c>
      <c r="C396" s="10" t="s">
        <v>4707</v>
      </c>
      <c r="D396" s="10">
        <v>6</v>
      </c>
      <c r="E396" s="10">
        <v>3</v>
      </c>
      <c r="F396" s="24">
        <v>3678.86</v>
      </c>
      <c r="G396" s="10" t="s">
        <v>4695</v>
      </c>
      <c r="H396" s="10" t="s">
        <v>4696</v>
      </c>
      <c r="I396" s="10" t="s">
        <v>4708</v>
      </c>
      <c r="J396" s="17">
        <f t="shared" si="2"/>
        <v>30869</v>
      </c>
      <c r="K396" s="10">
        <f t="shared" ca="1" si="3"/>
        <v>41</v>
      </c>
      <c r="L396" s="6"/>
      <c r="M396" s="6"/>
      <c r="N396" s="6"/>
      <c r="O396" s="6"/>
      <c r="P396" s="6"/>
      <c r="Q396" s="6"/>
      <c r="R396" s="6"/>
      <c r="S396" s="6"/>
      <c r="T396" s="6"/>
      <c r="U396" s="6"/>
      <c r="V396" s="6"/>
      <c r="W396" s="6"/>
      <c r="X396" s="6"/>
      <c r="Y396" s="6"/>
      <c r="Z396" s="6"/>
    </row>
    <row r="397" spans="1:26" ht="15.75" customHeight="1" x14ac:dyDescent="0.3">
      <c r="A397" s="10" t="s">
        <v>3886</v>
      </c>
      <c r="B397" s="10">
        <v>2003</v>
      </c>
      <c r="C397" s="10" t="s">
        <v>4707</v>
      </c>
      <c r="D397" s="10">
        <v>10</v>
      </c>
      <c r="E397" s="10">
        <v>0</v>
      </c>
      <c r="F397" s="24">
        <v>3688.35</v>
      </c>
      <c r="G397" s="10" t="s">
        <v>4695</v>
      </c>
      <c r="H397" s="10" t="s">
        <v>4695</v>
      </c>
      <c r="I397" s="10" t="s">
        <v>4726</v>
      </c>
      <c r="J397" s="17">
        <f t="shared" si="2"/>
        <v>37812</v>
      </c>
      <c r="K397" s="10">
        <f t="shared" ca="1" si="3"/>
        <v>22</v>
      </c>
      <c r="L397" s="6"/>
      <c r="M397" s="6"/>
      <c r="N397" s="6"/>
      <c r="O397" s="6"/>
      <c r="P397" s="6"/>
      <c r="Q397" s="6"/>
      <c r="R397" s="6"/>
      <c r="S397" s="6"/>
      <c r="T397" s="6"/>
      <c r="U397" s="6"/>
      <c r="V397" s="6"/>
      <c r="W397" s="6"/>
      <c r="X397" s="6"/>
      <c r="Y397" s="6"/>
      <c r="Z397" s="6"/>
    </row>
    <row r="398" spans="1:26" ht="15.75" customHeight="1" x14ac:dyDescent="0.3">
      <c r="A398" s="10" t="s">
        <v>3884</v>
      </c>
      <c r="B398" s="10">
        <v>1981</v>
      </c>
      <c r="C398" s="10" t="s">
        <v>4713</v>
      </c>
      <c r="D398" s="10">
        <v>14</v>
      </c>
      <c r="E398" s="10">
        <v>1</v>
      </c>
      <c r="F398" s="24">
        <v>3688.38</v>
      </c>
      <c r="G398" s="10" t="s">
        <v>4695</v>
      </c>
      <c r="H398" s="10" t="s">
        <v>4695</v>
      </c>
      <c r="I398" s="10" t="s">
        <v>4708</v>
      </c>
      <c r="J398" s="17">
        <f t="shared" si="2"/>
        <v>29934</v>
      </c>
      <c r="K398" s="10">
        <f t="shared" ca="1" si="3"/>
        <v>43</v>
      </c>
      <c r="L398" s="6"/>
      <c r="M398" s="6"/>
      <c r="N398" s="6"/>
      <c r="O398" s="6"/>
      <c r="P398" s="6"/>
      <c r="Q398" s="6"/>
      <c r="R398" s="6"/>
      <c r="S398" s="6"/>
      <c r="T398" s="6"/>
      <c r="U398" s="6"/>
      <c r="V398" s="6"/>
      <c r="W398" s="6"/>
      <c r="X398" s="6"/>
      <c r="Y398" s="6"/>
      <c r="Z398" s="6"/>
    </row>
    <row r="399" spans="1:26" ht="15.75" customHeight="1" x14ac:dyDescent="0.3">
      <c r="A399" s="10" t="s">
        <v>3882</v>
      </c>
      <c r="B399" s="10">
        <v>1995</v>
      </c>
      <c r="C399" s="10" t="s">
        <v>4715</v>
      </c>
      <c r="D399" s="10">
        <v>21</v>
      </c>
      <c r="E399" s="10">
        <v>2</v>
      </c>
      <c r="F399" s="24">
        <v>3693.43</v>
      </c>
      <c r="G399" s="10" t="s">
        <v>4695</v>
      </c>
      <c r="H399" s="10" t="s">
        <v>4696</v>
      </c>
      <c r="I399" s="10" t="s">
        <v>4716</v>
      </c>
      <c r="J399" s="17">
        <f t="shared" si="2"/>
        <v>34993</v>
      </c>
      <c r="K399" s="10">
        <f t="shared" ca="1" si="3"/>
        <v>30</v>
      </c>
      <c r="L399" s="6"/>
      <c r="M399" s="6"/>
      <c r="N399" s="6"/>
      <c r="O399" s="6"/>
      <c r="P399" s="6"/>
      <c r="Q399" s="6"/>
      <c r="R399" s="6"/>
      <c r="S399" s="6"/>
      <c r="T399" s="6"/>
      <c r="U399" s="6"/>
      <c r="V399" s="6"/>
      <c r="W399" s="6"/>
      <c r="X399" s="6"/>
      <c r="Y399" s="6"/>
      <c r="Z399" s="6"/>
    </row>
    <row r="400" spans="1:26" ht="15.75" customHeight="1" x14ac:dyDescent="0.3">
      <c r="A400" s="10" t="s">
        <v>3880</v>
      </c>
      <c r="B400" s="10">
        <v>1988</v>
      </c>
      <c r="C400" s="10" t="s">
        <v>4714</v>
      </c>
      <c r="D400" s="10">
        <v>18</v>
      </c>
      <c r="E400" s="10">
        <v>3</v>
      </c>
      <c r="F400" s="24">
        <v>3699.54</v>
      </c>
      <c r="G400" s="10" t="s">
        <v>4695</v>
      </c>
      <c r="H400" s="10" t="s">
        <v>4696</v>
      </c>
      <c r="I400" s="10" t="s">
        <v>4708</v>
      </c>
      <c r="J400" s="17">
        <f t="shared" si="2"/>
        <v>32373</v>
      </c>
      <c r="K400" s="10">
        <f t="shared" ca="1" si="3"/>
        <v>37</v>
      </c>
      <c r="L400" s="6"/>
      <c r="M400" s="6"/>
      <c r="N400" s="6"/>
      <c r="O400" s="6"/>
      <c r="P400" s="6"/>
      <c r="Q400" s="6"/>
      <c r="R400" s="6"/>
      <c r="S400" s="6"/>
      <c r="T400" s="6"/>
      <c r="U400" s="6"/>
      <c r="V400" s="6"/>
      <c r="W400" s="6"/>
      <c r="X400" s="6"/>
      <c r="Y400" s="6"/>
      <c r="Z400" s="6"/>
    </row>
    <row r="401" spans="1:26" ht="15.75" customHeight="1" x14ac:dyDescent="0.3">
      <c r="A401" s="10" t="s">
        <v>3878</v>
      </c>
      <c r="B401" s="10">
        <v>1989</v>
      </c>
      <c r="C401" s="10" t="s">
        <v>4713</v>
      </c>
      <c r="D401" s="10">
        <v>2</v>
      </c>
      <c r="E401" s="10">
        <v>0</v>
      </c>
      <c r="F401" s="24">
        <v>3704.35</v>
      </c>
      <c r="G401" s="10" t="s">
        <v>4695</v>
      </c>
      <c r="H401" s="10" t="s">
        <v>4695</v>
      </c>
      <c r="I401" s="10" t="s">
        <v>4708</v>
      </c>
      <c r="J401" s="17">
        <f t="shared" si="2"/>
        <v>32844</v>
      </c>
      <c r="K401" s="10">
        <f t="shared" ca="1" si="3"/>
        <v>35</v>
      </c>
      <c r="L401" s="6"/>
      <c r="M401" s="6"/>
      <c r="N401" s="6"/>
      <c r="O401" s="6"/>
      <c r="P401" s="6"/>
      <c r="Q401" s="6"/>
      <c r="R401" s="6"/>
      <c r="S401" s="6"/>
      <c r="T401" s="6"/>
      <c r="U401" s="6"/>
      <c r="V401" s="6"/>
      <c r="W401" s="6"/>
      <c r="X401" s="6"/>
      <c r="Y401" s="6"/>
      <c r="Z401" s="6"/>
    </row>
    <row r="402" spans="1:26" ht="15.75" customHeight="1" x14ac:dyDescent="0.3">
      <c r="A402" s="10" t="s">
        <v>3876</v>
      </c>
      <c r="B402" s="10">
        <v>2004</v>
      </c>
      <c r="C402" s="10" t="s">
        <v>4709</v>
      </c>
      <c r="D402" s="10">
        <v>5</v>
      </c>
      <c r="E402" s="10">
        <v>0</v>
      </c>
      <c r="F402" s="24">
        <v>3722.23</v>
      </c>
      <c r="G402" s="10" t="s">
        <v>4695</v>
      </c>
      <c r="H402" s="10" t="s">
        <v>4695</v>
      </c>
      <c r="I402" s="10" t="s">
        <v>4722</v>
      </c>
      <c r="J402" s="17">
        <f t="shared" si="2"/>
        <v>38296</v>
      </c>
      <c r="K402" s="10">
        <f t="shared" ca="1" si="3"/>
        <v>21</v>
      </c>
      <c r="L402" s="6"/>
      <c r="M402" s="6"/>
      <c r="N402" s="6"/>
      <c r="O402" s="6"/>
      <c r="P402" s="6"/>
      <c r="Q402" s="6"/>
      <c r="R402" s="6"/>
      <c r="S402" s="6"/>
      <c r="T402" s="6"/>
      <c r="U402" s="6"/>
      <c r="V402" s="6"/>
      <c r="W402" s="6"/>
      <c r="X402" s="6"/>
      <c r="Y402" s="6"/>
      <c r="Z402" s="6"/>
    </row>
    <row r="403" spans="1:26" ht="15.75" customHeight="1" x14ac:dyDescent="0.3">
      <c r="A403" s="10" t="s">
        <v>3874</v>
      </c>
      <c r="B403" s="10">
        <v>1986</v>
      </c>
      <c r="C403" s="10" t="s">
        <v>4713</v>
      </c>
      <c r="D403" s="10">
        <v>1</v>
      </c>
      <c r="E403" s="10">
        <v>3</v>
      </c>
      <c r="F403" s="24">
        <v>3731.6</v>
      </c>
      <c r="G403" s="10" t="s">
        <v>4695</v>
      </c>
      <c r="H403" s="10" t="s">
        <v>4695</v>
      </c>
      <c r="I403" s="10" t="s">
        <v>4708</v>
      </c>
      <c r="J403" s="17">
        <f t="shared" si="2"/>
        <v>31747</v>
      </c>
      <c r="K403" s="10">
        <f t="shared" ca="1" si="3"/>
        <v>38</v>
      </c>
      <c r="L403" s="6"/>
      <c r="M403" s="6"/>
      <c r="N403" s="6"/>
      <c r="O403" s="6"/>
      <c r="P403" s="6"/>
      <c r="Q403" s="6"/>
      <c r="R403" s="6"/>
      <c r="S403" s="6"/>
      <c r="T403" s="6"/>
      <c r="U403" s="6"/>
      <c r="V403" s="6"/>
      <c r="W403" s="6"/>
      <c r="X403" s="6"/>
      <c r="Y403" s="6"/>
      <c r="Z403" s="6"/>
    </row>
    <row r="404" spans="1:26" ht="15.75" customHeight="1" x14ac:dyDescent="0.3">
      <c r="A404" s="10" t="s">
        <v>3872</v>
      </c>
      <c r="B404" s="10">
        <v>1994</v>
      </c>
      <c r="C404" s="10" t="s">
        <v>4714</v>
      </c>
      <c r="D404" s="10">
        <v>22</v>
      </c>
      <c r="E404" s="10">
        <v>0</v>
      </c>
      <c r="F404" s="24">
        <v>3732.63</v>
      </c>
      <c r="G404" s="10" t="s">
        <v>4695</v>
      </c>
      <c r="H404" s="10" t="s">
        <v>4696</v>
      </c>
      <c r="I404" s="10" t="s">
        <v>4723</v>
      </c>
      <c r="J404" s="17">
        <f t="shared" si="2"/>
        <v>34568</v>
      </c>
      <c r="K404" s="10">
        <f t="shared" ca="1" si="3"/>
        <v>31</v>
      </c>
      <c r="L404" s="6"/>
      <c r="M404" s="6"/>
      <c r="N404" s="6"/>
      <c r="O404" s="6"/>
      <c r="P404" s="6"/>
      <c r="Q404" s="6"/>
      <c r="R404" s="6"/>
      <c r="S404" s="6"/>
      <c r="T404" s="6"/>
      <c r="U404" s="6"/>
      <c r="V404" s="6"/>
      <c r="W404" s="6"/>
      <c r="X404" s="6"/>
      <c r="Y404" s="6"/>
      <c r="Z404" s="6"/>
    </row>
    <row r="405" spans="1:26" ht="15.75" customHeight="1" x14ac:dyDescent="0.3">
      <c r="A405" s="10" t="s">
        <v>3870</v>
      </c>
      <c r="B405" s="10">
        <v>1993</v>
      </c>
      <c r="C405" s="10" t="s">
        <v>4710</v>
      </c>
      <c r="D405" s="10">
        <v>22</v>
      </c>
      <c r="E405" s="10">
        <v>0</v>
      </c>
      <c r="F405" s="24">
        <v>3736.46</v>
      </c>
      <c r="G405" s="10" t="s">
        <v>4695</v>
      </c>
      <c r="H405" s="10" t="s">
        <v>4695</v>
      </c>
      <c r="I405" s="10" t="s">
        <v>4712</v>
      </c>
      <c r="J405" s="17">
        <f t="shared" si="2"/>
        <v>34142</v>
      </c>
      <c r="K405" s="10">
        <f t="shared" ca="1" si="3"/>
        <v>32</v>
      </c>
      <c r="L405" s="6"/>
      <c r="M405" s="6"/>
      <c r="N405" s="6"/>
      <c r="O405" s="6"/>
      <c r="P405" s="6"/>
      <c r="Q405" s="6"/>
      <c r="R405" s="6"/>
      <c r="S405" s="6"/>
      <c r="T405" s="6"/>
      <c r="U405" s="6"/>
      <c r="V405" s="6"/>
      <c r="W405" s="6"/>
      <c r="X405" s="6"/>
      <c r="Y405" s="6"/>
      <c r="Z405" s="6"/>
    </row>
    <row r="406" spans="1:26" ht="15.75" customHeight="1" x14ac:dyDescent="0.3">
      <c r="A406" s="10" t="s">
        <v>3868</v>
      </c>
      <c r="B406" s="10">
        <v>1986</v>
      </c>
      <c r="C406" s="10" t="s">
        <v>4711</v>
      </c>
      <c r="D406" s="10">
        <v>9</v>
      </c>
      <c r="E406" s="10">
        <v>3</v>
      </c>
      <c r="F406" s="24">
        <v>3748.56</v>
      </c>
      <c r="G406" s="10" t="s">
        <v>4695</v>
      </c>
      <c r="H406" s="10" t="s">
        <v>4695</v>
      </c>
      <c r="I406" s="10" t="s">
        <v>4708</v>
      </c>
      <c r="J406" s="17">
        <f t="shared" si="2"/>
        <v>31664</v>
      </c>
      <c r="K406" s="10">
        <f t="shared" ca="1" si="3"/>
        <v>39</v>
      </c>
      <c r="L406" s="6"/>
      <c r="M406" s="6"/>
      <c r="N406" s="6"/>
      <c r="O406" s="6"/>
      <c r="P406" s="6"/>
      <c r="Q406" s="6"/>
      <c r="R406" s="6"/>
      <c r="S406" s="6"/>
      <c r="T406" s="6"/>
      <c r="U406" s="6"/>
      <c r="V406" s="6"/>
      <c r="W406" s="6"/>
      <c r="X406" s="6"/>
      <c r="Y406" s="6"/>
      <c r="Z406" s="6"/>
    </row>
    <row r="407" spans="1:26" ht="15.75" customHeight="1" x14ac:dyDescent="0.3">
      <c r="A407" s="10" t="s">
        <v>3866</v>
      </c>
      <c r="B407" s="10">
        <v>1991</v>
      </c>
      <c r="C407" s="10" t="s">
        <v>4715</v>
      </c>
      <c r="D407" s="10">
        <v>28</v>
      </c>
      <c r="E407" s="10">
        <v>0</v>
      </c>
      <c r="F407" s="24">
        <v>3756.62</v>
      </c>
      <c r="G407" s="10" t="s">
        <v>4695</v>
      </c>
      <c r="H407" s="10" t="s">
        <v>4695</v>
      </c>
      <c r="I407" s="10" t="s">
        <v>4708</v>
      </c>
      <c r="J407" s="17">
        <f t="shared" si="2"/>
        <v>33539</v>
      </c>
      <c r="K407" s="10">
        <f t="shared" ca="1" si="3"/>
        <v>34</v>
      </c>
      <c r="L407" s="6"/>
      <c r="M407" s="6"/>
      <c r="N407" s="6"/>
      <c r="O407" s="6"/>
      <c r="P407" s="6"/>
      <c r="Q407" s="6"/>
      <c r="R407" s="6"/>
      <c r="S407" s="6"/>
      <c r="T407" s="6"/>
      <c r="U407" s="6"/>
      <c r="V407" s="6"/>
      <c r="W407" s="6"/>
      <c r="X407" s="6"/>
      <c r="Y407" s="6"/>
      <c r="Z407" s="6"/>
    </row>
    <row r="408" spans="1:26" ht="15.75" customHeight="1" x14ac:dyDescent="0.3">
      <c r="A408" s="10" t="s">
        <v>3864</v>
      </c>
      <c r="B408" s="10">
        <v>1991</v>
      </c>
      <c r="C408" s="10" t="s">
        <v>4714</v>
      </c>
      <c r="D408" s="10">
        <v>25</v>
      </c>
      <c r="E408" s="10">
        <v>0</v>
      </c>
      <c r="F408" s="24">
        <v>3757.84</v>
      </c>
      <c r="G408" s="10" t="s">
        <v>4695</v>
      </c>
      <c r="H408" s="10" t="s">
        <v>4694</v>
      </c>
      <c r="I408" s="10" t="s">
        <v>4708</v>
      </c>
      <c r="J408" s="17">
        <f t="shared" si="2"/>
        <v>33475</v>
      </c>
      <c r="K408" s="10">
        <f t="shared" ca="1" si="3"/>
        <v>34</v>
      </c>
      <c r="L408" s="6"/>
      <c r="M408" s="6"/>
      <c r="N408" s="6"/>
      <c r="O408" s="6"/>
      <c r="P408" s="6"/>
      <c r="Q408" s="6"/>
      <c r="R408" s="6"/>
      <c r="S408" s="6"/>
      <c r="T408" s="6"/>
      <c r="U408" s="6"/>
      <c r="V408" s="6"/>
      <c r="W408" s="6"/>
      <c r="X408" s="6"/>
      <c r="Y408" s="6"/>
      <c r="Z408" s="6"/>
    </row>
    <row r="409" spans="1:26" ht="15.75" customHeight="1" x14ac:dyDescent="0.3">
      <c r="A409" s="10" t="s">
        <v>3862</v>
      </c>
      <c r="B409" s="10">
        <v>1991</v>
      </c>
      <c r="C409" s="10" t="s">
        <v>4715</v>
      </c>
      <c r="D409" s="10">
        <v>24</v>
      </c>
      <c r="E409" s="10">
        <v>0</v>
      </c>
      <c r="F409" s="24">
        <v>3761.29</v>
      </c>
      <c r="G409" s="10" t="s">
        <v>4695</v>
      </c>
      <c r="H409" s="10" t="s">
        <v>4696</v>
      </c>
      <c r="I409" s="10" t="s">
        <v>4716</v>
      </c>
      <c r="J409" s="17">
        <f t="shared" si="2"/>
        <v>33535</v>
      </c>
      <c r="K409" s="10">
        <f t="shared" ca="1" si="3"/>
        <v>34</v>
      </c>
      <c r="L409" s="6"/>
      <c r="M409" s="6"/>
      <c r="N409" s="6"/>
      <c r="O409" s="6"/>
      <c r="P409" s="6"/>
      <c r="Q409" s="6"/>
      <c r="R409" s="6"/>
      <c r="S409" s="6"/>
      <c r="T409" s="6"/>
      <c r="U409" s="6"/>
      <c r="V409" s="6"/>
      <c r="W409" s="6"/>
      <c r="X409" s="6"/>
      <c r="Y409" s="6"/>
      <c r="Z409" s="6"/>
    </row>
    <row r="410" spans="1:26" ht="15.75" customHeight="1" x14ac:dyDescent="0.3">
      <c r="A410" s="10" t="s">
        <v>3860</v>
      </c>
      <c r="B410" s="10">
        <v>1994</v>
      </c>
      <c r="C410" s="10" t="s">
        <v>4709</v>
      </c>
      <c r="D410" s="10">
        <v>21</v>
      </c>
      <c r="E410" s="10">
        <v>1</v>
      </c>
      <c r="F410" s="24">
        <v>3766.88</v>
      </c>
      <c r="G410" s="10" t="s">
        <v>4695</v>
      </c>
      <c r="H410" s="10" t="s">
        <v>4694</v>
      </c>
      <c r="I410" s="10" t="s">
        <v>4708</v>
      </c>
      <c r="J410" s="17">
        <f t="shared" si="2"/>
        <v>34659</v>
      </c>
      <c r="K410" s="10">
        <f t="shared" ca="1" si="3"/>
        <v>31</v>
      </c>
      <c r="L410" s="6"/>
      <c r="M410" s="6"/>
      <c r="N410" s="6"/>
      <c r="O410" s="6"/>
      <c r="P410" s="6"/>
      <c r="Q410" s="6"/>
      <c r="R410" s="6"/>
      <c r="S410" s="6"/>
      <c r="T410" s="6"/>
      <c r="U410" s="6"/>
      <c r="V410" s="6"/>
      <c r="W410" s="6"/>
      <c r="X410" s="6"/>
      <c r="Y410" s="6"/>
      <c r="Z410" s="6"/>
    </row>
    <row r="411" spans="1:26" ht="15.75" customHeight="1" x14ac:dyDescent="0.3">
      <c r="A411" s="10" t="s">
        <v>3858</v>
      </c>
      <c r="B411" s="10">
        <v>1987</v>
      </c>
      <c r="C411" s="10" t="s">
        <v>4715</v>
      </c>
      <c r="D411" s="10">
        <v>24</v>
      </c>
      <c r="E411" s="10">
        <v>3</v>
      </c>
      <c r="F411" s="24">
        <v>3773.23</v>
      </c>
      <c r="G411" s="10" t="s">
        <v>4695</v>
      </c>
      <c r="H411" s="10" t="s">
        <v>4696</v>
      </c>
      <c r="I411" s="10" t="s">
        <v>4708</v>
      </c>
      <c r="J411" s="17">
        <f t="shared" si="2"/>
        <v>32074</v>
      </c>
      <c r="K411" s="10">
        <f t="shared" ca="1" si="3"/>
        <v>38</v>
      </c>
      <c r="L411" s="6"/>
      <c r="M411" s="6"/>
      <c r="N411" s="6"/>
      <c r="O411" s="6"/>
      <c r="P411" s="6"/>
      <c r="Q411" s="6"/>
      <c r="R411" s="6"/>
      <c r="S411" s="6"/>
      <c r="T411" s="6"/>
      <c r="U411" s="6"/>
      <c r="V411" s="6"/>
      <c r="W411" s="6"/>
      <c r="X411" s="6"/>
      <c r="Y411" s="6"/>
      <c r="Z411" s="6"/>
    </row>
    <row r="412" spans="1:26" ht="15.75" customHeight="1" x14ac:dyDescent="0.3">
      <c r="A412" s="10" t="s">
        <v>3856</v>
      </c>
      <c r="B412" s="10">
        <v>1981</v>
      </c>
      <c r="C412" s="10" t="s">
        <v>4713</v>
      </c>
      <c r="D412" s="10">
        <v>13</v>
      </c>
      <c r="E412" s="10">
        <v>1</v>
      </c>
      <c r="F412" s="24">
        <v>3785.77</v>
      </c>
      <c r="G412" s="10" t="s">
        <v>4695</v>
      </c>
      <c r="H412" s="10" t="s">
        <v>4694</v>
      </c>
      <c r="I412" s="10" t="s">
        <v>4708</v>
      </c>
      <c r="J412" s="17">
        <f t="shared" si="2"/>
        <v>29933</v>
      </c>
      <c r="K412" s="10">
        <f t="shared" ca="1" si="3"/>
        <v>43</v>
      </c>
      <c r="L412" s="6"/>
      <c r="M412" s="6"/>
      <c r="N412" s="6"/>
      <c r="O412" s="6"/>
      <c r="P412" s="6"/>
      <c r="Q412" s="6"/>
      <c r="R412" s="6"/>
      <c r="S412" s="6"/>
      <c r="T412" s="6"/>
      <c r="U412" s="6"/>
      <c r="V412" s="6"/>
      <c r="W412" s="6"/>
      <c r="X412" s="6"/>
      <c r="Y412" s="6"/>
      <c r="Z412" s="6"/>
    </row>
    <row r="413" spans="1:26" ht="15.75" customHeight="1" x14ac:dyDescent="0.3">
      <c r="A413" s="10" t="s">
        <v>3854</v>
      </c>
      <c r="B413" s="10">
        <v>1988</v>
      </c>
      <c r="C413" s="10" t="s">
        <v>4714</v>
      </c>
      <c r="D413" s="10">
        <v>28</v>
      </c>
      <c r="E413" s="10">
        <v>3</v>
      </c>
      <c r="F413" s="24">
        <v>3793.55</v>
      </c>
      <c r="G413" s="10" t="s">
        <v>4695</v>
      </c>
      <c r="H413" s="10" t="s">
        <v>4696</v>
      </c>
      <c r="I413" s="10" t="s">
        <v>4708</v>
      </c>
      <c r="J413" s="17">
        <f t="shared" si="2"/>
        <v>32383</v>
      </c>
      <c r="K413" s="10">
        <f t="shared" ca="1" si="3"/>
        <v>37</v>
      </c>
      <c r="L413" s="6"/>
      <c r="M413" s="6"/>
      <c r="N413" s="6"/>
      <c r="O413" s="6"/>
      <c r="P413" s="6"/>
      <c r="Q413" s="6"/>
      <c r="R413" s="6"/>
      <c r="S413" s="6"/>
      <c r="T413" s="6"/>
      <c r="U413" s="6"/>
      <c r="V413" s="6"/>
      <c r="W413" s="6"/>
      <c r="X413" s="6"/>
      <c r="Y413" s="6"/>
      <c r="Z413" s="6"/>
    </row>
    <row r="414" spans="1:26" ht="15.75" customHeight="1" x14ac:dyDescent="0.3">
      <c r="A414" s="10" t="s">
        <v>3852</v>
      </c>
      <c r="B414" s="10">
        <v>1999</v>
      </c>
      <c r="C414" s="10" t="s">
        <v>4710</v>
      </c>
      <c r="D414" s="10">
        <v>24</v>
      </c>
      <c r="E414" s="10">
        <v>0</v>
      </c>
      <c r="F414" s="24">
        <v>3796.36</v>
      </c>
      <c r="G414" s="10" t="s">
        <v>4695</v>
      </c>
      <c r="H414" s="10" t="s">
        <v>4696</v>
      </c>
      <c r="I414" s="10" t="s">
        <v>4712</v>
      </c>
      <c r="J414" s="17">
        <f t="shared" si="2"/>
        <v>36335</v>
      </c>
      <c r="K414" s="10">
        <f t="shared" ca="1" si="3"/>
        <v>26</v>
      </c>
      <c r="L414" s="6"/>
      <c r="M414" s="6"/>
      <c r="N414" s="6"/>
      <c r="O414" s="6"/>
      <c r="P414" s="6"/>
      <c r="Q414" s="6"/>
      <c r="R414" s="6"/>
      <c r="S414" s="6"/>
      <c r="T414" s="6"/>
      <c r="U414" s="6"/>
      <c r="V414" s="6"/>
      <c r="W414" s="6"/>
      <c r="X414" s="6"/>
      <c r="Y414" s="6"/>
      <c r="Z414" s="6"/>
    </row>
    <row r="415" spans="1:26" ht="15.75" customHeight="1" x14ac:dyDescent="0.3">
      <c r="A415" s="10" t="s">
        <v>3850</v>
      </c>
      <c r="B415" s="10">
        <v>1981</v>
      </c>
      <c r="C415" s="10" t="s">
        <v>4711</v>
      </c>
      <c r="D415" s="10">
        <v>29</v>
      </c>
      <c r="E415" s="10">
        <v>1</v>
      </c>
      <c r="F415" s="24">
        <v>3797.2</v>
      </c>
      <c r="G415" s="10" t="s">
        <v>4695</v>
      </c>
      <c r="H415" s="10" t="s">
        <v>4696</v>
      </c>
      <c r="I415" s="10" t="s">
        <v>4712</v>
      </c>
      <c r="J415" s="17">
        <f t="shared" si="2"/>
        <v>29858</v>
      </c>
      <c r="K415" s="10">
        <f t="shared" ca="1" si="3"/>
        <v>44</v>
      </c>
      <c r="L415" s="6"/>
      <c r="M415" s="6"/>
      <c r="N415" s="6"/>
      <c r="O415" s="6"/>
      <c r="P415" s="6"/>
      <c r="Q415" s="6"/>
      <c r="R415" s="6"/>
      <c r="S415" s="6"/>
      <c r="T415" s="6"/>
      <c r="U415" s="6"/>
      <c r="V415" s="6"/>
      <c r="W415" s="6"/>
      <c r="X415" s="6"/>
      <c r="Y415" s="6"/>
      <c r="Z415" s="6"/>
    </row>
    <row r="416" spans="1:26" ht="15.75" customHeight="1" x14ac:dyDescent="0.3">
      <c r="A416" s="10" t="s">
        <v>3848</v>
      </c>
      <c r="B416" s="10">
        <v>1994</v>
      </c>
      <c r="C416" s="10" t="s">
        <v>4714</v>
      </c>
      <c r="D416" s="10">
        <v>12</v>
      </c>
      <c r="E416" s="10">
        <v>2</v>
      </c>
      <c r="F416" s="24">
        <v>3847.67</v>
      </c>
      <c r="G416" s="10" t="s">
        <v>4696</v>
      </c>
      <c r="H416" s="10" t="s">
        <v>4695</v>
      </c>
      <c r="I416" s="10" t="s">
        <v>4716</v>
      </c>
      <c r="J416" s="17">
        <f t="shared" si="2"/>
        <v>34558</v>
      </c>
      <c r="K416" s="10">
        <f t="shared" ca="1" si="3"/>
        <v>31</v>
      </c>
      <c r="L416" s="6"/>
      <c r="M416" s="6"/>
      <c r="N416" s="6"/>
      <c r="O416" s="6"/>
      <c r="P416" s="6"/>
      <c r="Q416" s="6"/>
      <c r="R416" s="6"/>
      <c r="S416" s="6"/>
      <c r="T416" s="6"/>
      <c r="U416" s="6"/>
      <c r="V416" s="6"/>
      <c r="W416" s="6"/>
      <c r="X416" s="6"/>
      <c r="Y416" s="6"/>
      <c r="Z416" s="6"/>
    </row>
    <row r="417" spans="1:26" ht="15.75" customHeight="1" x14ac:dyDescent="0.3">
      <c r="A417" s="10" t="s">
        <v>3846</v>
      </c>
      <c r="B417" s="10">
        <v>1991</v>
      </c>
      <c r="C417" s="10" t="s">
        <v>4714</v>
      </c>
      <c r="D417" s="10">
        <v>19</v>
      </c>
      <c r="E417" s="10">
        <v>0</v>
      </c>
      <c r="F417" s="24">
        <v>3857.76</v>
      </c>
      <c r="G417" s="10" t="s">
        <v>4696</v>
      </c>
      <c r="H417" s="10" t="s">
        <v>4694</v>
      </c>
      <c r="I417" s="10" t="s">
        <v>4720</v>
      </c>
      <c r="J417" s="17">
        <f t="shared" si="2"/>
        <v>33469</v>
      </c>
      <c r="K417" s="10">
        <f t="shared" ca="1" si="3"/>
        <v>34</v>
      </c>
      <c r="L417" s="6"/>
      <c r="M417" s="6"/>
      <c r="N417" s="6"/>
      <c r="O417" s="6"/>
      <c r="P417" s="6"/>
      <c r="Q417" s="6"/>
      <c r="R417" s="6"/>
      <c r="S417" s="6"/>
      <c r="T417" s="6"/>
      <c r="U417" s="6"/>
      <c r="V417" s="6"/>
      <c r="W417" s="6"/>
      <c r="X417" s="6"/>
      <c r="Y417" s="6"/>
      <c r="Z417" s="6"/>
    </row>
    <row r="418" spans="1:26" ht="15.75" customHeight="1" x14ac:dyDescent="0.3">
      <c r="A418" s="10" t="s">
        <v>3844</v>
      </c>
      <c r="B418" s="10">
        <v>2001</v>
      </c>
      <c r="C418" s="10" t="s">
        <v>4710</v>
      </c>
      <c r="D418" s="10">
        <v>6</v>
      </c>
      <c r="E418" s="10">
        <v>0</v>
      </c>
      <c r="F418" s="24">
        <v>3858.51</v>
      </c>
      <c r="G418" s="10" t="s">
        <v>4695</v>
      </c>
      <c r="H418" s="10" t="s">
        <v>4696</v>
      </c>
      <c r="I418" s="10" t="s">
        <v>4722</v>
      </c>
      <c r="J418" s="17">
        <f t="shared" si="2"/>
        <v>37048</v>
      </c>
      <c r="K418" s="10">
        <f t="shared" ca="1" si="3"/>
        <v>24</v>
      </c>
      <c r="L418" s="6"/>
      <c r="M418" s="6"/>
      <c r="N418" s="6"/>
      <c r="O418" s="6"/>
      <c r="P418" s="6"/>
      <c r="Q418" s="6"/>
      <c r="R418" s="6"/>
      <c r="S418" s="6"/>
      <c r="T418" s="6"/>
      <c r="U418" s="6"/>
      <c r="V418" s="6"/>
      <c r="W418" s="6"/>
      <c r="X418" s="6"/>
      <c r="Y418" s="6"/>
      <c r="Z418" s="6"/>
    </row>
    <row r="419" spans="1:26" ht="15.75" customHeight="1" x14ac:dyDescent="0.3">
      <c r="A419" s="10" t="s">
        <v>3842</v>
      </c>
      <c r="B419" s="10">
        <v>2001</v>
      </c>
      <c r="C419" s="10" t="s">
        <v>4715</v>
      </c>
      <c r="D419" s="10">
        <v>18</v>
      </c>
      <c r="E419" s="10">
        <v>3</v>
      </c>
      <c r="F419" s="24">
        <v>3861.21</v>
      </c>
      <c r="G419" s="10" t="s">
        <v>4695</v>
      </c>
      <c r="H419" s="10" t="s">
        <v>4695</v>
      </c>
      <c r="I419" s="10" t="s">
        <v>4720</v>
      </c>
      <c r="J419" s="17">
        <f t="shared" si="2"/>
        <v>37182</v>
      </c>
      <c r="K419" s="10">
        <f t="shared" ca="1" si="3"/>
        <v>24</v>
      </c>
      <c r="L419" s="6"/>
      <c r="M419" s="6"/>
      <c r="N419" s="6"/>
      <c r="O419" s="6"/>
      <c r="P419" s="6"/>
      <c r="Q419" s="6"/>
      <c r="R419" s="6"/>
      <c r="S419" s="6"/>
      <c r="T419" s="6"/>
      <c r="U419" s="6"/>
      <c r="V419" s="6"/>
      <c r="W419" s="6"/>
      <c r="X419" s="6"/>
      <c r="Y419" s="6"/>
      <c r="Z419" s="6"/>
    </row>
    <row r="420" spans="1:26" ht="15.75" customHeight="1" x14ac:dyDescent="0.3">
      <c r="A420" s="10" t="s">
        <v>3840</v>
      </c>
      <c r="B420" s="10">
        <v>1990</v>
      </c>
      <c r="C420" s="10" t="s">
        <v>4710</v>
      </c>
      <c r="D420" s="10">
        <v>24</v>
      </c>
      <c r="E420" s="10">
        <v>0</v>
      </c>
      <c r="F420" s="24">
        <v>3866.86</v>
      </c>
      <c r="G420" s="10" t="s">
        <v>4694</v>
      </c>
      <c r="H420" s="10" t="s">
        <v>4694</v>
      </c>
      <c r="I420" s="10" t="s">
        <v>4712</v>
      </c>
      <c r="J420" s="17">
        <f t="shared" si="2"/>
        <v>33048</v>
      </c>
      <c r="K420" s="10">
        <f t="shared" ca="1" si="3"/>
        <v>35</v>
      </c>
      <c r="L420" s="6"/>
      <c r="M420" s="6"/>
      <c r="N420" s="6"/>
      <c r="O420" s="6"/>
      <c r="P420" s="6"/>
      <c r="Q420" s="6"/>
      <c r="R420" s="6"/>
      <c r="S420" s="6"/>
      <c r="T420" s="6"/>
      <c r="U420" s="6"/>
      <c r="V420" s="6"/>
      <c r="W420" s="6"/>
      <c r="X420" s="6"/>
      <c r="Y420" s="6"/>
      <c r="Z420" s="6"/>
    </row>
    <row r="421" spans="1:26" ht="15.75" customHeight="1" x14ac:dyDescent="0.3">
      <c r="A421" s="10" t="s">
        <v>3838</v>
      </c>
      <c r="B421" s="10">
        <v>1991</v>
      </c>
      <c r="C421" s="10" t="s">
        <v>4707</v>
      </c>
      <c r="D421" s="10">
        <v>25</v>
      </c>
      <c r="E421" s="10">
        <v>1</v>
      </c>
      <c r="F421" s="24">
        <v>3875.73</v>
      </c>
      <c r="G421" s="10" t="s">
        <v>4695</v>
      </c>
      <c r="H421" s="10" t="s">
        <v>4696</v>
      </c>
      <c r="I421" s="10" t="s">
        <v>4708</v>
      </c>
      <c r="J421" s="17">
        <f t="shared" si="2"/>
        <v>33444</v>
      </c>
      <c r="K421" s="10">
        <f t="shared" ca="1" si="3"/>
        <v>34</v>
      </c>
      <c r="L421" s="6"/>
      <c r="M421" s="6"/>
      <c r="N421" s="6"/>
      <c r="O421" s="6"/>
      <c r="P421" s="6"/>
      <c r="Q421" s="6"/>
      <c r="R421" s="6"/>
      <c r="S421" s="6"/>
      <c r="T421" s="6"/>
      <c r="U421" s="6"/>
      <c r="V421" s="6"/>
      <c r="W421" s="6"/>
      <c r="X421" s="6"/>
      <c r="Y421" s="6"/>
      <c r="Z421" s="6"/>
    </row>
    <row r="422" spans="1:26" ht="15.75" customHeight="1" x14ac:dyDescent="0.3">
      <c r="A422" s="10" t="s">
        <v>3836</v>
      </c>
      <c r="B422" s="10">
        <v>1996</v>
      </c>
      <c r="C422" s="10" t="s">
        <v>4715</v>
      </c>
      <c r="D422" s="10">
        <v>23</v>
      </c>
      <c r="E422" s="10">
        <v>2</v>
      </c>
      <c r="F422" s="24">
        <v>3877.3</v>
      </c>
      <c r="G422" s="10" t="s">
        <v>4694</v>
      </c>
      <c r="H422" s="10" t="s">
        <v>4696</v>
      </c>
      <c r="I422" s="10" t="s">
        <v>4712</v>
      </c>
      <c r="J422" s="17">
        <f t="shared" si="2"/>
        <v>35361</v>
      </c>
      <c r="K422" s="10">
        <f t="shared" ca="1" si="3"/>
        <v>29</v>
      </c>
      <c r="L422" s="6"/>
      <c r="M422" s="6"/>
      <c r="N422" s="6"/>
      <c r="O422" s="6"/>
      <c r="P422" s="6"/>
      <c r="Q422" s="6"/>
      <c r="R422" s="6"/>
      <c r="S422" s="6"/>
      <c r="T422" s="6"/>
      <c r="U422" s="6"/>
      <c r="V422" s="6"/>
      <c r="W422" s="6"/>
      <c r="X422" s="6"/>
      <c r="Y422" s="6"/>
      <c r="Z422" s="6"/>
    </row>
    <row r="423" spans="1:26" ht="15.75" customHeight="1" x14ac:dyDescent="0.3">
      <c r="A423" s="10" t="s">
        <v>3834</v>
      </c>
      <c r="B423" s="10">
        <v>2004</v>
      </c>
      <c r="C423" s="10" t="s">
        <v>4707</v>
      </c>
      <c r="D423" s="10">
        <v>13</v>
      </c>
      <c r="E423" s="10">
        <v>0</v>
      </c>
      <c r="F423" s="24">
        <v>3889.2</v>
      </c>
      <c r="G423" s="10" t="s">
        <v>4695</v>
      </c>
      <c r="H423" s="10" t="s">
        <v>4695</v>
      </c>
      <c r="I423" s="10" t="s">
        <v>4712</v>
      </c>
      <c r="J423" s="17">
        <f t="shared" si="2"/>
        <v>38181</v>
      </c>
      <c r="K423" s="10">
        <f t="shared" ca="1" si="3"/>
        <v>21</v>
      </c>
      <c r="L423" s="6"/>
      <c r="M423" s="6"/>
      <c r="N423" s="6"/>
      <c r="O423" s="6"/>
      <c r="P423" s="6"/>
      <c r="Q423" s="6"/>
      <c r="R423" s="6"/>
      <c r="S423" s="6"/>
      <c r="T423" s="6"/>
      <c r="U423" s="6"/>
      <c r="V423" s="6"/>
      <c r="W423" s="6"/>
      <c r="X423" s="6"/>
      <c r="Y423" s="6"/>
      <c r="Z423" s="6"/>
    </row>
    <row r="424" spans="1:26" ht="15.75" customHeight="1" x14ac:dyDescent="0.3">
      <c r="A424" s="10" t="s">
        <v>3832</v>
      </c>
      <c r="B424" s="10">
        <v>1993</v>
      </c>
      <c r="C424" s="10" t="s">
        <v>4711</v>
      </c>
      <c r="D424" s="10">
        <v>14</v>
      </c>
      <c r="E424" s="10">
        <v>0</v>
      </c>
      <c r="F424" s="24">
        <v>3898.35</v>
      </c>
      <c r="G424" s="10" t="s">
        <v>4695</v>
      </c>
      <c r="H424" s="10" t="s">
        <v>4695</v>
      </c>
      <c r="I424" s="10" t="s">
        <v>4712</v>
      </c>
      <c r="J424" s="17">
        <f t="shared" si="2"/>
        <v>34226</v>
      </c>
      <c r="K424" s="10">
        <f t="shared" ca="1" si="3"/>
        <v>32</v>
      </c>
      <c r="L424" s="6"/>
      <c r="M424" s="6"/>
      <c r="N424" s="6"/>
      <c r="O424" s="6"/>
      <c r="P424" s="6"/>
      <c r="Q424" s="6"/>
      <c r="R424" s="6"/>
      <c r="S424" s="6"/>
      <c r="T424" s="6"/>
      <c r="U424" s="6"/>
      <c r="V424" s="6"/>
      <c r="W424" s="6"/>
      <c r="X424" s="6"/>
      <c r="Y424" s="6"/>
      <c r="Z424" s="6"/>
    </row>
    <row r="425" spans="1:26" ht="15.75" customHeight="1" x14ac:dyDescent="0.3">
      <c r="A425" s="10" t="s">
        <v>3830</v>
      </c>
      <c r="B425" s="10">
        <v>1981</v>
      </c>
      <c r="C425" s="10" t="s">
        <v>4714</v>
      </c>
      <c r="D425" s="10">
        <v>27</v>
      </c>
      <c r="E425" s="10">
        <v>1</v>
      </c>
      <c r="F425" s="24">
        <v>3902.07</v>
      </c>
      <c r="G425" s="10" t="s">
        <v>4695</v>
      </c>
      <c r="H425" s="10" t="s">
        <v>4695</v>
      </c>
      <c r="I425" s="10" t="s">
        <v>4708</v>
      </c>
      <c r="J425" s="17">
        <f t="shared" si="2"/>
        <v>29825</v>
      </c>
      <c r="K425" s="10">
        <f t="shared" ca="1" si="3"/>
        <v>44</v>
      </c>
      <c r="L425" s="6"/>
      <c r="M425" s="6"/>
      <c r="N425" s="6"/>
      <c r="O425" s="6"/>
      <c r="P425" s="6"/>
      <c r="Q425" s="6"/>
      <c r="R425" s="6"/>
      <c r="S425" s="6"/>
      <c r="T425" s="6"/>
      <c r="U425" s="6"/>
      <c r="V425" s="6"/>
      <c r="W425" s="6"/>
      <c r="X425" s="6"/>
      <c r="Y425" s="6"/>
      <c r="Z425" s="6"/>
    </row>
    <row r="426" spans="1:26" ht="15.75" customHeight="1" x14ac:dyDescent="0.3">
      <c r="A426" s="10" t="s">
        <v>3828</v>
      </c>
      <c r="B426" s="10">
        <v>1997</v>
      </c>
      <c r="C426" s="10" t="s">
        <v>4709</v>
      </c>
      <c r="D426" s="10">
        <v>24</v>
      </c>
      <c r="E426" s="10">
        <v>3</v>
      </c>
      <c r="F426" s="24">
        <v>3906.13</v>
      </c>
      <c r="G426" s="10" t="s">
        <v>4696</v>
      </c>
      <c r="H426" s="10" t="s">
        <v>4696</v>
      </c>
      <c r="I426" s="10" t="s">
        <v>4716</v>
      </c>
      <c r="J426" s="17">
        <f t="shared" si="2"/>
        <v>35758</v>
      </c>
      <c r="K426" s="10">
        <f t="shared" ca="1" si="3"/>
        <v>28</v>
      </c>
      <c r="L426" s="6"/>
      <c r="M426" s="6"/>
      <c r="N426" s="6"/>
      <c r="O426" s="6"/>
      <c r="P426" s="6"/>
      <c r="Q426" s="6"/>
      <c r="R426" s="6"/>
      <c r="S426" s="6"/>
      <c r="T426" s="6"/>
      <c r="U426" s="6"/>
      <c r="V426" s="6"/>
      <c r="W426" s="6"/>
      <c r="X426" s="6"/>
      <c r="Y426" s="6"/>
      <c r="Z426" s="6"/>
    </row>
    <row r="427" spans="1:26" ht="15.75" customHeight="1" x14ac:dyDescent="0.3">
      <c r="A427" s="10" t="s">
        <v>3826</v>
      </c>
      <c r="B427" s="10">
        <v>1985</v>
      </c>
      <c r="C427" s="10" t="s">
        <v>4707</v>
      </c>
      <c r="D427" s="10">
        <v>5</v>
      </c>
      <c r="E427" s="10">
        <v>3</v>
      </c>
      <c r="F427" s="24">
        <v>3910.44</v>
      </c>
      <c r="G427" s="10" t="s">
        <v>4695</v>
      </c>
      <c r="H427" s="10" t="s">
        <v>4695</v>
      </c>
      <c r="I427" s="10" t="s">
        <v>4708</v>
      </c>
      <c r="J427" s="17">
        <f t="shared" si="2"/>
        <v>31233</v>
      </c>
      <c r="K427" s="10">
        <f t="shared" ca="1" si="3"/>
        <v>40</v>
      </c>
      <c r="L427" s="6"/>
      <c r="M427" s="6"/>
      <c r="N427" s="6"/>
      <c r="O427" s="6"/>
      <c r="P427" s="6"/>
      <c r="Q427" s="6"/>
      <c r="R427" s="6"/>
      <c r="S427" s="6"/>
      <c r="T427" s="6"/>
      <c r="U427" s="6"/>
      <c r="V427" s="6"/>
      <c r="W427" s="6"/>
      <c r="X427" s="6"/>
      <c r="Y427" s="6"/>
      <c r="Z427" s="6"/>
    </row>
    <row r="428" spans="1:26" ht="15.75" customHeight="1" x14ac:dyDescent="0.3">
      <c r="A428" s="10" t="s">
        <v>3824</v>
      </c>
      <c r="B428" s="10">
        <v>2000</v>
      </c>
      <c r="C428" s="10" t="s">
        <v>4707</v>
      </c>
      <c r="D428" s="10">
        <v>10</v>
      </c>
      <c r="E428" s="10">
        <v>2</v>
      </c>
      <c r="F428" s="24">
        <v>3925.76</v>
      </c>
      <c r="G428" s="10" t="s">
        <v>4695</v>
      </c>
      <c r="H428" s="10" t="s">
        <v>4695</v>
      </c>
      <c r="I428" s="10" t="s">
        <v>4723</v>
      </c>
      <c r="J428" s="17">
        <f t="shared" si="2"/>
        <v>36717</v>
      </c>
      <c r="K428" s="10">
        <f t="shared" ca="1" si="3"/>
        <v>25</v>
      </c>
      <c r="L428" s="6"/>
      <c r="M428" s="6"/>
      <c r="N428" s="6"/>
      <c r="O428" s="6"/>
      <c r="P428" s="6"/>
      <c r="Q428" s="6"/>
      <c r="R428" s="6"/>
      <c r="S428" s="6"/>
      <c r="T428" s="6"/>
      <c r="U428" s="6"/>
      <c r="V428" s="6"/>
      <c r="W428" s="6"/>
      <c r="X428" s="6"/>
      <c r="Y428" s="6"/>
      <c r="Z428" s="6"/>
    </row>
    <row r="429" spans="1:26" ht="15.75" customHeight="1" x14ac:dyDescent="0.3">
      <c r="A429" s="10" t="s">
        <v>3822</v>
      </c>
      <c r="B429" s="10">
        <v>2002</v>
      </c>
      <c r="C429" s="10" t="s">
        <v>4710</v>
      </c>
      <c r="D429" s="10">
        <v>15</v>
      </c>
      <c r="E429" s="10">
        <v>0</v>
      </c>
      <c r="F429" s="24">
        <v>3931.51</v>
      </c>
      <c r="G429" s="10" t="s">
        <v>4695</v>
      </c>
      <c r="H429" s="10" t="s">
        <v>4696</v>
      </c>
      <c r="I429" s="10" t="s">
        <v>4716</v>
      </c>
      <c r="J429" s="17">
        <f t="shared" si="2"/>
        <v>37422</v>
      </c>
      <c r="K429" s="10">
        <f t="shared" ca="1" si="3"/>
        <v>23</v>
      </c>
      <c r="L429" s="6"/>
      <c r="M429" s="6"/>
      <c r="N429" s="6"/>
      <c r="O429" s="6"/>
      <c r="P429" s="6"/>
      <c r="Q429" s="6"/>
      <c r="R429" s="6"/>
      <c r="S429" s="6"/>
      <c r="T429" s="6"/>
      <c r="U429" s="6"/>
      <c r="V429" s="6"/>
      <c r="W429" s="6"/>
      <c r="X429" s="6"/>
      <c r="Y429" s="6"/>
      <c r="Z429" s="6"/>
    </row>
    <row r="430" spans="1:26" ht="15.75" customHeight="1" x14ac:dyDescent="0.3">
      <c r="A430" s="10" t="s">
        <v>3820</v>
      </c>
      <c r="B430" s="10">
        <v>1988</v>
      </c>
      <c r="C430" s="10" t="s">
        <v>4715</v>
      </c>
      <c r="D430" s="10">
        <v>24</v>
      </c>
      <c r="E430" s="10">
        <v>0</v>
      </c>
      <c r="F430" s="24">
        <v>3935.18</v>
      </c>
      <c r="G430" s="10" t="s">
        <v>4696</v>
      </c>
      <c r="H430" s="10" t="s">
        <v>4694</v>
      </c>
      <c r="I430" s="10" t="s">
        <v>4708</v>
      </c>
      <c r="J430" s="17">
        <f t="shared" si="2"/>
        <v>32440</v>
      </c>
      <c r="K430" s="10">
        <f t="shared" ca="1" si="3"/>
        <v>37</v>
      </c>
      <c r="L430" s="6"/>
      <c r="M430" s="6"/>
      <c r="N430" s="6"/>
      <c r="O430" s="6"/>
      <c r="P430" s="6"/>
      <c r="Q430" s="6"/>
      <c r="R430" s="6"/>
      <c r="S430" s="6"/>
      <c r="T430" s="6"/>
      <c r="U430" s="6"/>
      <c r="V430" s="6"/>
      <c r="W430" s="6"/>
      <c r="X430" s="6"/>
      <c r="Y430" s="6"/>
      <c r="Z430" s="6"/>
    </row>
    <row r="431" spans="1:26" ht="15.75" customHeight="1" x14ac:dyDescent="0.3">
      <c r="A431" s="10" t="s">
        <v>3818</v>
      </c>
      <c r="B431" s="10">
        <v>1993</v>
      </c>
      <c r="C431" s="10" t="s">
        <v>4711</v>
      </c>
      <c r="D431" s="10">
        <v>29</v>
      </c>
      <c r="E431" s="10">
        <v>0</v>
      </c>
      <c r="F431" s="24">
        <v>3943.6</v>
      </c>
      <c r="G431" s="10" t="s">
        <v>4695</v>
      </c>
      <c r="H431" s="10" t="s">
        <v>4696</v>
      </c>
      <c r="I431" s="10" t="s">
        <v>4723</v>
      </c>
      <c r="J431" s="17">
        <f t="shared" si="2"/>
        <v>34241</v>
      </c>
      <c r="K431" s="10">
        <f t="shared" ca="1" si="3"/>
        <v>32</v>
      </c>
      <c r="L431" s="6"/>
      <c r="M431" s="6"/>
      <c r="N431" s="6"/>
      <c r="O431" s="6"/>
      <c r="P431" s="6"/>
      <c r="Q431" s="6"/>
      <c r="R431" s="6"/>
      <c r="S431" s="6"/>
      <c r="T431" s="6"/>
      <c r="U431" s="6"/>
      <c r="V431" s="6"/>
      <c r="W431" s="6"/>
      <c r="X431" s="6"/>
      <c r="Y431" s="6"/>
      <c r="Z431" s="6"/>
    </row>
    <row r="432" spans="1:26" ht="15.75" customHeight="1" x14ac:dyDescent="0.3">
      <c r="A432" s="10" t="s">
        <v>3816</v>
      </c>
      <c r="B432" s="10">
        <v>1993</v>
      </c>
      <c r="C432" s="10" t="s">
        <v>4709</v>
      </c>
      <c r="D432" s="10">
        <v>11</v>
      </c>
      <c r="E432" s="10">
        <v>1</v>
      </c>
      <c r="F432" s="24">
        <v>3947.41</v>
      </c>
      <c r="G432" s="10" t="s">
        <v>4695</v>
      </c>
      <c r="H432" s="10" t="s">
        <v>4695</v>
      </c>
      <c r="I432" s="10" t="s">
        <v>4708</v>
      </c>
      <c r="J432" s="17">
        <f t="shared" si="2"/>
        <v>34284</v>
      </c>
      <c r="K432" s="10">
        <f t="shared" ca="1" si="3"/>
        <v>32</v>
      </c>
      <c r="L432" s="6"/>
      <c r="M432" s="6"/>
      <c r="N432" s="6"/>
      <c r="O432" s="6"/>
      <c r="P432" s="6"/>
      <c r="Q432" s="6"/>
      <c r="R432" s="6"/>
      <c r="S432" s="6"/>
      <c r="T432" s="6"/>
      <c r="U432" s="6"/>
      <c r="V432" s="6"/>
      <c r="W432" s="6"/>
      <c r="X432" s="6"/>
      <c r="Y432" s="6"/>
      <c r="Z432" s="6"/>
    </row>
    <row r="433" spans="1:26" ht="15.75" customHeight="1" x14ac:dyDescent="0.3">
      <c r="A433" s="10" t="s">
        <v>3814</v>
      </c>
      <c r="B433" s="10">
        <v>1999</v>
      </c>
      <c r="C433" s="10" t="s">
        <v>4707</v>
      </c>
      <c r="D433" s="10">
        <v>10</v>
      </c>
      <c r="E433" s="10">
        <v>0</v>
      </c>
      <c r="F433" s="24">
        <v>3955.98</v>
      </c>
      <c r="G433" s="10" t="s">
        <v>4695</v>
      </c>
      <c r="H433" s="10" t="s">
        <v>4696</v>
      </c>
      <c r="I433" s="10" t="s">
        <v>4726</v>
      </c>
      <c r="J433" s="17">
        <f t="shared" si="2"/>
        <v>36351</v>
      </c>
      <c r="K433" s="10">
        <f t="shared" ca="1" si="3"/>
        <v>26</v>
      </c>
      <c r="L433" s="6"/>
      <c r="M433" s="6"/>
      <c r="N433" s="6"/>
      <c r="O433" s="6"/>
      <c r="P433" s="6"/>
      <c r="Q433" s="6"/>
      <c r="R433" s="6"/>
      <c r="S433" s="6"/>
      <c r="T433" s="6"/>
      <c r="U433" s="6"/>
      <c r="V433" s="6"/>
      <c r="W433" s="6"/>
      <c r="X433" s="6"/>
      <c r="Y433" s="6"/>
      <c r="Z433" s="6"/>
    </row>
    <row r="434" spans="1:26" ht="15.75" customHeight="1" x14ac:dyDescent="0.3">
      <c r="A434" s="10" t="s">
        <v>3812</v>
      </c>
      <c r="B434" s="10">
        <v>1995</v>
      </c>
      <c r="C434" s="10" t="s">
        <v>4707</v>
      </c>
      <c r="D434" s="10">
        <v>11</v>
      </c>
      <c r="E434" s="10">
        <v>1</v>
      </c>
      <c r="F434" s="24">
        <v>3956.07</v>
      </c>
      <c r="G434" s="10" t="s">
        <v>4695</v>
      </c>
      <c r="H434" s="10" t="s">
        <v>4695</v>
      </c>
      <c r="I434" s="10" t="s">
        <v>4712</v>
      </c>
      <c r="J434" s="17">
        <f t="shared" si="2"/>
        <v>34891</v>
      </c>
      <c r="K434" s="10">
        <f t="shared" ca="1" si="3"/>
        <v>30</v>
      </c>
      <c r="L434" s="6"/>
      <c r="M434" s="6"/>
      <c r="N434" s="6"/>
      <c r="O434" s="6"/>
      <c r="P434" s="6"/>
      <c r="Q434" s="6"/>
      <c r="R434" s="6"/>
      <c r="S434" s="6"/>
      <c r="T434" s="6"/>
      <c r="U434" s="6"/>
      <c r="V434" s="6"/>
      <c r="W434" s="6"/>
      <c r="X434" s="6"/>
      <c r="Y434" s="6"/>
      <c r="Z434" s="6"/>
    </row>
    <row r="435" spans="1:26" ht="15.75" customHeight="1" x14ac:dyDescent="0.3">
      <c r="A435" s="10" t="s">
        <v>3810</v>
      </c>
      <c r="B435" s="10">
        <v>1990</v>
      </c>
      <c r="C435" s="10" t="s">
        <v>4707</v>
      </c>
      <c r="D435" s="10">
        <v>29</v>
      </c>
      <c r="E435" s="10">
        <v>0</v>
      </c>
      <c r="F435" s="24">
        <v>3972.92</v>
      </c>
      <c r="G435" s="10" t="s">
        <v>4695</v>
      </c>
      <c r="H435" s="10" t="s">
        <v>4696</v>
      </c>
      <c r="I435" s="10" t="s">
        <v>4708</v>
      </c>
      <c r="J435" s="17">
        <f t="shared" si="2"/>
        <v>33083</v>
      </c>
      <c r="K435" s="10">
        <f t="shared" ca="1" si="3"/>
        <v>35</v>
      </c>
      <c r="L435" s="6"/>
      <c r="M435" s="6"/>
      <c r="N435" s="6"/>
      <c r="O435" s="6"/>
      <c r="P435" s="6"/>
      <c r="Q435" s="6"/>
      <c r="R435" s="6"/>
      <c r="S435" s="6"/>
      <c r="T435" s="6"/>
      <c r="U435" s="6"/>
      <c r="V435" s="6"/>
      <c r="W435" s="6"/>
      <c r="X435" s="6"/>
      <c r="Y435" s="6"/>
      <c r="Z435" s="6"/>
    </row>
    <row r="436" spans="1:26" ht="15.75" customHeight="1" x14ac:dyDescent="0.3">
      <c r="A436" s="10" t="s">
        <v>3808</v>
      </c>
      <c r="B436" s="10">
        <v>1996</v>
      </c>
      <c r="C436" s="10" t="s">
        <v>4714</v>
      </c>
      <c r="D436" s="10">
        <v>17</v>
      </c>
      <c r="E436" s="10">
        <v>2</v>
      </c>
      <c r="F436" s="24">
        <v>3981.98</v>
      </c>
      <c r="G436" s="10" t="s">
        <v>4695</v>
      </c>
      <c r="H436" s="10" t="s">
        <v>4695</v>
      </c>
      <c r="I436" s="10" t="s">
        <v>4708</v>
      </c>
      <c r="J436" s="17">
        <f t="shared" si="2"/>
        <v>35294</v>
      </c>
      <c r="K436" s="10">
        <f t="shared" ca="1" si="3"/>
        <v>29</v>
      </c>
      <c r="L436" s="6"/>
      <c r="M436" s="6"/>
      <c r="N436" s="6"/>
      <c r="O436" s="6"/>
      <c r="P436" s="6"/>
      <c r="Q436" s="6"/>
      <c r="R436" s="6"/>
      <c r="S436" s="6"/>
      <c r="T436" s="6"/>
      <c r="U436" s="6"/>
      <c r="V436" s="6"/>
      <c r="W436" s="6"/>
      <c r="X436" s="6"/>
      <c r="Y436" s="6"/>
      <c r="Z436" s="6"/>
    </row>
    <row r="437" spans="1:26" ht="15.75" customHeight="1" x14ac:dyDescent="0.3">
      <c r="A437" s="10" t="s">
        <v>3806</v>
      </c>
      <c r="B437" s="10">
        <v>1996</v>
      </c>
      <c r="C437" s="10" t="s">
        <v>4711</v>
      </c>
      <c r="D437" s="10">
        <v>8</v>
      </c>
      <c r="E437" s="10">
        <v>2</v>
      </c>
      <c r="F437" s="24">
        <v>3987.93</v>
      </c>
      <c r="G437" s="10" t="s">
        <v>4695</v>
      </c>
      <c r="H437" s="10" t="s">
        <v>4695</v>
      </c>
      <c r="I437" s="10" t="s">
        <v>4716</v>
      </c>
      <c r="J437" s="17">
        <f t="shared" si="2"/>
        <v>35316</v>
      </c>
      <c r="K437" s="10">
        <f t="shared" ca="1" si="3"/>
        <v>29</v>
      </c>
      <c r="L437" s="6"/>
      <c r="M437" s="6"/>
      <c r="N437" s="6"/>
      <c r="O437" s="6"/>
      <c r="P437" s="6"/>
      <c r="Q437" s="6"/>
      <c r="R437" s="6"/>
      <c r="S437" s="6"/>
      <c r="T437" s="6"/>
      <c r="U437" s="6"/>
      <c r="V437" s="6"/>
      <c r="W437" s="6"/>
      <c r="X437" s="6"/>
      <c r="Y437" s="6"/>
      <c r="Z437" s="6"/>
    </row>
    <row r="438" spans="1:26" ht="15.75" customHeight="1" x14ac:dyDescent="0.3">
      <c r="A438" s="10" t="s">
        <v>3804</v>
      </c>
      <c r="B438" s="10">
        <v>1990</v>
      </c>
      <c r="C438" s="10" t="s">
        <v>4709</v>
      </c>
      <c r="D438" s="10">
        <v>22</v>
      </c>
      <c r="E438" s="10">
        <v>0</v>
      </c>
      <c r="F438" s="24">
        <v>3989.84</v>
      </c>
      <c r="G438" s="10" t="s">
        <v>4695</v>
      </c>
      <c r="H438" s="10" t="s">
        <v>4695</v>
      </c>
      <c r="I438" s="10" t="s">
        <v>4716</v>
      </c>
      <c r="J438" s="17">
        <f t="shared" si="2"/>
        <v>33199</v>
      </c>
      <c r="K438" s="10">
        <f t="shared" ca="1" si="3"/>
        <v>35</v>
      </c>
      <c r="L438" s="6"/>
      <c r="M438" s="6"/>
      <c r="N438" s="6"/>
      <c r="O438" s="6"/>
      <c r="P438" s="6"/>
      <c r="Q438" s="6"/>
      <c r="R438" s="6"/>
      <c r="S438" s="6"/>
      <c r="T438" s="6"/>
      <c r="U438" s="6"/>
      <c r="V438" s="6"/>
      <c r="W438" s="6"/>
      <c r="X438" s="6"/>
      <c r="Y438" s="6"/>
      <c r="Z438" s="6"/>
    </row>
    <row r="439" spans="1:26" ht="15.75" customHeight="1" x14ac:dyDescent="0.3">
      <c r="A439" s="10" t="s">
        <v>3802</v>
      </c>
      <c r="B439" s="10">
        <v>1990</v>
      </c>
      <c r="C439" s="10" t="s">
        <v>4709</v>
      </c>
      <c r="D439" s="10">
        <v>1</v>
      </c>
      <c r="E439" s="10">
        <v>0</v>
      </c>
      <c r="F439" s="24">
        <v>3994.18</v>
      </c>
      <c r="G439" s="10" t="s">
        <v>4695</v>
      </c>
      <c r="H439" s="10" t="s">
        <v>4695</v>
      </c>
      <c r="I439" s="10" t="s">
        <v>4708</v>
      </c>
      <c r="J439" s="17">
        <f t="shared" si="2"/>
        <v>33178</v>
      </c>
      <c r="K439" s="10">
        <f t="shared" ca="1" si="3"/>
        <v>35</v>
      </c>
      <c r="L439" s="6"/>
      <c r="M439" s="6"/>
      <c r="N439" s="6"/>
      <c r="O439" s="6"/>
      <c r="P439" s="6"/>
      <c r="Q439" s="6"/>
      <c r="R439" s="6"/>
      <c r="S439" s="6"/>
      <c r="T439" s="6"/>
      <c r="U439" s="6"/>
      <c r="V439" s="6"/>
      <c r="W439" s="6"/>
      <c r="X439" s="6"/>
      <c r="Y439" s="6"/>
      <c r="Z439" s="6"/>
    </row>
    <row r="440" spans="1:26" ht="15.75" customHeight="1" x14ac:dyDescent="0.3">
      <c r="A440" s="10" t="s">
        <v>3800</v>
      </c>
      <c r="B440" s="10">
        <v>1989</v>
      </c>
      <c r="C440" s="10" t="s">
        <v>4707</v>
      </c>
      <c r="D440" s="10">
        <v>10</v>
      </c>
      <c r="E440" s="10">
        <v>3</v>
      </c>
      <c r="F440" s="24">
        <v>4002.36</v>
      </c>
      <c r="G440" s="10" t="s">
        <v>4695</v>
      </c>
      <c r="H440" s="10" t="s">
        <v>4694</v>
      </c>
      <c r="I440" s="10" t="s">
        <v>4708</v>
      </c>
      <c r="J440" s="17">
        <f t="shared" si="2"/>
        <v>32699</v>
      </c>
      <c r="K440" s="10">
        <f t="shared" ca="1" si="3"/>
        <v>36</v>
      </c>
      <c r="L440" s="6"/>
      <c r="M440" s="6"/>
      <c r="N440" s="6"/>
      <c r="O440" s="6"/>
      <c r="P440" s="6"/>
      <c r="Q440" s="6"/>
      <c r="R440" s="6"/>
      <c r="S440" s="6"/>
      <c r="T440" s="6"/>
      <c r="U440" s="6"/>
      <c r="V440" s="6"/>
      <c r="W440" s="6"/>
      <c r="X440" s="6"/>
      <c r="Y440" s="6"/>
      <c r="Z440" s="6"/>
    </row>
    <row r="441" spans="1:26" ht="15.75" customHeight="1" x14ac:dyDescent="0.3">
      <c r="A441" s="10" t="s">
        <v>3798</v>
      </c>
      <c r="B441" s="10">
        <v>2000</v>
      </c>
      <c r="C441" s="10" t="s">
        <v>4711</v>
      </c>
      <c r="D441" s="10">
        <v>13</v>
      </c>
      <c r="E441" s="10">
        <v>3</v>
      </c>
      <c r="F441" s="24">
        <v>4005.42</v>
      </c>
      <c r="G441" s="10" t="s">
        <v>4695</v>
      </c>
      <c r="H441" s="10" t="s">
        <v>4694</v>
      </c>
      <c r="I441" s="10" t="s">
        <v>4718</v>
      </c>
      <c r="J441" s="17">
        <f t="shared" si="2"/>
        <v>36782</v>
      </c>
      <c r="K441" s="10">
        <f t="shared" ca="1" si="3"/>
        <v>25</v>
      </c>
      <c r="L441" s="6"/>
      <c r="M441" s="6"/>
      <c r="N441" s="6"/>
      <c r="O441" s="6"/>
      <c r="P441" s="6"/>
      <c r="Q441" s="6"/>
      <c r="R441" s="6"/>
      <c r="S441" s="6"/>
      <c r="T441" s="6"/>
      <c r="U441" s="6"/>
      <c r="V441" s="6"/>
      <c r="W441" s="6"/>
      <c r="X441" s="6"/>
      <c r="Y441" s="6"/>
      <c r="Z441" s="6"/>
    </row>
    <row r="442" spans="1:26" ht="15.75" customHeight="1" x14ac:dyDescent="0.3">
      <c r="A442" s="10" t="s">
        <v>3796</v>
      </c>
      <c r="B442" s="10">
        <v>1992</v>
      </c>
      <c r="C442" s="10" t="s">
        <v>4715</v>
      </c>
      <c r="D442" s="10">
        <v>11</v>
      </c>
      <c r="E442" s="10">
        <v>1</v>
      </c>
      <c r="F442" s="24">
        <v>4032.24</v>
      </c>
      <c r="G442" s="10" t="s">
        <v>4696</v>
      </c>
      <c r="H442" s="10" t="s">
        <v>4696</v>
      </c>
      <c r="I442" s="10" t="s">
        <v>4712</v>
      </c>
      <c r="J442" s="17">
        <f t="shared" si="2"/>
        <v>33888</v>
      </c>
      <c r="K442" s="10">
        <f t="shared" ca="1" si="3"/>
        <v>33</v>
      </c>
      <c r="L442" s="6"/>
      <c r="M442" s="6"/>
      <c r="N442" s="6"/>
      <c r="O442" s="6"/>
      <c r="P442" s="6"/>
      <c r="Q442" s="6"/>
      <c r="R442" s="6"/>
      <c r="S442" s="6"/>
      <c r="T442" s="6"/>
      <c r="U442" s="6"/>
      <c r="V442" s="6"/>
      <c r="W442" s="6"/>
      <c r="X442" s="6"/>
      <c r="Y442" s="6"/>
      <c r="Z442" s="6"/>
    </row>
    <row r="443" spans="1:26" ht="15.75" customHeight="1" x14ac:dyDescent="0.3">
      <c r="A443" s="10" t="s">
        <v>3794</v>
      </c>
      <c r="B443" s="10">
        <v>1984</v>
      </c>
      <c r="C443" s="10" t="s">
        <v>4707</v>
      </c>
      <c r="D443" s="10">
        <v>7</v>
      </c>
      <c r="E443" s="10">
        <v>3</v>
      </c>
      <c r="F443" s="24">
        <v>4038.41</v>
      </c>
      <c r="G443" s="10" t="s">
        <v>4695</v>
      </c>
      <c r="H443" s="10" t="s">
        <v>4694</v>
      </c>
      <c r="I443" s="10" t="s">
        <v>4708</v>
      </c>
      <c r="J443" s="17">
        <f t="shared" si="2"/>
        <v>30870</v>
      </c>
      <c r="K443" s="10">
        <f t="shared" ca="1" si="3"/>
        <v>41</v>
      </c>
      <c r="L443" s="6"/>
      <c r="M443" s="6"/>
      <c r="N443" s="6"/>
      <c r="O443" s="6"/>
      <c r="P443" s="6"/>
      <c r="Q443" s="6"/>
      <c r="R443" s="6"/>
      <c r="S443" s="6"/>
      <c r="T443" s="6"/>
      <c r="U443" s="6"/>
      <c r="V443" s="6"/>
      <c r="W443" s="6"/>
      <c r="X443" s="6"/>
      <c r="Y443" s="6"/>
      <c r="Z443" s="6"/>
    </row>
    <row r="444" spans="1:26" ht="15.75" customHeight="1" x14ac:dyDescent="0.3">
      <c r="A444" s="10" t="s">
        <v>3792</v>
      </c>
      <c r="B444" s="10">
        <v>1983</v>
      </c>
      <c r="C444" s="10" t="s">
        <v>4709</v>
      </c>
      <c r="D444" s="10">
        <v>10</v>
      </c>
      <c r="E444" s="10">
        <v>3</v>
      </c>
      <c r="F444" s="24">
        <v>4039.9</v>
      </c>
      <c r="G444" s="10" t="s">
        <v>4695</v>
      </c>
      <c r="H444" s="10" t="s">
        <v>4694</v>
      </c>
      <c r="I444" s="10" t="s">
        <v>4708</v>
      </c>
      <c r="J444" s="17">
        <f t="shared" si="2"/>
        <v>30630</v>
      </c>
      <c r="K444" s="10">
        <f t="shared" ca="1" si="3"/>
        <v>42</v>
      </c>
      <c r="L444" s="6"/>
      <c r="M444" s="6"/>
      <c r="N444" s="6"/>
      <c r="O444" s="6"/>
      <c r="P444" s="6"/>
      <c r="Q444" s="6"/>
      <c r="R444" s="6"/>
      <c r="S444" s="6"/>
      <c r="T444" s="6"/>
      <c r="U444" s="6"/>
      <c r="V444" s="6"/>
      <c r="W444" s="6"/>
      <c r="X444" s="6"/>
      <c r="Y444" s="6"/>
      <c r="Z444" s="6"/>
    </row>
    <row r="445" spans="1:26" ht="15.75" customHeight="1" x14ac:dyDescent="0.3">
      <c r="A445" s="10" t="s">
        <v>3790</v>
      </c>
      <c r="B445" s="10">
        <v>1993</v>
      </c>
      <c r="C445" s="10" t="s">
        <v>4713</v>
      </c>
      <c r="D445" s="10">
        <v>26</v>
      </c>
      <c r="E445" s="10">
        <v>1</v>
      </c>
      <c r="F445" s="24">
        <v>4040.56</v>
      </c>
      <c r="G445" s="10" t="s">
        <v>4696</v>
      </c>
      <c r="H445" s="10" t="s">
        <v>4696</v>
      </c>
      <c r="I445" s="10" t="s">
        <v>4718</v>
      </c>
      <c r="J445" s="17">
        <f t="shared" si="2"/>
        <v>34329</v>
      </c>
      <c r="K445" s="10">
        <f t="shared" ca="1" si="3"/>
        <v>31</v>
      </c>
      <c r="L445" s="6"/>
      <c r="M445" s="6"/>
      <c r="N445" s="6"/>
      <c r="O445" s="6"/>
      <c r="P445" s="6"/>
      <c r="Q445" s="6"/>
      <c r="R445" s="6"/>
      <c r="S445" s="6"/>
      <c r="T445" s="6"/>
      <c r="U445" s="6"/>
      <c r="V445" s="6"/>
      <c r="W445" s="6"/>
      <c r="X445" s="6"/>
      <c r="Y445" s="6"/>
      <c r="Z445" s="6"/>
    </row>
    <row r="446" spans="1:26" ht="15.75" customHeight="1" x14ac:dyDescent="0.3">
      <c r="A446" s="10" t="s">
        <v>3788</v>
      </c>
      <c r="B446" s="10">
        <v>1988</v>
      </c>
      <c r="C446" s="10" t="s">
        <v>4709</v>
      </c>
      <c r="D446" s="10">
        <v>30</v>
      </c>
      <c r="E446" s="10">
        <v>3</v>
      </c>
      <c r="F446" s="24">
        <v>4047.94</v>
      </c>
      <c r="G446" s="10" t="s">
        <v>4695</v>
      </c>
      <c r="H446" s="10" t="s">
        <v>4694</v>
      </c>
      <c r="I446" s="10" t="s">
        <v>4708</v>
      </c>
      <c r="J446" s="17">
        <f t="shared" si="2"/>
        <v>32477</v>
      </c>
      <c r="K446" s="10">
        <f t="shared" ca="1" si="3"/>
        <v>36</v>
      </c>
      <c r="L446" s="6"/>
      <c r="M446" s="6"/>
      <c r="N446" s="6"/>
      <c r="O446" s="6"/>
      <c r="P446" s="6"/>
      <c r="Q446" s="6"/>
      <c r="R446" s="6"/>
      <c r="S446" s="6"/>
      <c r="T446" s="6"/>
      <c r="U446" s="6"/>
      <c r="V446" s="6"/>
      <c r="W446" s="6"/>
      <c r="X446" s="6"/>
      <c r="Y446" s="6"/>
      <c r="Z446" s="6"/>
    </row>
    <row r="447" spans="1:26" ht="15.75" customHeight="1" x14ac:dyDescent="0.3">
      <c r="A447" s="10" t="s">
        <v>3786</v>
      </c>
      <c r="B447" s="10">
        <v>1993</v>
      </c>
      <c r="C447" s="10" t="s">
        <v>4714</v>
      </c>
      <c r="D447" s="10">
        <v>13</v>
      </c>
      <c r="E447" s="10">
        <v>2</v>
      </c>
      <c r="F447" s="24">
        <v>4058.12</v>
      </c>
      <c r="G447" s="10" t="s">
        <v>4695</v>
      </c>
      <c r="H447" s="10" t="s">
        <v>4694</v>
      </c>
      <c r="I447" s="10" t="s">
        <v>4708</v>
      </c>
      <c r="J447" s="17">
        <f t="shared" si="2"/>
        <v>34194</v>
      </c>
      <c r="K447" s="10">
        <f t="shared" ca="1" si="3"/>
        <v>32</v>
      </c>
      <c r="L447" s="6"/>
      <c r="M447" s="6"/>
      <c r="N447" s="6"/>
      <c r="O447" s="6"/>
      <c r="P447" s="6"/>
      <c r="Q447" s="6"/>
      <c r="R447" s="6"/>
      <c r="S447" s="6"/>
      <c r="T447" s="6"/>
      <c r="U447" s="6"/>
      <c r="V447" s="6"/>
      <c r="W447" s="6"/>
      <c r="X447" s="6"/>
      <c r="Y447" s="6"/>
      <c r="Z447" s="6"/>
    </row>
    <row r="448" spans="1:26" ht="15.75" customHeight="1" x14ac:dyDescent="0.3">
      <c r="A448" s="10" t="s">
        <v>3784</v>
      </c>
      <c r="B448" s="10">
        <v>1995</v>
      </c>
      <c r="C448" s="10" t="s">
        <v>4711</v>
      </c>
      <c r="D448" s="10">
        <v>14</v>
      </c>
      <c r="E448" s="10">
        <v>2</v>
      </c>
      <c r="F448" s="24">
        <v>4058.71</v>
      </c>
      <c r="G448" s="10" t="s">
        <v>4696</v>
      </c>
      <c r="H448" s="10" t="s">
        <v>4696</v>
      </c>
      <c r="I448" s="10" t="s">
        <v>4712</v>
      </c>
      <c r="J448" s="17">
        <f t="shared" si="2"/>
        <v>34956</v>
      </c>
      <c r="K448" s="10">
        <f t="shared" ca="1" si="3"/>
        <v>30</v>
      </c>
      <c r="L448" s="6"/>
      <c r="M448" s="6"/>
      <c r="N448" s="6"/>
      <c r="O448" s="6"/>
      <c r="P448" s="6"/>
      <c r="Q448" s="6"/>
      <c r="R448" s="6"/>
      <c r="S448" s="6"/>
      <c r="T448" s="6"/>
      <c r="U448" s="6"/>
      <c r="V448" s="6"/>
      <c r="W448" s="6"/>
      <c r="X448" s="6"/>
      <c r="Y448" s="6"/>
      <c r="Z448" s="6"/>
    </row>
    <row r="449" spans="1:26" ht="15.75" customHeight="1" x14ac:dyDescent="0.3">
      <c r="A449" s="10" t="s">
        <v>3782</v>
      </c>
      <c r="B449" s="10">
        <v>1983</v>
      </c>
      <c r="C449" s="10" t="s">
        <v>4711</v>
      </c>
      <c r="D449" s="10">
        <v>16</v>
      </c>
      <c r="E449" s="10">
        <v>3</v>
      </c>
      <c r="F449" s="24">
        <v>4070.42</v>
      </c>
      <c r="G449" s="10" t="s">
        <v>4695</v>
      </c>
      <c r="H449" s="10" t="s">
        <v>4694</v>
      </c>
      <c r="I449" s="10" t="s">
        <v>4708</v>
      </c>
      <c r="J449" s="17">
        <f t="shared" si="2"/>
        <v>30575</v>
      </c>
      <c r="K449" s="10">
        <f t="shared" ca="1" si="3"/>
        <v>42</v>
      </c>
      <c r="L449" s="6"/>
      <c r="M449" s="6"/>
      <c r="N449" s="6"/>
      <c r="O449" s="6"/>
      <c r="P449" s="6"/>
      <c r="Q449" s="6"/>
      <c r="R449" s="6"/>
      <c r="S449" s="6"/>
      <c r="T449" s="6"/>
      <c r="U449" s="6"/>
      <c r="V449" s="6"/>
      <c r="W449" s="6"/>
      <c r="X449" s="6"/>
      <c r="Y449" s="6"/>
      <c r="Z449" s="6"/>
    </row>
    <row r="450" spans="1:26" ht="15.75" customHeight="1" x14ac:dyDescent="0.3">
      <c r="A450" s="10" t="s">
        <v>3780</v>
      </c>
      <c r="B450" s="10">
        <v>2002</v>
      </c>
      <c r="C450" s="10" t="s">
        <v>4715</v>
      </c>
      <c r="D450" s="10">
        <v>18</v>
      </c>
      <c r="E450" s="10">
        <v>0</v>
      </c>
      <c r="F450" s="24">
        <v>4070.51</v>
      </c>
      <c r="G450" s="10" t="s">
        <v>4695</v>
      </c>
      <c r="H450" s="10" t="s">
        <v>4694</v>
      </c>
      <c r="I450" s="10" t="s">
        <v>4712</v>
      </c>
      <c r="J450" s="17">
        <f t="shared" si="2"/>
        <v>37547</v>
      </c>
      <c r="K450" s="10">
        <f t="shared" ca="1" si="3"/>
        <v>23</v>
      </c>
      <c r="L450" s="6"/>
      <c r="M450" s="6"/>
      <c r="N450" s="6"/>
      <c r="O450" s="6"/>
      <c r="P450" s="6"/>
      <c r="Q450" s="6"/>
      <c r="R450" s="6"/>
      <c r="S450" s="6"/>
      <c r="T450" s="6"/>
      <c r="U450" s="6"/>
      <c r="V450" s="6"/>
      <c r="W450" s="6"/>
      <c r="X450" s="6"/>
      <c r="Y450" s="6"/>
      <c r="Z450" s="6"/>
    </row>
    <row r="451" spans="1:26" ht="15.75" customHeight="1" x14ac:dyDescent="0.3">
      <c r="A451" s="10" t="s">
        <v>3778</v>
      </c>
      <c r="B451" s="10">
        <v>1990</v>
      </c>
      <c r="C451" s="10" t="s">
        <v>4713</v>
      </c>
      <c r="D451" s="10">
        <v>1</v>
      </c>
      <c r="E451" s="10">
        <v>1</v>
      </c>
      <c r="F451" s="24">
        <v>4074.45</v>
      </c>
      <c r="G451" s="10" t="s">
        <v>4696</v>
      </c>
      <c r="H451" s="10" t="s">
        <v>4695</v>
      </c>
      <c r="I451" s="10" t="s">
        <v>4708</v>
      </c>
      <c r="J451" s="17">
        <f t="shared" si="2"/>
        <v>33208</v>
      </c>
      <c r="K451" s="10">
        <f t="shared" ca="1" si="3"/>
        <v>34</v>
      </c>
      <c r="L451" s="6"/>
      <c r="M451" s="6"/>
      <c r="N451" s="6"/>
      <c r="O451" s="6"/>
      <c r="P451" s="6"/>
      <c r="Q451" s="6"/>
      <c r="R451" s="6"/>
      <c r="S451" s="6"/>
      <c r="T451" s="6"/>
      <c r="U451" s="6"/>
      <c r="V451" s="6"/>
      <c r="W451" s="6"/>
      <c r="X451" s="6"/>
      <c r="Y451" s="6"/>
      <c r="Z451" s="6"/>
    </row>
    <row r="452" spans="1:26" ht="15.75" customHeight="1" x14ac:dyDescent="0.3">
      <c r="A452" s="10" t="s">
        <v>3776</v>
      </c>
      <c r="B452" s="10">
        <v>1990</v>
      </c>
      <c r="C452" s="10" t="s">
        <v>4713</v>
      </c>
      <c r="D452" s="10">
        <v>14</v>
      </c>
      <c r="E452" s="10">
        <v>1</v>
      </c>
      <c r="F452" s="24">
        <v>4076.5</v>
      </c>
      <c r="G452" s="10" t="s">
        <v>4695</v>
      </c>
      <c r="H452" s="10" t="s">
        <v>4696</v>
      </c>
      <c r="I452" s="10" t="s">
        <v>4716</v>
      </c>
      <c r="J452" s="17">
        <f t="shared" si="2"/>
        <v>33221</v>
      </c>
      <c r="K452" s="10">
        <f t="shared" ca="1" si="3"/>
        <v>34</v>
      </c>
      <c r="L452" s="6"/>
      <c r="M452" s="6"/>
      <c r="N452" s="6"/>
      <c r="O452" s="6"/>
      <c r="P452" s="6"/>
      <c r="Q452" s="6"/>
      <c r="R452" s="6"/>
      <c r="S452" s="6"/>
      <c r="T452" s="6"/>
      <c r="U452" s="6"/>
      <c r="V452" s="6"/>
      <c r="W452" s="6"/>
      <c r="X452" s="6"/>
      <c r="Y452" s="6"/>
      <c r="Z452" s="6"/>
    </row>
    <row r="453" spans="1:26" ht="15.75" customHeight="1" x14ac:dyDescent="0.3">
      <c r="A453" s="10" t="s">
        <v>3774</v>
      </c>
      <c r="B453" s="10">
        <v>1994</v>
      </c>
      <c r="C453" s="10" t="s">
        <v>4714</v>
      </c>
      <c r="D453" s="10">
        <v>21</v>
      </c>
      <c r="E453" s="10">
        <v>1</v>
      </c>
      <c r="F453" s="24">
        <v>4133.6400000000003</v>
      </c>
      <c r="G453" s="10" t="s">
        <v>4695</v>
      </c>
      <c r="H453" s="10" t="s">
        <v>4696</v>
      </c>
      <c r="I453" s="10" t="s">
        <v>4712</v>
      </c>
      <c r="J453" s="17">
        <f t="shared" si="2"/>
        <v>34567</v>
      </c>
      <c r="K453" s="10">
        <f t="shared" ca="1" si="3"/>
        <v>31</v>
      </c>
      <c r="L453" s="6"/>
      <c r="M453" s="6"/>
      <c r="N453" s="6"/>
      <c r="O453" s="6"/>
      <c r="P453" s="6"/>
      <c r="Q453" s="6"/>
      <c r="R453" s="6"/>
      <c r="S453" s="6"/>
      <c r="T453" s="6"/>
      <c r="U453" s="6"/>
      <c r="V453" s="6"/>
      <c r="W453" s="6"/>
      <c r="X453" s="6"/>
      <c r="Y453" s="6"/>
      <c r="Z453" s="6"/>
    </row>
    <row r="454" spans="1:26" ht="15.75" customHeight="1" x14ac:dyDescent="0.3">
      <c r="A454" s="10" t="s">
        <v>3772</v>
      </c>
      <c r="B454" s="10">
        <v>1991</v>
      </c>
      <c r="C454" s="10" t="s">
        <v>4714</v>
      </c>
      <c r="D454" s="10">
        <v>6</v>
      </c>
      <c r="E454" s="10">
        <v>0</v>
      </c>
      <c r="F454" s="24">
        <v>4134.08</v>
      </c>
      <c r="G454" s="10" t="s">
        <v>4695</v>
      </c>
      <c r="H454" s="10" t="s">
        <v>4694</v>
      </c>
      <c r="I454" s="10" t="s">
        <v>4712</v>
      </c>
      <c r="J454" s="17">
        <f t="shared" si="2"/>
        <v>33456</v>
      </c>
      <c r="K454" s="10">
        <f t="shared" ca="1" si="3"/>
        <v>34</v>
      </c>
      <c r="L454" s="6"/>
      <c r="M454" s="6"/>
      <c r="N454" s="6"/>
      <c r="O454" s="6"/>
      <c r="P454" s="6"/>
      <c r="Q454" s="6"/>
      <c r="R454" s="6"/>
      <c r="S454" s="6"/>
      <c r="T454" s="6"/>
      <c r="U454" s="6"/>
      <c r="V454" s="6"/>
      <c r="W454" s="6"/>
      <c r="X454" s="6"/>
      <c r="Y454" s="6"/>
      <c r="Z454" s="6"/>
    </row>
    <row r="455" spans="1:26" ht="15.75" customHeight="1" x14ac:dyDescent="0.3">
      <c r="A455" s="10" t="s">
        <v>3770</v>
      </c>
      <c r="B455" s="10">
        <v>1992</v>
      </c>
      <c r="C455" s="10" t="s">
        <v>4710</v>
      </c>
      <c r="D455" s="10">
        <v>18</v>
      </c>
      <c r="E455" s="10">
        <v>0</v>
      </c>
      <c r="F455" s="24">
        <v>4137.5200000000004</v>
      </c>
      <c r="G455" s="10" t="s">
        <v>4695</v>
      </c>
      <c r="H455" s="10" t="s">
        <v>4696</v>
      </c>
      <c r="I455" s="10" t="s">
        <v>4723</v>
      </c>
      <c r="J455" s="17">
        <f t="shared" si="2"/>
        <v>33773</v>
      </c>
      <c r="K455" s="10">
        <f t="shared" ca="1" si="3"/>
        <v>33</v>
      </c>
      <c r="L455" s="6"/>
      <c r="M455" s="6"/>
      <c r="N455" s="6"/>
      <c r="O455" s="6"/>
      <c r="P455" s="6"/>
      <c r="Q455" s="6"/>
      <c r="R455" s="6"/>
      <c r="S455" s="6"/>
      <c r="T455" s="6"/>
      <c r="U455" s="6"/>
      <c r="V455" s="6"/>
      <c r="W455" s="6"/>
      <c r="X455" s="6"/>
      <c r="Y455" s="6"/>
      <c r="Z455" s="6"/>
    </row>
    <row r="456" spans="1:26" ht="15.75" customHeight="1" x14ac:dyDescent="0.3">
      <c r="A456" s="10" t="s">
        <v>3768</v>
      </c>
      <c r="B456" s="10">
        <v>1992</v>
      </c>
      <c r="C456" s="10" t="s">
        <v>4710</v>
      </c>
      <c r="D456" s="10">
        <v>28</v>
      </c>
      <c r="E456" s="10">
        <v>1</v>
      </c>
      <c r="F456" s="24">
        <v>4149.74</v>
      </c>
      <c r="G456" s="10" t="s">
        <v>4695</v>
      </c>
      <c r="H456" s="10" t="s">
        <v>4694</v>
      </c>
      <c r="I456" s="10" t="s">
        <v>4716</v>
      </c>
      <c r="J456" s="17">
        <f t="shared" si="2"/>
        <v>33783</v>
      </c>
      <c r="K456" s="10">
        <f t="shared" ca="1" si="3"/>
        <v>33</v>
      </c>
      <c r="L456" s="6"/>
      <c r="M456" s="6"/>
      <c r="N456" s="6"/>
      <c r="O456" s="6"/>
      <c r="P456" s="6"/>
      <c r="Q456" s="6"/>
      <c r="R456" s="6"/>
      <c r="S456" s="6"/>
      <c r="T456" s="6"/>
      <c r="U456" s="6"/>
      <c r="V456" s="6"/>
      <c r="W456" s="6"/>
      <c r="X456" s="6"/>
      <c r="Y456" s="6"/>
      <c r="Z456" s="6"/>
    </row>
    <row r="457" spans="1:26" ht="15.75" customHeight="1" x14ac:dyDescent="0.3">
      <c r="A457" s="10" t="s">
        <v>3766</v>
      </c>
      <c r="B457" s="10">
        <v>1992</v>
      </c>
      <c r="C457" s="10" t="s">
        <v>4714</v>
      </c>
      <c r="D457" s="10">
        <v>4</v>
      </c>
      <c r="E457" s="10">
        <v>1</v>
      </c>
      <c r="F457" s="24">
        <v>4151.03</v>
      </c>
      <c r="G457" s="10" t="s">
        <v>4695</v>
      </c>
      <c r="H457" s="10" t="s">
        <v>4695</v>
      </c>
      <c r="I457" s="10" t="s">
        <v>4708</v>
      </c>
      <c r="J457" s="17">
        <f t="shared" si="2"/>
        <v>33820</v>
      </c>
      <c r="K457" s="10">
        <f t="shared" ca="1" si="3"/>
        <v>33</v>
      </c>
      <c r="L457" s="6"/>
      <c r="M457" s="6"/>
      <c r="N457" s="6"/>
      <c r="O457" s="6"/>
      <c r="P457" s="6"/>
      <c r="Q457" s="6"/>
      <c r="R457" s="6"/>
      <c r="S457" s="6"/>
      <c r="T457" s="6"/>
      <c r="U457" s="6"/>
      <c r="V457" s="6"/>
      <c r="W457" s="6"/>
      <c r="X457" s="6"/>
      <c r="Y457" s="6"/>
      <c r="Z457" s="6"/>
    </row>
    <row r="458" spans="1:26" ht="15.75" customHeight="1" x14ac:dyDescent="0.3">
      <c r="A458" s="10" t="s">
        <v>3764</v>
      </c>
      <c r="B458" s="10">
        <v>1998</v>
      </c>
      <c r="C458" s="10" t="s">
        <v>4709</v>
      </c>
      <c r="D458" s="10">
        <v>26</v>
      </c>
      <c r="E458" s="10">
        <v>0</v>
      </c>
      <c r="F458" s="24">
        <v>4154.97</v>
      </c>
      <c r="G458" s="10" t="s">
        <v>4695</v>
      </c>
      <c r="H458" s="10" t="s">
        <v>4694</v>
      </c>
      <c r="I458" s="10" t="s">
        <v>4712</v>
      </c>
      <c r="J458" s="17">
        <f t="shared" si="2"/>
        <v>36125</v>
      </c>
      <c r="K458" s="10">
        <f t="shared" ca="1" si="3"/>
        <v>27</v>
      </c>
      <c r="L458" s="6"/>
      <c r="M458" s="6"/>
      <c r="N458" s="6"/>
      <c r="O458" s="6"/>
      <c r="P458" s="6"/>
      <c r="Q458" s="6"/>
      <c r="R458" s="6"/>
      <c r="S458" s="6"/>
      <c r="T458" s="6"/>
      <c r="U458" s="6"/>
      <c r="V458" s="6"/>
      <c r="W458" s="6"/>
      <c r="X458" s="6"/>
      <c r="Y458" s="6"/>
      <c r="Z458" s="6"/>
    </row>
    <row r="459" spans="1:26" ht="15.75" customHeight="1" x14ac:dyDescent="0.3">
      <c r="A459" s="10" t="s">
        <v>3762</v>
      </c>
      <c r="B459" s="10">
        <v>1984</v>
      </c>
      <c r="C459" s="10" t="s">
        <v>4711</v>
      </c>
      <c r="D459" s="10">
        <v>16</v>
      </c>
      <c r="E459" s="10">
        <v>3</v>
      </c>
      <c r="F459" s="24">
        <v>4163.21</v>
      </c>
      <c r="G459" s="10" t="s">
        <v>4695</v>
      </c>
      <c r="H459" s="10" t="s">
        <v>4695</v>
      </c>
      <c r="I459" s="10" t="s">
        <v>4712</v>
      </c>
      <c r="J459" s="17">
        <f t="shared" si="2"/>
        <v>30941</v>
      </c>
      <c r="K459" s="10">
        <f t="shared" ca="1" si="3"/>
        <v>41</v>
      </c>
      <c r="L459" s="6"/>
      <c r="M459" s="6"/>
      <c r="N459" s="6"/>
      <c r="O459" s="6"/>
      <c r="P459" s="6"/>
      <c r="Q459" s="6"/>
      <c r="R459" s="6"/>
      <c r="S459" s="6"/>
      <c r="T459" s="6"/>
      <c r="U459" s="6"/>
      <c r="V459" s="6"/>
      <c r="W459" s="6"/>
      <c r="X459" s="6"/>
      <c r="Y459" s="6"/>
      <c r="Z459" s="6"/>
    </row>
    <row r="460" spans="1:26" ht="15.75" customHeight="1" x14ac:dyDescent="0.3">
      <c r="A460" s="10" t="s">
        <v>3760</v>
      </c>
      <c r="B460" s="10">
        <v>1989</v>
      </c>
      <c r="C460" s="10" t="s">
        <v>4710</v>
      </c>
      <c r="D460" s="10">
        <v>25</v>
      </c>
      <c r="E460" s="10">
        <v>0</v>
      </c>
      <c r="F460" s="24">
        <v>4185.1000000000004</v>
      </c>
      <c r="G460" s="10" t="s">
        <v>4695</v>
      </c>
      <c r="H460" s="10" t="s">
        <v>4696</v>
      </c>
      <c r="I460" s="10" t="s">
        <v>4708</v>
      </c>
      <c r="J460" s="17">
        <f t="shared" si="2"/>
        <v>32684</v>
      </c>
      <c r="K460" s="10">
        <f t="shared" ca="1" si="3"/>
        <v>36</v>
      </c>
      <c r="L460" s="6"/>
      <c r="M460" s="6"/>
      <c r="N460" s="6"/>
      <c r="O460" s="6"/>
      <c r="P460" s="6"/>
      <c r="Q460" s="6"/>
      <c r="R460" s="6"/>
      <c r="S460" s="6"/>
      <c r="T460" s="6"/>
      <c r="U460" s="6"/>
      <c r="V460" s="6"/>
      <c r="W460" s="6"/>
      <c r="X460" s="6"/>
      <c r="Y460" s="6"/>
      <c r="Z460" s="6"/>
    </row>
    <row r="461" spans="1:26" ht="15.75" customHeight="1" x14ac:dyDescent="0.3">
      <c r="A461" s="10" t="s">
        <v>3758</v>
      </c>
      <c r="B461" s="10">
        <v>1995</v>
      </c>
      <c r="C461" s="10" t="s">
        <v>4715</v>
      </c>
      <c r="D461" s="10">
        <v>3</v>
      </c>
      <c r="E461" s="10">
        <v>0</v>
      </c>
      <c r="F461" s="24">
        <v>4188.7299999999996</v>
      </c>
      <c r="G461" s="10" t="s">
        <v>4695</v>
      </c>
      <c r="H461" s="10" t="s">
        <v>4695</v>
      </c>
      <c r="I461" s="10" t="s">
        <v>4722</v>
      </c>
      <c r="J461" s="17">
        <f t="shared" si="2"/>
        <v>34975</v>
      </c>
      <c r="K461" s="10">
        <f t="shared" ca="1" si="3"/>
        <v>30</v>
      </c>
      <c r="L461" s="6"/>
      <c r="M461" s="6"/>
      <c r="N461" s="6"/>
      <c r="O461" s="6"/>
      <c r="P461" s="6"/>
      <c r="Q461" s="6"/>
      <c r="R461" s="6"/>
      <c r="S461" s="6"/>
      <c r="T461" s="6"/>
      <c r="U461" s="6"/>
      <c r="V461" s="6"/>
      <c r="W461" s="6"/>
      <c r="X461" s="6"/>
      <c r="Y461" s="6"/>
      <c r="Z461" s="6"/>
    </row>
    <row r="462" spans="1:26" ht="15.75" customHeight="1" x14ac:dyDescent="0.3">
      <c r="A462" s="10" t="s">
        <v>3756</v>
      </c>
      <c r="B462" s="10">
        <v>1997</v>
      </c>
      <c r="C462" s="10" t="s">
        <v>4711</v>
      </c>
      <c r="D462" s="10">
        <v>6</v>
      </c>
      <c r="E462" s="10">
        <v>2</v>
      </c>
      <c r="F462" s="24">
        <v>4189.1099999999997</v>
      </c>
      <c r="G462" s="10" t="s">
        <v>4695</v>
      </c>
      <c r="H462" s="10" t="s">
        <v>4695</v>
      </c>
      <c r="I462" s="10" t="s">
        <v>4712</v>
      </c>
      <c r="J462" s="17">
        <f t="shared" si="2"/>
        <v>35679</v>
      </c>
      <c r="K462" s="10">
        <f t="shared" ca="1" si="3"/>
        <v>28</v>
      </c>
      <c r="L462" s="6"/>
      <c r="M462" s="6"/>
      <c r="N462" s="6"/>
      <c r="O462" s="6"/>
      <c r="P462" s="6"/>
      <c r="Q462" s="6"/>
      <c r="R462" s="6"/>
      <c r="S462" s="6"/>
      <c r="T462" s="6"/>
      <c r="U462" s="6"/>
      <c r="V462" s="6"/>
      <c r="W462" s="6"/>
      <c r="X462" s="6"/>
      <c r="Y462" s="6"/>
      <c r="Z462" s="6"/>
    </row>
    <row r="463" spans="1:26" ht="15.75" customHeight="1" x14ac:dyDescent="0.3">
      <c r="A463" s="10" t="s">
        <v>3754</v>
      </c>
      <c r="B463" s="10">
        <v>1998</v>
      </c>
      <c r="C463" s="10" t="s">
        <v>4713</v>
      </c>
      <c r="D463" s="10">
        <v>14</v>
      </c>
      <c r="E463" s="10">
        <v>3</v>
      </c>
      <c r="F463" s="24">
        <v>4234.93</v>
      </c>
      <c r="G463" s="10" t="s">
        <v>4695</v>
      </c>
      <c r="H463" s="10" t="s">
        <v>4694</v>
      </c>
      <c r="I463" s="10" t="s">
        <v>4716</v>
      </c>
      <c r="J463" s="17">
        <f t="shared" si="2"/>
        <v>36143</v>
      </c>
      <c r="K463" s="10">
        <f t="shared" ca="1" si="3"/>
        <v>26</v>
      </c>
      <c r="L463" s="6"/>
      <c r="M463" s="6"/>
      <c r="N463" s="6"/>
      <c r="O463" s="6"/>
      <c r="P463" s="6"/>
      <c r="Q463" s="6"/>
      <c r="R463" s="6"/>
      <c r="S463" s="6"/>
      <c r="T463" s="6"/>
      <c r="U463" s="6"/>
      <c r="V463" s="6"/>
      <c r="W463" s="6"/>
      <c r="X463" s="6"/>
      <c r="Y463" s="6"/>
      <c r="Z463" s="6"/>
    </row>
    <row r="464" spans="1:26" ht="15.75" customHeight="1" x14ac:dyDescent="0.3">
      <c r="A464" s="10" t="s">
        <v>3752</v>
      </c>
      <c r="B464" s="10">
        <v>1992</v>
      </c>
      <c r="C464" s="10" t="s">
        <v>4710</v>
      </c>
      <c r="D464" s="10">
        <v>27</v>
      </c>
      <c r="E464" s="10">
        <v>1</v>
      </c>
      <c r="F464" s="24">
        <v>4237.13</v>
      </c>
      <c r="G464" s="10" t="s">
        <v>4696</v>
      </c>
      <c r="H464" s="10" t="s">
        <v>4694</v>
      </c>
      <c r="I464" s="10" t="s">
        <v>4720</v>
      </c>
      <c r="J464" s="17">
        <f t="shared" si="2"/>
        <v>33782</v>
      </c>
      <c r="K464" s="10">
        <f t="shared" ca="1" si="3"/>
        <v>33</v>
      </c>
      <c r="L464" s="6"/>
      <c r="M464" s="6"/>
      <c r="N464" s="6"/>
      <c r="O464" s="6"/>
      <c r="P464" s="6"/>
      <c r="Q464" s="6"/>
      <c r="R464" s="6"/>
      <c r="S464" s="6"/>
      <c r="T464" s="6"/>
      <c r="U464" s="6"/>
      <c r="V464" s="6"/>
      <c r="W464" s="6"/>
      <c r="X464" s="6"/>
      <c r="Y464" s="6"/>
      <c r="Z464" s="6"/>
    </row>
    <row r="465" spans="1:26" ht="15.75" customHeight="1" x14ac:dyDescent="0.3">
      <c r="A465" s="10" t="s">
        <v>3750</v>
      </c>
      <c r="B465" s="10">
        <v>1991</v>
      </c>
      <c r="C465" s="10" t="s">
        <v>4709</v>
      </c>
      <c r="D465" s="10">
        <v>3</v>
      </c>
      <c r="E465" s="10">
        <v>1</v>
      </c>
      <c r="F465" s="24">
        <v>4239.8900000000003</v>
      </c>
      <c r="G465" s="10" t="s">
        <v>4695</v>
      </c>
      <c r="H465" s="10" t="s">
        <v>4695</v>
      </c>
      <c r="I465" s="10" t="s">
        <v>4712</v>
      </c>
      <c r="J465" s="17">
        <f t="shared" si="2"/>
        <v>33545</v>
      </c>
      <c r="K465" s="10">
        <f t="shared" ca="1" si="3"/>
        <v>34</v>
      </c>
      <c r="L465" s="6"/>
      <c r="M465" s="6"/>
      <c r="N465" s="6"/>
      <c r="O465" s="6"/>
      <c r="P465" s="6"/>
      <c r="Q465" s="6"/>
      <c r="R465" s="6"/>
      <c r="S465" s="6"/>
      <c r="T465" s="6"/>
      <c r="U465" s="6"/>
      <c r="V465" s="6"/>
      <c r="W465" s="6"/>
      <c r="X465" s="6"/>
      <c r="Y465" s="6"/>
      <c r="Z465" s="6"/>
    </row>
    <row r="466" spans="1:26" ht="15.75" customHeight="1" x14ac:dyDescent="0.3">
      <c r="A466" s="10" t="s">
        <v>3748</v>
      </c>
      <c r="B466" s="10">
        <v>1991</v>
      </c>
      <c r="C466" s="10" t="s">
        <v>4713</v>
      </c>
      <c r="D466" s="10">
        <v>1</v>
      </c>
      <c r="E466" s="10">
        <v>1</v>
      </c>
      <c r="F466" s="24">
        <v>4243.59</v>
      </c>
      <c r="G466" s="10" t="s">
        <v>4696</v>
      </c>
      <c r="H466" s="10" t="s">
        <v>4694</v>
      </c>
      <c r="I466" s="10" t="s">
        <v>4712</v>
      </c>
      <c r="J466" s="17">
        <f t="shared" si="2"/>
        <v>33573</v>
      </c>
      <c r="K466" s="10">
        <f t="shared" ca="1" si="3"/>
        <v>33</v>
      </c>
      <c r="L466" s="6"/>
      <c r="M466" s="6"/>
      <c r="N466" s="6"/>
      <c r="O466" s="6"/>
      <c r="P466" s="6"/>
      <c r="Q466" s="6"/>
      <c r="R466" s="6"/>
      <c r="S466" s="6"/>
      <c r="T466" s="6"/>
      <c r="U466" s="6"/>
      <c r="V466" s="6"/>
      <c r="W466" s="6"/>
      <c r="X466" s="6"/>
      <c r="Y466" s="6"/>
      <c r="Z466" s="6"/>
    </row>
    <row r="467" spans="1:26" ht="15.75" customHeight="1" x14ac:dyDescent="0.3">
      <c r="A467" s="10" t="s">
        <v>3746</v>
      </c>
      <c r="B467" s="10">
        <v>1982</v>
      </c>
      <c r="C467" s="10" t="s">
        <v>4710</v>
      </c>
      <c r="D467" s="10">
        <v>16</v>
      </c>
      <c r="E467" s="10">
        <v>3</v>
      </c>
      <c r="F467" s="24">
        <v>4250.24</v>
      </c>
      <c r="G467" s="10" t="s">
        <v>4695</v>
      </c>
      <c r="H467" s="10" t="s">
        <v>4696</v>
      </c>
      <c r="I467" s="10" t="s">
        <v>4708</v>
      </c>
      <c r="J467" s="17">
        <f t="shared" si="2"/>
        <v>30118</v>
      </c>
      <c r="K467" s="10">
        <f t="shared" ca="1" si="3"/>
        <v>43</v>
      </c>
      <c r="L467" s="6"/>
      <c r="M467" s="6"/>
      <c r="N467" s="6"/>
      <c r="O467" s="6"/>
      <c r="P467" s="6"/>
      <c r="Q467" s="6"/>
      <c r="R467" s="6"/>
      <c r="S467" s="6"/>
      <c r="T467" s="6"/>
      <c r="U467" s="6"/>
      <c r="V467" s="6"/>
      <c r="W467" s="6"/>
      <c r="X467" s="6"/>
      <c r="Y467" s="6"/>
      <c r="Z467" s="6"/>
    </row>
    <row r="468" spans="1:26" ht="15.75" customHeight="1" x14ac:dyDescent="0.3">
      <c r="A468" s="10" t="s">
        <v>3744</v>
      </c>
      <c r="B468" s="10">
        <v>1995</v>
      </c>
      <c r="C468" s="10" t="s">
        <v>4715</v>
      </c>
      <c r="D468" s="10">
        <v>14</v>
      </c>
      <c r="E468" s="10">
        <v>3</v>
      </c>
      <c r="F468" s="24">
        <v>4260.74</v>
      </c>
      <c r="G468" s="10" t="s">
        <v>4696</v>
      </c>
      <c r="H468" s="10" t="s">
        <v>4695</v>
      </c>
      <c r="I468" s="10" t="s">
        <v>4716</v>
      </c>
      <c r="J468" s="17">
        <f t="shared" si="2"/>
        <v>34986</v>
      </c>
      <c r="K468" s="10">
        <f t="shared" ca="1" si="3"/>
        <v>30</v>
      </c>
      <c r="L468" s="6"/>
      <c r="M468" s="6"/>
      <c r="N468" s="6"/>
      <c r="O468" s="6"/>
      <c r="P468" s="6"/>
      <c r="Q468" s="6"/>
      <c r="R468" s="6"/>
      <c r="S468" s="6"/>
      <c r="T468" s="6"/>
      <c r="U468" s="6"/>
      <c r="V468" s="6"/>
      <c r="W468" s="6"/>
      <c r="X468" s="6"/>
      <c r="Y468" s="6"/>
      <c r="Z468" s="6"/>
    </row>
    <row r="469" spans="1:26" ht="15.75" customHeight="1" x14ac:dyDescent="0.3">
      <c r="A469" s="10" t="s">
        <v>3742</v>
      </c>
      <c r="B469" s="10">
        <v>1983</v>
      </c>
      <c r="C469" s="10" t="s">
        <v>4709</v>
      </c>
      <c r="D469" s="10">
        <v>20</v>
      </c>
      <c r="E469" s="10">
        <v>3</v>
      </c>
      <c r="F469" s="24">
        <v>4265.01</v>
      </c>
      <c r="G469" s="10" t="s">
        <v>4695</v>
      </c>
      <c r="H469" s="10" t="s">
        <v>4694</v>
      </c>
      <c r="I469" s="10" t="s">
        <v>4712</v>
      </c>
      <c r="J469" s="17">
        <f t="shared" si="2"/>
        <v>30640</v>
      </c>
      <c r="K469" s="10">
        <f t="shared" ca="1" si="3"/>
        <v>42</v>
      </c>
      <c r="L469" s="6"/>
      <c r="M469" s="6"/>
      <c r="N469" s="6"/>
      <c r="O469" s="6"/>
      <c r="P469" s="6"/>
      <c r="Q469" s="6"/>
      <c r="R469" s="6"/>
      <c r="S469" s="6"/>
      <c r="T469" s="6"/>
      <c r="U469" s="6"/>
      <c r="V469" s="6"/>
      <c r="W469" s="6"/>
      <c r="X469" s="6"/>
      <c r="Y469" s="6"/>
      <c r="Z469" s="6"/>
    </row>
    <row r="470" spans="1:26" ht="15.75" customHeight="1" x14ac:dyDescent="0.3">
      <c r="A470" s="10" t="s">
        <v>3740</v>
      </c>
      <c r="B470" s="10">
        <v>1992</v>
      </c>
      <c r="C470" s="10" t="s">
        <v>4710</v>
      </c>
      <c r="D470" s="10">
        <v>18</v>
      </c>
      <c r="E470" s="10">
        <v>2</v>
      </c>
      <c r="F470" s="24">
        <v>4266.17</v>
      </c>
      <c r="G470" s="10" t="s">
        <v>4696</v>
      </c>
      <c r="H470" s="10" t="s">
        <v>4695</v>
      </c>
      <c r="I470" s="10" t="s">
        <v>4708</v>
      </c>
      <c r="J470" s="17">
        <f t="shared" si="2"/>
        <v>33773</v>
      </c>
      <c r="K470" s="10">
        <f t="shared" ca="1" si="3"/>
        <v>33</v>
      </c>
      <c r="L470" s="6"/>
      <c r="M470" s="6"/>
      <c r="N470" s="6"/>
      <c r="O470" s="6"/>
      <c r="P470" s="6"/>
      <c r="Q470" s="6"/>
      <c r="R470" s="6"/>
      <c r="S470" s="6"/>
      <c r="T470" s="6"/>
      <c r="U470" s="6"/>
      <c r="V470" s="6"/>
      <c r="W470" s="6"/>
      <c r="X470" s="6"/>
      <c r="Y470" s="6"/>
      <c r="Z470" s="6"/>
    </row>
    <row r="471" spans="1:26" ht="15.75" customHeight="1" x14ac:dyDescent="0.3">
      <c r="A471" s="10" t="s">
        <v>3738</v>
      </c>
      <c r="B471" s="10">
        <v>2003</v>
      </c>
      <c r="C471" s="10" t="s">
        <v>4710</v>
      </c>
      <c r="D471" s="10">
        <v>8</v>
      </c>
      <c r="E471" s="10">
        <v>0</v>
      </c>
      <c r="F471" s="24">
        <v>4278.55</v>
      </c>
      <c r="G471" s="10" t="s">
        <v>4695</v>
      </c>
      <c r="H471" s="10" t="s">
        <v>4694</v>
      </c>
      <c r="I471" s="10" t="s">
        <v>4726</v>
      </c>
      <c r="J471" s="17">
        <f t="shared" si="2"/>
        <v>37780</v>
      </c>
      <c r="K471" s="10">
        <f t="shared" ca="1" si="3"/>
        <v>22</v>
      </c>
      <c r="L471" s="6"/>
      <c r="M471" s="6"/>
      <c r="N471" s="6"/>
      <c r="O471" s="6"/>
      <c r="P471" s="6"/>
      <c r="Q471" s="6"/>
      <c r="R471" s="6"/>
      <c r="S471" s="6"/>
      <c r="T471" s="6"/>
      <c r="U471" s="6"/>
      <c r="V471" s="6"/>
      <c r="W471" s="6"/>
      <c r="X471" s="6"/>
      <c r="Y471" s="6"/>
      <c r="Z471" s="6"/>
    </row>
    <row r="472" spans="1:26" ht="15.75" customHeight="1" x14ac:dyDescent="0.3">
      <c r="A472" s="10" t="s">
        <v>3736</v>
      </c>
      <c r="B472" s="10">
        <v>2000</v>
      </c>
      <c r="C472" s="10" t="s">
        <v>4709</v>
      </c>
      <c r="D472" s="10">
        <v>25</v>
      </c>
      <c r="E472" s="10">
        <v>3</v>
      </c>
      <c r="F472" s="24">
        <v>4296.2700000000004</v>
      </c>
      <c r="G472" s="10" t="s">
        <v>4695</v>
      </c>
      <c r="H472" s="10" t="s">
        <v>4696</v>
      </c>
      <c r="I472" s="10" t="s">
        <v>4712</v>
      </c>
      <c r="J472" s="17">
        <f t="shared" si="2"/>
        <v>36855</v>
      </c>
      <c r="K472" s="10">
        <f t="shared" ca="1" si="3"/>
        <v>25</v>
      </c>
      <c r="L472" s="6"/>
      <c r="M472" s="6"/>
      <c r="N472" s="6"/>
      <c r="O472" s="6"/>
      <c r="P472" s="6"/>
      <c r="Q472" s="6"/>
      <c r="R472" s="6"/>
      <c r="S472" s="6"/>
      <c r="T472" s="6"/>
      <c r="U472" s="6"/>
      <c r="V472" s="6"/>
      <c r="W472" s="6"/>
      <c r="X472" s="6"/>
      <c r="Y472" s="6"/>
      <c r="Z472" s="6"/>
    </row>
    <row r="473" spans="1:26" ht="15.75" customHeight="1" x14ac:dyDescent="0.3">
      <c r="A473" s="10" t="s">
        <v>3734</v>
      </c>
      <c r="B473" s="10">
        <v>1988</v>
      </c>
      <c r="C473" s="10" t="s">
        <v>4713</v>
      </c>
      <c r="D473" s="10">
        <v>19</v>
      </c>
      <c r="E473" s="10">
        <v>0</v>
      </c>
      <c r="F473" s="24">
        <v>4320.41</v>
      </c>
      <c r="G473" s="10" t="s">
        <v>4695</v>
      </c>
      <c r="H473" s="10" t="s">
        <v>4694</v>
      </c>
      <c r="I473" s="10" t="s">
        <v>4712</v>
      </c>
      <c r="J473" s="17">
        <f t="shared" si="2"/>
        <v>32496</v>
      </c>
      <c r="K473" s="10">
        <f t="shared" ca="1" si="3"/>
        <v>36</v>
      </c>
      <c r="L473" s="6"/>
      <c r="M473" s="6"/>
      <c r="N473" s="6"/>
      <c r="O473" s="6"/>
      <c r="P473" s="6"/>
      <c r="Q473" s="6"/>
      <c r="R473" s="6"/>
      <c r="S473" s="6"/>
      <c r="T473" s="6"/>
      <c r="U473" s="6"/>
      <c r="V473" s="6"/>
      <c r="W473" s="6"/>
      <c r="X473" s="6"/>
      <c r="Y473" s="6"/>
      <c r="Z473" s="6"/>
    </row>
    <row r="474" spans="1:26" ht="15.75" customHeight="1" x14ac:dyDescent="0.3">
      <c r="A474" s="10" t="s">
        <v>3732</v>
      </c>
      <c r="B474" s="10">
        <v>1994</v>
      </c>
      <c r="C474" s="10" t="s">
        <v>4709</v>
      </c>
      <c r="D474" s="10">
        <v>2</v>
      </c>
      <c r="E474" s="10">
        <v>1</v>
      </c>
      <c r="F474" s="24">
        <v>4337.74</v>
      </c>
      <c r="G474" s="10" t="s">
        <v>4695</v>
      </c>
      <c r="H474" s="10" t="s">
        <v>4694</v>
      </c>
      <c r="I474" s="10" t="s">
        <v>4723</v>
      </c>
      <c r="J474" s="17">
        <f t="shared" si="2"/>
        <v>34640</v>
      </c>
      <c r="K474" s="10">
        <f t="shared" ca="1" si="3"/>
        <v>31</v>
      </c>
      <c r="L474" s="6"/>
      <c r="M474" s="6"/>
      <c r="N474" s="6"/>
      <c r="O474" s="6"/>
      <c r="P474" s="6"/>
      <c r="Q474" s="6"/>
      <c r="R474" s="6"/>
      <c r="S474" s="6"/>
      <c r="T474" s="6"/>
      <c r="U474" s="6"/>
      <c r="V474" s="6"/>
      <c r="W474" s="6"/>
      <c r="X474" s="6"/>
      <c r="Y474" s="6"/>
      <c r="Z474" s="6"/>
    </row>
    <row r="475" spans="1:26" ht="15.75" customHeight="1" x14ac:dyDescent="0.3">
      <c r="A475" s="10" t="s">
        <v>3730</v>
      </c>
      <c r="B475" s="10">
        <v>1994</v>
      </c>
      <c r="C475" s="10" t="s">
        <v>4715</v>
      </c>
      <c r="D475" s="10">
        <v>26</v>
      </c>
      <c r="E475" s="10">
        <v>2</v>
      </c>
      <c r="F475" s="24">
        <v>4340.4399999999996</v>
      </c>
      <c r="G475" s="10" t="s">
        <v>4695</v>
      </c>
      <c r="H475" s="10" t="s">
        <v>4694</v>
      </c>
      <c r="I475" s="10" t="s">
        <v>4708</v>
      </c>
      <c r="J475" s="17">
        <f t="shared" si="2"/>
        <v>34633</v>
      </c>
      <c r="K475" s="10">
        <f t="shared" ca="1" si="3"/>
        <v>31</v>
      </c>
      <c r="L475" s="6"/>
      <c r="M475" s="6"/>
      <c r="N475" s="6"/>
      <c r="O475" s="6"/>
      <c r="P475" s="6"/>
      <c r="Q475" s="6"/>
      <c r="R475" s="6"/>
      <c r="S475" s="6"/>
      <c r="T475" s="6"/>
      <c r="U475" s="6"/>
      <c r="V475" s="6"/>
      <c r="W475" s="6"/>
      <c r="X475" s="6"/>
      <c r="Y475" s="6"/>
      <c r="Z475" s="6"/>
    </row>
    <row r="476" spans="1:26" ht="15.75" customHeight="1" x14ac:dyDescent="0.3">
      <c r="A476" s="10" t="s">
        <v>3728</v>
      </c>
      <c r="B476" s="10">
        <v>1991</v>
      </c>
      <c r="C476" s="10" t="s">
        <v>4710</v>
      </c>
      <c r="D476" s="10">
        <v>1</v>
      </c>
      <c r="E476" s="10">
        <v>0</v>
      </c>
      <c r="F476" s="24">
        <v>4347.0200000000004</v>
      </c>
      <c r="G476" s="10" t="s">
        <v>4695</v>
      </c>
      <c r="H476" s="10" t="s">
        <v>4694</v>
      </c>
      <c r="I476" s="10" t="s">
        <v>4723</v>
      </c>
      <c r="J476" s="17">
        <f t="shared" si="2"/>
        <v>33390</v>
      </c>
      <c r="K476" s="10">
        <f t="shared" ca="1" si="3"/>
        <v>34</v>
      </c>
      <c r="L476" s="6"/>
      <c r="M476" s="6"/>
      <c r="N476" s="6"/>
      <c r="O476" s="6"/>
      <c r="P476" s="6"/>
      <c r="Q476" s="6"/>
      <c r="R476" s="6"/>
      <c r="S476" s="6"/>
      <c r="T476" s="6"/>
      <c r="U476" s="6"/>
      <c r="V476" s="6"/>
      <c r="W476" s="6"/>
      <c r="X476" s="6"/>
      <c r="Y476" s="6"/>
      <c r="Z476" s="6"/>
    </row>
    <row r="477" spans="1:26" ht="15.75" customHeight="1" x14ac:dyDescent="0.3">
      <c r="A477" s="10" t="s">
        <v>3726</v>
      </c>
      <c r="B477" s="10">
        <v>1994</v>
      </c>
      <c r="C477" s="10" t="s">
        <v>4709</v>
      </c>
      <c r="D477" s="10">
        <v>1</v>
      </c>
      <c r="E477" s="10">
        <v>2</v>
      </c>
      <c r="F477" s="24">
        <v>4349.46</v>
      </c>
      <c r="G477" s="10" t="s">
        <v>4695</v>
      </c>
      <c r="H477" s="10" t="s">
        <v>4695</v>
      </c>
      <c r="I477" s="10" t="s">
        <v>4708</v>
      </c>
      <c r="J477" s="17">
        <f t="shared" si="2"/>
        <v>34639</v>
      </c>
      <c r="K477" s="10">
        <f t="shared" ca="1" si="3"/>
        <v>31</v>
      </c>
      <c r="L477" s="6"/>
      <c r="M477" s="6"/>
      <c r="N477" s="6"/>
      <c r="O477" s="6"/>
      <c r="P477" s="6"/>
      <c r="Q477" s="6"/>
      <c r="R477" s="6"/>
      <c r="S477" s="6"/>
      <c r="T477" s="6"/>
      <c r="U477" s="6"/>
      <c r="V477" s="6"/>
      <c r="W477" s="6"/>
      <c r="X477" s="6"/>
      <c r="Y477" s="6"/>
      <c r="Z477" s="6"/>
    </row>
    <row r="478" spans="1:26" ht="15.75" customHeight="1" x14ac:dyDescent="0.3">
      <c r="A478" s="10" t="s">
        <v>3724</v>
      </c>
      <c r="B478" s="10">
        <v>1991</v>
      </c>
      <c r="C478" s="10" t="s">
        <v>4711</v>
      </c>
      <c r="D478" s="10">
        <v>13</v>
      </c>
      <c r="E478" s="10">
        <v>1</v>
      </c>
      <c r="F478" s="24">
        <v>4350.51</v>
      </c>
      <c r="G478" s="10" t="s">
        <v>4695</v>
      </c>
      <c r="H478" s="10" t="s">
        <v>4695</v>
      </c>
      <c r="I478" s="10" t="s">
        <v>4708</v>
      </c>
      <c r="J478" s="17">
        <f t="shared" si="2"/>
        <v>33494</v>
      </c>
      <c r="K478" s="10">
        <f t="shared" ca="1" si="3"/>
        <v>34</v>
      </c>
      <c r="L478" s="6"/>
      <c r="M478" s="6"/>
      <c r="N478" s="6"/>
      <c r="O478" s="6"/>
      <c r="P478" s="6"/>
      <c r="Q478" s="6"/>
      <c r="R478" s="6"/>
      <c r="S478" s="6"/>
      <c r="T478" s="6"/>
      <c r="U478" s="6"/>
      <c r="V478" s="6"/>
      <c r="W478" s="6"/>
      <c r="X478" s="6"/>
      <c r="Y478" s="6"/>
      <c r="Z478" s="6"/>
    </row>
    <row r="479" spans="1:26" ht="15.75" customHeight="1" x14ac:dyDescent="0.3">
      <c r="A479" s="10" t="s">
        <v>3722</v>
      </c>
      <c r="B479" s="10">
        <v>1990</v>
      </c>
      <c r="C479" s="10" t="s">
        <v>4714</v>
      </c>
      <c r="D479" s="10">
        <v>28</v>
      </c>
      <c r="E479" s="10">
        <v>0</v>
      </c>
      <c r="F479" s="24">
        <v>4357.04</v>
      </c>
      <c r="G479" s="10" t="s">
        <v>4695</v>
      </c>
      <c r="H479" s="10" t="s">
        <v>4696</v>
      </c>
      <c r="I479" s="10" t="s">
        <v>4712</v>
      </c>
      <c r="J479" s="17">
        <f t="shared" si="2"/>
        <v>33113</v>
      </c>
      <c r="K479" s="10">
        <f t="shared" ca="1" si="3"/>
        <v>35</v>
      </c>
      <c r="L479" s="6"/>
      <c r="M479" s="6"/>
      <c r="N479" s="6"/>
      <c r="O479" s="6"/>
      <c r="P479" s="6"/>
      <c r="Q479" s="6"/>
      <c r="R479" s="6"/>
      <c r="S479" s="6"/>
      <c r="T479" s="6"/>
      <c r="U479" s="6"/>
      <c r="V479" s="6"/>
      <c r="W479" s="6"/>
      <c r="X479" s="6"/>
      <c r="Y479" s="6"/>
      <c r="Z479" s="6"/>
    </row>
    <row r="480" spans="1:26" ht="15.75" customHeight="1" x14ac:dyDescent="0.3">
      <c r="A480" s="10" t="s">
        <v>3720</v>
      </c>
      <c r="B480" s="10">
        <v>1997</v>
      </c>
      <c r="C480" s="10" t="s">
        <v>4709</v>
      </c>
      <c r="D480" s="10">
        <v>29</v>
      </c>
      <c r="E480" s="10">
        <v>3</v>
      </c>
      <c r="F480" s="24">
        <v>4391.6499999999996</v>
      </c>
      <c r="G480" s="10" t="s">
        <v>4695</v>
      </c>
      <c r="H480" s="10" t="s">
        <v>4695</v>
      </c>
      <c r="I480" s="10" t="s">
        <v>4716</v>
      </c>
      <c r="J480" s="17">
        <f t="shared" si="2"/>
        <v>35763</v>
      </c>
      <c r="K480" s="10">
        <f t="shared" ca="1" si="3"/>
        <v>28</v>
      </c>
      <c r="L480" s="6"/>
      <c r="M480" s="6"/>
      <c r="N480" s="6"/>
      <c r="O480" s="6"/>
      <c r="P480" s="6"/>
      <c r="Q480" s="6"/>
      <c r="R480" s="6"/>
      <c r="S480" s="6"/>
      <c r="T480" s="6"/>
      <c r="U480" s="6"/>
      <c r="V480" s="6"/>
      <c r="W480" s="6"/>
      <c r="X480" s="6"/>
      <c r="Y480" s="6"/>
      <c r="Z480" s="6"/>
    </row>
    <row r="481" spans="1:26" ht="15.75" customHeight="1" x14ac:dyDescent="0.3">
      <c r="A481" s="10" t="s">
        <v>3718</v>
      </c>
      <c r="B481" s="10">
        <v>1982</v>
      </c>
      <c r="C481" s="10" t="s">
        <v>4710</v>
      </c>
      <c r="D481" s="10">
        <v>29</v>
      </c>
      <c r="E481" s="10">
        <v>3</v>
      </c>
      <c r="F481" s="24">
        <v>4392.7</v>
      </c>
      <c r="G481" s="10" t="s">
        <v>4695</v>
      </c>
      <c r="H481" s="10" t="s">
        <v>4695</v>
      </c>
      <c r="I481" s="10" t="s">
        <v>4708</v>
      </c>
      <c r="J481" s="17">
        <f t="shared" si="2"/>
        <v>30131</v>
      </c>
      <c r="K481" s="10">
        <f t="shared" ca="1" si="3"/>
        <v>43</v>
      </c>
      <c r="L481" s="6"/>
      <c r="M481" s="6"/>
      <c r="N481" s="6"/>
      <c r="O481" s="6"/>
      <c r="P481" s="6"/>
      <c r="Q481" s="6"/>
      <c r="R481" s="6"/>
      <c r="S481" s="6"/>
      <c r="T481" s="6"/>
      <c r="U481" s="6"/>
      <c r="V481" s="6"/>
      <c r="W481" s="6"/>
      <c r="X481" s="6"/>
      <c r="Y481" s="6"/>
      <c r="Z481" s="6"/>
    </row>
    <row r="482" spans="1:26" ht="15.75" customHeight="1" x14ac:dyDescent="0.3">
      <c r="A482" s="10" t="s">
        <v>3716</v>
      </c>
      <c r="B482" s="10">
        <v>1988</v>
      </c>
      <c r="C482" s="10" t="s">
        <v>4707</v>
      </c>
      <c r="D482" s="10">
        <v>18</v>
      </c>
      <c r="E482" s="10">
        <v>3</v>
      </c>
      <c r="F482" s="24">
        <v>4397.3100000000004</v>
      </c>
      <c r="G482" s="10" t="s">
        <v>4695</v>
      </c>
      <c r="H482" s="10" t="s">
        <v>4695</v>
      </c>
      <c r="I482" s="10" t="s">
        <v>4708</v>
      </c>
      <c r="J482" s="17">
        <f t="shared" si="2"/>
        <v>32342</v>
      </c>
      <c r="K482" s="10">
        <f t="shared" ca="1" si="3"/>
        <v>37</v>
      </c>
      <c r="L482" s="6"/>
      <c r="M482" s="6"/>
      <c r="N482" s="6"/>
      <c r="O482" s="6"/>
      <c r="P482" s="6"/>
      <c r="Q482" s="6"/>
      <c r="R482" s="6"/>
      <c r="S482" s="6"/>
      <c r="T482" s="6"/>
      <c r="U482" s="6"/>
      <c r="V482" s="6"/>
      <c r="W482" s="6"/>
      <c r="X482" s="6"/>
      <c r="Y482" s="6"/>
      <c r="Z482" s="6"/>
    </row>
    <row r="483" spans="1:26" ht="15.75" customHeight="1" x14ac:dyDescent="0.3">
      <c r="A483" s="10" t="s">
        <v>3714</v>
      </c>
      <c r="B483" s="10">
        <v>1986</v>
      </c>
      <c r="C483" s="10" t="s">
        <v>4714</v>
      </c>
      <c r="D483" s="10">
        <v>11</v>
      </c>
      <c r="E483" s="10">
        <v>0</v>
      </c>
      <c r="F483" s="24">
        <v>4399.7299999999996</v>
      </c>
      <c r="G483" s="10" t="s">
        <v>4696</v>
      </c>
      <c r="H483" s="10" t="s">
        <v>4695</v>
      </c>
      <c r="I483" s="10" t="s">
        <v>4708</v>
      </c>
      <c r="J483" s="17">
        <f t="shared" si="2"/>
        <v>31635</v>
      </c>
      <c r="K483" s="10">
        <f t="shared" ca="1" si="3"/>
        <v>39</v>
      </c>
      <c r="L483" s="6"/>
      <c r="M483" s="6"/>
      <c r="N483" s="6"/>
      <c r="O483" s="6"/>
      <c r="P483" s="6"/>
      <c r="Q483" s="6"/>
      <c r="R483" s="6"/>
      <c r="S483" s="6"/>
      <c r="T483" s="6"/>
      <c r="U483" s="6"/>
      <c r="V483" s="6"/>
      <c r="W483" s="6"/>
      <c r="X483" s="6"/>
      <c r="Y483" s="6"/>
      <c r="Z483" s="6"/>
    </row>
    <row r="484" spans="1:26" ht="15.75" customHeight="1" x14ac:dyDescent="0.3">
      <c r="A484" s="10" t="s">
        <v>3712</v>
      </c>
      <c r="B484" s="10">
        <v>1986</v>
      </c>
      <c r="C484" s="10" t="s">
        <v>4707</v>
      </c>
      <c r="D484" s="10">
        <v>13</v>
      </c>
      <c r="E484" s="10">
        <v>0</v>
      </c>
      <c r="F484" s="24">
        <v>4402.2299999999996</v>
      </c>
      <c r="G484" s="10" t="s">
        <v>4695</v>
      </c>
      <c r="H484" s="10" t="s">
        <v>4695</v>
      </c>
      <c r="I484" s="10" t="s">
        <v>4716</v>
      </c>
      <c r="J484" s="17">
        <f t="shared" si="2"/>
        <v>31606</v>
      </c>
      <c r="K484" s="10">
        <f t="shared" ca="1" si="3"/>
        <v>39</v>
      </c>
      <c r="L484" s="6"/>
      <c r="M484" s="6"/>
      <c r="N484" s="6"/>
      <c r="O484" s="6"/>
      <c r="P484" s="6"/>
      <c r="Q484" s="6"/>
      <c r="R484" s="6"/>
      <c r="S484" s="6"/>
      <c r="T484" s="6"/>
      <c r="U484" s="6"/>
      <c r="V484" s="6"/>
      <c r="W484" s="6"/>
      <c r="X484" s="6"/>
      <c r="Y484" s="6"/>
      <c r="Z484" s="6"/>
    </row>
    <row r="485" spans="1:26" ht="15.75" customHeight="1" x14ac:dyDescent="0.3">
      <c r="A485" s="10" t="s">
        <v>3710</v>
      </c>
      <c r="B485" s="10">
        <v>1988</v>
      </c>
      <c r="C485" s="10" t="s">
        <v>4711</v>
      </c>
      <c r="D485" s="10">
        <v>16</v>
      </c>
      <c r="E485" s="10">
        <v>0</v>
      </c>
      <c r="F485" s="24">
        <v>4415.16</v>
      </c>
      <c r="G485" s="10" t="s">
        <v>4695</v>
      </c>
      <c r="H485" s="10" t="s">
        <v>4694</v>
      </c>
      <c r="I485" s="10" t="s">
        <v>4708</v>
      </c>
      <c r="J485" s="17">
        <f t="shared" si="2"/>
        <v>32402</v>
      </c>
      <c r="K485" s="10">
        <f t="shared" ca="1" si="3"/>
        <v>37</v>
      </c>
      <c r="L485" s="6"/>
      <c r="M485" s="6"/>
      <c r="N485" s="6"/>
      <c r="O485" s="6"/>
      <c r="P485" s="6"/>
      <c r="Q485" s="6"/>
      <c r="R485" s="6"/>
      <c r="S485" s="6"/>
      <c r="T485" s="6"/>
      <c r="U485" s="6"/>
      <c r="V485" s="6"/>
      <c r="W485" s="6"/>
      <c r="X485" s="6"/>
      <c r="Y485" s="6"/>
      <c r="Z485" s="6"/>
    </row>
    <row r="486" spans="1:26" ht="15.75" customHeight="1" x14ac:dyDescent="0.3">
      <c r="A486" s="10" t="s">
        <v>3708</v>
      </c>
      <c r="B486" s="10">
        <v>1992</v>
      </c>
      <c r="C486" s="10" t="s">
        <v>4714</v>
      </c>
      <c r="D486" s="10">
        <v>15</v>
      </c>
      <c r="E486" s="10">
        <v>0</v>
      </c>
      <c r="F486" s="24">
        <v>4420.95</v>
      </c>
      <c r="G486" s="10" t="s">
        <v>4695</v>
      </c>
      <c r="H486" s="10" t="s">
        <v>4696</v>
      </c>
      <c r="I486" s="10" t="s">
        <v>4728</v>
      </c>
      <c r="J486" s="17">
        <f t="shared" si="2"/>
        <v>33831</v>
      </c>
      <c r="K486" s="10">
        <f t="shared" ca="1" si="3"/>
        <v>33</v>
      </c>
      <c r="L486" s="6"/>
      <c r="M486" s="6"/>
      <c r="N486" s="6"/>
      <c r="O486" s="6"/>
      <c r="P486" s="6"/>
      <c r="Q486" s="6"/>
      <c r="R486" s="6"/>
      <c r="S486" s="6"/>
      <c r="T486" s="6"/>
      <c r="U486" s="6"/>
      <c r="V486" s="6"/>
      <c r="W486" s="6"/>
      <c r="X486" s="6"/>
      <c r="Y486" s="6"/>
      <c r="Z486" s="6"/>
    </row>
    <row r="487" spans="1:26" ht="15.75" customHeight="1" x14ac:dyDescent="0.3">
      <c r="A487" s="10" t="s">
        <v>3706</v>
      </c>
      <c r="B487" s="10">
        <v>1994</v>
      </c>
      <c r="C487" s="10" t="s">
        <v>4713</v>
      </c>
      <c r="D487" s="10">
        <v>29</v>
      </c>
      <c r="E487" s="10">
        <v>2</v>
      </c>
      <c r="F487" s="24">
        <v>4428.8900000000003</v>
      </c>
      <c r="G487" s="10" t="s">
        <v>4696</v>
      </c>
      <c r="H487" s="10" t="s">
        <v>4694</v>
      </c>
      <c r="I487" s="10" t="s">
        <v>4727</v>
      </c>
      <c r="J487" s="17">
        <f t="shared" si="2"/>
        <v>34697</v>
      </c>
      <c r="K487" s="10">
        <f t="shared" ca="1" si="3"/>
        <v>30</v>
      </c>
      <c r="L487" s="6"/>
      <c r="M487" s="6"/>
      <c r="N487" s="6"/>
      <c r="O487" s="6"/>
      <c r="P487" s="6"/>
      <c r="Q487" s="6"/>
      <c r="R487" s="6"/>
      <c r="S487" s="6"/>
      <c r="T487" s="6"/>
      <c r="U487" s="6"/>
      <c r="V487" s="6"/>
      <c r="W487" s="6"/>
      <c r="X487" s="6"/>
      <c r="Y487" s="6"/>
      <c r="Z487" s="6"/>
    </row>
    <row r="488" spans="1:26" ht="15.75" customHeight="1" x14ac:dyDescent="0.3">
      <c r="A488" s="10" t="s">
        <v>3704</v>
      </c>
      <c r="B488" s="10">
        <v>1993</v>
      </c>
      <c r="C488" s="10" t="s">
        <v>4711</v>
      </c>
      <c r="D488" s="10">
        <v>4</v>
      </c>
      <c r="E488" s="10">
        <v>2</v>
      </c>
      <c r="F488" s="24">
        <v>4433.3900000000003</v>
      </c>
      <c r="G488" s="10" t="s">
        <v>4695</v>
      </c>
      <c r="H488" s="10" t="s">
        <v>4696</v>
      </c>
      <c r="I488" s="10" t="s">
        <v>4712</v>
      </c>
      <c r="J488" s="17">
        <f t="shared" si="2"/>
        <v>34216</v>
      </c>
      <c r="K488" s="10">
        <f t="shared" ca="1" si="3"/>
        <v>32</v>
      </c>
      <c r="L488" s="6"/>
      <c r="M488" s="6"/>
      <c r="N488" s="6"/>
      <c r="O488" s="6"/>
      <c r="P488" s="6"/>
      <c r="Q488" s="6"/>
      <c r="R488" s="6"/>
      <c r="S488" s="6"/>
      <c r="T488" s="6"/>
      <c r="U488" s="6"/>
      <c r="V488" s="6"/>
      <c r="W488" s="6"/>
      <c r="X488" s="6"/>
      <c r="Y488" s="6"/>
      <c r="Z488" s="6"/>
    </row>
    <row r="489" spans="1:26" ht="15.75" customHeight="1" x14ac:dyDescent="0.3">
      <c r="A489" s="10" t="s">
        <v>3702</v>
      </c>
      <c r="B489" s="10">
        <v>1993</v>
      </c>
      <c r="C489" s="10" t="s">
        <v>4713</v>
      </c>
      <c r="D489" s="10">
        <v>23</v>
      </c>
      <c r="E489" s="10">
        <v>2</v>
      </c>
      <c r="F489" s="24">
        <v>4433.92</v>
      </c>
      <c r="G489" s="10" t="s">
        <v>4695</v>
      </c>
      <c r="H489" s="10" t="s">
        <v>4695</v>
      </c>
      <c r="I489" s="10" t="s">
        <v>4712</v>
      </c>
      <c r="J489" s="17">
        <f t="shared" si="2"/>
        <v>34326</v>
      </c>
      <c r="K489" s="10">
        <f t="shared" ca="1" si="3"/>
        <v>31</v>
      </c>
      <c r="L489" s="6"/>
      <c r="M489" s="6"/>
      <c r="N489" s="6"/>
      <c r="O489" s="6"/>
      <c r="P489" s="6"/>
      <c r="Q489" s="6"/>
      <c r="R489" s="6"/>
      <c r="S489" s="6"/>
      <c r="T489" s="6"/>
      <c r="U489" s="6"/>
      <c r="V489" s="6"/>
      <c r="W489" s="6"/>
      <c r="X489" s="6"/>
      <c r="Y489" s="6"/>
      <c r="Z489" s="6"/>
    </row>
    <row r="490" spans="1:26" ht="15.75" customHeight="1" x14ac:dyDescent="0.3">
      <c r="A490" s="10" t="s">
        <v>3700</v>
      </c>
      <c r="B490" s="10">
        <v>1994</v>
      </c>
      <c r="C490" s="10" t="s">
        <v>4715</v>
      </c>
      <c r="D490" s="10">
        <v>8</v>
      </c>
      <c r="E490" s="10">
        <v>2</v>
      </c>
      <c r="F490" s="24">
        <v>4435.09</v>
      </c>
      <c r="G490" s="10" t="s">
        <v>4696</v>
      </c>
      <c r="H490" s="10" t="s">
        <v>4695</v>
      </c>
      <c r="I490" s="10" t="s">
        <v>4720</v>
      </c>
      <c r="J490" s="17">
        <f t="shared" si="2"/>
        <v>34615</v>
      </c>
      <c r="K490" s="10">
        <f t="shared" ca="1" si="3"/>
        <v>31</v>
      </c>
      <c r="L490" s="6"/>
      <c r="M490" s="6"/>
      <c r="N490" s="6"/>
      <c r="O490" s="6"/>
      <c r="P490" s="6"/>
      <c r="Q490" s="6"/>
      <c r="R490" s="6"/>
      <c r="S490" s="6"/>
      <c r="T490" s="6"/>
      <c r="U490" s="6"/>
      <c r="V490" s="6"/>
      <c r="W490" s="6"/>
      <c r="X490" s="6"/>
      <c r="Y490" s="6"/>
      <c r="Z490" s="6"/>
    </row>
    <row r="491" spans="1:26" ht="15.75" customHeight="1" x14ac:dyDescent="0.3">
      <c r="A491" s="10" t="s">
        <v>3698</v>
      </c>
      <c r="B491" s="10">
        <v>1994</v>
      </c>
      <c r="C491" s="10" t="s">
        <v>4715</v>
      </c>
      <c r="D491" s="10">
        <v>24</v>
      </c>
      <c r="E491" s="10">
        <v>2</v>
      </c>
      <c r="F491" s="24">
        <v>4438.26</v>
      </c>
      <c r="G491" s="10" t="s">
        <v>4695</v>
      </c>
      <c r="H491" s="10" t="s">
        <v>4696</v>
      </c>
      <c r="I491" s="10" t="s">
        <v>4727</v>
      </c>
      <c r="J491" s="17">
        <f t="shared" si="2"/>
        <v>34631</v>
      </c>
      <c r="K491" s="10">
        <f t="shared" ca="1" si="3"/>
        <v>31</v>
      </c>
      <c r="L491" s="6"/>
      <c r="M491" s="6"/>
      <c r="N491" s="6"/>
      <c r="O491" s="6"/>
      <c r="P491" s="6"/>
      <c r="Q491" s="6"/>
      <c r="R491" s="6"/>
      <c r="S491" s="6"/>
      <c r="T491" s="6"/>
      <c r="U491" s="6"/>
      <c r="V491" s="6"/>
      <c r="W491" s="6"/>
      <c r="X491" s="6"/>
      <c r="Y491" s="6"/>
      <c r="Z491" s="6"/>
    </row>
    <row r="492" spans="1:26" ht="15.75" customHeight="1" x14ac:dyDescent="0.3">
      <c r="A492" s="10" t="s">
        <v>3696</v>
      </c>
      <c r="B492" s="10">
        <v>1991</v>
      </c>
      <c r="C492" s="10" t="s">
        <v>4711</v>
      </c>
      <c r="D492" s="10">
        <v>3</v>
      </c>
      <c r="E492" s="10">
        <v>1</v>
      </c>
      <c r="F492" s="24">
        <v>4441.21</v>
      </c>
      <c r="G492" s="10" t="s">
        <v>4694</v>
      </c>
      <c r="H492" s="10" t="s">
        <v>4695</v>
      </c>
      <c r="I492" s="10" t="s">
        <v>4725</v>
      </c>
      <c r="J492" s="17">
        <f t="shared" si="2"/>
        <v>33484</v>
      </c>
      <c r="K492" s="10">
        <f t="shared" ca="1" si="3"/>
        <v>34</v>
      </c>
      <c r="L492" s="6"/>
      <c r="M492" s="6"/>
      <c r="N492" s="6"/>
      <c r="O492" s="6"/>
      <c r="P492" s="6"/>
      <c r="Q492" s="6"/>
      <c r="R492" s="6"/>
      <c r="S492" s="6"/>
      <c r="T492" s="6"/>
      <c r="U492" s="6"/>
      <c r="V492" s="6"/>
      <c r="W492" s="6"/>
      <c r="X492" s="6"/>
      <c r="Y492" s="6"/>
      <c r="Z492" s="6"/>
    </row>
    <row r="493" spans="1:26" ht="15.75" customHeight="1" x14ac:dyDescent="0.3">
      <c r="A493" s="10" t="s">
        <v>3694</v>
      </c>
      <c r="B493" s="10">
        <v>1994</v>
      </c>
      <c r="C493" s="10" t="s">
        <v>4710</v>
      </c>
      <c r="D493" s="10">
        <v>28</v>
      </c>
      <c r="E493" s="10">
        <v>3</v>
      </c>
      <c r="F493" s="24">
        <v>4449.46</v>
      </c>
      <c r="G493" s="10" t="s">
        <v>4694</v>
      </c>
      <c r="H493" s="10" t="s">
        <v>4695</v>
      </c>
      <c r="I493" s="10" t="s">
        <v>4708</v>
      </c>
      <c r="J493" s="17">
        <f t="shared" si="2"/>
        <v>34513</v>
      </c>
      <c r="K493" s="10">
        <f t="shared" ca="1" si="3"/>
        <v>31</v>
      </c>
      <c r="L493" s="6"/>
      <c r="M493" s="6"/>
      <c r="N493" s="6"/>
      <c r="O493" s="6"/>
      <c r="P493" s="6"/>
      <c r="Q493" s="6"/>
      <c r="R493" s="6"/>
      <c r="S493" s="6"/>
      <c r="T493" s="6"/>
      <c r="U493" s="6"/>
      <c r="V493" s="6"/>
      <c r="W493" s="6"/>
      <c r="X493" s="6"/>
      <c r="Y493" s="6"/>
      <c r="Z493" s="6"/>
    </row>
    <row r="494" spans="1:26" ht="15.75" customHeight="1" x14ac:dyDescent="0.3">
      <c r="A494" s="10" t="s">
        <v>3692</v>
      </c>
      <c r="B494" s="10">
        <v>1990</v>
      </c>
      <c r="C494" s="10" t="s">
        <v>4714</v>
      </c>
      <c r="D494" s="10">
        <v>8</v>
      </c>
      <c r="E494" s="10">
        <v>1</v>
      </c>
      <c r="F494" s="24">
        <v>4454.3999999999996</v>
      </c>
      <c r="G494" s="10" t="s">
        <v>4695</v>
      </c>
      <c r="H494" s="10" t="s">
        <v>4696</v>
      </c>
      <c r="I494" s="10" t="s">
        <v>4712</v>
      </c>
      <c r="J494" s="17">
        <f t="shared" si="2"/>
        <v>33093</v>
      </c>
      <c r="K494" s="10">
        <f t="shared" ca="1" si="3"/>
        <v>35</v>
      </c>
      <c r="L494" s="6"/>
      <c r="M494" s="6"/>
      <c r="N494" s="6"/>
      <c r="O494" s="6"/>
      <c r="P494" s="6"/>
      <c r="Q494" s="6"/>
      <c r="R494" s="6"/>
      <c r="S494" s="6"/>
      <c r="T494" s="6"/>
      <c r="U494" s="6"/>
      <c r="V494" s="6"/>
      <c r="W494" s="6"/>
      <c r="X494" s="6"/>
      <c r="Y494" s="6"/>
      <c r="Z494" s="6"/>
    </row>
    <row r="495" spans="1:26" ht="15.75" customHeight="1" x14ac:dyDescent="0.3">
      <c r="A495" s="10" t="s">
        <v>3690</v>
      </c>
      <c r="B495" s="10">
        <v>1990</v>
      </c>
      <c r="C495" s="10" t="s">
        <v>4707</v>
      </c>
      <c r="D495" s="10">
        <v>15</v>
      </c>
      <c r="E495" s="10">
        <v>1</v>
      </c>
      <c r="F495" s="24">
        <v>4462.72</v>
      </c>
      <c r="G495" s="10" t="s">
        <v>4695</v>
      </c>
      <c r="H495" s="10" t="s">
        <v>4696</v>
      </c>
      <c r="I495" s="10" t="s">
        <v>4712</v>
      </c>
      <c r="J495" s="17">
        <f t="shared" si="2"/>
        <v>33069</v>
      </c>
      <c r="K495" s="10">
        <f t="shared" ca="1" si="3"/>
        <v>35</v>
      </c>
      <c r="L495" s="6"/>
      <c r="M495" s="6"/>
      <c r="N495" s="6"/>
      <c r="O495" s="6"/>
      <c r="P495" s="6"/>
      <c r="Q495" s="6"/>
      <c r="R495" s="6"/>
      <c r="S495" s="6"/>
      <c r="T495" s="6"/>
      <c r="U495" s="6"/>
      <c r="V495" s="6"/>
      <c r="W495" s="6"/>
      <c r="X495" s="6"/>
      <c r="Y495" s="6"/>
      <c r="Z495" s="6"/>
    </row>
    <row r="496" spans="1:26" ht="15.75" customHeight="1" x14ac:dyDescent="0.3">
      <c r="A496" s="10" t="s">
        <v>3688</v>
      </c>
      <c r="B496" s="10">
        <v>1991</v>
      </c>
      <c r="C496" s="10" t="s">
        <v>4707</v>
      </c>
      <c r="D496" s="10">
        <v>4</v>
      </c>
      <c r="E496" s="10">
        <v>2</v>
      </c>
      <c r="F496" s="24">
        <v>4463.21</v>
      </c>
      <c r="G496" s="10" t="s">
        <v>4696</v>
      </c>
      <c r="H496" s="10" t="s">
        <v>4696</v>
      </c>
      <c r="I496" s="10" t="s">
        <v>4708</v>
      </c>
      <c r="J496" s="17">
        <f t="shared" si="2"/>
        <v>33423</v>
      </c>
      <c r="K496" s="10">
        <f t="shared" ca="1" si="3"/>
        <v>34</v>
      </c>
      <c r="L496" s="6"/>
      <c r="M496" s="6"/>
      <c r="N496" s="6"/>
      <c r="O496" s="6"/>
      <c r="P496" s="6"/>
      <c r="Q496" s="6"/>
      <c r="R496" s="6"/>
      <c r="S496" s="6"/>
      <c r="T496" s="6"/>
      <c r="U496" s="6"/>
      <c r="V496" s="6"/>
      <c r="W496" s="6"/>
      <c r="X496" s="6"/>
      <c r="Y496" s="6"/>
      <c r="Z496" s="6"/>
    </row>
    <row r="497" spans="1:26" ht="15.75" customHeight="1" x14ac:dyDescent="0.3">
      <c r="A497" s="10" t="s">
        <v>3686</v>
      </c>
      <c r="B497" s="10">
        <v>1999</v>
      </c>
      <c r="C497" s="10" t="s">
        <v>4709</v>
      </c>
      <c r="D497" s="10">
        <v>20</v>
      </c>
      <c r="E497" s="10">
        <v>3</v>
      </c>
      <c r="F497" s="24">
        <v>4466.62</v>
      </c>
      <c r="G497" s="10" t="s">
        <v>4695</v>
      </c>
      <c r="H497" s="10" t="s">
        <v>4695</v>
      </c>
      <c r="I497" s="10" t="s">
        <v>4712</v>
      </c>
      <c r="J497" s="17">
        <f t="shared" si="2"/>
        <v>36484</v>
      </c>
      <c r="K497" s="10">
        <f t="shared" ca="1" si="3"/>
        <v>26</v>
      </c>
      <c r="L497" s="6"/>
      <c r="M497" s="6"/>
      <c r="N497" s="6"/>
      <c r="O497" s="6"/>
      <c r="P497" s="6"/>
      <c r="Q497" s="6"/>
      <c r="R497" s="6"/>
      <c r="S497" s="6"/>
      <c r="T497" s="6"/>
      <c r="U497" s="6"/>
      <c r="V497" s="6"/>
      <c r="W497" s="6"/>
      <c r="X497" s="6"/>
      <c r="Y497" s="6"/>
      <c r="Z497" s="6"/>
    </row>
    <row r="498" spans="1:26" ht="15.75" customHeight="1" x14ac:dyDescent="0.3">
      <c r="A498" s="10" t="s">
        <v>3684</v>
      </c>
      <c r="B498" s="10">
        <v>2004</v>
      </c>
      <c r="C498" s="10" t="s">
        <v>4707</v>
      </c>
      <c r="D498" s="10">
        <v>18</v>
      </c>
      <c r="E498" s="10">
        <v>0</v>
      </c>
      <c r="F498" s="24">
        <v>4468.25</v>
      </c>
      <c r="G498" s="10" t="s">
        <v>4695</v>
      </c>
      <c r="H498" s="10" t="s">
        <v>4695</v>
      </c>
      <c r="I498" s="10" t="s">
        <v>4712</v>
      </c>
      <c r="J498" s="17">
        <f t="shared" si="2"/>
        <v>38186</v>
      </c>
      <c r="K498" s="10">
        <f t="shared" ca="1" si="3"/>
        <v>21</v>
      </c>
      <c r="L498" s="6"/>
      <c r="M498" s="6"/>
      <c r="N498" s="6"/>
      <c r="O498" s="6"/>
      <c r="P498" s="6"/>
      <c r="Q498" s="6"/>
      <c r="R498" s="6"/>
      <c r="S498" s="6"/>
      <c r="T498" s="6"/>
      <c r="U498" s="6"/>
      <c r="V498" s="6"/>
      <c r="W498" s="6"/>
      <c r="X498" s="6"/>
      <c r="Y498" s="6"/>
      <c r="Z498" s="6"/>
    </row>
    <row r="499" spans="1:26" ht="15.75" customHeight="1" x14ac:dyDescent="0.3">
      <c r="A499" s="10" t="s">
        <v>3682</v>
      </c>
      <c r="B499" s="10">
        <v>1992</v>
      </c>
      <c r="C499" s="10" t="s">
        <v>4707</v>
      </c>
      <c r="D499" s="10">
        <v>12</v>
      </c>
      <c r="E499" s="10">
        <v>0</v>
      </c>
      <c r="F499" s="24">
        <v>4488.58</v>
      </c>
      <c r="G499" s="10" t="s">
        <v>4695</v>
      </c>
      <c r="H499" s="10" t="s">
        <v>4696</v>
      </c>
      <c r="I499" s="10" t="s">
        <v>4712</v>
      </c>
      <c r="J499" s="17">
        <f t="shared" si="2"/>
        <v>33797</v>
      </c>
      <c r="K499" s="10">
        <f t="shared" ca="1" si="3"/>
        <v>33</v>
      </c>
      <c r="L499" s="6"/>
      <c r="M499" s="6"/>
      <c r="N499" s="6"/>
      <c r="O499" s="6"/>
      <c r="P499" s="6"/>
      <c r="Q499" s="6"/>
      <c r="R499" s="6"/>
      <c r="S499" s="6"/>
      <c r="T499" s="6"/>
      <c r="U499" s="6"/>
      <c r="V499" s="6"/>
      <c r="W499" s="6"/>
      <c r="X499" s="6"/>
      <c r="Y499" s="6"/>
      <c r="Z499" s="6"/>
    </row>
    <row r="500" spans="1:26" ht="15.75" customHeight="1" x14ac:dyDescent="0.3">
      <c r="A500" s="10" t="s">
        <v>3680</v>
      </c>
      <c r="B500" s="10">
        <v>1988</v>
      </c>
      <c r="C500" s="10" t="s">
        <v>4710</v>
      </c>
      <c r="D500" s="10">
        <v>26</v>
      </c>
      <c r="E500" s="10">
        <v>0</v>
      </c>
      <c r="F500" s="24">
        <v>4500.34</v>
      </c>
      <c r="G500" s="10" t="s">
        <v>4695</v>
      </c>
      <c r="H500" s="10" t="s">
        <v>4694</v>
      </c>
      <c r="I500" s="10" t="s">
        <v>4727</v>
      </c>
      <c r="J500" s="17">
        <f t="shared" si="2"/>
        <v>32320</v>
      </c>
      <c r="K500" s="10">
        <f t="shared" ca="1" si="3"/>
        <v>37</v>
      </c>
      <c r="L500" s="6"/>
      <c r="M500" s="6"/>
      <c r="N500" s="6"/>
      <c r="O500" s="6"/>
      <c r="P500" s="6"/>
      <c r="Q500" s="6"/>
      <c r="R500" s="6"/>
      <c r="S500" s="6"/>
      <c r="T500" s="6"/>
      <c r="U500" s="6"/>
      <c r="V500" s="6"/>
      <c r="W500" s="6"/>
      <c r="X500" s="6"/>
      <c r="Y500" s="6"/>
      <c r="Z500" s="6"/>
    </row>
    <row r="501" spans="1:26" ht="15.75" customHeight="1" x14ac:dyDescent="0.3">
      <c r="A501" s="10" t="s">
        <v>3678</v>
      </c>
      <c r="B501" s="10">
        <v>1997</v>
      </c>
      <c r="C501" s="10" t="s">
        <v>4715</v>
      </c>
      <c r="D501" s="10">
        <v>13</v>
      </c>
      <c r="E501" s="10">
        <v>4</v>
      </c>
      <c r="F501" s="24">
        <v>4504.66</v>
      </c>
      <c r="G501" s="10" t="s">
        <v>4694</v>
      </c>
      <c r="H501" s="10" t="s">
        <v>4695</v>
      </c>
      <c r="I501" s="10" t="s">
        <v>4708</v>
      </c>
      <c r="J501" s="17">
        <f t="shared" si="2"/>
        <v>35716</v>
      </c>
      <c r="K501" s="10">
        <f t="shared" ca="1" si="3"/>
        <v>28</v>
      </c>
      <c r="L501" s="6"/>
      <c r="M501" s="6"/>
      <c r="N501" s="6"/>
      <c r="O501" s="6"/>
      <c r="P501" s="6"/>
      <c r="Q501" s="6"/>
      <c r="R501" s="6"/>
      <c r="S501" s="6"/>
      <c r="T501" s="6"/>
      <c r="U501" s="6"/>
      <c r="V501" s="6"/>
      <c r="W501" s="6"/>
      <c r="X501" s="6"/>
      <c r="Y501" s="6"/>
      <c r="Z501" s="6"/>
    </row>
    <row r="502" spans="1:26" ht="15.75" customHeight="1" x14ac:dyDescent="0.3">
      <c r="A502" s="10" t="s">
        <v>3676</v>
      </c>
      <c r="B502" s="10">
        <v>1982</v>
      </c>
      <c r="C502" s="10" t="s">
        <v>4711</v>
      </c>
      <c r="D502" s="10">
        <v>27</v>
      </c>
      <c r="E502" s="10">
        <v>3</v>
      </c>
      <c r="F502" s="24">
        <v>4511.41</v>
      </c>
      <c r="G502" s="10" t="s">
        <v>4695</v>
      </c>
      <c r="H502" s="10" t="s">
        <v>4696</v>
      </c>
      <c r="I502" s="10" t="s">
        <v>4708</v>
      </c>
      <c r="J502" s="17">
        <f t="shared" si="2"/>
        <v>30221</v>
      </c>
      <c r="K502" s="10">
        <f t="shared" ca="1" si="3"/>
        <v>43</v>
      </c>
      <c r="L502" s="6"/>
      <c r="M502" s="6"/>
      <c r="N502" s="6"/>
      <c r="O502" s="6"/>
      <c r="P502" s="6"/>
      <c r="Q502" s="6"/>
      <c r="R502" s="6"/>
      <c r="S502" s="6"/>
      <c r="T502" s="6"/>
      <c r="U502" s="6"/>
      <c r="V502" s="6"/>
      <c r="W502" s="6"/>
      <c r="X502" s="6"/>
      <c r="Y502" s="6"/>
      <c r="Z502" s="6"/>
    </row>
    <row r="503" spans="1:26" ht="15.75" customHeight="1" x14ac:dyDescent="0.3">
      <c r="A503" s="10" t="s">
        <v>3674</v>
      </c>
      <c r="B503" s="10">
        <v>1980</v>
      </c>
      <c r="C503" s="10" t="s">
        <v>4710</v>
      </c>
      <c r="D503" s="10">
        <v>16</v>
      </c>
      <c r="E503" s="10">
        <v>2</v>
      </c>
      <c r="F503" s="24">
        <v>4515.71</v>
      </c>
      <c r="G503" s="10" t="s">
        <v>4695</v>
      </c>
      <c r="H503" s="10" t="s">
        <v>4696</v>
      </c>
      <c r="I503" s="10" t="s">
        <v>4708</v>
      </c>
      <c r="J503" s="17">
        <f t="shared" si="2"/>
        <v>29388</v>
      </c>
      <c r="K503" s="10">
        <f t="shared" ca="1" si="3"/>
        <v>45</v>
      </c>
      <c r="L503" s="6"/>
      <c r="M503" s="6"/>
      <c r="N503" s="6"/>
      <c r="O503" s="6"/>
      <c r="P503" s="6"/>
      <c r="Q503" s="6"/>
      <c r="R503" s="6"/>
      <c r="S503" s="6"/>
      <c r="T503" s="6"/>
      <c r="U503" s="6"/>
      <c r="V503" s="6"/>
      <c r="W503" s="6"/>
      <c r="X503" s="6"/>
      <c r="Y503" s="6"/>
      <c r="Z503" s="6"/>
    </row>
    <row r="504" spans="1:26" ht="15.75" customHeight="1" x14ac:dyDescent="0.3">
      <c r="A504" s="10" t="s">
        <v>3672</v>
      </c>
      <c r="B504" s="10">
        <v>2003</v>
      </c>
      <c r="C504" s="10" t="s">
        <v>4715</v>
      </c>
      <c r="D504" s="10">
        <v>2</v>
      </c>
      <c r="E504" s="10">
        <v>0</v>
      </c>
      <c r="F504" s="24">
        <v>4518.3999999999996</v>
      </c>
      <c r="G504" s="10" t="s">
        <v>4695</v>
      </c>
      <c r="H504" s="10" t="s">
        <v>4696</v>
      </c>
      <c r="I504" s="10" t="s">
        <v>4729</v>
      </c>
      <c r="J504" s="17">
        <f t="shared" si="2"/>
        <v>37896</v>
      </c>
      <c r="K504" s="10">
        <f t="shared" ca="1" si="3"/>
        <v>22</v>
      </c>
      <c r="L504" s="6"/>
      <c r="M504" s="6"/>
      <c r="N504" s="6"/>
      <c r="O504" s="6"/>
      <c r="P504" s="6"/>
      <c r="Q504" s="6"/>
      <c r="R504" s="6"/>
      <c r="S504" s="6"/>
      <c r="T504" s="6"/>
      <c r="U504" s="6"/>
      <c r="V504" s="6"/>
      <c r="W504" s="6"/>
      <c r="X504" s="6"/>
      <c r="Y504" s="6"/>
      <c r="Z504" s="6"/>
    </row>
    <row r="505" spans="1:26" ht="15.75" customHeight="1" x14ac:dyDescent="0.3">
      <c r="A505" s="10" t="s">
        <v>3670</v>
      </c>
      <c r="B505" s="10">
        <v>1987</v>
      </c>
      <c r="C505" s="10" t="s">
        <v>4713</v>
      </c>
      <c r="D505" s="10">
        <v>5</v>
      </c>
      <c r="E505" s="10">
        <v>3</v>
      </c>
      <c r="F505" s="24">
        <v>4518.7700000000004</v>
      </c>
      <c r="G505" s="10" t="s">
        <v>4695</v>
      </c>
      <c r="H505" s="10" t="s">
        <v>4696</v>
      </c>
      <c r="I505" s="10" t="s">
        <v>4712</v>
      </c>
      <c r="J505" s="17">
        <f t="shared" si="2"/>
        <v>32116</v>
      </c>
      <c r="K505" s="10">
        <f t="shared" ca="1" si="3"/>
        <v>37</v>
      </c>
      <c r="L505" s="6"/>
      <c r="M505" s="6"/>
      <c r="N505" s="6"/>
      <c r="O505" s="6"/>
      <c r="P505" s="6"/>
      <c r="Q505" s="6"/>
      <c r="R505" s="6"/>
      <c r="S505" s="6"/>
      <c r="T505" s="6"/>
      <c r="U505" s="6"/>
      <c r="V505" s="6"/>
      <c r="W505" s="6"/>
      <c r="X505" s="6"/>
      <c r="Y505" s="6"/>
      <c r="Z505" s="6"/>
    </row>
    <row r="506" spans="1:26" ht="15.75" customHeight="1" x14ac:dyDescent="0.3">
      <c r="A506" s="10" t="s">
        <v>3668</v>
      </c>
      <c r="B506" s="10">
        <v>1988</v>
      </c>
      <c r="C506" s="10" t="s">
        <v>4713</v>
      </c>
      <c r="D506" s="10">
        <v>21</v>
      </c>
      <c r="E506" s="10">
        <v>0</v>
      </c>
      <c r="F506" s="24">
        <v>4518.83</v>
      </c>
      <c r="G506" s="10" t="s">
        <v>4695</v>
      </c>
      <c r="H506" s="10" t="s">
        <v>4695</v>
      </c>
      <c r="I506" s="10" t="s">
        <v>4727</v>
      </c>
      <c r="J506" s="17">
        <f t="shared" si="2"/>
        <v>32498</v>
      </c>
      <c r="K506" s="10">
        <f t="shared" ca="1" si="3"/>
        <v>36</v>
      </c>
      <c r="L506" s="6"/>
      <c r="M506" s="6"/>
      <c r="N506" s="6"/>
      <c r="O506" s="6"/>
      <c r="P506" s="6"/>
      <c r="Q506" s="6"/>
      <c r="R506" s="6"/>
      <c r="S506" s="6"/>
      <c r="T506" s="6"/>
      <c r="U506" s="6"/>
      <c r="V506" s="6"/>
      <c r="W506" s="6"/>
      <c r="X506" s="6"/>
      <c r="Y506" s="6"/>
      <c r="Z506" s="6"/>
    </row>
    <row r="507" spans="1:26" ht="15.75" customHeight="1" x14ac:dyDescent="0.3">
      <c r="A507" s="10" t="s">
        <v>3666</v>
      </c>
      <c r="B507" s="10">
        <v>1992</v>
      </c>
      <c r="C507" s="10" t="s">
        <v>4714</v>
      </c>
      <c r="D507" s="10">
        <v>13</v>
      </c>
      <c r="E507" s="10">
        <v>1</v>
      </c>
      <c r="F507" s="24">
        <v>4527.18</v>
      </c>
      <c r="G507" s="10" t="s">
        <v>4695</v>
      </c>
      <c r="H507" s="10" t="s">
        <v>4695</v>
      </c>
      <c r="I507" s="10" t="s">
        <v>4712</v>
      </c>
      <c r="J507" s="17">
        <f t="shared" si="2"/>
        <v>33829</v>
      </c>
      <c r="K507" s="10">
        <f t="shared" ca="1" si="3"/>
        <v>33</v>
      </c>
      <c r="L507" s="6"/>
      <c r="M507" s="6"/>
      <c r="N507" s="6"/>
      <c r="O507" s="6"/>
      <c r="P507" s="6"/>
      <c r="Q507" s="6"/>
      <c r="R507" s="6"/>
      <c r="S507" s="6"/>
      <c r="T507" s="6"/>
      <c r="U507" s="6"/>
      <c r="V507" s="6"/>
      <c r="W507" s="6"/>
      <c r="X507" s="6"/>
      <c r="Y507" s="6"/>
      <c r="Z507" s="6"/>
    </row>
    <row r="508" spans="1:26" ht="15.75" customHeight="1" x14ac:dyDescent="0.3">
      <c r="A508" s="10" t="s">
        <v>3664</v>
      </c>
      <c r="B508" s="10">
        <v>1993</v>
      </c>
      <c r="C508" s="10" t="s">
        <v>4710</v>
      </c>
      <c r="D508" s="10">
        <v>29</v>
      </c>
      <c r="E508" s="10">
        <v>2</v>
      </c>
      <c r="F508" s="24">
        <v>4529.4799999999996</v>
      </c>
      <c r="G508" s="10" t="s">
        <v>4695</v>
      </c>
      <c r="H508" s="10" t="s">
        <v>4694</v>
      </c>
      <c r="I508" s="10" t="s">
        <v>4716</v>
      </c>
      <c r="J508" s="17">
        <f t="shared" si="2"/>
        <v>34149</v>
      </c>
      <c r="K508" s="10">
        <f t="shared" ca="1" si="3"/>
        <v>32</v>
      </c>
      <c r="L508" s="6"/>
      <c r="M508" s="6"/>
      <c r="N508" s="6"/>
      <c r="O508" s="6"/>
      <c r="P508" s="6"/>
      <c r="Q508" s="6"/>
      <c r="R508" s="6"/>
      <c r="S508" s="6"/>
      <c r="T508" s="6"/>
      <c r="U508" s="6"/>
      <c r="V508" s="6"/>
      <c r="W508" s="6"/>
      <c r="X508" s="6"/>
      <c r="Y508" s="6"/>
      <c r="Z508" s="6"/>
    </row>
    <row r="509" spans="1:26" ht="15.75" customHeight="1" x14ac:dyDescent="0.3">
      <c r="A509" s="10" t="s">
        <v>3662</v>
      </c>
      <c r="B509" s="10">
        <v>1988</v>
      </c>
      <c r="C509" s="10" t="s">
        <v>4710</v>
      </c>
      <c r="D509" s="10">
        <v>13</v>
      </c>
      <c r="E509" s="10">
        <v>1</v>
      </c>
      <c r="F509" s="24">
        <v>4536.26</v>
      </c>
      <c r="G509" s="10" t="s">
        <v>4695</v>
      </c>
      <c r="H509" s="10" t="s">
        <v>4695</v>
      </c>
      <c r="I509" s="10" t="s">
        <v>4716</v>
      </c>
      <c r="J509" s="17">
        <f t="shared" si="2"/>
        <v>32307</v>
      </c>
      <c r="K509" s="10">
        <f t="shared" ca="1" si="3"/>
        <v>37</v>
      </c>
      <c r="L509" s="6"/>
      <c r="M509" s="6"/>
      <c r="N509" s="6"/>
      <c r="O509" s="6"/>
      <c r="P509" s="6"/>
      <c r="Q509" s="6"/>
      <c r="R509" s="6"/>
      <c r="S509" s="6"/>
      <c r="T509" s="6"/>
      <c r="U509" s="6"/>
      <c r="V509" s="6"/>
      <c r="W509" s="6"/>
      <c r="X509" s="6"/>
      <c r="Y509" s="6"/>
      <c r="Z509" s="6"/>
    </row>
    <row r="510" spans="1:26" ht="15.75" customHeight="1" x14ac:dyDescent="0.3">
      <c r="A510" s="10" t="s">
        <v>3660</v>
      </c>
      <c r="B510" s="10">
        <v>1990</v>
      </c>
      <c r="C510" s="10" t="s">
        <v>4709</v>
      </c>
      <c r="D510" s="10">
        <v>17</v>
      </c>
      <c r="E510" s="10">
        <v>0</v>
      </c>
      <c r="F510" s="24">
        <v>4544.2299999999996</v>
      </c>
      <c r="G510" s="10" t="s">
        <v>4695</v>
      </c>
      <c r="H510" s="10" t="s">
        <v>4694</v>
      </c>
      <c r="I510" s="10" t="s">
        <v>4723</v>
      </c>
      <c r="J510" s="17">
        <f t="shared" si="2"/>
        <v>33194</v>
      </c>
      <c r="K510" s="10">
        <f t="shared" ca="1" si="3"/>
        <v>35</v>
      </c>
      <c r="L510" s="6"/>
      <c r="M510" s="6"/>
      <c r="N510" s="6"/>
      <c r="O510" s="6"/>
      <c r="P510" s="6"/>
      <c r="Q510" s="6"/>
      <c r="R510" s="6"/>
      <c r="S510" s="6"/>
      <c r="T510" s="6"/>
      <c r="U510" s="6"/>
      <c r="V510" s="6"/>
      <c r="W510" s="6"/>
      <c r="X510" s="6"/>
      <c r="Y510" s="6"/>
      <c r="Z510" s="6"/>
    </row>
    <row r="511" spans="1:26" ht="15.75" customHeight="1" x14ac:dyDescent="0.3">
      <c r="A511" s="10" t="s">
        <v>3658</v>
      </c>
      <c r="B511" s="10">
        <v>2004</v>
      </c>
      <c r="C511" s="10" t="s">
        <v>4713</v>
      </c>
      <c r="D511" s="10">
        <v>22</v>
      </c>
      <c r="E511" s="10">
        <v>4</v>
      </c>
      <c r="F511" s="24">
        <v>4561.1899999999996</v>
      </c>
      <c r="G511" s="10" t="s">
        <v>4695</v>
      </c>
      <c r="H511" s="10" t="s">
        <v>4695</v>
      </c>
      <c r="I511" s="10" t="s">
        <v>4723</v>
      </c>
      <c r="J511" s="17">
        <f t="shared" si="2"/>
        <v>38343</v>
      </c>
      <c r="K511" s="10">
        <f t="shared" ca="1" si="3"/>
        <v>20</v>
      </c>
      <c r="L511" s="6"/>
      <c r="M511" s="6"/>
      <c r="N511" s="6"/>
      <c r="O511" s="6"/>
      <c r="P511" s="6"/>
      <c r="Q511" s="6"/>
      <c r="R511" s="6"/>
      <c r="S511" s="6"/>
      <c r="T511" s="6"/>
      <c r="U511" s="6"/>
      <c r="V511" s="6"/>
      <c r="W511" s="6"/>
      <c r="X511" s="6"/>
      <c r="Y511" s="6"/>
      <c r="Z511" s="6"/>
    </row>
    <row r="512" spans="1:26" ht="15.75" customHeight="1" x14ac:dyDescent="0.3">
      <c r="A512" s="10" t="s">
        <v>3656</v>
      </c>
      <c r="B512" s="10">
        <v>1990</v>
      </c>
      <c r="C512" s="10" t="s">
        <v>4711</v>
      </c>
      <c r="D512" s="10">
        <v>20</v>
      </c>
      <c r="E512" s="10">
        <v>1</v>
      </c>
      <c r="F512" s="24">
        <v>4562.84</v>
      </c>
      <c r="G512" s="10" t="s">
        <v>4695</v>
      </c>
      <c r="H512" s="10" t="s">
        <v>4695</v>
      </c>
      <c r="I512" s="10" t="s">
        <v>4708</v>
      </c>
      <c r="J512" s="17">
        <f t="shared" ref="J512:J766" si="4">DATEVALUE(D512&amp;"-"&amp;C512&amp;" -"&amp;B512)</f>
        <v>33136</v>
      </c>
      <c r="K512" s="10">
        <f t="shared" ref="K512:K766" ca="1" si="5">DATEDIF(J512,TODAY(),"Y")</f>
        <v>35</v>
      </c>
      <c r="L512" s="6"/>
      <c r="M512" s="6"/>
      <c r="N512" s="6"/>
      <c r="O512" s="6"/>
      <c r="P512" s="6"/>
      <c r="Q512" s="6"/>
      <c r="R512" s="6"/>
      <c r="S512" s="6"/>
      <c r="T512" s="6"/>
      <c r="U512" s="6"/>
      <c r="V512" s="6"/>
      <c r="W512" s="6"/>
      <c r="X512" s="6"/>
      <c r="Y512" s="6"/>
      <c r="Z512" s="6"/>
    </row>
    <row r="513" spans="1:26" ht="15.75" customHeight="1" x14ac:dyDescent="0.3">
      <c r="A513" s="10" t="s">
        <v>3654</v>
      </c>
      <c r="B513" s="10">
        <v>1996</v>
      </c>
      <c r="C513" s="10" t="s">
        <v>4713</v>
      </c>
      <c r="D513" s="10">
        <v>25</v>
      </c>
      <c r="E513" s="10">
        <v>2</v>
      </c>
      <c r="F513" s="24">
        <v>4564.1899999999996</v>
      </c>
      <c r="G513" s="10" t="s">
        <v>4695</v>
      </c>
      <c r="H513" s="10" t="s">
        <v>4695</v>
      </c>
      <c r="I513" s="10" t="s">
        <v>4723</v>
      </c>
      <c r="J513" s="17">
        <f t="shared" si="4"/>
        <v>35424</v>
      </c>
      <c r="K513" s="10">
        <f t="shared" ca="1" si="5"/>
        <v>28</v>
      </c>
      <c r="L513" s="6"/>
      <c r="M513" s="6"/>
      <c r="N513" s="6"/>
      <c r="O513" s="6"/>
      <c r="P513" s="6"/>
      <c r="Q513" s="6"/>
      <c r="R513" s="6"/>
      <c r="S513" s="6"/>
      <c r="T513" s="6"/>
      <c r="U513" s="6"/>
      <c r="V513" s="6"/>
      <c r="W513" s="6"/>
      <c r="X513" s="6"/>
      <c r="Y513" s="6"/>
      <c r="Z513" s="6"/>
    </row>
    <row r="514" spans="1:26" ht="15.75" customHeight="1" x14ac:dyDescent="0.3">
      <c r="A514" s="10" t="s">
        <v>3652</v>
      </c>
      <c r="B514" s="10">
        <v>1989</v>
      </c>
      <c r="C514" s="10" t="s">
        <v>4711</v>
      </c>
      <c r="D514" s="10">
        <v>18</v>
      </c>
      <c r="E514" s="10">
        <v>0</v>
      </c>
      <c r="F514" s="24">
        <v>4571.41</v>
      </c>
      <c r="G514" s="10" t="s">
        <v>4695</v>
      </c>
      <c r="H514" s="10" t="s">
        <v>4695</v>
      </c>
      <c r="I514" s="10" t="s">
        <v>4712</v>
      </c>
      <c r="J514" s="17">
        <f t="shared" si="4"/>
        <v>32769</v>
      </c>
      <c r="K514" s="10">
        <f t="shared" ca="1" si="5"/>
        <v>36</v>
      </c>
      <c r="L514" s="6"/>
      <c r="M514" s="6"/>
      <c r="N514" s="6"/>
      <c r="O514" s="6"/>
      <c r="P514" s="6"/>
      <c r="Q514" s="6"/>
      <c r="R514" s="6"/>
      <c r="S514" s="6"/>
      <c r="T514" s="6"/>
      <c r="U514" s="6"/>
      <c r="V514" s="6"/>
      <c r="W514" s="6"/>
      <c r="X514" s="6"/>
      <c r="Y514" s="6"/>
      <c r="Z514" s="6"/>
    </row>
    <row r="515" spans="1:26" ht="15.75" customHeight="1" x14ac:dyDescent="0.3">
      <c r="A515" s="10" t="s">
        <v>3650</v>
      </c>
      <c r="B515" s="10">
        <v>2000</v>
      </c>
      <c r="C515" s="10" t="s">
        <v>4707</v>
      </c>
      <c r="D515" s="10">
        <v>2</v>
      </c>
      <c r="E515" s="10">
        <v>0</v>
      </c>
      <c r="F515" s="24">
        <v>4608.03</v>
      </c>
      <c r="G515" s="10" t="s">
        <v>4695</v>
      </c>
      <c r="H515" s="10" t="s">
        <v>4696</v>
      </c>
      <c r="I515" s="10" t="s">
        <v>4716</v>
      </c>
      <c r="J515" s="17">
        <f t="shared" si="4"/>
        <v>36709</v>
      </c>
      <c r="K515" s="10">
        <f t="shared" ca="1" si="5"/>
        <v>25</v>
      </c>
      <c r="L515" s="6"/>
      <c r="M515" s="6"/>
      <c r="N515" s="6"/>
      <c r="O515" s="6"/>
      <c r="P515" s="6"/>
      <c r="Q515" s="6"/>
      <c r="R515" s="6"/>
      <c r="S515" s="6"/>
      <c r="T515" s="6"/>
      <c r="U515" s="6"/>
      <c r="V515" s="6"/>
      <c r="W515" s="6"/>
      <c r="X515" s="6"/>
      <c r="Y515" s="6"/>
      <c r="Z515" s="6"/>
    </row>
    <row r="516" spans="1:26" ht="15.75" customHeight="1" x14ac:dyDescent="0.3">
      <c r="A516" s="10" t="s">
        <v>3648</v>
      </c>
      <c r="B516" s="10">
        <v>1998</v>
      </c>
      <c r="C516" s="10" t="s">
        <v>4710</v>
      </c>
      <c r="D516" s="10">
        <v>29</v>
      </c>
      <c r="E516" s="10">
        <v>3</v>
      </c>
      <c r="F516" s="24">
        <v>4618.08</v>
      </c>
      <c r="G516" s="10" t="s">
        <v>4695</v>
      </c>
      <c r="H516" s="10" t="s">
        <v>4694</v>
      </c>
      <c r="I516" s="10" t="s">
        <v>4712</v>
      </c>
      <c r="J516" s="17">
        <f t="shared" si="4"/>
        <v>35975</v>
      </c>
      <c r="K516" s="10">
        <f t="shared" ca="1" si="5"/>
        <v>27</v>
      </c>
      <c r="L516" s="6"/>
      <c r="M516" s="6"/>
      <c r="N516" s="6"/>
      <c r="O516" s="6"/>
      <c r="P516" s="6"/>
      <c r="Q516" s="6"/>
      <c r="R516" s="6"/>
      <c r="S516" s="6"/>
      <c r="T516" s="6"/>
      <c r="U516" s="6"/>
      <c r="V516" s="6"/>
      <c r="W516" s="6"/>
      <c r="X516" s="6"/>
      <c r="Y516" s="6"/>
      <c r="Z516" s="6"/>
    </row>
    <row r="517" spans="1:26" ht="15.75" customHeight="1" x14ac:dyDescent="0.3">
      <c r="A517" s="10" t="s">
        <v>3646</v>
      </c>
      <c r="B517" s="10">
        <v>1985</v>
      </c>
      <c r="C517" s="10" t="s">
        <v>4710</v>
      </c>
      <c r="D517" s="10">
        <v>22</v>
      </c>
      <c r="E517" s="10">
        <v>0</v>
      </c>
      <c r="F517" s="24">
        <v>4646.76</v>
      </c>
      <c r="G517" s="10" t="s">
        <v>4694</v>
      </c>
      <c r="H517" s="10" t="s">
        <v>4694</v>
      </c>
      <c r="I517" s="10" t="s">
        <v>4716</v>
      </c>
      <c r="J517" s="17">
        <f t="shared" si="4"/>
        <v>31220</v>
      </c>
      <c r="K517" s="10">
        <f t="shared" ca="1" si="5"/>
        <v>40</v>
      </c>
      <c r="L517" s="6"/>
      <c r="M517" s="6"/>
      <c r="N517" s="6"/>
      <c r="O517" s="6"/>
      <c r="P517" s="6"/>
      <c r="Q517" s="6"/>
      <c r="R517" s="6"/>
      <c r="S517" s="6"/>
      <c r="T517" s="6"/>
      <c r="U517" s="6"/>
      <c r="V517" s="6"/>
      <c r="W517" s="6"/>
      <c r="X517" s="6"/>
      <c r="Y517" s="6"/>
      <c r="Z517" s="6"/>
    </row>
    <row r="518" spans="1:26" ht="15.75" customHeight="1" x14ac:dyDescent="0.3">
      <c r="A518" s="10" t="s">
        <v>3644</v>
      </c>
      <c r="B518" s="10">
        <v>1996</v>
      </c>
      <c r="C518" s="10" t="s">
        <v>4715</v>
      </c>
      <c r="D518" s="10">
        <v>25</v>
      </c>
      <c r="E518" s="10">
        <v>3</v>
      </c>
      <c r="F518" s="24">
        <v>4661.29</v>
      </c>
      <c r="G518" s="10" t="s">
        <v>4695</v>
      </c>
      <c r="H518" s="10" t="s">
        <v>4694</v>
      </c>
      <c r="I518" s="10" t="s">
        <v>4727</v>
      </c>
      <c r="J518" s="17">
        <f t="shared" si="4"/>
        <v>35363</v>
      </c>
      <c r="K518" s="10">
        <f t="shared" ca="1" si="5"/>
        <v>29</v>
      </c>
      <c r="L518" s="6"/>
      <c r="M518" s="6"/>
      <c r="N518" s="6"/>
      <c r="O518" s="6"/>
      <c r="P518" s="6"/>
      <c r="Q518" s="6"/>
      <c r="R518" s="6"/>
      <c r="S518" s="6"/>
      <c r="T518" s="6"/>
      <c r="U518" s="6"/>
      <c r="V518" s="6"/>
      <c r="W518" s="6"/>
      <c r="X518" s="6"/>
      <c r="Y518" s="6"/>
      <c r="Z518" s="6"/>
    </row>
    <row r="519" spans="1:26" ht="15.75" customHeight="1" x14ac:dyDescent="0.3">
      <c r="A519" s="10" t="s">
        <v>3642</v>
      </c>
      <c r="B519" s="10">
        <v>1990</v>
      </c>
      <c r="C519" s="10" t="s">
        <v>4714</v>
      </c>
      <c r="D519" s="10">
        <v>5</v>
      </c>
      <c r="E519" s="10">
        <v>1</v>
      </c>
      <c r="F519" s="24">
        <v>4667.6099999999997</v>
      </c>
      <c r="G519" s="10" t="s">
        <v>4696</v>
      </c>
      <c r="H519" s="10" t="s">
        <v>4696</v>
      </c>
      <c r="I519" s="10" t="s">
        <v>4720</v>
      </c>
      <c r="J519" s="17">
        <f t="shared" si="4"/>
        <v>33090</v>
      </c>
      <c r="K519" s="10">
        <f t="shared" ca="1" si="5"/>
        <v>35</v>
      </c>
      <c r="L519" s="6"/>
      <c r="M519" s="6"/>
      <c r="N519" s="6"/>
      <c r="O519" s="6"/>
      <c r="P519" s="6"/>
      <c r="Q519" s="6"/>
      <c r="R519" s="6"/>
      <c r="S519" s="6"/>
      <c r="T519" s="6"/>
      <c r="U519" s="6"/>
      <c r="V519" s="6"/>
      <c r="W519" s="6"/>
      <c r="X519" s="6"/>
      <c r="Y519" s="6"/>
      <c r="Z519" s="6"/>
    </row>
    <row r="520" spans="1:26" ht="15.75" customHeight="1" x14ac:dyDescent="0.3">
      <c r="A520" s="10" t="s">
        <v>3640</v>
      </c>
      <c r="B520" s="10">
        <v>1990</v>
      </c>
      <c r="C520" s="10" t="s">
        <v>4711</v>
      </c>
      <c r="D520" s="10">
        <v>26</v>
      </c>
      <c r="E520" s="10">
        <v>2</v>
      </c>
      <c r="F520" s="24">
        <v>4670.6400000000003</v>
      </c>
      <c r="G520" s="10" t="s">
        <v>4695</v>
      </c>
      <c r="H520" s="10" t="s">
        <v>4695</v>
      </c>
      <c r="I520" s="10" t="s">
        <v>4716</v>
      </c>
      <c r="J520" s="17">
        <f t="shared" si="4"/>
        <v>33142</v>
      </c>
      <c r="K520" s="10">
        <f t="shared" ca="1" si="5"/>
        <v>35</v>
      </c>
      <c r="L520" s="6"/>
      <c r="M520" s="6"/>
      <c r="N520" s="6"/>
      <c r="O520" s="6"/>
      <c r="P520" s="6"/>
      <c r="Q520" s="6"/>
      <c r="R520" s="6"/>
      <c r="S520" s="6"/>
      <c r="T520" s="6"/>
      <c r="U520" s="6"/>
      <c r="V520" s="6"/>
      <c r="W520" s="6"/>
      <c r="X520" s="6"/>
      <c r="Y520" s="6"/>
      <c r="Z520" s="6"/>
    </row>
    <row r="521" spans="1:26" ht="15.75" customHeight="1" x14ac:dyDescent="0.3">
      <c r="A521" s="10" t="s">
        <v>3638</v>
      </c>
      <c r="B521" s="10">
        <v>1990</v>
      </c>
      <c r="C521" s="10" t="s">
        <v>4707</v>
      </c>
      <c r="D521" s="10">
        <v>13</v>
      </c>
      <c r="E521" s="10">
        <v>2</v>
      </c>
      <c r="F521" s="24">
        <v>4673.3900000000003</v>
      </c>
      <c r="G521" s="10" t="s">
        <v>4695</v>
      </c>
      <c r="H521" s="10" t="s">
        <v>4694</v>
      </c>
      <c r="I521" s="10" t="s">
        <v>4708</v>
      </c>
      <c r="J521" s="17">
        <f t="shared" si="4"/>
        <v>33067</v>
      </c>
      <c r="K521" s="10">
        <f t="shared" ca="1" si="5"/>
        <v>35</v>
      </c>
      <c r="L521" s="6"/>
      <c r="M521" s="6"/>
      <c r="N521" s="6"/>
      <c r="O521" s="6"/>
      <c r="P521" s="6"/>
      <c r="Q521" s="6"/>
      <c r="R521" s="6"/>
      <c r="S521" s="6"/>
      <c r="T521" s="6"/>
      <c r="U521" s="6"/>
      <c r="V521" s="6"/>
      <c r="W521" s="6"/>
      <c r="X521" s="6"/>
      <c r="Y521" s="6"/>
      <c r="Z521" s="6"/>
    </row>
    <row r="522" spans="1:26" ht="15.75" customHeight="1" x14ac:dyDescent="0.3">
      <c r="A522" s="10" t="s">
        <v>3636</v>
      </c>
      <c r="B522" s="10">
        <v>1979</v>
      </c>
      <c r="C522" s="10" t="s">
        <v>4715</v>
      </c>
      <c r="D522" s="10">
        <v>18</v>
      </c>
      <c r="E522" s="10">
        <v>2</v>
      </c>
      <c r="F522" s="24">
        <v>4674.2</v>
      </c>
      <c r="G522" s="10" t="s">
        <v>4695</v>
      </c>
      <c r="H522" s="10" t="s">
        <v>4694</v>
      </c>
      <c r="I522" s="10" t="s">
        <v>4708</v>
      </c>
      <c r="J522" s="17">
        <f t="shared" si="4"/>
        <v>29146</v>
      </c>
      <c r="K522" s="10">
        <f t="shared" ca="1" si="5"/>
        <v>46</v>
      </c>
      <c r="L522" s="6"/>
      <c r="M522" s="6"/>
      <c r="N522" s="6"/>
      <c r="O522" s="6"/>
      <c r="P522" s="6"/>
      <c r="Q522" s="6"/>
      <c r="R522" s="6"/>
      <c r="S522" s="6"/>
      <c r="T522" s="6"/>
      <c r="U522" s="6"/>
      <c r="V522" s="6"/>
      <c r="W522" s="6"/>
      <c r="X522" s="6"/>
      <c r="Y522" s="6"/>
      <c r="Z522" s="6"/>
    </row>
    <row r="523" spans="1:26" ht="15.75" customHeight="1" x14ac:dyDescent="0.3">
      <c r="A523" s="10" t="s">
        <v>3634</v>
      </c>
      <c r="B523" s="10">
        <v>2003</v>
      </c>
      <c r="C523" s="10" t="s">
        <v>4715</v>
      </c>
      <c r="D523" s="10">
        <v>4</v>
      </c>
      <c r="E523" s="10">
        <v>0</v>
      </c>
      <c r="F523" s="24">
        <v>4678.8</v>
      </c>
      <c r="G523" s="10" t="s">
        <v>4695</v>
      </c>
      <c r="H523" s="10" t="s">
        <v>4694</v>
      </c>
      <c r="I523" s="10" t="s">
        <v>4726</v>
      </c>
      <c r="J523" s="17">
        <f t="shared" si="4"/>
        <v>37898</v>
      </c>
      <c r="K523" s="10">
        <f t="shared" ca="1" si="5"/>
        <v>22</v>
      </c>
      <c r="L523" s="6"/>
      <c r="M523" s="6"/>
      <c r="N523" s="6"/>
      <c r="O523" s="6"/>
      <c r="P523" s="6"/>
      <c r="Q523" s="6"/>
      <c r="R523" s="6"/>
      <c r="S523" s="6"/>
      <c r="T523" s="6"/>
      <c r="U523" s="6"/>
      <c r="V523" s="6"/>
      <c r="W523" s="6"/>
      <c r="X523" s="6"/>
      <c r="Y523" s="6"/>
      <c r="Z523" s="6"/>
    </row>
    <row r="524" spans="1:26" ht="15.75" customHeight="1" x14ac:dyDescent="0.3">
      <c r="A524" s="10" t="s">
        <v>3632</v>
      </c>
      <c r="B524" s="10">
        <v>1990</v>
      </c>
      <c r="C524" s="10" t="s">
        <v>4711</v>
      </c>
      <c r="D524" s="10">
        <v>4</v>
      </c>
      <c r="E524" s="10">
        <v>2</v>
      </c>
      <c r="F524" s="24">
        <v>4686.3900000000003</v>
      </c>
      <c r="G524" s="10" t="s">
        <v>4696</v>
      </c>
      <c r="H524" s="10" t="s">
        <v>4696</v>
      </c>
      <c r="I524" s="10" t="s">
        <v>4708</v>
      </c>
      <c r="J524" s="17">
        <f t="shared" si="4"/>
        <v>33120</v>
      </c>
      <c r="K524" s="10">
        <f t="shared" ca="1" si="5"/>
        <v>35</v>
      </c>
      <c r="L524" s="6"/>
      <c r="M524" s="6"/>
      <c r="N524" s="6"/>
      <c r="O524" s="6"/>
      <c r="P524" s="6"/>
      <c r="Q524" s="6"/>
      <c r="R524" s="6"/>
      <c r="S524" s="6"/>
      <c r="T524" s="6"/>
      <c r="U524" s="6"/>
      <c r="V524" s="6"/>
      <c r="W524" s="6"/>
      <c r="X524" s="6"/>
      <c r="Y524" s="6"/>
      <c r="Z524" s="6"/>
    </row>
    <row r="525" spans="1:26" ht="15.75" customHeight="1" x14ac:dyDescent="0.3">
      <c r="A525" s="10" t="s">
        <v>3630</v>
      </c>
      <c r="B525" s="10">
        <v>2003</v>
      </c>
      <c r="C525" s="10" t="s">
        <v>4710</v>
      </c>
      <c r="D525" s="10">
        <v>22</v>
      </c>
      <c r="E525" s="10">
        <v>5</v>
      </c>
      <c r="F525" s="24">
        <v>4687.8</v>
      </c>
      <c r="G525" s="10" t="s">
        <v>4695</v>
      </c>
      <c r="H525" s="10" t="s">
        <v>4696</v>
      </c>
      <c r="I525" s="10" t="s">
        <v>4716</v>
      </c>
      <c r="J525" s="17">
        <f t="shared" si="4"/>
        <v>37794</v>
      </c>
      <c r="K525" s="10">
        <f t="shared" ca="1" si="5"/>
        <v>22</v>
      </c>
      <c r="L525" s="6"/>
      <c r="M525" s="6"/>
      <c r="N525" s="6"/>
      <c r="O525" s="6"/>
      <c r="P525" s="6"/>
      <c r="Q525" s="6"/>
      <c r="R525" s="6"/>
      <c r="S525" s="6"/>
      <c r="T525" s="6"/>
      <c r="U525" s="6"/>
      <c r="V525" s="6"/>
      <c r="W525" s="6"/>
      <c r="X525" s="6"/>
      <c r="Y525" s="6"/>
      <c r="Z525" s="6"/>
    </row>
    <row r="526" spans="1:26" ht="15.75" customHeight="1" x14ac:dyDescent="0.3">
      <c r="A526" s="10" t="s">
        <v>3628</v>
      </c>
      <c r="B526" s="10">
        <v>1977</v>
      </c>
      <c r="C526" s="10" t="s">
        <v>4713</v>
      </c>
      <c r="D526" s="10">
        <v>4</v>
      </c>
      <c r="E526" s="10">
        <v>2</v>
      </c>
      <c r="F526" s="24">
        <v>4699.47</v>
      </c>
      <c r="G526" s="10" t="s">
        <v>4695</v>
      </c>
      <c r="H526" s="10" t="s">
        <v>4696</v>
      </c>
      <c r="I526" s="10" t="s">
        <v>4708</v>
      </c>
      <c r="J526" s="17">
        <f t="shared" si="4"/>
        <v>28463</v>
      </c>
      <c r="K526" s="10">
        <f t="shared" ca="1" si="5"/>
        <v>47</v>
      </c>
      <c r="L526" s="6"/>
      <c r="M526" s="6"/>
      <c r="N526" s="6"/>
      <c r="O526" s="6"/>
      <c r="P526" s="6"/>
      <c r="Q526" s="6"/>
      <c r="R526" s="6"/>
      <c r="S526" s="6"/>
      <c r="T526" s="6"/>
      <c r="U526" s="6"/>
      <c r="V526" s="6"/>
      <c r="W526" s="6"/>
      <c r="X526" s="6"/>
      <c r="Y526" s="6"/>
      <c r="Z526" s="6"/>
    </row>
    <row r="527" spans="1:26" ht="15.75" customHeight="1" x14ac:dyDescent="0.3">
      <c r="A527" s="10" t="s">
        <v>3626</v>
      </c>
      <c r="B527" s="10">
        <v>1981</v>
      </c>
      <c r="C527" s="10" t="s">
        <v>4714</v>
      </c>
      <c r="D527" s="10">
        <v>12</v>
      </c>
      <c r="E527" s="10">
        <v>1</v>
      </c>
      <c r="F527" s="24">
        <v>4712.12</v>
      </c>
      <c r="G527" s="10" t="s">
        <v>4695</v>
      </c>
      <c r="H527" s="10" t="s">
        <v>4696</v>
      </c>
      <c r="I527" s="10" t="s">
        <v>4716</v>
      </c>
      <c r="J527" s="17">
        <f t="shared" si="4"/>
        <v>29810</v>
      </c>
      <c r="K527" s="10">
        <f t="shared" ca="1" si="5"/>
        <v>44</v>
      </c>
      <c r="L527" s="6"/>
      <c r="M527" s="6"/>
      <c r="N527" s="6"/>
      <c r="O527" s="6"/>
      <c r="P527" s="6"/>
      <c r="Q527" s="6"/>
      <c r="R527" s="6"/>
      <c r="S527" s="6"/>
      <c r="T527" s="6"/>
      <c r="U527" s="6"/>
      <c r="V527" s="6"/>
      <c r="W527" s="6"/>
      <c r="X527" s="6"/>
      <c r="Y527" s="6"/>
      <c r="Z527" s="6"/>
    </row>
    <row r="528" spans="1:26" ht="15.75" customHeight="1" x14ac:dyDescent="0.3">
      <c r="A528" s="10" t="s">
        <v>3624</v>
      </c>
      <c r="B528" s="10">
        <v>1992</v>
      </c>
      <c r="C528" s="10" t="s">
        <v>4715</v>
      </c>
      <c r="D528" s="10">
        <v>9</v>
      </c>
      <c r="E528" s="10">
        <v>1</v>
      </c>
      <c r="F528" s="24">
        <v>4718.2</v>
      </c>
      <c r="G528" s="10" t="s">
        <v>4695</v>
      </c>
      <c r="H528" s="10" t="s">
        <v>4696</v>
      </c>
      <c r="I528" s="10" t="s">
        <v>4723</v>
      </c>
      <c r="J528" s="17">
        <f t="shared" si="4"/>
        <v>33886</v>
      </c>
      <c r="K528" s="10">
        <f t="shared" ca="1" si="5"/>
        <v>33</v>
      </c>
      <c r="L528" s="6"/>
      <c r="M528" s="6"/>
      <c r="N528" s="6"/>
      <c r="O528" s="6"/>
      <c r="P528" s="6"/>
      <c r="Q528" s="6"/>
      <c r="R528" s="6"/>
      <c r="S528" s="6"/>
      <c r="T528" s="6"/>
      <c r="U528" s="6"/>
      <c r="V528" s="6"/>
      <c r="W528" s="6"/>
      <c r="X528" s="6"/>
      <c r="Y528" s="6"/>
      <c r="Z528" s="6"/>
    </row>
    <row r="529" spans="1:26" ht="15.75" customHeight="1" x14ac:dyDescent="0.3">
      <c r="A529" s="10" t="s">
        <v>3622</v>
      </c>
      <c r="B529" s="10">
        <v>1992</v>
      </c>
      <c r="C529" s="10" t="s">
        <v>4711</v>
      </c>
      <c r="D529" s="10">
        <v>28</v>
      </c>
      <c r="E529" s="10">
        <v>1</v>
      </c>
      <c r="F529" s="24">
        <v>4719.5200000000004</v>
      </c>
      <c r="G529" s="10" t="s">
        <v>4695</v>
      </c>
      <c r="H529" s="10" t="s">
        <v>4695</v>
      </c>
      <c r="I529" s="10" t="s">
        <v>4723</v>
      </c>
      <c r="J529" s="17">
        <f t="shared" si="4"/>
        <v>33875</v>
      </c>
      <c r="K529" s="10">
        <f t="shared" ca="1" si="5"/>
        <v>33</v>
      </c>
      <c r="L529" s="6"/>
      <c r="M529" s="6"/>
      <c r="N529" s="6"/>
      <c r="O529" s="6"/>
      <c r="P529" s="6"/>
      <c r="Q529" s="6"/>
      <c r="R529" s="6"/>
      <c r="S529" s="6"/>
      <c r="T529" s="6"/>
      <c r="U529" s="6"/>
      <c r="V529" s="6"/>
      <c r="W529" s="6"/>
      <c r="X529" s="6"/>
      <c r="Y529" s="6"/>
      <c r="Z529" s="6"/>
    </row>
    <row r="530" spans="1:26" ht="15.75" customHeight="1" x14ac:dyDescent="0.3">
      <c r="A530" s="10" t="s">
        <v>3620</v>
      </c>
      <c r="B530" s="10">
        <v>1994</v>
      </c>
      <c r="C530" s="10" t="s">
        <v>4714</v>
      </c>
      <c r="D530" s="10">
        <v>12</v>
      </c>
      <c r="E530" s="10">
        <v>2</v>
      </c>
      <c r="F530" s="24">
        <v>4719.74</v>
      </c>
      <c r="G530" s="10" t="s">
        <v>4695</v>
      </c>
      <c r="H530" s="10" t="s">
        <v>4694</v>
      </c>
      <c r="I530" s="10" t="s">
        <v>4712</v>
      </c>
      <c r="J530" s="17">
        <f t="shared" si="4"/>
        <v>34558</v>
      </c>
      <c r="K530" s="10">
        <f t="shared" ca="1" si="5"/>
        <v>31</v>
      </c>
      <c r="L530" s="6"/>
      <c r="M530" s="6"/>
      <c r="N530" s="6"/>
      <c r="O530" s="6"/>
      <c r="P530" s="6"/>
      <c r="Q530" s="6"/>
      <c r="R530" s="6"/>
      <c r="S530" s="6"/>
      <c r="T530" s="6"/>
      <c r="U530" s="6"/>
      <c r="V530" s="6"/>
      <c r="W530" s="6"/>
      <c r="X530" s="6"/>
      <c r="Y530" s="6"/>
      <c r="Z530" s="6"/>
    </row>
    <row r="531" spans="1:26" ht="15.75" customHeight="1" x14ac:dyDescent="0.3">
      <c r="A531" s="10" t="s">
        <v>3618</v>
      </c>
      <c r="B531" s="10">
        <v>1980</v>
      </c>
      <c r="C531" s="10" t="s">
        <v>4707</v>
      </c>
      <c r="D531" s="10">
        <v>2</v>
      </c>
      <c r="E531" s="10">
        <v>2</v>
      </c>
      <c r="F531" s="24">
        <v>4728.71</v>
      </c>
      <c r="G531" s="10" t="s">
        <v>4695</v>
      </c>
      <c r="H531" s="10" t="s">
        <v>4696</v>
      </c>
      <c r="I531" s="10" t="s">
        <v>4712</v>
      </c>
      <c r="J531" s="17">
        <f t="shared" si="4"/>
        <v>29404</v>
      </c>
      <c r="K531" s="10">
        <f t="shared" ca="1" si="5"/>
        <v>45</v>
      </c>
      <c r="L531" s="6"/>
      <c r="M531" s="6"/>
      <c r="N531" s="6"/>
      <c r="O531" s="6"/>
      <c r="P531" s="6"/>
      <c r="Q531" s="6"/>
      <c r="R531" s="6"/>
      <c r="S531" s="6"/>
      <c r="T531" s="6"/>
      <c r="U531" s="6"/>
      <c r="V531" s="6"/>
      <c r="W531" s="6"/>
      <c r="X531" s="6"/>
      <c r="Y531" s="6"/>
      <c r="Z531" s="6"/>
    </row>
    <row r="532" spans="1:26" ht="15.75" customHeight="1" x14ac:dyDescent="0.3">
      <c r="A532" s="10" t="s">
        <v>3616</v>
      </c>
      <c r="B532" s="10">
        <v>1986</v>
      </c>
      <c r="C532" s="10" t="s">
        <v>4711</v>
      </c>
      <c r="D532" s="10">
        <v>5</v>
      </c>
      <c r="E532" s="10">
        <v>3</v>
      </c>
      <c r="F532" s="24">
        <v>4734.6400000000003</v>
      </c>
      <c r="G532" s="10" t="s">
        <v>4695</v>
      </c>
      <c r="H532" s="10" t="s">
        <v>4694</v>
      </c>
      <c r="I532" s="10" t="s">
        <v>4708</v>
      </c>
      <c r="J532" s="17">
        <f t="shared" si="4"/>
        <v>31660</v>
      </c>
      <c r="K532" s="10">
        <f t="shared" ca="1" si="5"/>
        <v>39</v>
      </c>
      <c r="L532" s="6"/>
      <c r="M532" s="6"/>
      <c r="N532" s="6"/>
      <c r="O532" s="6"/>
      <c r="P532" s="6"/>
      <c r="Q532" s="6"/>
      <c r="R532" s="6"/>
      <c r="S532" s="6"/>
      <c r="T532" s="6"/>
      <c r="U532" s="6"/>
      <c r="V532" s="6"/>
      <c r="W532" s="6"/>
      <c r="X532" s="6"/>
      <c r="Y532" s="6"/>
      <c r="Z532" s="6"/>
    </row>
    <row r="533" spans="1:26" ht="15.75" customHeight="1" x14ac:dyDescent="0.3">
      <c r="A533" s="10" t="s">
        <v>3614</v>
      </c>
      <c r="B533" s="10">
        <v>1991</v>
      </c>
      <c r="C533" s="10" t="s">
        <v>4715</v>
      </c>
      <c r="D533" s="10">
        <v>12</v>
      </c>
      <c r="E533" s="10">
        <v>1</v>
      </c>
      <c r="F533" s="24">
        <v>4738.2700000000004</v>
      </c>
      <c r="G533" s="10" t="s">
        <v>4695</v>
      </c>
      <c r="H533" s="10" t="s">
        <v>4696</v>
      </c>
      <c r="I533" s="10" t="s">
        <v>4712</v>
      </c>
      <c r="J533" s="17">
        <f t="shared" si="4"/>
        <v>33523</v>
      </c>
      <c r="K533" s="10">
        <f t="shared" ca="1" si="5"/>
        <v>34</v>
      </c>
      <c r="L533" s="6"/>
      <c r="M533" s="6"/>
      <c r="N533" s="6"/>
      <c r="O533" s="6"/>
      <c r="P533" s="6"/>
      <c r="Q533" s="6"/>
      <c r="R533" s="6"/>
      <c r="S533" s="6"/>
      <c r="T533" s="6"/>
      <c r="U533" s="6"/>
      <c r="V533" s="6"/>
      <c r="W533" s="6"/>
      <c r="X533" s="6"/>
      <c r="Y533" s="6"/>
      <c r="Z533" s="6"/>
    </row>
    <row r="534" spans="1:26" ht="15.75" customHeight="1" x14ac:dyDescent="0.3">
      <c r="A534" s="10" t="s">
        <v>3612</v>
      </c>
      <c r="B534" s="10">
        <v>2004</v>
      </c>
      <c r="C534" s="10" t="s">
        <v>4709</v>
      </c>
      <c r="D534" s="10">
        <v>24</v>
      </c>
      <c r="E534" s="10">
        <v>0</v>
      </c>
      <c r="F534" s="24">
        <v>4740.78</v>
      </c>
      <c r="G534" s="10" t="s">
        <v>4695</v>
      </c>
      <c r="H534" s="10" t="s">
        <v>4696</v>
      </c>
      <c r="I534" s="10" t="s">
        <v>4726</v>
      </c>
      <c r="J534" s="17">
        <f t="shared" si="4"/>
        <v>38315</v>
      </c>
      <c r="K534" s="10">
        <f t="shared" ca="1" si="5"/>
        <v>21</v>
      </c>
      <c r="L534" s="6"/>
      <c r="M534" s="6"/>
      <c r="N534" s="6"/>
      <c r="O534" s="6"/>
      <c r="P534" s="6"/>
      <c r="Q534" s="6"/>
      <c r="R534" s="6"/>
      <c r="S534" s="6"/>
      <c r="T534" s="6"/>
      <c r="U534" s="6"/>
      <c r="V534" s="6"/>
      <c r="W534" s="6"/>
      <c r="X534" s="6"/>
      <c r="Y534" s="6"/>
      <c r="Z534" s="6"/>
    </row>
    <row r="535" spans="1:26" ht="15.75" customHeight="1" x14ac:dyDescent="0.3">
      <c r="A535" s="10" t="s">
        <v>3610</v>
      </c>
      <c r="B535" s="10">
        <v>1987</v>
      </c>
      <c r="C535" s="10" t="s">
        <v>4710</v>
      </c>
      <c r="D535" s="10">
        <v>5</v>
      </c>
      <c r="E535" s="10">
        <v>1</v>
      </c>
      <c r="F535" s="24">
        <v>4746.34</v>
      </c>
      <c r="G535" s="10" t="s">
        <v>4695</v>
      </c>
      <c r="H535" s="10" t="s">
        <v>4695</v>
      </c>
      <c r="I535" s="10" t="s">
        <v>4716</v>
      </c>
      <c r="J535" s="17">
        <f t="shared" si="4"/>
        <v>31933</v>
      </c>
      <c r="K535" s="10">
        <f t="shared" ca="1" si="5"/>
        <v>38</v>
      </c>
      <c r="L535" s="6"/>
      <c r="M535" s="6"/>
      <c r="N535" s="6"/>
      <c r="O535" s="6"/>
      <c r="P535" s="6"/>
      <c r="Q535" s="6"/>
      <c r="R535" s="6"/>
      <c r="S535" s="6"/>
      <c r="T535" s="6"/>
      <c r="U535" s="6"/>
      <c r="V535" s="6"/>
      <c r="W535" s="6"/>
      <c r="X535" s="6"/>
      <c r="Y535" s="6"/>
      <c r="Z535" s="6"/>
    </row>
    <row r="536" spans="1:26" ht="15.75" customHeight="1" x14ac:dyDescent="0.3">
      <c r="A536" s="10" t="s">
        <v>3608</v>
      </c>
      <c r="B536" s="10">
        <v>1987</v>
      </c>
      <c r="C536" s="10" t="s">
        <v>4711</v>
      </c>
      <c r="D536" s="10">
        <v>2</v>
      </c>
      <c r="E536" s="10">
        <v>1</v>
      </c>
      <c r="F536" s="24">
        <v>4747.05</v>
      </c>
      <c r="G536" s="10" t="s">
        <v>4695</v>
      </c>
      <c r="H536" s="10" t="s">
        <v>4695</v>
      </c>
      <c r="I536" s="10" t="s">
        <v>4708</v>
      </c>
      <c r="J536" s="17">
        <f t="shared" si="4"/>
        <v>32022</v>
      </c>
      <c r="K536" s="10">
        <f t="shared" ca="1" si="5"/>
        <v>38</v>
      </c>
      <c r="L536" s="6"/>
      <c r="M536" s="6"/>
      <c r="N536" s="6"/>
      <c r="O536" s="6"/>
      <c r="P536" s="6"/>
      <c r="Q536" s="6"/>
      <c r="R536" s="6"/>
      <c r="S536" s="6"/>
      <c r="T536" s="6"/>
      <c r="U536" s="6"/>
      <c r="V536" s="6"/>
      <c r="W536" s="6"/>
      <c r="X536" s="6"/>
      <c r="Y536" s="6"/>
      <c r="Z536" s="6"/>
    </row>
    <row r="537" spans="1:26" ht="15.75" customHeight="1" x14ac:dyDescent="0.3">
      <c r="A537" s="10" t="s">
        <v>3606</v>
      </c>
      <c r="B537" s="10">
        <v>1987</v>
      </c>
      <c r="C537" s="10" t="s">
        <v>4709</v>
      </c>
      <c r="D537" s="10">
        <v>22</v>
      </c>
      <c r="E537" s="10">
        <v>1</v>
      </c>
      <c r="F537" s="24">
        <v>4751.07</v>
      </c>
      <c r="G537" s="10" t="s">
        <v>4696</v>
      </c>
      <c r="H537" s="10" t="s">
        <v>4694</v>
      </c>
      <c r="I537" s="10" t="s">
        <v>4716</v>
      </c>
      <c r="J537" s="17">
        <f t="shared" si="4"/>
        <v>32103</v>
      </c>
      <c r="K537" s="10">
        <f t="shared" ca="1" si="5"/>
        <v>38</v>
      </c>
      <c r="L537" s="6"/>
      <c r="M537" s="6"/>
      <c r="N537" s="6"/>
      <c r="O537" s="6"/>
      <c r="P537" s="6"/>
      <c r="Q537" s="6"/>
      <c r="R537" s="6"/>
      <c r="S537" s="6"/>
      <c r="T537" s="6"/>
      <c r="U537" s="6"/>
      <c r="V537" s="6"/>
      <c r="W537" s="6"/>
      <c r="X537" s="6"/>
      <c r="Y537" s="6"/>
      <c r="Z537" s="6"/>
    </row>
    <row r="538" spans="1:26" ht="15.75" customHeight="1" x14ac:dyDescent="0.3">
      <c r="A538" s="10" t="s">
        <v>3604</v>
      </c>
      <c r="B538" s="10">
        <v>1992</v>
      </c>
      <c r="C538" s="10" t="s">
        <v>4714</v>
      </c>
      <c r="D538" s="10">
        <v>16</v>
      </c>
      <c r="E538" s="10">
        <v>2</v>
      </c>
      <c r="F538" s="24">
        <v>4753.6400000000003</v>
      </c>
      <c r="G538" s="10" t="s">
        <v>4695</v>
      </c>
      <c r="H538" s="10" t="s">
        <v>4696</v>
      </c>
      <c r="I538" s="10" t="s">
        <v>4708</v>
      </c>
      <c r="J538" s="17">
        <f t="shared" si="4"/>
        <v>33832</v>
      </c>
      <c r="K538" s="10">
        <f t="shared" ca="1" si="5"/>
        <v>33</v>
      </c>
      <c r="L538" s="6"/>
      <c r="M538" s="6"/>
      <c r="N538" s="6"/>
      <c r="O538" s="6"/>
      <c r="P538" s="6"/>
      <c r="Q538" s="6"/>
      <c r="R538" s="6"/>
      <c r="S538" s="6"/>
      <c r="T538" s="6"/>
      <c r="U538" s="6"/>
      <c r="V538" s="6"/>
      <c r="W538" s="6"/>
      <c r="X538" s="6"/>
      <c r="Y538" s="6"/>
      <c r="Z538" s="6"/>
    </row>
    <row r="539" spans="1:26" ht="15.75" customHeight="1" x14ac:dyDescent="0.3">
      <c r="A539" s="10" t="s">
        <v>3602</v>
      </c>
      <c r="B539" s="10">
        <v>1987</v>
      </c>
      <c r="C539" s="10" t="s">
        <v>4711</v>
      </c>
      <c r="D539" s="10">
        <v>27</v>
      </c>
      <c r="E539" s="10">
        <v>1</v>
      </c>
      <c r="F539" s="24">
        <v>4762.33</v>
      </c>
      <c r="G539" s="10" t="s">
        <v>4696</v>
      </c>
      <c r="H539" s="10" t="s">
        <v>4696</v>
      </c>
      <c r="I539" s="10" t="s">
        <v>4716</v>
      </c>
      <c r="J539" s="17">
        <f t="shared" si="4"/>
        <v>32047</v>
      </c>
      <c r="K539" s="10">
        <f t="shared" ca="1" si="5"/>
        <v>38</v>
      </c>
      <c r="L539" s="6"/>
      <c r="M539" s="6"/>
      <c r="N539" s="6"/>
      <c r="O539" s="6"/>
      <c r="P539" s="6"/>
      <c r="Q539" s="6"/>
      <c r="R539" s="6"/>
      <c r="S539" s="6"/>
      <c r="T539" s="6"/>
      <c r="U539" s="6"/>
      <c r="V539" s="6"/>
      <c r="W539" s="6"/>
      <c r="X539" s="6"/>
      <c r="Y539" s="6"/>
      <c r="Z539" s="6"/>
    </row>
    <row r="540" spans="1:26" ht="15.75" customHeight="1" x14ac:dyDescent="0.3">
      <c r="A540" s="10" t="s">
        <v>3600</v>
      </c>
      <c r="B540" s="10">
        <v>1989</v>
      </c>
      <c r="C540" s="10" t="s">
        <v>4714</v>
      </c>
      <c r="D540" s="10">
        <v>1</v>
      </c>
      <c r="E540" s="10">
        <v>1</v>
      </c>
      <c r="F540" s="24">
        <v>4766.0200000000004</v>
      </c>
      <c r="G540" s="10" t="s">
        <v>4695</v>
      </c>
      <c r="H540" s="10" t="s">
        <v>4696</v>
      </c>
      <c r="I540" s="10" t="s">
        <v>4716</v>
      </c>
      <c r="J540" s="17">
        <f t="shared" si="4"/>
        <v>32721</v>
      </c>
      <c r="K540" s="10">
        <f t="shared" ca="1" si="5"/>
        <v>36</v>
      </c>
      <c r="L540" s="6"/>
      <c r="M540" s="6"/>
      <c r="N540" s="6"/>
      <c r="O540" s="6"/>
      <c r="P540" s="6"/>
      <c r="Q540" s="6"/>
      <c r="R540" s="6"/>
      <c r="S540" s="6"/>
      <c r="T540" s="6"/>
      <c r="U540" s="6"/>
      <c r="V540" s="6"/>
      <c r="W540" s="6"/>
      <c r="X540" s="6"/>
      <c r="Y540" s="6"/>
      <c r="Z540" s="6"/>
    </row>
    <row r="541" spans="1:26" ht="15.75" customHeight="1" x14ac:dyDescent="0.3">
      <c r="A541" s="10" t="s">
        <v>3598</v>
      </c>
      <c r="B541" s="10">
        <v>1989</v>
      </c>
      <c r="C541" s="10" t="s">
        <v>4713</v>
      </c>
      <c r="D541" s="10">
        <v>9</v>
      </c>
      <c r="E541" s="10">
        <v>1</v>
      </c>
      <c r="F541" s="24">
        <v>4779.6000000000004</v>
      </c>
      <c r="G541" s="10" t="s">
        <v>4695</v>
      </c>
      <c r="H541" s="10" t="s">
        <v>4696</v>
      </c>
      <c r="I541" s="10" t="s">
        <v>4708</v>
      </c>
      <c r="J541" s="17">
        <f t="shared" si="4"/>
        <v>32851</v>
      </c>
      <c r="K541" s="10">
        <f t="shared" ca="1" si="5"/>
        <v>35</v>
      </c>
      <c r="L541" s="6"/>
      <c r="M541" s="6"/>
      <c r="N541" s="6"/>
      <c r="O541" s="6"/>
      <c r="P541" s="6"/>
      <c r="Q541" s="6"/>
      <c r="R541" s="6"/>
      <c r="S541" s="6"/>
      <c r="T541" s="6"/>
      <c r="U541" s="6"/>
      <c r="V541" s="6"/>
      <c r="W541" s="6"/>
      <c r="X541" s="6"/>
      <c r="Y541" s="6"/>
      <c r="Z541" s="6"/>
    </row>
    <row r="542" spans="1:26" ht="15.75" customHeight="1" x14ac:dyDescent="0.3">
      <c r="A542" s="10" t="s">
        <v>3596</v>
      </c>
      <c r="B542" s="10">
        <v>1987</v>
      </c>
      <c r="C542" s="10" t="s">
        <v>4710</v>
      </c>
      <c r="D542" s="10">
        <v>22</v>
      </c>
      <c r="E542" s="10">
        <v>3</v>
      </c>
      <c r="F542" s="24">
        <v>4787.42</v>
      </c>
      <c r="G542" s="10" t="s">
        <v>4695</v>
      </c>
      <c r="H542" s="10" t="s">
        <v>4696</v>
      </c>
      <c r="I542" s="10" t="s">
        <v>4708</v>
      </c>
      <c r="J542" s="17">
        <f t="shared" si="4"/>
        <v>31950</v>
      </c>
      <c r="K542" s="10">
        <f t="shared" ca="1" si="5"/>
        <v>38</v>
      </c>
      <c r="L542" s="6"/>
      <c r="M542" s="6"/>
      <c r="N542" s="6"/>
      <c r="O542" s="6"/>
      <c r="P542" s="6"/>
      <c r="Q542" s="6"/>
      <c r="R542" s="6"/>
      <c r="S542" s="6"/>
      <c r="T542" s="6"/>
      <c r="U542" s="6"/>
      <c r="V542" s="6"/>
      <c r="W542" s="6"/>
      <c r="X542" s="6"/>
      <c r="Y542" s="6"/>
      <c r="Z542" s="6"/>
    </row>
    <row r="543" spans="1:26" ht="15.75" customHeight="1" x14ac:dyDescent="0.3">
      <c r="A543" s="10" t="s">
        <v>3594</v>
      </c>
      <c r="B543" s="10">
        <v>1989</v>
      </c>
      <c r="C543" s="10" t="s">
        <v>4713</v>
      </c>
      <c r="D543" s="10">
        <v>16</v>
      </c>
      <c r="E543" s="10">
        <v>1</v>
      </c>
      <c r="F543" s="24">
        <v>4795.66</v>
      </c>
      <c r="G543" s="10" t="s">
        <v>4695</v>
      </c>
      <c r="H543" s="10" t="s">
        <v>4694</v>
      </c>
      <c r="I543" s="10" t="s">
        <v>4708</v>
      </c>
      <c r="J543" s="17">
        <f t="shared" si="4"/>
        <v>32858</v>
      </c>
      <c r="K543" s="10">
        <f t="shared" ca="1" si="5"/>
        <v>35</v>
      </c>
      <c r="L543" s="6"/>
      <c r="M543" s="6"/>
      <c r="N543" s="6"/>
      <c r="O543" s="6"/>
      <c r="P543" s="6"/>
      <c r="Q543" s="6"/>
      <c r="R543" s="6"/>
      <c r="S543" s="6"/>
      <c r="T543" s="6"/>
      <c r="U543" s="6"/>
      <c r="V543" s="6"/>
      <c r="W543" s="6"/>
      <c r="X543" s="6"/>
      <c r="Y543" s="6"/>
      <c r="Z543" s="6"/>
    </row>
    <row r="544" spans="1:26" ht="15.75" customHeight="1" x14ac:dyDescent="0.3">
      <c r="A544" s="10" t="s">
        <v>3592</v>
      </c>
      <c r="B544" s="10">
        <v>1978</v>
      </c>
      <c r="C544" s="10" t="s">
        <v>4715</v>
      </c>
      <c r="D544" s="10">
        <v>3</v>
      </c>
      <c r="E544" s="10">
        <v>2</v>
      </c>
      <c r="F544" s="24">
        <v>4812.34</v>
      </c>
      <c r="G544" s="10" t="s">
        <v>4695</v>
      </c>
      <c r="H544" s="10" t="s">
        <v>4696</v>
      </c>
      <c r="I544" s="10" t="s">
        <v>4708</v>
      </c>
      <c r="J544" s="17">
        <f t="shared" si="4"/>
        <v>28766</v>
      </c>
      <c r="K544" s="10">
        <f t="shared" ca="1" si="5"/>
        <v>47</v>
      </c>
      <c r="L544" s="6"/>
      <c r="M544" s="6"/>
      <c r="N544" s="6"/>
      <c r="O544" s="6"/>
      <c r="P544" s="6"/>
      <c r="Q544" s="6"/>
      <c r="R544" s="6"/>
      <c r="S544" s="6"/>
      <c r="T544" s="6"/>
      <c r="U544" s="6"/>
      <c r="V544" s="6"/>
      <c r="W544" s="6"/>
      <c r="X544" s="6"/>
      <c r="Y544" s="6"/>
      <c r="Z544" s="6"/>
    </row>
    <row r="545" spans="1:26" ht="15.75" customHeight="1" x14ac:dyDescent="0.3">
      <c r="A545" s="10" t="s">
        <v>3590</v>
      </c>
      <c r="B545" s="10">
        <v>1981</v>
      </c>
      <c r="C545" s="10" t="s">
        <v>4707</v>
      </c>
      <c r="D545" s="10">
        <v>3</v>
      </c>
      <c r="E545" s="10">
        <v>1</v>
      </c>
      <c r="F545" s="24">
        <v>4827.1000000000004</v>
      </c>
      <c r="G545" s="10" t="s">
        <v>4695</v>
      </c>
      <c r="H545" s="10" t="s">
        <v>4694</v>
      </c>
      <c r="I545" s="10" t="s">
        <v>4708</v>
      </c>
      <c r="J545" s="17">
        <f t="shared" si="4"/>
        <v>29770</v>
      </c>
      <c r="K545" s="10">
        <f t="shared" ca="1" si="5"/>
        <v>44</v>
      </c>
      <c r="L545" s="6"/>
      <c r="M545" s="6"/>
      <c r="N545" s="6"/>
      <c r="O545" s="6"/>
      <c r="P545" s="6"/>
      <c r="Q545" s="6"/>
      <c r="R545" s="6"/>
      <c r="S545" s="6"/>
      <c r="T545" s="6"/>
      <c r="U545" s="6"/>
      <c r="V545" s="6"/>
      <c r="W545" s="6"/>
      <c r="X545" s="6"/>
      <c r="Y545" s="6"/>
      <c r="Z545" s="6"/>
    </row>
    <row r="546" spans="1:26" ht="15.75" customHeight="1" x14ac:dyDescent="0.3">
      <c r="A546" s="10" t="s">
        <v>3588</v>
      </c>
      <c r="B546" s="10">
        <v>1995</v>
      </c>
      <c r="C546" s="10" t="s">
        <v>4713</v>
      </c>
      <c r="D546" s="10">
        <v>1</v>
      </c>
      <c r="E546" s="10">
        <v>3</v>
      </c>
      <c r="F546" s="24">
        <v>4827.8999999999996</v>
      </c>
      <c r="G546" s="10" t="s">
        <v>4694</v>
      </c>
      <c r="H546" s="10" t="s">
        <v>4695</v>
      </c>
      <c r="I546" s="10" t="s">
        <v>4717</v>
      </c>
      <c r="J546" s="17">
        <f t="shared" si="4"/>
        <v>35034</v>
      </c>
      <c r="K546" s="10">
        <f t="shared" ca="1" si="5"/>
        <v>29</v>
      </c>
      <c r="L546" s="6"/>
      <c r="M546" s="6"/>
      <c r="N546" s="6"/>
      <c r="O546" s="6"/>
      <c r="P546" s="6"/>
      <c r="Q546" s="6"/>
      <c r="R546" s="6"/>
      <c r="S546" s="6"/>
      <c r="T546" s="6"/>
      <c r="U546" s="6"/>
      <c r="V546" s="6"/>
      <c r="W546" s="6"/>
      <c r="X546" s="6"/>
      <c r="Y546" s="6"/>
      <c r="Z546" s="6"/>
    </row>
    <row r="547" spans="1:26" ht="15.75" customHeight="1" x14ac:dyDescent="0.3">
      <c r="A547" s="10" t="s">
        <v>3586</v>
      </c>
      <c r="B547" s="10">
        <v>2002</v>
      </c>
      <c r="C547" s="10" t="s">
        <v>4710</v>
      </c>
      <c r="D547" s="10">
        <v>27</v>
      </c>
      <c r="E547" s="10">
        <v>5</v>
      </c>
      <c r="F547" s="24">
        <v>4830.63</v>
      </c>
      <c r="G547" s="10" t="s">
        <v>4695</v>
      </c>
      <c r="H547" s="10" t="s">
        <v>4694</v>
      </c>
      <c r="I547" s="10" t="s">
        <v>4716</v>
      </c>
      <c r="J547" s="17">
        <f t="shared" si="4"/>
        <v>37434</v>
      </c>
      <c r="K547" s="10">
        <f t="shared" ca="1" si="5"/>
        <v>23</v>
      </c>
      <c r="L547" s="6"/>
      <c r="M547" s="6"/>
      <c r="N547" s="6"/>
      <c r="O547" s="6"/>
      <c r="P547" s="6"/>
      <c r="Q547" s="6"/>
      <c r="R547" s="6"/>
      <c r="S547" s="6"/>
      <c r="T547" s="6"/>
      <c r="U547" s="6"/>
      <c r="V547" s="6"/>
      <c r="W547" s="6"/>
      <c r="X547" s="6"/>
      <c r="Y547" s="6"/>
      <c r="Z547" s="6"/>
    </row>
    <row r="548" spans="1:26" ht="15.75" customHeight="1" x14ac:dyDescent="0.3">
      <c r="A548" s="10" t="s">
        <v>3584</v>
      </c>
      <c r="B548" s="10">
        <v>2000</v>
      </c>
      <c r="C548" s="10" t="s">
        <v>4713</v>
      </c>
      <c r="D548" s="10">
        <v>11</v>
      </c>
      <c r="E548" s="10">
        <v>0</v>
      </c>
      <c r="F548" s="24">
        <v>4835.43</v>
      </c>
      <c r="G548" s="10" t="s">
        <v>4695</v>
      </c>
      <c r="H548" s="10" t="s">
        <v>4695</v>
      </c>
      <c r="I548" s="10" t="s">
        <v>4726</v>
      </c>
      <c r="J548" s="17">
        <f t="shared" si="4"/>
        <v>36871</v>
      </c>
      <c r="K548" s="10">
        <f t="shared" ca="1" si="5"/>
        <v>24</v>
      </c>
      <c r="L548" s="6"/>
      <c r="M548" s="6"/>
      <c r="N548" s="6"/>
      <c r="O548" s="6"/>
      <c r="P548" s="6"/>
      <c r="Q548" s="6"/>
      <c r="R548" s="6"/>
      <c r="S548" s="6"/>
      <c r="T548" s="6"/>
      <c r="U548" s="6"/>
      <c r="V548" s="6"/>
      <c r="W548" s="6"/>
      <c r="X548" s="6"/>
      <c r="Y548" s="6"/>
      <c r="Z548" s="6"/>
    </row>
    <row r="549" spans="1:26" ht="15.75" customHeight="1" x14ac:dyDescent="0.3">
      <c r="A549" s="10" t="s">
        <v>3582</v>
      </c>
      <c r="B549" s="10">
        <v>1992</v>
      </c>
      <c r="C549" s="10" t="s">
        <v>4711</v>
      </c>
      <c r="D549" s="10">
        <v>10</v>
      </c>
      <c r="E549" s="10">
        <v>3</v>
      </c>
      <c r="F549" s="24">
        <v>4837.58</v>
      </c>
      <c r="G549" s="10" t="s">
        <v>4696</v>
      </c>
      <c r="H549" s="10" t="s">
        <v>4695</v>
      </c>
      <c r="I549" s="10" t="s">
        <v>4708</v>
      </c>
      <c r="J549" s="17">
        <f t="shared" si="4"/>
        <v>33857</v>
      </c>
      <c r="K549" s="10">
        <f t="shared" ca="1" si="5"/>
        <v>33</v>
      </c>
      <c r="L549" s="6"/>
      <c r="M549" s="6"/>
      <c r="N549" s="6"/>
      <c r="O549" s="6"/>
      <c r="P549" s="6"/>
      <c r="Q549" s="6"/>
      <c r="R549" s="6"/>
      <c r="S549" s="6"/>
      <c r="T549" s="6"/>
      <c r="U549" s="6"/>
      <c r="V549" s="6"/>
      <c r="W549" s="6"/>
      <c r="X549" s="6"/>
      <c r="Y549" s="6"/>
      <c r="Z549" s="6"/>
    </row>
    <row r="550" spans="1:26" ht="15.75" customHeight="1" x14ac:dyDescent="0.3">
      <c r="A550" s="10" t="s">
        <v>3580</v>
      </c>
      <c r="B550" s="10">
        <v>1984</v>
      </c>
      <c r="C550" s="10" t="s">
        <v>4715</v>
      </c>
      <c r="D550" s="10">
        <v>15</v>
      </c>
      <c r="E550" s="10">
        <v>3</v>
      </c>
      <c r="F550" s="24">
        <v>4839.18</v>
      </c>
      <c r="G550" s="10" t="s">
        <v>4695</v>
      </c>
      <c r="H550" s="10" t="s">
        <v>4694</v>
      </c>
      <c r="I550" s="10" t="s">
        <v>4712</v>
      </c>
      <c r="J550" s="17">
        <f t="shared" si="4"/>
        <v>30970</v>
      </c>
      <c r="K550" s="10">
        <f t="shared" ca="1" si="5"/>
        <v>41</v>
      </c>
      <c r="L550" s="6"/>
      <c r="M550" s="6"/>
      <c r="N550" s="6"/>
      <c r="O550" s="6"/>
      <c r="P550" s="6"/>
      <c r="Q550" s="6"/>
      <c r="R550" s="6"/>
      <c r="S550" s="6"/>
      <c r="T550" s="6"/>
      <c r="U550" s="6"/>
      <c r="V550" s="6"/>
      <c r="W550" s="6"/>
      <c r="X550" s="6"/>
      <c r="Y550" s="6"/>
      <c r="Z550" s="6"/>
    </row>
    <row r="551" spans="1:26" ht="15.75" customHeight="1" x14ac:dyDescent="0.3">
      <c r="A551" s="10" t="s">
        <v>3578</v>
      </c>
      <c r="B551" s="10">
        <v>1995</v>
      </c>
      <c r="C551" s="10" t="s">
        <v>4711</v>
      </c>
      <c r="D551" s="10">
        <v>29</v>
      </c>
      <c r="E551" s="10">
        <v>0</v>
      </c>
      <c r="F551" s="24">
        <v>4840.95</v>
      </c>
      <c r="G551" s="10" t="s">
        <v>4695</v>
      </c>
      <c r="H551" s="10" t="s">
        <v>4694</v>
      </c>
      <c r="I551" s="10" t="s">
        <v>4726</v>
      </c>
      <c r="J551" s="17">
        <f t="shared" si="4"/>
        <v>34971</v>
      </c>
      <c r="K551" s="10">
        <f t="shared" ca="1" si="5"/>
        <v>30</v>
      </c>
      <c r="L551" s="6"/>
      <c r="M551" s="6"/>
      <c r="N551" s="6"/>
      <c r="O551" s="6"/>
      <c r="P551" s="6"/>
      <c r="Q551" s="6"/>
      <c r="R551" s="6"/>
      <c r="S551" s="6"/>
      <c r="T551" s="6"/>
      <c r="U551" s="6"/>
      <c r="V551" s="6"/>
      <c r="W551" s="6"/>
      <c r="X551" s="6"/>
      <c r="Y551" s="6"/>
      <c r="Z551" s="6"/>
    </row>
    <row r="552" spans="1:26" ht="15.75" customHeight="1" x14ac:dyDescent="0.3">
      <c r="A552" s="10" t="s">
        <v>3576</v>
      </c>
      <c r="B552" s="10">
        <v>1979</v>
      </c>
      <c r="C552" s="10" t="s">
        <v>4713</v>
      </c>
      <c r="D552" s="10">
        <v>13</v>
      </c>
      <c r="E552" s="10">
        <v>2</v>
      </c>
      <c r="F552" s="24">
        <v>4843.79</v>
      </c>
      <c r="G552" s="10" t="s">
        <v>4695</v>
      </c>
      <c r="H552" s="10" t="s">
        <v>4696</v>
      </c>
      <c r="I552" s="10" t="s">
        <v>4708</v>
      </c>
      <c r="J552" s="17">
        <f t="shared" si="4"/>
        <v>29202</v>
      </c>
      <c r="K552" s="10">
        <f t="shared" ca="1" si="5"/>
        <v>45</v>
      </c>
      <c r="L552" s="6"/>
      <c r="M552" s="6"/>
      <c r="N552" s="6"/>
      <c r="O552" s="6"/>
      <c r="P552" s="6"/>
      <c r="Q552" s="6"/>
      <c r="R552" s="6"/>
      <c r="S552" s="6"/>
      <c r="T552" s="6"/>
      <c r="U552" s="6"/>
      <c r="V552" s="6"/>
      <c r="W552" s="6"/>
      <c r="X552" s="6"/>
      <c r="Y552" s="6"/>
      <c r="Z552" s="6"/>
    </row>
    <row r="553" spans="1:26" ht="15.75" customHeight="1" x14ac:dyDescent="0.3">
      <c r="A553" s="10" t="s">
        <v>3574</v>
      </c>
      <c r="B553" s="10">
        <v>1974</v>
      </c>
      <c r="C553" s="10" t="s">
        <v>4711</v>
      </c>
      <c r="D553" s="10">
        <v>11</v>
      </c>
      <c r="E553" s="10">
        <v>0</v>
      </c>
      <c r="F553" s="24">
        <v>4844.67</v>
      </c>
      <c r="G553" s="10" t="s">
        <v>4695</v>
      </c>
      <c r="H553" s="10" t="s">
        <v>4695</v>
      </c>
      <c r="I553" s="10" t="s">
        <v>4708</v>
      </c>
      <c r="J553" s="17">
        <f t="shared" si="4"/>
        <v>27283</v>
      </c>
      <c r="K553" s="10">
        <f t="shared" ca="1" si="5"/>
        <v>51</v>
      </c>
      <c r="L553" s="6"/>
      <c r="M553" s="6"/>
      <c r="N553" s="6"/>
      <c r="O553" s="6"/>
      <c r="P553" s="6"/>
      <c r="Q553" s="6"/>
      <c r="R553" s="6"/>
      <c r="S553" s="6"/>
      <c r="T553" s="6"/>
      <c r="U553" s="6"/>
      <c r="V553" s="6"/>
      <c r="W553" s="6"/>
      <c r="X553" s="6"/>
      <c r="Y553" s="6"/>
      <c r="Z553" s="6"/>
    </row>
    <row r="554" spans="1:26" ht="15.75" customHeight="1" x14ac:dyDescent="0.3">
      <c r="A554" s="10" t="s">
        <v>3572</v>
      </c>
      <c r="B554" s="10">
        <v>2001</v>
      </c>
      <c r="C554" s="10" t="s">
        <v>4710</v>
      </c>
      <c r="D554" s="10">
        <v>7</v>
      </c>
      <c r="E554" s="10">
        <v>0</v>
      </c>
      <c r="F554" s="24">
        <v>4846.53</v>
      </c>
      <c r="G554" s="10" t="s">
        <v>4695</v>
      </c>
      <c r="H554" s="10" t="s">
        <v>4696</v>
      </c>
      <c r="I554" s="10" t="s">
        <v>4726</v>
      </c>
      <c r="J554" s="17">
        <f t="shared" si="4"/>
        <v>37049</v>
      </c>
      <c r="K554" s="10">
        <f t="shared" ca="1" si="5"/>
        <v>24</v>
      </c>
      <c r="L554" s="6"/>
      <c r="M554" s="6"/>
      <c r="N554" s="6"/>
      <c r="O554" s="6"/>
      <c r="P554" s="6"/>
      <c r="Q554" s="6"/>
      <c r="R554" s="6"/>
      <c r="S554" s="6"/>
      <c r="T554" s="6"/>
      <c r="U554" s="6"/>
      <c r="V554" s="6"/>
      <c r="W554" s="6"/>
      <c r="X554" s="6"/>
      <c r="Y554" s="6"/>
      <c r="Z554" s="6"/>
    </row>
    <row r="555" spans="1:26" ht="15.75" customHeight="1" x14ac:dyDescent="0.3">
      <c r="A555" s="10" t="s">
        <v>3570</v>
      </c>
      <c r="B555" s="10">
        <v>1995</v>
      </c>
      <c r="C555" s="10" t="s">
        <v>4713</v>
      </c>
      <c r="D555" s="10">
        <v>27</v>
      </c>
      <c r="E555" s="10">
        <v>3</v>
      </c>
      <c r="F555" s="24">
        <v>4846.92</v>
      </c>
      <c r="G555" s="10" t="s">
        <v>4695</v>
      </c>
      <c r="H555" s="10" t="s">
        <v>4696</v>
      </c>
      <c r="I555" s="10" t="s">
        <v>4727</v>
      </c>
      <c r="J555" s="17">
        <f t="shared" si="4"/>
        <v>35060</v>
      </c>
      <c r="K555" s="10">
        <f t="shared" ca="1" si="5"/>
        <v>29</v>
      </c>
      <c r="L555" s="6"/>
      <c r="M555" s="6"/>
      <c r="N555" s="6"/>
      <c r="O555" s="6"/>
      <c r="P555" s="6"/>
      <c r="Q555" s="6"/>
      <c r="R555" s="6"/>
      <c r="S555" s="6"/>
      <c r="T555" s="6"/>
      <c r="U555" s="6"/>
      <c r="V555" s="6"/>
      <c r="W555" s="6"/>
      <c r="X555" s="6"/>
      <c r="Y555" s="6"/>
      <c r="Z555" s="6"/>
    </row>
    <row r="556" spans="1:26" ht="15.75" customHeight="1" x14ac:dyDescent="0.3">
      <c r="A556" s="10" t="s">
        <v>3568</v>
      </c>
      <c r="B556" s="10">
        <v>1989</v>
      </c>
      <c r="C556" s="10" t="s">
        <v>4711</v>
      </c>
      <c r="D556" s="10">
        <v>1</v>
      </c>
      <c r="E556" s="10">
        <v>3</v>
      </c>
      <c r="F556" s="24">
        <v>4859.8900000000003</v>
      </c>
      <c r="G556" s="10" t="s">
        <v>4695</v>
      </c>
      <c r="H556" s="10" t="s">
        <v>4696</v>
      </c>
      <c r="I556" s="10" t="s">
        <v>4716</v>
      </c>
      <c r="J556" s="17">
        <f t="shared" si="4"/>
        <v>32752</v>
      </c>
      <c r="K556" s="10">
        <f t="shared" ca="1" si="5"/>
        <v>36</v>
      </c>
      <c r="L556" s="6"/>
      <c r="M556" s="6"/>
      <c r="N556" s="6"/>
      <c r="O556" s="6"/>
      <c r="P556" s="6"/>
      <c r="Q556" s="6"/>
      <c r="R556" s="6"/>
      <c r="S556" s="6"/>
      <c r="T556" s="6"/>
      <c r="U556" s="6"/>
      <c r="V556" s="6"/>
      <c r="W556" s="6"/>
      <c r="X556" s="6"/>
      <c r="Y556" s="6"/>
      <c r="Z556" s="6"/>
    </row>
    <row r="557" spans="1:26" ht="15.75" customHeight="1" x14ac:dyDescent="0.3">
      <c r="A557" s="10" t="s">
        <v>3566</v>
      </c>
      <c r="B557" s="10">
        <v>1997</v>
      </c>
      <c r="C557" s="10" t="s">
        <v>4711</v>
      </c>
      <c r="D557" s="10">
        <v>29</v>
      </c>
      <c r="E557" s="10">
        <v>4</v>
      </c>
      <c r="F557" s="24">
        <v>4877.9799999999996</v>
      </c>
      <c r="G557" s="10" t="s">
        <v>4695</v>
      </c>
      <c r="H557" s="10" t="s">
        <v>4696</v>
      </c>
      <c r="I557" s="10" t="s">
        <v>4712</v>
      </c>
      <c r="J557" s="17">
        <f t="shared" si="4"/>
        <v>35702</v>
      </c>
      <c r="K557" s="10">
        <f t="shared" ca="1" si="5"/>
        <v>28</v>
      </c>
      <c r="L557" s="6"/>
      <c r="M557" s="6"/>
      <c r="N557" s="6"/>
      <c r="O557" s="6"/>
      <c r="P557" s="6"/>
      <c r="Q557" s="6"/>
      <c r="R557" s="6"/>
      <c r="S557" s="6"/>
      <c r="T557" s="6"/>
      <c r="U557" s="6"/>
      <c r="V557" s="6"/>
      <c r="W557" s="6"/>
      <c r="X557" s="6"/>
      <c r="Y557" s="6"/>
      <c r="Z557" s="6"/>
    </row>
    <row r="558" spans="1:26" ht="15.75" customHeight="1" x14ac:dyDescent="0.3">
      <c r="A558" s="10" t="s">
        <v>3564</v>
      </c>
      <c r="B558" s="10">
        <v>1986</v>
      </c>
      <c r="C558" s="10" t="s">
        <v>4713</v>
      </c>
      <c r="D558" s="10">
        <v>23</v>
      </c>
      <c r="E558" s="10">
        <v>0</v>
      </c>
      <c r="F558" s="24">
        <v>4883.87</v>
      </c>
      <c r="G558" s="10" t="s">
        <v>4695</v>
      </c>
      <c r="H558" s="10" t="s">
        <v>4694</v>
      </c>
      <c r="I558" s="10" t="s">
        <v>4716</v>
      </c>
      <c r="J558" s="17">
        <f t="shared" si="4"/>
        <v>31769</v>
      </c>
      <c r="K558" s="10">
        <f t="shared" ca="1" si="5"/>
        <v>38</v>
      </c>
      <c r="L558" s="6"/>
      <c r="M558" s="6"/>
      <c r="N558" s="6"/>
      <c r="O558" s="6"/>
      <c r="P558" s="6"/>
      <c r="Q558" s="6"/>
      <c r="R558" s="6"/>
      <c r="S558" s="6"/>
      <c r="T558" s="6"/>
      <c r="U558" s="6"/>
      <c r="V558" s="6"/>
      <c r="W558" s="6"/>
      <c r="X558" s="6"/>
      <c r="Y558" s="6"/>
      <c r="Z558" s="6"/>
    </row>
    <row r="559" spans="1:26" ht="15.75" customHeight="1" x14ac:dyDescent="0.3">
      <c r="A559" s="10" t="s">
        <v>3562</v>
      </c>
      <c r="B559" s="10">
        <v>1986</v>
      </c>
      <c r="C559" s="10" t="s">
        <v>4715</v>
      </c>
      <c r="D559" s="10">
        <v>27</v>
      </c>
      <c r="E559" s="10">
        <v>0</v>
      </c>
      <c r="F559" s="24">
        <v>4889.04</v>
      </c>
      <c r="G559" s="10" t="s">
        <v>4695</v>
      </c>
      <c r="H559" s="10" t="s">
        <v>4694</v>
      </c>
      <c r="I559" s="10" t="s">
        <v>4708</v>
      </c>
      <c r="J559" s="17">
        <f t="shared" si="4"/>
        <v>31712</v>
      </c>
      <c r="K559" s="10">
        <f t="shared" ca="1" si="5"/>
        <v>39</v>
      </c>
      <c r="L559" s="6"/>
      <c r="M559" s="6"/>
      <c r="N559" s="6"/>
      <c r="O559" s="6"/>
      <c r="P559" s="6"/>
      <c r="Q559" s="6"/>
      <c r="R559" s="6"/>
      <c r="S559" s="6"/>
      <c r="T559" s="6"/>
      <c r="U559" s="6"/>
      <c r="V559" s="6"/>
      <c r="W559" s="6"/>
      <c r="X559" s="6"/>
      <c r="Y559" s="6"/>
      <c r="Z559" s="6"/>
    </row>
    <row r="560" spans="1:26" ht="15.75" customHeight="1" x14ac:dyDescent="0.3">
      <c r="A560" s="10" t="s">
        <v>3560</v>
      </c>
      <c r="B560" s="10">
        <v>1989</v>
      </c>
      <c r="C560" s="10" t="s">
        <v>4707</v>
      </c>
      <c r="D560" s="10">
        <v>10</v>
      </c>
      <c r="E560" s="10">
        <v>2</v>
      </c>
      <c r="F560" s="24">
        <v>4890</v>
      </c>
      <c r="G560" s="10" t="s">
        <v>4696</v>
      </c>
      <c r="H560" s="10" t="s">
        <v>4695</v>
      </c>
      <c r="I560" s="10" t="s">
        <v>4708</v>
      </c>
      <c r="J560" s="17">
        <f t="shared" si="4"/>
        <v>32699</v>
      </c>
      <c r="K560" s="10">
        <f t="shared" ca="1" si="5"/>
        <v>36</v>
      </c>
      <c r="L560" s="6"/>
      <c r="M560" s="6"/>
      <c r="N560" s="6"/>
      <c r="O560" s="6"/>
      <c r="P560" s="6"/>
      <c r="Q560" s="6"/>
      <c r="R560" s="6"/>
      <c r="S560" s="6"/>
      <c r="T560" s="6"/>
      <c r="U560" s="6"/>
      <c r="V560" s="6"/>
      <c r="W560" s="6"/>
      <c r="X560" s="6"/>
      <c r="Y560" s="6"/>
      <c r="Z560" s="6"/>
    </row>
    <row r="561" spans="1:26" ht="15.75" customHeight="1" x14ac:dyDescent="0.3">
      <c r="A561" s="10" t="s">
        <v>3558</v>
      </c>
      <c r="B561" s="10">
        <v>1990</v>
      </c>
      <c r="C561" s="10" t="s">
        <v>4709</v>
      </c>
      <c r="D561" s="10">
        <v>28</v>
      </c>
      <c r="E561" s="10">
        <v>3</v>
      </c>
      <c r="F561" s="24">
        <v>4894.3900000000003</v>
      </c>
      <c r="G561" s="10" t="s">
        <v>4695</v>
      </c>
      <c r="H561" s="10" t="s">
        <v>4696</v>
      </c>
      <c r="I561" s="10" t="s">
        <v>4708</v>
      </c>
      <c r="J561" s="17">
        <f t="shared" si="4"/>
        <v>33205</v>
      </c>
      <c r="K561" s="10">
        <f t="shared" ca="1" si="5"/>
        <v>35</v>
      </c>
      <c r="L561" s="6"/>
      <c r="M561" s="6"/>
      <c r="N561" s="6"/>
      <c r="O561" s="6"/>
      <c r="P561" s="6"/>
      <c r="Q561" s="6"/>
      <c r="R561" s="6"/>
      <c r="S561" s="6"/>
      <c r="T561" s="6"/>
      <c r="U561" s="6"/>
      <c r="V561" s="6"/>
      <c r="W561" s="6"/>
      <c r="X561" s="6"/>
      <c r="Y561" s="6"/>
      <c r="Z561" s="6"/>
    </row>
    <row r="562" spans="1:26" ht="15.75" customHeight="1" x14ac:dyDescent="0.3">
      <c r="A562" s="10" t="s">
        <v>3556</v>
      </c>
      <c r="B562" s="10">
        <v>1988</v>
      </c>
      <c r="C562" s="10" t="s">
        <v>4711</v>
      </c>
      <c r="D562" s="10">
        <v>23</v>
      </c>
      <c r="E562" s="10">
        <v>1</v>
      </c>
      <c r="F562" s="24">
        <v>4894.75</v>
      </c>
      <c r="G562" s="10" t="s">
        <v>4696</v>
      </c>
      <c r="H562" s="10" t="s">
        <v>4696</v>
      </c>
      <c r="I562" s="10" t="s">
        <v>4712</v>
      </c>
      <c r="J562" s="17">
        <f t="shared" si="4"/>
        <v>32409</v>
      </c>
      <c r="K562" s="10">
        <f t="shared" ca="1" si="5"/>
        <v>37</v>
      </c>
      <c r="L562" s="6"/>
      <c r="M562" s="6"/>
      <c r="N562" s="6"/>
      <c r="O562" s="6"/>
      <c r="P562" s="6"/>
      <c r="Q562" s="6"/>
      <c r="R562" s="6"/>
      <c r="S562" s="6"/>
      <c r="T562" s="6"/>
      <c r="U562" s="6"/>
      <c r="V562" s="6"/>
      <c r="W562" s="6"/>
      <c r="X562" s="6"/>
      <c r="Y562" s="6"/>
      <c r="Z562" s="6"/>
    </row>
    <row r="563" spans="1:26" ht="15.75" customHeight="1" x14ac:dyDescent="0.3">
      <c r="A563" s="10" t="s">
        <v>3554</v>
      </c>
      <c r="B563" s="10">
        <v>1993</v>
      </c>
      <c r="C563" s="10" t="s">
        <v>4707</v>
      </c>
      <c r="D563" s="10">
        <v>10</v>
      </c>
      <c r="E563" s="10">
        <v>2</v>
      </c>
      <c r="F563" s="24">
        <v>4906.41</v>
      </c>
      <c r="G563" s="10" t="s">
        <v>4695</v>
      </c>
      <c r="H563" s="10" t="s">
        <v>4694</v>
      </c>
      <c r="I563" s="10" t="s">
        <v>4712</v>
      </c>
      <c r="J563" s="17">
        <f t="shared" si="4"/>
        <v>34160</v>
      </c>
      <c r="K563" s="10">
        <f t="shared" ca="1" si="5"/>
        <v>32</v>
      </c>
      <c r="L563" s="6"/>
      <c r="M563" s="6"/>
      <c r="N563" s="6"/>
      <c r="O563" s="6"/>
      <c r="P563" s="6"/>
      <c r="Q563" s="6"/>
      <c r="R563" s="6"/>
      <c r="S563" s="6"/>
      <c r="T563" s="6"/>
      <c r="U563" s="6"/>
      <c r="V563" s="6"/>
      <c r="W563" s="6"/>
      <c r="X563" s="6"/>
      <c r="Y563" s="6"/>
      <c r="Z563" s="6"/>
    </row>
    <row r="564" spans="1:26" ht="15.75" customHeight="1" x14ac:dyDescent="0.3">
      <c r="A564" s="10" t="s">
        <v>3552</v>
      </c>
      <c r="B564" s="10">
        <v>1981</v>
      </c>
      <c r="C564" s="10" t="s">
        <v>4715</v>
      </c>
      <c r="D564" s="10">
        <v>18</v>
      </c>
      <c r="E564" s="10">
        <v>1</v>
      </c>
      <c r="F564" s="24">
        <v>4911.8900000000003</v>
      </c>
      <c r="G564" s="10" t="s">
        <v>4695</v>
      </c>
      <c r="H564" s="10" t="s">
        <v>4696</v>
      </c>
      <c r="I564" s="10" t="s">
        <v>4708</v>
      </c>
      <c r="J564" s="17">
        <f t="shared" si="4"/>
        <v>29877</v>
      </c>
      <c r="K564" s="10">
        <f t="shared" ca="1" si="5"/>
        <v>44</v>
      </c>
      <c r="L564" s="6"/>
      <c r="M564" s="6"/>
      <c r="N564" s="6"/>
      <c r="O564" s="6"/>
      <c r="P564" s="6"/>
      <c r="Q564" s="6"/>
      <c r="R564" s="6"/>
      <c r="S564" s="6"/>
      <c r="T564" s="6"/>
      <c r="U564" s="6"/>
      <c r="V564" s="6"/>
      <c r="W564" s="6"/>
      <c r="X564" s="6"/>
      <c r="Y564" s="6"/>
      <c r="Z564" s="6"/>
    </row>
    <row r="565" spans="1:26" ht="15.75" customHeight="1" x14ac:dyDescent="0.3">
      <c r="A565" s="10" t="s">
        <v>3550</v>
      </c>
      <c r="B565" s="10">
        <v>2002</v>
      </c>
      <c r="C565" s="10" t="s">
        <v>4714</v>
      </c>
      <c r="D565" s="10">
        <v>21</v>
      </c>
      <c r="E565" s="10">
        <v>5</v>
      </c>
      <c r="F565" s="24">
        <v>4915.0600000000004</v>
      </c>
      <c r="G565" s="10" t="s">
        <v>4695</v>
      </c>
      <c r="H565" s="10" t="s">
        <v>4694</v>
      </c>
      <c r="I565" s="10" t="s">
        <v>4727</v>
      </c>
      <c r="J565" s="17">
        <f t="shared" si="4"/>
        <v>37489</v>
      </c>
      <c r="K565" s="10">
        <f t="shared" ca="1" si="5"/>
        <v>23</v>
      </c>
      <c r="L565" s="6"/>
      <c r="M565" s="6"/>
      <c r="N565" s="6"/>
      <c r="O565" s="6"/>
      <c r="P565" s="6"/>
      <c r="Q565" s="6"/>
      <c r="R565" s="6"/>
      <c r="S565" s="6"/>
      <c r="T565" s="6"/>
      <c r="U565" s="6"/>
      <c r="V565" s="6"/>
      <c r="W565" s="6"/>
      <c r="X565" s="6"/>
      <c r="Y565" s="6"/>
      <c r="Z565" s="6"/>
    </row>
    <row r="566" spans="1:26" ht="15.75" customHeight="1" x14ac:dyDescent="0.3">
      <c r="A566" s="10" t="s">
        <v>3548</v>
      </c>
      <c r="B566" s="10">
        <v>1993</v>
      </c>
      <c r="C566" s="10" t="s">
        <v>4714</v>
      </c>
      <c r="D566" s="10">
        <v>10</v>
      </c>
      <c r="E566" s="10">
        <v>2</v>
      </c>
      <c r="F566" s="24">
        <v>4922.92</v>
      </c>
      <c r="G566" s="10" t="s">
        <v>4695</v>
      </c>
      <c r="H566" s="10" t="s">
        <v>4695</v>
      </c>
      <c r="I566" s="10" t="s">
        <v>4712</v>
      </c>
      <c r="J566" s="17">
        <f t="shared" si="4"/>
        <v>34191</v>
      </c>
      <c r="K566" s="10">
        <f t="shared" ca="1" si="5"/>
        <v>32</v>
      </c>
      <c r="L566" s="6"/>
      <c r="M566" s="6"/>
      <c r="N566" s="6"/>
      <c r="O566" s="6"/>
      <c r="P566" s="6"/>
      <c r="Q566" s="6"/>
      <c r="R566" s="6"/>
      <c r="S566" s="6"/>
      <c r="T566" s="6"/>
      <c r="U566" s="6"/>
      <c r="V566" s="6"/>
      <c r="W566" s="6"/>
      <c r="X566" s="6"/>
      <c r="Y566" s="6"/>
      <c r="Z566" s="6"/>
    </row>
    <row r="567" spans="1:26" ht="15.75" customHeight="1" x14ac:dyDescent="0.3">
      <c r="A567" s="10" t="s">
        <v>3546</v>
      </c>
      <c r="B567" s="10">
        <v>1991</v>
      </c>
      <c r="C567" s="10" t="s">
        <v>4714</v>
      </c>
      <c r="D567" s="10">
        <v>23</v>
      </c>
      <c r="E567" s="10">
        <v>2</v>
      </c>
      <c r="F567" s="24">
        <v>4931.6499999999996</v>
      </c>
      <c r="G567" s="10" t="s">
        <v>4695</v>
      </c>
      <c r="H567" s="10" t="s">
        <v>4696</v>
      </c>
      <c r="I567" s="10" t="s">
        <v>4716</v>
      </c>
      <c r="J567" s="17">
        <f t="shared" si="4"/>
        <v>33473</v>
      </c>
      <c r="K567" s="10">
        <f t="shared" ca="1" si="5"/>
        <v>34</v>
      </c>
      <c r="L567" s="6"/>
      <c r="M567" s="6"/>
      <c r="N567" s="6"/>
      <c r="O567" s="6"/>
      <c r="P567" s="6"/>
      <c r="Q567" s="6"/>
      <c r="R567" s="6"/>
      <c r="S567" s="6"/>
      <c r="T567" s="6"/>
      <c r="U567" s="6"/>
      <c r="V567" s="6"/>
      <c r="W567" s="6"/>
      <c r="X567" s="6"/>
      <c r="Y567" s="6"/>
      <c r="Z567" s="6"/>
    </row>
    <row r="568" spans="1:26" ht="15.75" customHeight="1" x14ac:dyDescent="0.3">
      <c r="A568" s="10" t="s">
        <v>3544</v>
      </c>
      <c r="B568" s="10">
        <v>1991</v>
      </c>
      <c r="C568" s="10" t="s">
        <v>4709</v>
      </c>
      <c r="D568" s="10">
        <v>27</v>
      </c>
      <c r="E568" s="10">
        <v>2</v>
      </c>
      <c r="F568" s="24">
        <v>4934.71</v>
      </c>
      <c r="G568" s="10" t="s">
        <v>4695</v>
      </c>
      <c r="H568" s="10" t="s">
        <v>4696</v>
      </c>
      <c r="I568" s="10" t="s">
        <v>4716</v>
      </c>
      <c r="J568" s="17">
        <f t="shared" si="4"/>
        <v>33569</v>
      </c>
      <c r="K568" s="10">
        <f t="shared" ca="1" si="5"/>
        <v>34</v>
      </c>
      <c r="L568" s="6"/>
      <c r="M568" s="6"/>
      <c r="N568" s="6"/>
      <c r="O568" s="6"/>
      <c r="P568" s="6"/>
      <c r="Q568" s="6"/>
      <c r="R568" s="6"/>
      <c r="S568" s="6"/>
      <c r="T568" s="6"/>
      <c r="U568" s="6"/>
      <c r="V568" s="6"/>
      <c r="W568" s="6"/>
      <c r="X568" s="6"/>
      <c r="Y568" s="6"/>
      <c r="Z568" s="6"/>
    </row>
    <row r="569" spans="1:26" ht="15.75" customHeight="1" x14ac:dyDescent="0.3">
      <c r="A569" s="10" t="s">
        <v>3542</v>
      </c>
      <c r="B569" s="10">
        <v>1974</v>
      </c>
      <c r="C569" s="10" t="s">
        <v>4710</v>
      </c>
      <c r="D569" s="10">
        <v>26</v>
      </c>
      <c r="E569" s="10">
        <v>0</v>
      </c>
      <c r="F569" s="24">
        <v>4942.0600000000004</v>
      </c>
      <c r="G569" s="10" t="s">
        <v>4695</v>
      </c>
      <c r="H569" s="10" t="s">
        <v>4695</v>
      </c>
      <c r="I569" s="10" t="s">
        <v>4708</v>
      </c>
      <c r="J569" s="17">
        <f t="shared" si="4"/>
        <v>27206</v>
      </c>
      <c r="K569" s="10">
        <f t="shared" ca="1" si="5"/>
        <v>51</v>
      </c>
      <c r="L569" s="6"/>
      <c r="M569" s="6"/>
      <c r="N569" s="6"/>
      <c r="O569" s="6"/>
      <c r="P569" s="6"/>
      <c r="Q569" s="6"/>
      <c r="R569" s="6"/>
      <c r="S569" s="6"/>
      <c r="T569" s="6"/>
      <c r="U569" s="6"/>
      <c r="V569" s="6"/>
      <c r="W569" s="6"/>
      <c r="X569" s="6"/>
      <c r="Y569" s="6"/>
      <c r="Z569" s="6"/>
    </row>
    <row r="570" spans="1:26" ht="15.75" customHeight="1" x14ac:dyDescent="0.3">
      <c r="A570" s="10" t="s">
        <v>3540</v>
      </c>
      <c r="B570" s="10">
        <v>1991</v>
      </c>
      <c r="C570" s="10" t="s">
        <v>4714</v>
      </c>
      <c r="D570" s="10">
        <v>30</v>
      </c>
      <c r="E570" s="10">
        <v>2</v>
      </c>
      <c r="F570" s="24">
        <v>4949.76</v>
      </c>
      <c r="G570" s="10" t="s">
        <v>4695</v>
      </c>
      <c r="H570" s="10" t="s">
        <v>4694</v>
      </c>
      <c r="I570" s="10" t="s">
        <v>4708</v>
      </c>
      <c r="J570" s="17">
        <f t="shared" si="4"/>
        <v>33480</v>
      </c>
      <c r="K570" s="10">
        <f t="shared" ca="1" si="5"/>
        <v>34</v>
      </c>
      <c r="L570" s="6"/>
      <c r="M570" s="6"/>
      <c r="N570" s="6"/>
      <c r="O570" s="6"/>
      <c r="P570" s="6"/>
      <c r="Q570" s="6"/>
      <c r="R570" s="6"/>
      <c r="S570" s="6"/>
      <c r="T570" s="6"/>
      <c r="U570" s="6"/>
      <c r="V570" s="6"/>
      <c r="W570" s="6"/>
      <c r="X570" s="6"/>
      <c r="Y570" s="6"/>
      <c r="Z570" s="6"/>
    </row>
    <row r="571" spans="1:26" ht="15.75" customHeight="1" x14ac:dyDescent="0.3">
      <c r="A571" s="10" t="s">
        <v>3538</v>
      </c>
      <c r="B571" s="10">
        <v>1973</v>
      </c>
      <c r="C571" s="10" t="s">
        <v>4709</v>
      </c>
      <c r="D571" s="10">
        <v>7</v>
      </c>
      <c r="E571" s="10">
        <v>0</v>
      </c>
      <c r="F571" s="24">
        <v>4985.22</v>
      </c>
      <c r="G571" s="10" t="s">
        <v>4695</v>
      </c>
      <c r="H571" s="10" t="s">
        <v>4696</v>
      </c>
      <c r="I571" s="10" t="s">
        <v>4708</v>
      </c>
      <c r="J571" s="17">
        <f t="shared" si="4"/>
        <v>26975</v>
      </c>
      <c r="K571" s="10">
        <f t="shared" ca="1" si="5"/>
        <v>52</v>
      </c>
      <c r="L571" s="6"/>
      <c r="M571" s="6"/>
      <c r="N571" s="6"/>
      <c r="O571" s="6"/>
      <c r="P571" s="6"/>
      <c r="Q571" s="6"/>
      <c r="R571" s="6"/>
      <c r="S571" s="6"/>
      <c r="T571" s="6"/>
      <c r="U571" s="6"/>
      <c r="V571" s="6"/>
      <c r="W571" s="6"/>
      <c r="X571" s="6"/>
      <c r="Y571" s="6"/>
      <c r="Z571" s="6"/>
    </row>
    <row r="572" spans="1:26" ht="15.75" customHeight="1" x14ac:dyDescent="0.3">
      <c r="A572" s="10" t="s">
        <v>3536</v>
      </c>
      <c r="B572" s="10">
        <v>1988</v>
      </c>
      <c r="C572" s="10" t="s">
        <v>4710</v>
      </c>
      <c r="D572" s="10">
        <v>24</v>
      </c>
      <c r="E572" s="10">
        <v>0</v>
      </c>
      <c r="F572" s="24">
        <v>4992.38</v>
      </c>
      <c r="G572" s="10" t="s">
        <v>4695</v>
      </c>
      <c r="H572" s="10" t="s">
        <v>4696</v>
      </c>
      <c r="I572" s="10" t="s">
        <v>4723</v>
      </c>
      <c r="J572" s="17">
        <f t="shared" si="4"/>
        <v>32318</v>
      </c>
      <c r="K572" s="10">
        <f t="shared" ca="1" si="5"/>
        <v>37</v>
      </c>
      <c r="L572" s="6"/>
      <c r="M572" s="6"/>
      <c r="N572" s="6"/>
      <c r="O572" s="6"/>
      <c r="P572" s="6"/>
      <c r="Q572" s="6"/>
      <c r="R572" s="6"/>
      <c r="S572" s="6"/>
      <c r="T572" s="6"/>
      <c r="U572" s="6"/>
      <c r="V572" s="6"/>
      <c r="W572" s="6"/>
      <c r="X572" s="6"/>
      <c r="Y572" s="6"/>
      <c r="Z572" s="6"/>
    </row>
    <row r="573" spans="1:26" ht="15.75" customHeight="1" x14ac:dyDescent="0.3">
      <c r="A573" s="10" t="s">
        <v>3534</v>
      </c>
      <c r="B573" s="10">
        <v>2001</v>
      </c>
      <c r="C573" s="10" t="s">
        <v>4715</v>
      </c>
      <c r="D573" s="10">
        <v>5</v>
      </c>
      <c r="E573" s="10">
        <v>0</v>
      </c>
      <c r="F573" s="24">
        <v>4999.04</v>
      </c>
      <c r="G573" s="10" t="s">
        <v>4695</v>
      </c>
      <c r="H573" s="10" t="s">
        <v>4695</v>
      </c>
      <c r="I573" s="10" t="s">
        <v>4716</v>
      </c>
      <c r="J573" s="17">
        <f t="shared" si="4"/>
        <v>37169</v>
      </c>
      <c r="K573" s="10">
        <f t="shared" ca="1" si="5"/>
        <v>24</v>
      </c>
      <c r="L573" s="6"/>
      <c r="M573" s="6"/>
      <c r="N573" s="6"/>
      <c r="O573" s="6"/>
      <c r="P573" s="6"/>
      <c r="Q573" s="6"/>
      <c r="R573" s="6"/>
      <c r="S573" s="6"/>
      <c r="T573" s="6"/>
      <c r="U573" s="6"/>
      <c r="V573" s="6"/>
      <c r="W573" s="6"/>
      <c r="X573" s="6"/>
      <c r="Y573" s="6"/>
      <c r="Z573" s="6"/>
    </row>
    <row r="574" spans="1:26" ht="15.75" customHeight="1" x14ac:dyDescent="0.3">
      <c r="A574" s="10" t="s">
        <v>3532</v>
      </c>
      <c r="B574" s="10">
        <v>1988</v>
      </c>
      <c r="C574" s="10" t="s">
        <v>4711</v>
      </c>
      <c r="D574" s="10">
        <v>4</v>
      </c>
      <c r="E574" s="10">
        <v>1</v>
      </c>
      <c r="F574" s="24">
        <v>5002.78</v>
      </c>
      <c r="G574" s="10" t="s">
        <v>4695</v>
      </c>
      <c r="H574" s="10" t="s">
        <v>4695</v>
      </c>
      <c r="I574" s="10" t="s">
        <v>4708</v>
      </c>
      <c r="J574" s="17">
        <f t="shared" si="4"/>
        <v>32390</v>
      </c>
      <c r="K574" s="10">
        <f t="shared" ca="1" si="5"/>
        <v>37</v>
      </c>
      <c r="L574" s="6"/>
      <c r="M574" s="6"/>
      <c r="N574" s="6"/>
      <c r="O574" s="6"/>
      <c r="P574" s="6"/>
      <c r="Q574" s="6"/>
      <c r="R574" s="6"/>
      <c r="S574" s="6"/>
      <c r="T574" s="6"/>
      <c r="U574" s="6"/>
      <c r="V574" s="6"/>
      <c r="W574" s="6"/>
      <c r="X574" s="6"/>
      <c r="Y574" s="6"/>
      <c r="Z574" s="6"/>
    </row>
    <row r="575" spans="1:26" ht="15.75" customHeight="1" x14ac:dyDescent="0.3">
      <c r="A575" s="10" t="s">
        <v>3530</v>
      </c>
      <c r="B575" s="10">
        <v>1977</v>
      </c>
      <c r="C575" s="10" t="s">
        <v>4710</v>
      </c>
      <c r="D575" s="10">
        <v>9</v>
      </c>
      <c r="E575" s="10">
        <v>2</v>
      </c>
      <c r="F575" s="24">
        <v>5003.7700000000004</v>
      </c>
      <c r="G575" s="10" t="s">
        <v>4695</v>
      </c>
      <c r="H575" s="10" t="s">
        <v>4696</v>
      </c>
      <c r="I575" s="10" t="s">
        <v>4708</v>
      </c>
      <c r="J575" s="17">
        <f t="shared" si="4"/>
        <v>28285</v>
      </c>
      <c r="K575" s="10">
        <f t="shared" ca="1" si="5"/>
        <v>48</v>
      </c>
      <c r="L575" s="6"/>
      <c r="M575" s="6"/>
      <c r="N575" s="6"/>
      <c r="O575" s="6"/>
      <c r="P575" s="6"/>
      <c r="Q575" s="6"/>
      <c r="R575" s="6"/>
      <c r="S575" s="6"/>
      <c r="T575" s="6"/>
      <c r="U575" s="6"/>
      <c r="V575" s="6"/>
      <c r="W575" s="6"/>
      <c r="X575" s="6"/>
      <c r="Y575" s="6"/>
      <c r="Z575" s="6"/>
    </row>
    <row r="576" spans="1:26" ht="15.75" customHeight="1" x14ac:dyDescent="0.3">
      <c r="A576" s="10" t="s">
        <v>3528</v>
      </c>
      <c r="B576" s="10">
        <v>1988</v>
      </c>
      <c r="C576" s="10" t="s">
        <v>4707</v>
      </c>
      <c r="D576" s="10">
        <v>8</v>
      </c>
      <c r="E576" s="10">
        <v>1</v>
      </c>
      <c r="F576" s="24">
        <v>5003.8500000000004</v>
      </c>
      <c r="G576" s="10" t="s">
        <v>4695</v>
      </c>
      <c r="H576" s="10" t="s">
        <v>4696</v>
      </c>
      <c r="I576" s="10" t="s">
        <v>4716</v>
      </c>
      <c r="J576" s="17">
        <f t="shared" si="4"/>
        <v>32332</v>
      </c>
      <c r="K576" s="10">
        <f t="shared" ca="1" si="5"/>
        <v>37</v>
      </c>
      <c r="L576" s="6"/>
      <c r="M576" s="6"/>
      <c r="N576" s="6"/>
      <c r="O576" s="6"/>
      <c r="P576" s="6"/>
      <c r="Q576" s="6"/>
      <c r="R576" s="6"/>
      <c r="S576" s="6"/>
      <c r="T576" s="6"/>
      <c r="U576" s="6"/>
      <c r="V576" s="6"/>
      <c r="W576" s="6"/>
      <c r="X576" s="6"/>
      <c r="Y576" s="6"/>
      <c r="Z576" s="6"/>
    </row>
    <row r="577" spans="1:26" ht="15.75" customHeight="1" x14ac:dyDescent="0.3">
      <c r="A577" s="10" t="s">
        <v>3526</v>
      </c>
      <c r="B577" s="10">
        <v>1988</v>
      </c>
      <c r="C577" s="10" t="s">
        <v>4709</v>
      </c>
      <c r="D577" s="10">
        <v>9</v>
      </c>
      <c r="E577" s="10">
        <v>1</v>
      </c>
      <c r="F577" s="24">
        <v>5012.47</v>
      </c>
      <c r="G577" s="10" t="s">
        <v>4695</v>
      </c>
      <c r="H577" s="10" t="s">
        <v>4696</v>
      </c>
      <c r="I577" s="10" t="s">
        <v>4716</v>
      </c>
      <c r="J577" s="17">
        <f t="shared" si="4"/>
        <v>32456</v>
      </c>
      <c r="K577" s="10">
        <f t="shared" ca="1" si="5"/>
        <v>37</v>
      </c>
      <c r="L577" s="6"/>
      <c r="M577" s="6"/>
      <c r="N577" s="6"/>
      <c r="O577" s="6"/>
      <c r="P577" s="6"/>
      <c r="Q577" s="6"/>
      <c r="R577" s="6"/>
      <c r="S577" s="6"/>
      <c r="T577" s="6"/>
      <c r="U577" s="6"/>
      <c r="V577" s="6"/>
      <c r="W577" s="6"/>
      <c r="X577" s="6"/>
      <c r="Y577" s="6"/>
      <c r="Z577" s="6"/>
    </row>
    <row r="578" spans="1:26" ht="15.75" customHeight="1" x14ac:dyDescent="0.3">
      <c r="A578" s="10" t="s">
        <v>3524</v>
      </c>
      <c r="B578" s="10">
        <v>1985</v>
      </c>
      <c r="C578" s="10" t="s">
        <v>4713</v>
      </c>
      <c r="D578" s="10">
        <v>28</v>
      </c>
      <c r="E578" s="10">
        <v>0</v>
      </c>
      <c r="F578" s="24">
        <v>5028.1499999999996</v>
      </c>
      <c r="G578" s="10" t="s">
        <v>4694</v>
      </c>
      <c r="H578" s="10" t="s">
        <v>4695</v>
      </c>
      <c r="I578" s="10" t="s">
        <v>4712</v>
      </c>
      <c r="J578" s="17">
        <f t="shared" si="4"/>
        <v>31409</v>
      </c>
      <c r="K578" s="10">
        <f t="shared" ca="1" si="5"/>
        <v>39</v>
      </c>
      <c r="L578" s="6"/>
      <c r="M578" s="6"/>
      <c r="N578" s="6"/>
      <c r="O578" s="6"/>
      <c r="P578" s="6"/>
      <c r="Q578" s="6"/>
      <c r="R578" s="6"/>
      <c r="S578" s="6"/>
      <c r="T578" s="6"/>
      <c r="U578" s="6"/>
      <c r="V578" s="6"/>
      <c r="W578" s="6"/>
      <c r="X578" s="6"/>
      <c r="Y578" s="6"/>
      <c r="Z578" s="6"/>
    </row>
    <row r="579" spans="1:26" ht="15.75" customHeight="1" x14ac:dyDescent="0.3">
      <c r="A579" s="10" t="s">
        <v>3522</v>
      </c>
      <c r="B579" s="10">
        <v>1991</v>
      </c>
      <c r="C579" s="10" t="s">
        <v>4711</v>
      </c>
      <c r="D579" s="10">
        <v>10</v>
      </c>
      <c r="E579" s="10">
        <v>2</v>
      </c>
      <c r="F579" s="24">
        <v>5031.2700000000004</v>
      </c>
      <c r="G579" s="10" t="s">
        <v>4696</v>
      </c>
      <c r="H579" s="10" t="s">
        <v>4694</v>
      </c>
      <c r="I579" s="10" t="s">
        <v>4720</v>
      </c>
      <c r="J579" s="17">
        <f t="shared" si="4"/>
        <v>33491</v>
      </c>
      <c r="K579" s="10">
        <f t="shared" ca="1" si="5"/>
        <v>34</v>
      </c>
      <c r="L579" s="6"/>
      <c r="M579" s="6"/>
      <c r="N579" s="6"/>
      <c r="O579" s="6"/>
      <c r="P579" s="6"/>
      <c r="Q579" s="6"/>
      <c r="R579" s="6"/>
      <c r="S579" s="6"/>
      <c r="T579" s="6"/>
      <c r="U579" s="6"/>
      <c r="V579" s="6"/>
      <c r="W579" s="6"/>
      <c r="X579" s="6"/>
      <c r="Y579" s="6"/>
      <c r="Z579" s="6"/>
    </row>
    <row r="580" spans="1:26" ht="15.75" customHeight="1" x14ac:dyDescent="0.3">
      <c r="A580" s="10" t="s">
        <v>3520</v>
      </c>
      <c r="B580" s="10">
        <v>1986</v>
      </c>
      <c r="C580" s="10" t="s">
        <v>4710</v>
      </c>
      <c r="D580" s="10">
        <v>29</v>
      </c>
      <c r="E580" s="10">
        <v>3</v>
      </c>
      <c r="F580" s="24">
        <v>5034.1000000000004</v>
      </c>
      <c r="G580" s="10" t="s">
        <v>4695</v>
      </c>
      <c r="H580" s="10" t="s">
        <v>4695</v>
      </c>
      <c r="I580" s="10" t="s">
        <v>4708</v>
      </c>
      <c r="J580" s="17">
        <f t="shared" si="4"/>
        <v>31592</v>
      </c>
      <c r="K580" s="10">
        <f t="shared" ca="1" si="5"/>
        <v>39</v>
      </c>
      <c r="L580" s="6"/>
      <c r="M580" s="6"/>
      <c r="N580" s="6"/>
      <c r="O580" s="6"/>
      <c r="P580" s="6"/>
      <c r="Q580" s="6"/>
      <c r="R580" s="6"/>
      <c r="S580" s="6"/>
      <c r="T580" s="6"/>
      <c r="U580" s="6"/>
      <c r="V580" s="6"/>
      <c r="W580" s="6"/>
      <c r="X580" s="6"/>
      <c r="Y580" s="6"/>
      <c r="Z580" s="6"/>
    </row>
    <row r="581" spans="1:26" ht="15.75" customHeight="1" x14ac:dyDescent="0.3">
      <c r="A581" s="10" t="s">
        <v>3518</v>
      </c>
      <c r="B581" s="10">
        <v>1997</v>
      </c>
      <c r="C581" s="10" t="s">
        <v>4713</v>
      </c>
      <c r="D581" s="10">
        <v>4</v>
      </c>
      <c r="E581" s="10">
        <v>0</v>
      </c>
      <c r="F581" s="24">
        <v>5038.57</v>
      </c>
      <c r="G581" s="10" t="s">
        <v>4695</v>
      </c>
      <c r="H581" s="10" t="s">
        <v>4695</v>
      </c>
      <c r="I581" s="10" t="s">
        <v>4722</v>
      </c>
      <c r="J581" s="17">
        <f t="shared" si="4"/>
        <v>35768</v>
      </c>
      <c r="K581" s="10">
        <f t="shared" ca="1" si="5"/>
        <v>27</v>
      </c>
      <c r="L581" s="6"/>
      <c r="M581" s="6"/>
      <c r="N581" s="6"/>
      <c r="O581" s="6"/>
      <c r="P581" s="6"/>
      <c r="Q581" s="6"/>
      <c r="R581" s="6"/>
      <c r="S581" s="6"/>
      <c r="T581" s="6"/>
      <c r="U581" s="6"/>
      <c r="V581" s="6"/>
      <c r="W581" s="6"/>
      <c r="X581" s="6"/>
      <c r="Y581" s="6"/>
      <c r="Z581" s="6"/>
    </row>
    <row r="582" spans="1:26" ht="15.75" customHeight="1" x14ac:dyDescent="0.3">
      <c r="A582" s="10" t="s">
        <v>3516</v>
      </c>
      <c r="B582" s="10">
        <v>2001</v>
      </c>
      <c r="C582" s="10" t="s">
        <v>4715</v>
      </c>
      <c r="D582" s="10">
        <v>16</v>
      </c>
      <c r="E582" s="10">
        <v>0</v>
      </c>
      <c r="F582" s="24">
        <v>5043.13</v>
      </c>
      <c r="G582" s="10" t="s">
        <v>4695</v>
      </c>
      <c r="H582" s="10" t="s">
        <v>4696</v>
      </c>
      <c r="I582" s="10" t="s">
        <v>4716</v>
      </c>
      <c r="J582" s="17">
        <f t="shared" si="4"/>
        <v>37180</v>
      </c>
      <c r="K582" s="10">
        <f t="shared" ca="1" si="5"/>
        <v>24</v>
      </c>
      <c r="L582" s="6"/>
      <c r="M582" s="6"/>
      <c r="N582" s="6"/>
      <c r="O582" s="6"/>
      <c r="P582" s="6"/>
      <c r="Q582" s="6"/>
      <c r="R582" s="6"/>
      <c r="S582" s="6"/>
      <c r="T582" s="6"/>
      <c r="U582" s="6"/>
      <c r="V582" s="6"/>
      <c r="W582" s="6"/>
      <c r="X582" s="6"/>
      <c r="Y582" s="6"/>
      <c r="Z582" s="6"/>
    </row>
    <row r="583" spans="1:26" ht="15.75" customHeight="1" x14ac:dyDescent="0.3">
      <c r="A583" s="10" t="s">
        <v>3514</v>
      </c>
      <c r="B583" s="10">
        <v>1997</v>
      </c>
      <c r="C583" s="10" t="s">
        <v>4707</v>
      </c>
      <c r="D583" s="10">
        <v>29</v>
      </c>
      <c r="E583" s="10">
        <v>0</v>
      </c>
      <c r="F583" s="24">
        <v>5045.1499999999996</v>
      </c>
      <c r="G583" s="10" t="s">
        <v>4695</v>
      </c>
      <c r="H583" s="10" t="s">
        <v>4695</v>
      </c>
      <c r="I583" s="10" t="s">
        <v>4712</v>
      </c>
      <c r="J583" s="17">
        <f t="shared" si="4"/>
        <v>35640</v>
      </c>
      <c r="K583" s="10">
        <f t="shared" ca="1" si="5"/>
        <v>28</v>
      </c>
      <c r="L583" s="6"/>
      <c r="M583" s="6"/>
      <c r="N583" s="6"/>
      <c r="O583" s="6"/>
      <c r="P583" s="6"/>
      <c r="Q583" s="6"/>
      <c r="R583" s="6"/>
      <c r="S583" s="6"/>
      <c r="T583" s="6"/>
      <c r="U583" s="6"/>
      <c r="V583" s="6"/>
      <c r="W583" s="6"/>
      <c r="X583" s="6"/>
      <c r="Y583" s="6"/>
      <c r="Z583" s="6"/>
    </row>
    <row r="584" spans="1:26" ht="15.75" customHeight="1" x14ac:dyDescent="0.3">
      <c r="A584" s="10" t="s">
        <v>3512</v>
      </c>
      <c r="B584" s="10">
        <v>1980</v>
      </c>
      <c r="C584" s="10" t="s">
        <v>4711</v>
      </c>
      <c r="D584" s="10">
        <v>7</v>
      </c>
      <c r="E584" s="10">
        <v>2</v>
      </c>
      <c r="F584" s="24">
        <v>5054.05</v>
      </c>
      <c r="G584" s="10" t="s">
        <v>4695</v>
      </c>
      <c r="H584" s="10" t="s">
        <v>4695</v>
      </c>
      <c r="I584" s="10" t="s">
        <v>4708</v>
      </c>
      <c r="J584" s="17">
        <f t="shared" si="4"/>
        <v>29471</v>
      </c>
      <c r="K584" s="10">
        <f t="shared" ca="1" si="5"/>
        <v>45</v>
      </c>
      <c r="L584" s="6"/>
      <c r="M584" s="6"/>
      <c r="N584" s="6"/>
      <c r="O584" s="6"/>
      <c r="P584" s="6"/>
      <c r="Q584" s="6"/>
      <c r="R584" s="6"/>
      <c r="S584" s="6"/>
      <c r="T584" s="6"/>
      <c r="U584" s="6"/>
      <c r="V584" s="6"/>
      <c r="W584" s="6"/>
      <c r="X584" s="6"/>
      <c r="Y584" s="6"/>
      <c r="Z584" s="6"/>
    </row>
    <row r="585" spans="1:26" ht="15.75" customHeight="1" x14ac:dyDescent="0.3">
      <c r="A585" s="10" t="s">
        <v>3510</v>
      </c>
      <c r="B585" s="10">
        <v>1993</v>
      </c>
      <c r="C585" s="10" t="s">
        <v>4710</v>
      </c>
      <c r="D585" s="10">
        <v>11</v>
      </c>
      <c r="E585" s="10">
        <v>0</v>
      </c>
      <c r="F585" s="24">
        <v>5059.5600000000004</v>
      </c>
      <c r="G585" s="10" t="s">
        <v>4695</v>
      </c>
      <c r="H585" s="10" t="s">
        <v>4694</v>
      </c>
      <c r="I585" s="10" t="s">
        <v>4726</v>
      </c>
      <c r="J585" s="17">
        <f t="shared" si="4"/>
        <v>34131</v>
      </c>
      <c r="K585" s="10">
        <f t="shared" ca="1" si="5"/>
        <v>32</v>
      </c>
      <c r="L585" s="6"/>
      <c r="M585" s="6"/>
      <c r="N585" s="6"/>
      <c r="O585" s="6"/>
      <c r="P585" s="6"/>
      <c r="Q585" s="6"/>
      <c r="R585" s="6"/>
      <c r="S585" s="6"/>
      <c r="T585" s="6"/>
      <c r="U585" s="6"/>
      <c r="V585" s="6"/>
      <c r="W585" s="6"/>
      <c r="X585" s="6"/>
      <c r="Y585" s="6"/>
      <c r="Z585" s="6"/>
    </row>
    <row r="586" spans="1:26" ht="15.75" customHeight="1" x14ac:dyDescent="0.3">
      <c r="A586" s="10" t="s">
        <v>3508</v>
      </c>
      <c r="B586" s="10">
        <v>1978</v>
      </c>
      <c r="C586" s="10" t="s">
        <v>4709</v>
      </c>
      <c r="D586" s="10">
        <v>22</v>
      </c>
      <c r="E586" s="10">
        <v>2</v>
      </c>
      <c r="F586" s="24">
        <v>5077.1899999999996</v>
      </c>
      <c r="G586" s="10" t="s">
        <v>4695</v>
      </c>
      <c r="H586" s="10" t="s">
        <v>4696</v>
      </c>
      <c r="I586" s="10" t="s">
        <v>4712</v>
      </c>
      <c r="J586" s="17">
        <f t="shared" si="4"/>
        <v>28816</v>
      </c>
      <c r="K586" s="10">
        <f t="shared" ca="1" si="5"/>
        <v>47</v>
      </c>
      <c r="L586" s="6"/>
      <c r="M586" s="6"/>
      <c r="N586" s="6"/>
      <c r="O586" s="6"/>
      <c r="P586" s="6"/>
      <c r="Q586" s="6"/>
      <c r="R586" s="6"/>
      <c r="S586" s="6"/>
      <c r="T586" s="6"/>
      <c r="U586" s="6"/>
      <c r="V586" s="6"/>
      <c r="W586" s="6"/>
      <c r="X586" s="6"/>
      <c r="Y586" s="6"/>
      <c r="Z586" s="6"/>
    </row>
    <row r="587" spans="1:26" ht="15.75" customHeight="1" x14ac:dyDescent="0.3">
      <c r="A587" s="10" t="s">
        <v>3506</v>
      </c>
      <c r="B587" s="10">
        <v>1997</v>
      </c>
      <c r="C587" s="10" t="s">
        <v>4707</v>
      </c>
      <c r="D587" s="10">
        <v>14</v>
      </c>
      <c r="E587" s="10">
        <v>5</v>
      </c>
      <c r="F587" s="24">
        <v>5080.1000000000004</v>
      </c>
      <c r="G587" s="10" t="s">
        <v>4696</v>
      </c>
      <c r="H587" s="10" t="s">
        <v>4695</v>
      </c>
      <c r="I587" s="10" t="s">
        <v>4716</v>
      </c>
      <c r="J587" s="17">
        <f t="shared" si="4"/>
        <v>35625</v>
      </c>
      <c r="K587" s="10">
        <f t="shared" ca="1" si="5"/>
        <v>28</v>
      </c>
      <c r="L587" s="6"/>
      <c r="M587" s="6"/>
      <c r="N587" s="6"/>
      <c r="O587" s="6"/>
      <c r="P587" s="6"/>
      <c r="Q587" s="6"/>
      <c r="R587" s="6"/>
      <c r="S587" s="6"/>
      <c r="T587" s="6"/>
      <c r="U587" s="6"/>
      <c r="V587" s="6"/>
      <c r="W587" s="6"/>
      <c r="X587" s="6"/>
      <c r="Y587" s="6"/>
      <c r="Z587" s="6"/>
    </row>
    <row r="588" spans="1:26" ht="15.75" customHeight="1" x14ac:dyDescent="0.3">
      <c r="A588" s="10" t="s">
        <v>3504</v>
      </c>
      <c r="B588" s="10">
        <v>1999</v>
      </c>
      <c r="C588" s="10" t="s">
        <v>4710</v>
      </c>
      <c r="D588" s="10">
        <v>19</v>
      </c>
      <c r="E588" s="10">
        <v>0</v>
      </c>
      <c r="F588" s="24">
        <v>5087.92</v>
      </c>
      <c r="G588" s="10" t="s">
        <v>4695</v>
      </c>
      <c r="H588" s="10" t="s">
        <v>4695</v>
      </c>
      <c r="I588" s="10" t="s">
        <v>4729</v>
      </c>
      <c r="J588" s="17">
        <f t="shared" si="4"/>
        <v>36330</v>
      </c>
      <c r="K588" s="10">
        <f t="shared" ca="1" si="5"/>
        <v>26</v>
      </c>
      <c r="L588" s="6"/>
      <c r="M588" s="6"/>
      <c r="N588" s="6"/>
      <c r="O588" s="6"/>
      <c r="P588" s="6"/>
      <c r="Q588" s="6"/>
      <c r="R588" s="6"/>
      <c r="S588" s="6"/>
      <c r="T588" s="6"/>
      <c r="U588" s="6"/>
      <c r="V588" s="6"/>
      <c r="W588" s="6"/>
      <c r="X588" s="6"/>
      <c r="Y588" s="6"/>
      <c r="Z588" s="6"/>
    </row>
    <row r="589" spans="1:26" ht="15.75" customHeight="1" x14ac:dyDescent="0.3">
      <c r="A589" s="10" t="s">
        <v>3502</v>
      </c>
      <c r="B589" s="10">
        <v>1987</v>
      </c>
      <c r="C589" s="10" t="s">
        <v>4709</v>
      </c>
      <c r="D589" s="10">
        <v>18</v>
      </c>
      <c r="E589" s="10">
        <v>1</v>
      </c>
      <c r="F589" s="24">
        <v>5116.5</v>
      </c>
      <c r="G589" s="10" t="s">
        <v>4695</v>
      </c>
      <c r="H589" s="10" t="s">
        <v>4695</v>
      </c>
      <c r="I589" s="10" t="s">
        <v>4712</v>
      </c>
      <c r="J589" s="17">
        <f t="shared" si="4"/>
        <v>32099</v>
      </c>
      <c r="K589" s="10">
        <f t="shared" ca="1" si="5"/>
        <v>38</v>
      </c>
      <c r="L589" s="6"/>
      <c r="M589" s="6"/>
      <c r="N589" s="6"/>
      <c r="O589" s="6"/>
      <c r="P589" s="6"/>
      <c r="Q589" s="6"/>
      <c r="R589" s="6"/>
      <c r="S589" s="6"/>
      <c r="T589" s="6"/>
      <c r="U589" s="6"/>
      <c r="V589" s="6"/>
      <c r="W589" s="6"/>
      <c r="X589" s="6"/>
      <c r="Y589" s="6"/>
      <c r="Z589" s="6"/>
    </row>
    <row r="590" spans="1:26" ht="15.75" customHeight="1" x14ac:dyDescent="0.3">
      <c r="A590" s="10" t="s">
        <v>3500</v>
      </c>
      <c r="B590" s="10">
        <v>1988</v>
      </c>
      <c r="C590" s="10" t="s">
        <v>4709</v>
      </c>
      <c r="D590" s="10">
        <v>1</v>
      </c>
      <c r="E590" s="10">
        <v>2</v>
      </c>
      <c r="F590" s="24">
        <v>5124.1899999999996</v>
      </c>
      <c r="G590" s="10" t="s">
        <v>4695</v>
      </c>
      <c r="H590" s="10" t="s">
        <v>4696</v>
      </c>
      <c r="I590" s="10" t="s">
        <v>4708</v>
      </c>
      <c r="J590" s="17">
        <f t="shared" si="4"/>
        <v>32448</v>
      </c>
      <c r="K590" s="10">
        <f t="shared" ca="1" si="5"/>
        <v>37</v>
      </c>
      <c r="L590" s="6"/>
      <c r="M590" s="6"/>
      <c r="N590" s="6"/>
      <c r="O590" s="6"/>
      <c r="P590" s="6"/>
      <c r="Q590" s="6"/>
      <c r="R590" s="6"/>
      <c r="S590" s="6"/>
      <c r="T590" s="6"/>
      <c r="U590" s="6"/>
      <c r="V590" s="6"/>
      <c r="W590" s="6"/>
      <c r="X590" s="6"/>
      <c r="Y590" s="6"/>
      <c r="Z590" s="6"/>
    </row>
    <row r="591" spans="1:26" ht="15.75" customHeight="1" x14ac:dyDescent="0.3">
      <c r="A591" s="10" t="s">
        <v>3498</v>
      </c>
      <c r="B591" s="10">
        <v>1987</v>
      </c>
      <c r="C591" s="10" t="s">
        <v>4711</v>
      </c>
      <c r="D591" s="10">
        <v>13</v>
      </c>
      <c r="E591" s="10">
        <v>1</v>
      </c>
      <c r="F591" s="24">
        <v>5125.22</v>
      </c>
      <c r="G591" s="10" t="s">
        <v>4694</v>
      </c>
      <c r="H591" s="10" t="s">
        <v>4695</v>
      </c>
      <c r="I591" s="10" t="s">
        <v>4712</v>
      </c>
      <c r="J591" s="17">
        <f t="shared" si="4"/>
        <v>32033</v>
      </c>
      <c r="K591" s="10">
        <f t="shared" ca="1" si="5"/>
        <v>38</v>
      </c>
      <c r="L591" s="6"/>
      <c r="M591" s="6"/>
      <c r="N591" s="6"/>
      <c r="O591" s="6"/>
      <c r="P591" s="6"/>
      <c r="Q591" s="6"/>
      <c r="R591" s="6"/>
      <c r="S591" s="6"/>
      <c r="T591" s="6"/>
      <c r="U591" s="6"/>
      <c r="V591" s="6"/>
      <c r="W591" s="6"/>
      <c r="X591" s="6"/>
      <c r="Y591" s="6"/>
      <c r="Z591" s="6"/>
    </row>
    <row r="592" spans="1:26" ht="15.75" customHeight="1" x14ac:dyDescent="0.3">
      <c r="A592" s="10" t="s">
        <v>3496</v>
      </c>
      <c r="B592" s="10">
        <v>1988</v>
      </c>
      <c r="C592" s="10" t="s">
        <v>4711</v>
      </c>
      <c r="D592" s="10">
        <v>15</v>
      </c>
      <c r="E592" s="10">
        <v>3</v>
      </c>
      <c r="F592" s="24">
        <v>5136.75</v>
      </c>
      <c r="G592" s="10" t="s">
        <v>4695</v>
      </c>
      <c r="H592" s="10" t="s">
        <v>4694</v>
      </c>
      <c r="I592" s="10" t="s">
        <v>4708</v>
      </c>
      <c r="J592" s="17">
        <f t="shared" si="4"/>
        <v>32401</v>
      </c>
      <c r="K592" s="10">
        <f t="shared" ca="1" si="5"/>
        <v>37</v>
      </c>
      <c r="L592" s="6"/>
      <c r="M592" s="6"/>
      <c r="N592" s="6"/>
      <c r="O592" s="6"/>
      <c r="P592" s="6"/>
      <c r="Q592" s="6"/>
      <c r="R592" s="6"/>
      <c r="S592" s="6"/>
      <c r="T592" s="6"/>
      <c r="U592" s="6"/>
      <c r="V592" s="6"/>
      <c r="W592" s="6"/>
      <c r="X592" s="6"/>
      <c r="Y592" s="6"/>
      <c r="Z592" s="6"/>
    </row>
    <row r="593" spans="1:26" ht="15.75" customHeight="1" x14ac:dyDescent="0.3">
      <c r="A593" s="10" t="s">
        <v>3494</v>
      </c>
      <c r="B593" s="10">
        <v>1993</v>
      </c>
      <c r="C593" s="10" t="s">
        <v>4713</v>
      </c>
      <c r="D593" s="10">
        <v>10</v>
      </c>
      <c r="E593" s="10">
        <v>3</v>
      </c>
      <c r="F593" s="24">
        <v>5138.26</v>
      </c>
      <c r="G593" s="10" t="s">
        <v>4695</v>
      </c>
      <c r="H593" s="10" t="s">
        <v>4695</v>
      </c>
      <c r="I593" s="10" t="s">
        <v>4708</v>
      </c>
      <c r="J593" s="17">
        <f t="shared" si="4"/>
        <v>34313</v>
      </c>
      <c r="K593" s="10">
        <f t="shared" ca="1" si="5"/>
        <v>31</v>
      </c>
      <c r="L593" s="6"/>
      <c r="M593" s="6"/>
      <c r="N593" s="6"/>
      <c r="O593" s="6"/>
      <c r="P593" s="6"/>
      <c r="Q593" s="6"/>
      <c r="R593" s="6"/>
      <c r="S593" s="6"/>
      <c r="T593" s="6"/>
      <c r="U593" s="6"/>
      <c r="V593" s="6"/>
      <c r="W593" s="6"/>
      <c r="X593" s="6"/>
      <c r="Y593" s="6"/>
      <c r="Z593" s="6"/>
    </row>
    <row r="594" spans="1:26" ht="15.75" customHeight="1" x14ac:dyDescent="0.3">
      <c r="A594" s="10" t="s">
        <v>3492</v>
      </c>
      <c r="B594" s="10">
        <v>1984</v>
      </c>
      <c r="C594" s="10" t="s">
        <v>4714</v>
      </c>
      <c r="D594" s="10">
        <v>22</v>
      </c>
      <c r="E594" s="10">
        <v>3</v>
      </c>
      <c r="F594" s="24">
        <v>5144.18</v>
      </c>
      <c r="G594" s="10" t="s">
        <v>4695</v>
      </c>
      <c r="H594" s="10" t="s">
        <v>4694</v>
      </c>
      <c r="I594" s="10" t="s">
        <v>4708</v>
      </c>
      <c r="J594" s="17">
        <f t="shared" si="4"/>
        <v>30916</v>
      </c>
      <c r="K594" s="10">
        <f t="shared" ca="1" si="5"/>
        <v>41</v>
      </c>
      <c r="L594" s="6"/>
      <c r="M594" s="6"/>
      <c r="N594" s="6"/>
      <c r="O594" s="6"/>
      <c r="P594" s="6"/>
      <c r="Q594" s="6"/>
      <c r="R594" s="6"/>
      <c r="S594" s="6"/>
      <c r="T594" s="6"/>
      <c r="U594" s="6"/>
      <c r="V594" s="6"/>
      <c r="W594" s="6"/>
      <c r="X594" s="6"/>
      <c r="Y594" s="6"/>
      <c r="Z594" s="6"/>
    </row>
    <row r="595" spans="1:26" ht="15.75" customHeight="1" x14ac:dyDescent="0.3">
      <c r="A595" s="10" t="s">
        <v>3490</v>
      </c>
      <c r="B595" s="10">
        <v>1990</v>
      </c>
      <c r="C595" s="10" t="s">
        <v>4714</v>
      </c>
      <c r="D595" s="10">
        <v>22</v>
      </c>
      <c r="E595" s="10">
        <v>1</v>
      </c>
      <c r="F595" s="24">
        <v>5148.55</v>
      </c>
      <c r="G595" s="10" t="s">
        <v>4695</v>
      </c>
      <c r="H595" s="10" t="s">
        <v>4695</v>
      </c>
      <c r="I595" s="10" t="s">
        <v>4723</v>
      </c>
      <c r="J595" s="17">
        <f t="shared" si="4"/>
        <v>33107</v>
      </c>
      <c r="K595" s="10">
        <f t="shared" ca="1" si="5"/>
        <v>35</v>
      </c>
      <c r="L595" s="6"/>
      <c r="M595" s="6"/>
      <c r="N595" s="6"/>
      <c r="O595" s="6"/>
      <c r="P595" s="6"/>
      <c r="Q595" s="6"/>
      <c r="R595" s="6"/>
      <c r="S595" s="6"/>
      <c r="T595" s="6"/>
      <c r="U595" s="6"/>
      <c r="V595" s="6"/>
      <c r="W595" s="6"/>
      <c r="X595" s="6"/>
      <c r="Y595" s="6"/>
      <c r="Z595" s="6"/>
    </row>
    <row r="596" spans="1:26" ht="15.75" customHeight="1" x14ac:dyDescent="0.3">
      <c r="A596" s="10" t="s">
        <v>3488</v>
      </c>
      <c r="B596" s="10">
        <v>1990</v>
      </c>
      <c r="C596" s="10" t="s">
        <v>4715</v>
      </c>
      <c r="D596" s="10">
        <v>9</v>
      </c>
      <c r="E596" s="10">
        <v>2</v>
      </c>
      <c r="F596" s="24">
        <v>5152.13</v>
      </c>
      <c r="G596" s="10" t="s">
        <v>4695</v>
      </c>
      <c r="H596" s="10" t="s">
        <v>4695</v>
      </c>
      <c r="I596" s="10" t="s">
        <v>4716</v>
      </c>
      <c r="J596" s="17">
        <f t="shared" si="4"/>
        <v>33155</v>
      </c>
      <c r="K596" s="10">
        <f t="shared" ca="1" si="5"/>
        <v>35</v>
      </c>
      <c r="L596" s="6"/>
      <c r="M596" s="6"/>
      <c r="N596" s="6"/>
      <c r="O596" s="6"/>
      <c r="P596" s="6"/>
      <c r="Q596" s="6"/>
      <c r="R596" s="6"/>
      <c r="S596" s="6"/>
      <c r="T596" s="6"/>
      <c r="U596" s="6"/>
      <c r="V596" s="6"/>
      <c r="W596" s="6"/>
      <c r="X596" s="6"/>
      <c r="Y596" s="6"/>
      <c r="Z596" s="6"/>
    </row>
    <row r="597" spans="1:26" ht="15.75" customHeight="1" x14ac:dyDescent="0.3">
      <c r="A597" s="10" t="s">
        <v>3486</v>
      </c>
      <c r="B597" s="10">
        <v>1991</v>
      </c>
      <c r="C597" s="10" t="s">
        <v>4714</v>
      </c>
      <c r="D597" s="10">
        <v>29</v>
      </c>
      <c r="E597" s="10">
        <v>3</v>
      </c>
      <c r="F597" s="24">
        <v>5166.96</v>
      </c>
      <c r="G597" s="10" t="s">
        <v>4695</v>
      </c>
      <c r="H597" s="10" t="s">
        <v>4695</v>
      </c>
      <c r="I597" s="10" t="s">
        <v>4712</v>
      </c>
      <c r="J597" s="17">
        <f t="shared" si="4"/>
        <v>33479</v>
      </c>
      <c r="K597" s="10">
        <f t="shared" ca="1" si="5"/>
        <v>34</v>
      </c>
      <c r="L597" s="6"/>
      <c r="M597" s="6"/>
      <c r="N597" s="6"/>
      <c r="O597" s="6"/>
      <c r="P597" s="6"/>
      <c r="Q597" s="6"/>
      <c r="R597" s="6"/>
      <c r="S597" s="6"/>
      <c r="T597" s="6"/>
      <c r="U597" s="6"/>
      <c r="V597" s="6"/>
      <c r="W597" s="6"/>
      <c r="X597" s="6"/>
      <c r="Y597" s="6"/>
      <c r="Z597" s="6"/>
    </row>
    <row r="598" spans="1:26" ht="15.75" customHeight="1" x14ac:dyDescent="0.3">
      <c r="A598" s="10" t="s">
        <v>3484</v>
      </c>
      <c r="B598" s="10">
        <v>1984</v>
      </c>
      <c r="C598" s="10" t="s">
        <v>4715</v>
      </c>
      <c r="D598" s="10">
        <v>16</v>
      </c>
      <c r="E598" s="10">
        <v>3</v>
      </c>
      <c r="F598" s="24">
        <v>5177.12</v>
      </c>
      <c r="G598" s="10" t="s">
        <v>4695</v>
      </c>
      <c r="H598" s="10" t="s">
        <v>4694</v>
      </c>
      <c r="I598" s="10" t="s">
        <v>4708</v>
      </c>
      <c r="J598" s="17">
        <f t="shared" si="4"/>
        <v>30971</v>
      </c>
      <c r="K598" s="10">
        <f t="shared" ca="1" si="5"/>
        <v>41</v>
      </c>
      <c r="L598" s="6"/>
      <c r="M598" s="6"/>
      <c r="N598" s="6"/>
      <c r="O598" s="6"/>
      <c r="P598" s="6"/>
      <c r="Q598" s="6"/>
      <c r="R598" s="6"/>
      <c r="S598" s="6"/>
      <c r="T598" s="6"/>
      <c r="U598" s="6"/>
      <c r="V598" s="6"/>
      <c r="W598" s="6"/>
      <c r="X598" s="6"/>
      <c r="Y598" s="6"/>
      <c r="Z598" s="6"/>
    </row>
    <row r="599" spans="1:26" ht="15.75" customHeight="1" x14ac:dyDescent="0.3">
      <c r="A599" s="10" t="s">
        <v>3482</v>
      </c>
      <c r="B599" s="10">
        <v>1979</v>
      </c>
      <c r="C599" s="10" t="s">
        <v>4711</v>
      </c>
      <c r="D599" s="10">
        <v>12</v>
      </c>
      <c r="E599" s="10">
        <v>2</v>
      </c>
      <c r="F599" s="24">
        <v>5195.58</v>
      </c>
      <c r="G599" s="10" t="s">
        <v>4695</v>
      </c>
      <c r="H599" s="10" t="s">
        <v>4695</v>
      </c>
      <c r="I599" s="10" t="s">
        <v>4708</v>
      </c>
      <c r="J599" s="17">
        <f t="shared" si="4"/>
        <v>29110</v>
      </c>
      <c r="K599" s="10">
        <f t="shared" ca="1" si="5"/>
        <v>46</v>
      </c>
      <c r="L599" s="6"/>
      <c r="M599" s="6"/>
      <c r="N599" s="6"/>
      <c r="O599" s="6"/>
      <c r="P599" s="6"/>
      <c r="Q599" s="6"/>
      <c r="R599" s="6"/>
      <c r="S599" s="6"/>
      <c r="T599" s="6"/>
      <c r="U599" s="6"/>
      <c r="V599" s="6"/>
      <c r="W599" s="6"/>
      <c r="X599" s="6"/>
      <c r="Y599" s="6"/>
      <c r="Z599" s="6"/>
    </row>
    <row r="600" spans="1:26" ht="15.75" customHeight="1" x14ac:dyDescent="0.3">
      <c r="A600" s="10" t="s">
        <v>3480</v>
      </c>
      <c r="B600" s="10">
        <v>2004</v>
      </c>
      <c r="C600" s="10" t="s">
        <v>4710</v>
      </c>
      <c r="D600" s="10">
        <v>6</v>
      </c>
      <c r="E600" s="10">
        <v>0</v>
      </c>
      <c r="F600" s="24">
        <v>5198.6899999999996</v>
      </c>
      <c r="G600" s="10" t="s">
        <v>4695</v>
      </c>
      <c r="H600" s="10" t="s">
        <v>4695</v>
      </c>
      <c r="I600" s="10" t="s">
        <v>4730</v>
      </c>
      <c r="J600" s="17">
        <f t="shared" si="4"/>
        <v>38144</v>
      </c>
      <c r="K600" s="10">
        <f t="shared" ca="1" si="5"/>
        <v>21</v>
      </c>
      <c r="L600" s="6"/>
      <c r="M600" s="6"/>
      <c r="N600" s="6"/>
      <c r="O600" s="6"/>
      <c r="P600" s="6"/>
      <c r="Q600" s="6"/>
      <c r="R600" s="6"/>
      <c r="S600" s="6"/>
      <c r="T600" s="6"/>
      <c r="U600" s="6"/>
      <c r="V600" s="6"/>
      <c r="W600" s="6"/>
      <c r="X600" s="6"/>
      <c r="Y600" s="6"/>
      <c r="Z600" s="6"/>
    </row>
    <row r="601" spans="1:26" ht="15.75" customHeight="1" x14ac:dyDescent="0.3">
      <c r="A601" s="10" t="s">
        <v>3478</v>
      </c>
      <c r="B601" s="10">
        <v>1983</v>
      </c>
      <c r="C601" s="10" t="s">
        <v>4715</v>
      </c>
      <c r="D601" s="10">
        <v>24</v>
      </c>
      <c r="E601" s="10">
        <v>3</v>
      </c>
      <c r="F601" s="24">
        <v>5207.97</v>
      </c>
      <c r="G601" s="10" t="s">
        <v>4695</v>
      </c>
      <c r="H601" s="10" t="s">
        <v>4695</v>
      </c>
      <c r="I601" s="10" t="s">
        <v>4712</v>
      </c>
      <c r="J601" s="17">
        <f t="shared" si="4"/>
        <v>30613</v>
      </c>
      <c r="K601" s="10">
        <f t="shared" ca="1" si="5"/>
        <v>42</v>
      </c>
      <c r="L601" s="6"/>
      <c r="M601" s="6"/>
      <c r="N601" s="6"/>
      <c r="O601" s="6"/>
      <c r="P601" s="6"/>
      <c r="Q601" s="6"/>
      <c r="R601" s="6"/>
      <c r="S601" s="6"/>
      <c r="T601" s="6"/>
      <c r="U601" s="6"/>
      <c r="V601" s="6"/>
      <c r="W601" s="6"/>
      <c r="X601" s="6"/>
      <c r="Y601" s="6"/>
      <c r="Z601" s="6"/>
    </row>
    <row r="602" spans="1:26" ht="15.75" customHeight="1" x14ac:dyDescent="0.3">
      <c r="A602" s="10" t="s">
        <v>3476</v>
      </c>
      <c r="B602" s="10">
        <v>1993</v>
      </c>
      <c r="C602" s="10" t="s">
        <v>4710</v>
      </c>
      <c r="D602" s="10">
        <v>17</v>
      </c>
      <c r="E602" s="10">
        <v>3</v>
      </c>
      <c r="F602" s="24">
        <v>5209.58</v>
      </c>
      <c r="G602" s="10" t="s">
        <v>4696</v>
      </c>
      <c r="H602" s="10" t="s">
        <v>4696</v>
      </c>
      <c r="I602" s="10" t="s">
        <v>4727</v>
      </c>
      <c r="J602" s="17">
        <f t="shared" si="4"/>
        <v>34137</v>
      </c>
      <c r="K602" s="10">
        <f t="shared" ca="1" si="5"/>
        <v>32</v>
      </c>
      <c r="L602" s="6"/>
      <c r="M602" s="6"/>
      <c r="N602" s="6"/>
      <c r="O602" s="6"/>
      <c r="P602" s="6"/>
      <c r="Q602" s="6"/>
      <c r="R602" s="6"/>
      <c r="S602" s="6"/>
      <c r="T602" s="6"/>
      <c r="U602" s="6"/>
      <c r="V602" s="6"/>
      <c r="W602" s="6"/>
      <c r="X602" s="6"/>
      <c r="Y602" s="6"/>
      <c r="Z602" s="6"/>
    </row>
    <row r="603" spans="1:26" ht="15.75" customHeight="1" x14ac:dyDescent="0.3">
      <c r="A603" s="10" t="s">
        <v>3474</v>
      </c>
      <c r="B603" s="10">
        <v>1999</v>
      </c>
      <c r="C603" s="10" t="s">
        <v>4713</v>
      </c>
      <c r="D603" s="10">
        <v>1</v>
      </c>
      <c r="E603" s="10">
        <v>0</v>
      </c>
      <c r="F603" s="24">
        <v>5213.22</v>
      </c>
      <c r="G603" s="10" t="s">
        <v>4695</v>
      </c>
      <c r="H603" s="10" t="s">
        <v>4694</v>
      </c>
      <c r="I603" s="10" t="s">
        <v>4712</v>
      </c>
      <c r="J603" s="17">
        <f t="shared" si="4"/>
        <v>36495</v>
      </c>
      <c r="K603" s="10">
        <f t="shared" ca="1" si="5"/>
        <v>25</v>
      </c>
      <c r="L603" s="6"/>
      <c r="M603" s="6"/>
      <c r="N603" s="6"/>
      <c r="O603" s="6"/>
      <c r="P603" s="6"/>
      <c r="Q603" s="6"/>
      <c r="R603" s="6"/>
      <c r="S603" s="6"/>
      <c r="T603" s="6"/>
      <c r="U603" s="6"/>
      <c r="V603" s="6"/>
      <c r="W603" s="6"/>
      <c r="X603" s="6"/>
      <c r="Y603" s="6"/>
      <c r="Z603" s="6"/>
    </row>
    <row r="604" spans="1:26" ht="15.75" customHeight="1" x14ac:dyDescent="0.3">
      <c r="A604" s="10" t="s">
        <v>3472</v>
      </c>
      <c r="B604" s="10">
        <v>1995</v>
      </c>
      <c r="C604" s="10" t="s">
        <v>4710</v>
      </c>
      <c r="D604" s="10">
        <v>6</v>
      </c>
      <c r="E604" s="10">
        <v>0</v>
      </c>
      <c r="F604" s="24">
        <v>5216.4799999999996</v>
      </c>
      <c r="G604" s="10" t="s">
        <v>4695</v>
      </c>
      <c r="H604" s="10" t="s">
        <v>4695</v>
      </c>
      <c r="I604" s="10" t="s">
        <v>4722</v>
      </c>
      <c r="J604" s="17">
        <f t="shared" si="4"/>
        <v>34856</v>
      </c>
      <c r="K604" s="10">
        <f t="shared" ca="1" si="5"/>
        <v>30</v>
      </c>
      <c r="L604" s="6"/>
      <c r="M604" s="6"/>
      <c r="N604" s="6"/>
      <c r="O604" s="6"/>
      <c r="P604" s="6"/>
      <c r="Q604" s="6"/>
      <c r="R604" s="6"/>
      <c r="S604" s="6"/>
      <c r="T604" s="6"/>
      <c r="U604" s="6"/>
      <c r="V604" s="6"/>
      <c r="W604" s="6"/>
      <c r="X604" s="6"/>
      <c r="Y604" s="6"/>
      <c r="Z604" s="6"/>
    </row>
    <row r="605" spans="1:26" ht="15.75" customHeight="1" x14ac:dyDescent="0.3">
      <c r="A605" s="10" t="s">
        <v>3470</v>
      </c>
      <c r="B605" s="10">
        <v>1987</v>
      </c>
      <c r="C605" s="10" t="s">
        <v>4710</v>
      </c>
      <c r="D605" s="10">
        <v>29</v>
      </c>
      <c r="E605" s="10">
        <v>0</v>
      </c>
      <c r="F605" s="24">
        <v>5227.99</v>
      </c>
      <c r="G605" s="10" t="s">
        <v>4695</v>
      </c>
      <c r="H605" s="10" t="s">
        <v>4694</v>
      </c>
      <c r="I605" s="10" t="s">
        <v>4723</v>
      </c>
      <c r="J605" s="17">
        <f t="shared" si="4"/>
        <v>31957</v>
      </c>
      <c r="K605" s="10">
        <f t="shared" ca="1" si="5"/>
        <v>38</v>
      </c>
      <c r="L605" s="6"/>
      <c r="M605" s="6"/>
      <c r="N605" s="6"/>
      <c r="O605" s="6"/>
      <c r="P605" s="6"/>
      <c r="Q605" s="6"/>
      <c r="R605" s="6"/>
      <c r="S605" s="6"/>
      <c r="T605" s="6"/>
      <c r="U605" s="6"/>
      <c r="V605" s="6"/>
      <c r="W605" s="6"/>
      <c r="X605" s="6"/>
      <c r="Y605" s="6"/>
      <c r="Z605" s="6"/>
    </row>
    <row r="606" spans="1:26" ht="15.75" customHeight="1" x14ac:dyDescent="0.3">
      <c r="A606" s="10" t="s">
        <v>3468</v>
      </c>
      <c r="B606" s="10">
        <v>1987</v>
      </c>
      <c r="C606" s="10" t="s">
        <v>4713</v>
      </c>
      <c r="D606" s="10">
        <v>26</v>
      </c>
      <c r="E606" s="10">
        <v>1</v>
      </c>
      <c r="F606" s="24">
        <v>5240.7700000000004</v>
      </c>
      <c r="G606" s="10" t="s">
        <v>4695</v>
      </c>
      <c r="H606" s="10" t="s">
        <v>4695</v>
      </c>
      <c r="I606" s="10" t="s">
        <v>4716</v>
      </c>
      <c r="J606" s="17">
        <f t="shared" si="4"/>
        <v>32137</v>
      </c>
      <c r="K606" s="10">
        <f t="shared" ca="1" si="5"/>
        <v>37</v>
      </c>
      <c r="L606" s="6"/>
      <c r="M606" s="6"/>
      <c r="N606" s="6"/>
      <c r="O606" s="6"/>
      <c r="P606" s="6"/>
      <c r="Q606" s="6"/>
      <c r="R606" s="6"/>
      <c r="S606" s="6"/>
      <c r="T606" s="6"/>
      <c r="U606" s="6"/>
      <c r="V606" s="6"/>
      <c r="W606" s="6"/>
      <c r="X606" s="6"/>
      <c r="Y606" s="6"/>
      <c r="Z606" s="6"/>
    </row>
    <row r="607" spans="1:26" ht="15.75" customHeight="1" x14ac:dyDescent="0.3">
      <c r="A607" s="10" t="s">
        <v>3466</v>
      </c>
      <c r="B607" s="10">
        <v>1987</v>
      </c>
      <c r="C607" s="10" t="s">
        <v>4707</v>
      </c>
      <c r="D607" s="10">
        <v>5</v>
      </c>
      <c r="E607" s="10">
        <v>1</v>
      </c>
      <c r="F607" s="24">
        <v>5245.23</v>
      </c>
      <c r="G607" s="10" t="s">
        <v>4695</v>
      </c>
      <c r="H607" s="10" t="s">
        <v>4695</v>
      </c>
      <c r="I607" s="10" t="s">
        <v>4708</v>
      </c>
      <c r="J607" s="17">
        <f t="shared" si="4"/>
        <v>31963</v>
      </c>
      <c r="K607" s="10">
        <f t="shared" ca="1" si="5"/>
        <v>38</v>
      </c>
      <c r="L607" s="6"/>
      <c r="M607" s="6"/>
      <c r="N607" s="6"/>
      <c r="O607" s="6"/>
      <c r="P607" s="6"/>
      <c r="Q607" s="6"/>
      <c r="R607" s="6"/>
      <c r="S607" s="6"/>
      <c r="T607" s="6"/>
      <c r="U607" s="6"/>
      <c r="V607" s="6"/>
      <c r="W607" s="6"/>
      <c r="X607" s="6"/>
      <c r="Y607" s="6"/>
      <c r="Z607" s="6"/>
    </row>
    <row r="608" spans="1:26" ht="15.75" customHeight="1" x14ac:dyDescent="0.3">
      <c r="A608" s="10" t="s">
        <v>3464</v>
      </c>
      <c r="B608" s="10">
        <v>1987</v>
      </c>
      <c r="C608" s="10" t="s">
        <v>4711</v>
      </c>
      <c r="D608" s="10">
        <v>9</v>
      </c>
      <c r="E608" s="10">
        <v>1</v>
      </c>
      <c r="F608" s="24">
        <v>5246.05</v>
      </c>
      <c r="G608" s="10" t="s">
        <v>4695</v>
      </c>
      <c r="H608" s="10" t="s">
        <v>4696</v>
      </c>
      <c r="I608" s="10" t="s">
        <v>4716</v>
      </c>
      <c r="J608" s="17">
        <f t="shared" si="4"/>
        <v>32029</v>
      </c>
      <c r="K608" s="10">
        <f t="shared" ca="1" si="5"/>
        <v>38</v>
      </c>
      <c r="L608" s="6"/>
      <c r="M608" s="6"/>
      <c r="N608" s="6"/>
      <c r="O608" s="6"/>
      <c r="P608" s="6"/>
      <c r="Q608" s="6"/>
      <c r="R608" s="6"/>
      <c r="S608" s="6"/>
      <c r="T608" s="6"/>
      <c r="U608" s="6"/>
      <c r="V608" s="6"/>
      <c r="W608" s="6"/>
      <c r="X608" s="6"/>
      <c r="Y608" s="6"/>
      <c r="Z608" s="6"/>
    </row>
    <row r="609" spans="1:26" ht="15.75" customHeight="1" x14ac:dyDescent="0.3">
      <c r="A609" s="10" t="s">
        <v>3462</v>
      </c>
      <c r="B609" s="10">
        <v>1990</v>
      </c>
      <c r="C609" s="10" t="s">
        <v>4707</v>
      </c>
      <c r="D609" s="10">
        <v>6</v>
      </c>
      <c r="E609" s="10">
        <v>3</v>
      </c>
      <c r="F609" s="24">
        <v>5253.52</v>
      </c>
      <c r="G609" s="10" t="s">
        <v>4696</v>
      </c>
      <c r="H609" s="10" t="s">
        <v>4696</v>
      </c>
      <c r="I609" s="10" t="s">
        <v>4716</v>
      </c>
      <c r="J609" s="17">
        <f t="shared" si="4"/>
        <v>33060</v>
      </c>
      <c r="K609" s="10">
        <f t="shared" ca="1" si="5"/>
        <v>35</v>
      </c>
      <c r="L609" s="6"/>
      <c r="M609" s="6"/>
      <c r="N609" s="6"/>
      <c r="O609" s="6"/>
      <c r="P609" s="6"/>
      <c r="Q609" s="6"/>
      <c r="R609" s="6"/>
      <c r="S609" s="6"/>
      <c r="T609" s="6"/>
      <c r="U609" s="6"/>
      <c r="V609" s="6"/>
      <c r="W609" s="6"/>
      <c r="X609" s="6"/>
      <c r="Y609" s="6"/>
      <c r="Z609" s="6"/>
    </row>
    <row r="610" spans="1:26" ht="15.75" customHeight="1" x14ac:dyDescent="0.3">
      <c r="A610" s="10" t="s">
        <v>3460</v>
      </c>
      <c r="B610" s="10">
        <v>1989</v>
      </c>
      <c r="C610" s="10" t="s">
        <v>4709</v>
      </c>
      <c r="D610" s="10">
        <v>25</v>
      </c>
      <c r="E610" s="10">
        <v>2</v>
      </c>
      <c r="F610" s="24">
        <v>5257.51</v>
      </c>
      <c r="G610" s="10" t="s">
        <v>4695</v>
      </c>
      <c r="H610" s="10" t="s">
        <v>4695</v>
      </c>
      <c r="I610" s="10" t="s">
        <v>4712</v>
      </c>
      <c r="J610" s="17">
        <f t="shared" si="4"/>
        <v>32837</v>
      </c>
      <c r="K610" s="10">
        <f t="shared" ca="1" si="5"/>
        <v>36</v>
      </c>
      <c r="L610" s="6"/>
      <c r="M610" s="6"/>
      <c r="N610" s="6"/>
      <c r="O610" s="6"/>
      <c r="P610" s="6"/>
      <c r="Q610" s="6"/>
      <c r="R610" s="6"/>
      <c r="S610" s="6"/>
      <c r="T610" s="6"/>
      <c r="U610" s="6"/>
      <c r="V610" s="6"/>
      <c r="W610" s="6"/>
      <c r="X610" s="6"/>
      <c r="Y610" s="6"/>
      <c r="Z610" s="6"/>
    </row>
    <row r="611" spans="1:26" ht="15.75" customHeight="1" x14ac:dyDescent="0.3">
      <c r="A611" s="10" t="s">
        <v>3458</v>
      </c>
      <c r="B611" s="10">
        <v>1989</v>
      </c>
      <c r="C611" s="10" t="s">
        <v>4707</v>
      </c>
      <c r="D611" s="10">
        <v>19</v>
      </c>
      <c r="E611" s="10">
        <v>2</v>
      </c>
      <c r="F611" s="24">
        <v>5261.47</v>
      </c>
      <c r="G611" s="10" t="s">
        <v>4695</v>
      </c>
      <c r="H611" s="10" t="s">
        <v>4695</v>
      </c>
      <c r="I611" s="10" t="s">
        <v>4712</v>
      </c>
      <c r="J611" s="17">
        <f t="shared" si="4"/>
        <v>32708</v>
      </c>
      <c r="K611" s="10">
        <f t="shared" ca="1" si="5"/>
        <v>36</v>
      </c>
      <c r="L611" s="6"/>
      <c r="M611" s="6"/>
      <c r="N611" s="6"/>
      <c r="O611" s="6"/>
      <c r="P611" s="6"/>
      <c r="Q611" s="6"/>
      <c r="R611" s="6"/>
      <c r="S611" s="6"/>
      <c r="T611" s="6"/>
      <c r="U611" s="6"/>
      <c r="V611" s="6"/>
      <c r="W611" s="6"/>
      <c r="X611" s="6"/>
      <c r="Y611" s="6"/>
      <c r="Z611" s="6"/>
    </row>
    <row r="612" spans="1:26" ht="15.75" customHeight="1" x14ac:dyDescent="0.3">
      <c r="A612" s="10" t="s">
        <v>3456</v>
      </c>
      <c r="B612" s="10">
        <v>1986</v>
      </c>
      <c r="C612" s="10" t="s">
        <v>4715</v>
      </c>
      <c r="D612" s="10">
        <v>25</v>
      </c>
      <c r="E612" s="10">
        <v>0</v>
      </c>
      <c r="F612" s="24">
        <v>5266.37</v>
      </c>
      <c r="G612" s="10" t="s">
        <v>4695</v>
      </c>
      <c r="H612" s="10" t="s">
        <v>4695</v>
      </c>
      <c r="I612" s="10" t="s">
        <v>4712</v>
      </c>
      <c r="J612" s="17">
        <f t="shared" si="4"/>
        <v>31710</v>
      </c>
      <c r="K612" s="10">
        <f t="shared" ca="1" si="5"/>
        <v>39</v>
      </c>
      <c r="L612" s="6"/>
      <c r="M612" s="6"/>
      <c r="N612" s="6"/>
      <c r="O612" s="6"/>
      <c r="P612" s="6"/>
      <c r="Q612" s="6"/>
      <c r="R612" s="6"/>
      <c r="S612" s="6"/>
      <c r="T612" s="6"/>
      <c r="U612" s="6"/>
      <c r="V612" s="6"/>
      <c r="W612" s="6"/>
      <c r="X612" s="6"/>
      <c r="Y612" s="6"/>
      <c r="Z612" s="6"/>
    </row>
    <row r="613" spans="1:26" ht="15.75" customHeight="1" x14ac:dyDescent="0.3">
      <c r="A613" s="10" t="s">
        <v>3454</v>
      </c>
      <c r="B613" s="10">
        <v>1986</v>
      </c>
      <c r="C613" s="10" t="s">
        <v>4711</v>
      </c>
      <c r="D613" s="10">
        <v>20</v>
      </c>
      <c r="E613" s="10">
        <v>0</v>
      </c>
      <c r="F613" s="24">
        <v>5267.82</v>
      </c>
      <c r="G613" s="10" t="s">
        <v>4695</v>
      </c>
      <c r="H613" s="10" t="s">
        <v>4695</v>
      </c>
      <c r="I613" s="10" t="s">
        <v>4712</v>
      </c>
      <c r="J613" s="17">
        <f t="shared" si="4"/>
        <v>31675</v>
      </c>
      <c r="K613" s="10">
        <f t="shared" ca="1" si="5"/>
        <v>39</v>
      </c>
      <c r="L613" s="6"/>
      <c r="M613" s="6"/>
      <c r="N613" s="6"/>
      <c r="O613" s="6"/>
      <c r="P613" s="6"/>
      <c r="Q613" s="6"/>
      <c r="R613" s="6"/>
      <c r="S613" s="6"/>
      <c r="T613" s="6"/>
      <c r="U613" s="6"/>
      <c r="V613" s="6"/>
      <c r="W613" s="6"/>
      <c r="X613" s="6"/>
      <c r="Y613" s="6"/>
      <c r="Z613" s="6"/>
    </row>
    <row r="614" spans="1:26" ht="15.75" customHeight="1" x14ac:dyDescent="0.3">
      <c r="A614" s="10" t="s">
        <v>3452</v>
      </c>
      <c r="B614" s="10">
        <v>1986</v>
      </c>
      <c r="C614" s="10" t="s">
        <v>4715</v>
      </c>
      <c r="D614" s="10">
        <v>20</v>
      </c>
      <c r="E614" s="10">
        <v>0</v>
      </c>
      <c r="F614" s="24">
        <v>5272.18</v>
      </c>
      <c r="G614" s="10" t="s">
        <v>4695</v>
      </c>
      <c r="H614" s="10" t="s">
        <v>4696</v>
      </c>
      <c r="I614" s="10" t="s">
        <v>4712</v>
      </c>
      <c r="J614" s="17">
        <f t="shared" si="4"/>
        <v>31705</v>
      </c>
      <c r="K614" s="10">
        <f t="shared" ca="1" si="5"/>
        <v>39</v>
      </c>
      <c r="L614" s="6"/>
      <c r="M614" s="6"/>
      <c r="N614" s="6"/>
      <c r="O614" s="6"/>
      <c r="P614" s="6"/>
      <c r="Q614" s="6"/>
      <c r="R614" s="6"/>
      <c r="S614" s="6"/>
      <c r="T614" s="6"/>
      <c r="U614" s="6"/>
      <c r="V614" s="6"/>
      <c r="W614" s="6"/>
      <c r="X614" s="6"/>
      <c r="Y614" s="6"/>
      <c r="Z614" s="6"/>
    </row>
    <row r="615" spans="1:26" ht="15.75" customHeight="1" x14ac:dyDescent="0.3">
      <c r="A615" s="10" t="s">
        <v>3450</v>
      </c>
      <c r="B615" s="10">
        <v>1987</v>
      </c>
      <c r="C615" s="10" t="s">
        <v>4711</v>
      </c>
      <c r="D615" s="10">
        <v>1</v>
      </c>
      <c r="E615" s="10">
        <v>3</v>
      </c>
      <c r="F615" s="24">
        <v>5275.86</v>
      </c>
      <c r="G615" s="10" t="s">
        <v>4695</v>
      </c>
      <c r="H615" s="10" t="s">
        <v>4695</v>
      </c>
      <c r="I615" s="10" t="s">
        <v>4708</v>
      </c>
      <c r="J615" s="17">
        <f t="shared" si="4"/>
        <v>32021</v>
      </c>
      <c r="K615" s="10">
        <f t="shared" ca="1" si="5"/>
        <v>38</v>
      </c>
      <c r="L615" s="6"/>
      <c r="M615" s="6"/>
      <c r="N615" s="6"/>
      <c r="O615" s="6"/>
      <c r="P615" s="6"/>
      <c r="Q615" s="6"/>
      <c r="R615" s="6"/>
      <c r="S615" s="6"/>
      <c r="T615" s="6"/>
      <c r="U615" s="6"/>
      <c r="V615" s="6"/>
      <c r="W615" s="6"/>
      <c r="X615" s="6"/>
      <c r="Y615" s="6"/>
      <c r="Z615" s="6"/>
    </row>
    <row r="616" spans="1:26" ht="15.75" customHeight="1" x14ac:dyDescent="0.3">
      <c r="A616" s="10" t="s">
        <v>3448</v>
      </c>
      <c r="B616" s="10">
        <v>1974</v>
      </c>
      <c r="C616" s="10" t="s">
        <v>4709</v>
      </c>
      <c r="D616" s="10">
        <v>12</v>
      </c>
      <c r="E616" s="10">
        <v>0</v>
      </c>
      <c r="F616" s="24">
        <v>5291.71</v>
      </c>
      <c r="G616" s="10" t="s">
        <v>4695</v>
      </c>
      <c r="H616" s="10" t="s">
        <v>4695</v>
      </c>
      <c r="I616" s="10" t="s">
        <v>4712</v>
      </c>
      <c r="J616" s="17">
        <f t="shared" si="4"/>
        <v>27345</v>
      </c>
      <c r="K616" s="10">
        <f t="shared" ca="1" si="5"/>
        <v>51</v>
      </c>
      <c r="L616" s="6"/>
      <c r="M616" s="6"/>
      <c r="N616" s="6"/>
      <c r="O616" s="6"/>
      <c r="P616" s="6"/>
      <c r="Q616" s="6"/>
      <c r="R616" s="6"/>
      <c r="S616" s="6"/>
      <c r="T616" s="6"/>
      <c r="U616" s="6"/>
      <c r="V616" s="6"/>
      <c r="W616" s="6"/>
      <c r="X616" s="6"/>
      <c r="Y616" s="6"/>
      <c r="Z616" s="6"/>
    </row>
    <row r="617" spans="1:26" ht="15.75" customHeight="1" x14ac:dyDescent="0.3">
      <c r="A617" s="10" t="s">
        <v>3446</v>
      </c>
      <c r="B617" s="10">
        <v>2004</v>
      </c>
      <c r="C617" s="10" t="s">
        <v>4714</v>
      </c>
      <c r="D617" s="10">
        <v>22</v>
      </c>
      <c r="E617" s="10">
        <v>0</v>
      </c>
      <c r="F617" s="24">
        <v>5293.67</v>
      </c>
      <c r="G617" s="10" t="s">
        <v>4695</v>
      </c>
      <c r="H617" s="10" t="s">
        <v>4695</v>
      </c>
      <c r="I617" s="10" t="s">
        <v>4730</v>
      </c>
      <c r="J617" s="17">
        <f t="shared" si="4"/>
        <v>38221</v>
      </c>
      <c r="K617" s="10">
        <f t="shared" ca="1" si="5"/>
        <v>21</v>
      </c>
      <c r="L617" s="6"/>
      <c r="M617" s="6"/>
      <c r="N617" s="6"/>
      <c r="O617" s="6"/>
      <c r="P617" s="6"/>
      <c r="Q617" s="6"/>
      <c r="R617" s="6"/>
      <c r="S617" s="6"/>
      <c r="T617" s="6"/>
      <c r="U617" s="6"/>
      <c r="V617" s="6"/>
      <c r="W617" s="6"/>
      <c r="X617" s="6"/>
      <c r="Y617" s="6"/>
      <c r="Z617" s="6"/>
    </row>
    <row r="618" spans="1:26" ht="15.75" customHeight="1" x14ac:dyDescent="0.3">
      <c r="A618" s="10" t="s">
        <v>3444</v>
      </c>
      <c r="B618" s="10">
        <v>2000</v>
      </c>
      <c r="C618" s="10" t="s">
        <v>4711</v>
      </c>
      <c r="D618" s="10">
        <v>9</v>
      </c>
      <c r="E618" s="10">
        <v>0</v>
      </c>
      <c r="F618" s="24">
        <v>5306.7</v>
      </c>
      <c r="G618" s="10" t="s">
        <v>4695</v>
      </c>
      <c r="H618" s="10" t="s">
        <v>4696</v>
      </c>
      <c r="I618" s="10" t="s">
        <v>4712</v>
      </c>
      <c r="J618" s="17">
        <f t="shared" si="4"/>
        <v>36778</v>
      </c>
      <c r="K618" s="10">
        <f t="shared" ca="1" si="5"/>
        <v>25</v>
      </c>
      <c r="L618" s="6"/>
      <c r="M618" s="6"/>
      <c r="N618" s="6"/>
      <c r="O618" s="6"/>
      <c r="P618" s="6"/>
      <c r="Q618" s="6"/>
      <c r="R618" s="6"/>
      <c r="S618" s="6"/>
      <c r="T618" s="6"/>
      <c r="U618" s="6"/>
      <c r="V618" s="6"/>
      <c r="W618" s="6"/>
      <c r="X618" s="6"/>
      <c r="Y618" s="6"/>
      <c r="Z618" s="6"/>
    </row>
    <row r="619" spans="1:26" ht="15.75" customHeight="1" x14ac:dyDescent="0.3">
      <c r="A619" s="10" t="s">
        <v>3442</v>
      </c>
      <c r="B619" s="10">
        <v>1994</v>
      </c>
      <c r="C619" s="10" t="s">
        <v>4709</v>
      </c>
      <c r="D619" s="10">
        <v>13</v>
      </c>
      <c r="E619" s="10">
        <v>3</v>
      </c>
      <c r="F619" s="24">
        <v>5312.17</v>
      </c>
      <c r="G619" s="10" t="s">
        <v>4695</v>
      </c>
      <c r="H619" s="10" t="s">
        <v>4695</v>
      </c>
      <c r="I619" s="10" t="s">
        <v>4712</v>
      </c>
      <c r="J619" s="17">
        <f t="shared" si="4"/>
        <v>34651</v>
      </c>
      <c r="K619" s="10">
        <f t="shared" ca="1" si="5"/>
        <v>31</v>
      </c>
      <c r="L619" s="6"/>
      <c r="M619" s="6"/>
      <c r="N619" s="6"/>
      <c r="O619" s="6"/>
      <c r="P619" s="6"/>
      <c r="Q619" s="6"/>
      <c r="R619" s="6"/>
      <c r="S619" s="6"/>
      <c r="T619" s="6"/>
      <c r="U619" s="6"/>
      <c r="V619" s="6"/>
      <c r="W619" s="6"/>
      <c r="X619" s="6"/>
      <c r="Y619" s="6"/>
      <c r="Z619" s="6"/>
    </row>
    <row r="620" spans="1:26" ht="15.75" customHeight="1" x14ac:dyDescent="0.3">
      <c r="A620" s="10" t="s">
        <v>3440</v>
      </c>
      <c r="B620" s="10">
        <v>1974</v>
      </c>
      <c r="C620" s="10" t="s">
        <v>4711</v>
      </c>
      <c r="D620" s="10">
        <v>2</v>
      </c>
      <c r="E620" s="10">
        <v>0</v>
      </c>
      <c r="F620" s="24">
        <v>5322.24</v>
      </c>
      <c r="G620" s="10" t="s">
        <v>4695</v>
      </c>
      <c r="H620" s="10" t="s">
        <v>4694</v>
      </c>
      <c r="I620" s="10" t="s">
        <v>4712</v>
      </c>
      <c r="J620" s="17">
        <f t="shared" si="4"/>
        <v>27274</v>
      </c>
      <c r="K620" s="10">
        <f t="shared" ca="1" si="5"/>
        <v>51</v>
      </c>
      <c r="L620" s="6"/>
      <c r="M620" s="6"/>
      <c r="N620" s="6"/>
      <c r="O620" s="6"/>
      <c r="P620" s="6"/>
      <c r="Q620" s="6"/>
      <c r="R620" s="6"/>
      <c r="S620" s="6"/>
      <c r="T620" s="6"/>
      <c r="U620" s="6"/>
      <c r="V620" s="6"/>
      <c r="W620" s="6"/>
      <c r="X620" s="6"/>
      <c r="Y620" s="6"/>
      <c r="Z620" s="6"/>
    </row>
    <row r="621" spans="1:26" ht="15.75" customHeight="1" x14ac:dyDescent="0.3">
      <c r="A621" s="10" t="s">
        <v>3438</v>
      </c>
      <c r="B621" s="10">
        <v>1992</v>
      </c>
      <c r="C621" s="10" t="s">
        <v>4710</v>
      </c>
      <c r="D621" s="10">
        <v>18</v>
      </c>
      <c r="E621" s="10">
        <v>3</v>
      </c>
      <c r="F621" s="24">
        <v>5325.65</v>
      </c>
      <c r="G621" s="10" t="s">
        <v>4695</v>
      </c>
      <c r="H621" s="10" t="s">
        <v>4694</v>
      </c>
      <c r="I621" s="10" t="s">
        <v>4716</v>
      </c>
      <c r="J621" s="17">
        <f t="shared" si="4"/>
        <v>33773</v>
      </c>
      <c r="K621" s="10">
        <f t="shared" ca="1" si="5"/>
        <v>33</v>
      </c>
      <c r="L621" s="6"/>
      <c r="M621" s="6"/>
      <c r="N621" s="6"/>
      <c r="O621" s="6"/>
      <c r="P621" s="6"/>
      <c r="Q621" s="6"/>
      <c r="R621" s="6"/>
      <c r="S621" s="6"/>
      <c r="T621" s="6"/>
      <c r="U621" s="6"/>
      <c r="V621" s="6"/>
      <c r="W621" s="6"/>
      <c r="X621" s="6"/>
      <c r="Y621" s="6"/>
      <c r="Z621" s="6"/>
    </row>
    <row r="622" spans="1:26" ht="15.75" customHeight="1" x14ac:dyDescent="0.3">
      <c r="A622" s="10" t="s">
        <v>3436</v>
      </c>
      <c r="B622" s="10">
        <v>1991</v>
      </c>
      <c r="C622" s="10" t="s">
        <v>4714</v>
      </c>
      <c r="D622" s="10">
        <v>28</v>
      </c>
      <c r="E622" s="10">
        <v>2</v>
      </c>
      <c r="F622" s="24">
        <v>5327.4</v>
      </c>
      <c r="G622" s="10" t="s">
        <v>4695</v>
      </c>
      <c r="H622" s="10" t="s">
        <v>4694</v>
      </c>
      <c r="I622" s="10" t="s">
        <v>4712</v>
      </c>
      <c r="J622" s="17">
        <f t="shared" si="4"/>
        <v>33478</v>
      </c>
      <c r="K622" s="10">
        <f t="shared" ca="1" si="5"/>
        <v>34</v>
      </c>
      <c r="L622" s="6"/>
      <c r="M622" s="6"/>
      <c r="N622" s="6"/>
      <c r="O622" s="6"/>
      <c r="P622" s="6"/>
      <c r="Q622" s="6"/>
      <c r="R622" s="6"/>
      <c r="S622" s="6"/>
      <c r="T622" s="6"/>
      <c r="U622" s="6"/>
      <c r="V622" s="6"/>
      <c r="W622" s="6"/>
      <c r="X622" s="6"/>
      <c r="Y622" s="6"/>
      <c r="Z622" s="6"/>
    </row>
    <row r="623" spans="1:26" ht="15.75" customHeight="1" x14ac:dyDescent="0.3">
      <c r="A623" s="10" t="s">
        <v>3434</v>
      </c>
      <c r="B623" s="10">
        <v>1972</v>
      </c>
      <c r="C623" s="10" t="s">
        <v>4713</v>
      </c>
      <c r="D623" s="10">
        <v>15</v>
      </c>
      <c r="E623" s="10">
        <v>0</v>
      </c>
      <c r="F623" s="24">
        <v>5344.81</v>
      </c>
      <c r="G623" s="10" t="s">
        <v>4695</v>
      </c>
      <c r="H623" s="10" t="s">
        <v>4696</v>
      </c>
      <c r="I623" s="10" t="s">
        <v>4708</v>
      </c>
      <c r="J623" s="17">
        <f t="shared" si="4"/>
        <v>26648</v>
      </c>
      <c r="K623" s="10">
        <f t="shared" ca="1" si="5"/>
        <v>52</v>
      </c>
      <c r="L623" s="6"/>
      <c r="M623" s="6"/>
      <c r="N623" s="6"/>
      <c r="O623" s="6"/>
      <c r="P623" s="6"/>
      <c r="Q623" s="6"/>
      <c r="R623" s="6"/>
      <c r="S623" s="6"/>
      <c r="T623" s="6"/>
      <c r="U623" s="6"/>
      <c r="V623" s="6"/>
      <c r="W623" s="6"/>
      <c r="X623" s="6"/>
      <c r="Y623" s="6"/>
      <c r="Z623" s="6"/>
    </row>
    <row r="624" spans="1:26" ht="15.75" customHeight="1" x14ac:dyDescent="0.3">
      <c r="A624" s="10" t="s">
        <v>3432</v>
      </c>
      <c r="B624" s="10">
        <v>1989</v>
      </c>
      <c r="C624" s="10" t="s">
        <v>4709</v>
      </c>
      <c r="D624" s="10">
        <v>7</v>
      </c>
      <c r="E624" s="10">
        <v>1</v>
      </c>
      <c r="F624" s="24">
        <v>5354.07</v>
      </c>
      <c r="G624" s="10" t="s">
        <v>4695</v>
      </c>
      <c r="H624" s="10" t="s">
        <v>4696</v>
      </c>
      <c r="I624" s="10" t="s">
        <v>4723</v>
      </c>
      <c r="J624" s="17">
        <f t="shared" si="4"/>
        <v>32819</v>
      </c>
      <c r="K624" s="10">
        <f t="shared" ca="1" si="5"/>
        <v>36</v>
      </c>
      <c r="L624" s="6"/>
      <c r="M624" s="6"/>
      <c r="N624" s="6"/>
      <c r="O624" s="6"/>
      <c r="P624" s="6"/>
      <c r="Q624" s="6"/>
      <c r="R624" s="6"/>
      <c r="S624" s="6"/>
      <c r="T624" s="6"/>
      <c r="U624" s="6"/>
      <c r="V624" s="6"/>
      <c r="W624" s="6"/>
      <c r="X624" s="6"/>
      <c r="Y624" s="6"/>
      <c r="Z624" s="6"/>
    </row>
    <row r="625" spans="1:26" ht="15.75" customHeight="1" x14ac:dyDescent="0.3">
      <c r="A625" s="10" t="s">
        <v>3430</v>
      </c>
      <c r="B625" s="10">
        <v>1994</v>
      </c>
      <c r="C625" s="10" t="s">
        <v>4713</v>
      </c>
      <c r="D625" s="10">
        <v>7</v>
      </c>
      <c r="E625" s="10">
        <v>0</v>
      </c>
      <c r="F625" s="24">
        <v>5364.66</v>
      </c>
      <c r="G625" s="10" t="s">
        <v>4695</v>
      </c>
      <c r="H625" s="10" t="s">
        <v>4694</v>
      </c>
      <c r="I625" s="10" t="s">
        <v>4716</v>
      </c>
      <c r="J625" s="17">
        <f t="shared" si="4"/>
        <v>34675</v>
      </c>
      <c r="K625" s="10">
        <f t="shared" ca="1" si="5"/>
        <v>30</v>
      </c>
      <c r="L625" s="6"/>
      <c r="M625" s="6"/>
      <c r="N625" s="6"/>
      <c r="O625" s="6"/>
      <c r="P625" s="6"/>
      <c r="Q625" s="6"/>
      <c r="R625" s="6"/>
      <c r="S625" s="6"/>
      <c r="T625" s="6"/>
      <c r="U625" s="6"/>
      <c r="V625" s="6"/>
      <c r="W625" s="6"/>
      <c r="X625" s="6"/>
      <c r="Y625" s="6"/>
      <c r="Z625" s="6"/>
    </row>
    <row r="626" spans="1:26" ht="15.75" customHeight="1" x14ac:dyDescent="0.3">
      <c r="A626" s="10" t="s">
        <v>3428</v>
      </c>
      <c r="B626" s="10">
        <v>1986</v>
      </c>
      <c r="C626" s="10" t="s">
        <v>4710</v>
      </c>
      <c r="D626" s="10">
        <v>1</v>
      </c>
      <c r="E626" s="10">
        <v>1</v>
      </c>
      <c r="F626" s="24">
        <v>5373.36</v>
      </c>
      <c r="G626" s="10" t="s">
        <v>4695</v>
      </c>
      <c r="H626" s="10" t="s">
        <v>4695</v>
      </c>
      <c r="I626" s="10" t="s">
        <v>4712</v>
      </c>
      <c r="J626" s="17">
        <f t="shared" si="4"/>
        <v>31564</v>
      </c>
      <c r="K626" s="10">
        <f t="shared" ca="1" si="5"/>
        <v>39</v>
      </c>
      <c r="L626" s="6"/>
      <c r="M626" s="6"/>
      <c r="N626" s="6"/>
      <c r="O626" s="6"/>
      <c r="P626" s="6"/>
      <c r="Q626" s="6"/>
      <c r="R626" s="6"/>
      <c r="S626" s="6"/>
      <c r="T626" s="6"/>
      <c r="U626" s="6"/>
      <c r="V626" s="6"/>
      <c r="W626" s="6"/>
      <c r="X626" s="6"/>
      <c r="Y626" s="6"/>
      <c r="Z626" s="6"/>
    </row>
    <row r="627" spans="1:26" ht="15.75" customHeight="1" x14ac:dyDescent="0.3">
      <c r="A627" s="10" t="s">
        <v>3426</v>
      </c>
      <c r="B627" s="10">
        <v>1989</v>
      </c>
      <c r="C627" s="10" t="s">
        <v>4709</v>
      </c>
      <c r="D627" s="10">
        <v>18</v>
      </c>
      <c r="E627" s="10">
        <v>2</v>
      </c>
      <c r="F627" s="24">
        <v>5375.04</v>
      </c>
      <c r="G627" s="10" t="s">
        <v>4695</v>
      </c>
      <c r="H627" s="10" t="s">
        <v>4694</v>
      </c>
      <c r="I627" s="10" t="s">
        <v>4716</v>
      </c>
      <c r="J627" s="17">
        <f t="shared" si="4"/>
        <v>32830</v>
      </c>
      <c r="K627" s="10">
        <f t="shared" ca="1" si="5"/>
        <v>36</v>
      </c>
      <c r="L627" s="6"/>
      <c r="M627" s="6"/>
      <c r="N627" s="6"/>
      <c r="O627" s="6"/>
      <c r="P627" s="6"/>
      <c r="Q627" s="6"/>
      <c r="R627" s="6"/>
      <c r="S627" s="6"/>
      <c r="T627" s="6"/>
      <c r="U627" s="6"/>
      <c r="V627" s="6"/>
      <c r="W627" s="6"/>
      <c r="X627" s="6"/>
      <c r="Y627" s="6"/>
      <c r="Z627" s="6"/>
    </row>
    <row r="628" spans="1:26" ht="15.75" customHeight="1" x14ac:dyDescent="0.3">
      <c r="A628" s="10" t="s">
        <v>3424</v>
      </c>
      <c r="B628" s="10">
        <v>1986</v>
      </c>
      <c r="C628" s="10" t="s">
        <v>4707</v>
      </c>
      <c r="D628" s="10">
        <v>22</v>
      </c>
      <c r="E628" s="10">
        <v>1</v>
      </c>
      <c r="F628" s="24">
        <v>5377.46</v>
      </c>
      <c r="G628" s="10" t="s">
        <v>4695</v>
      </c>
      <c r="H628" s="10" t="s">
        <v>4696</v>
      </c>
      <c r="I628" s="10" t="s">
        <v>4712</v>
      </c>
      <c r="J628" s="17">
        <f t="shared" si="4"/>
        <v>31615</v>
      </c>
      <c r="K628" s="10">
        <f t="shared" ca="1" si="5"/>
        <v>39</v>
      </c>
      <c r="L628" s="6"/>
      <c r="M628" s="6"/>
      <c r="N628" s="6"/>
      <c r="O628" s="6"/>
      <c r="P628" s="6"/>
      <c r="Q628" s="6"/>
      <c r="R628" s="6"/>
      <c r="S628" s="6"/>
      <c r="T628" s="6"/>
      <c r="U628" s="6"/>
      <c r="V628" s="6"/>
      <c r="W628" s="6"/>
      <c r="X628" s="6"/>
      <c r="Y628" s="6"/>
      <c r="Z628" s="6"/>
    </row>
    <row r="629" spans="1:26" ht="15.75" customHeight="1" x14ac:dyDescent="0.3">
      <c r="A629" s="10" t="s">
        <v>3422</v>
      </c>
      <c r="B629" s="10">
        <v>1984</v>
      </c>
      <c r="C629" s="10" t="s">
        <v>4710</v>
      </c>
      <c r="D629" s="10">
        <v>1</v>
      </c>
      <c r="E629" s="10">
        <v>0</v>
      </c>
      <c r="F629" s="24">
        <v>5383.54</v>
      </c>
      <c r="G629" s="10" t="s">
        <v>4695</v>
      </c>
      <c r="H629" s="10" t="s">
        <v>4696</v>
      </c>
      <c r="I629" s="10" t="s">
        <v>4716</v>
      </c>
      <c r="J629" s="17">
        <f t="shared" si="4"/>
        <v>30834</v>
      </c>
      <c r="K629" s="10">
        <f t="shared" ca="1" si="5"/>
        <v>41</v>
      </c>
      <c r="L629" s="6"/>
      <c r="M629" s="6"/>
      <c r="N629" s="6"/>
      <c r="O629" s="6"/>
      <c r="P629" s="6"/>
      <c r="Q629" s="6"/>
      <c r="R629" s="6"/>
      <c r="S629" s="6"/>
      <c r="T629" s="6"/>
      <c r="U629" s="6"/>
      <c r="V629" s="6"/>
      <c r="W629" s="6"/>
      <c r="X629" s="6"/>
      <c r="Y629" s="6"/>
      <c r="Z629" s="6"/>
    </row>
    <row r="630" spans="1:26" ht="15.75" customHeight="1" x14ac:dyDescent="0.3">
      <c r="A630" s="10" t="s">
        <v>3420</v>
      </c>
      <c r="B630" s="10">
        <v>1988</v>
      </c>
      <c r="C630" s="10" t="s">
        <v>4714</v>
      </c>
      <c r="D630" s="10">
        <v>8</v>
      </c>
      <c r="E630" s="10">
        <v>1</v>
      </c>
      <c r="F630" s="24">
        <v>5385.34</v>
      </c>
      <c r="G630" s="10" t="s">
        <v>4695</v>
      </c>
      <c r="H630" s="10" t="s">
        <v>4696</v>
      </c>
      <c r="I630" s="10" t="s">
        <v>4712</v>
      </c>
      <c r="J630" s="17">
        <f t="shared" si="4"/>
        <v>32363</v>
      </c>
      <c r="K630" s="10">
        <f t="shared" ca="1" si="5"/>
        <v>37</v>
      </c>
      <c r="L630" s="6"/>
      <c r="M630" s="6"/>
      <c r="N630" s="6"/>
      <c r="O630" s="6"/>
      <c r="P630" s="6"/>
      <c r="Q630" s="6"/>
      <c r="R630" s="6"/>
      <c r="S630" s="6"/>
      <c r="T630" s="6"/>
      <c r="U630" s="6"/>
      <c r="V630" s="6"/>
      <c r="W630" s="6"/>
      <c r="X630" s="6"/>
      <c r="Y630" s="6"/>
      <c r="Z630" s="6"/>
    </row>
    <row r="631" spans="1:26" ht="15.75" customHeight="1" x14ac:dyDescent="0.3">
      <c r="A631" s="10" t="s">
        <v>3418</v>
      </c>
      <c r="B631" s="10">
        <v>1989</v>
      </c>
      <c r="C631" s="10" t="s">
        <v>4709</v>
      </c>
      <c r="D631" s="10">
        <v>6</v>
      </c>
      <c r="E631" s="10">
        <v>3</v>
      </c>
      <c r="F631" s="24">
        <v>5396.44</v>
      </c>
      <c r="G631" s="10" t="s">
        <v>4695</v>
      </c>
      <c r="H631" s="10" t="s">
        <v>4696</v>
      </c>
      <c r="I631" s="10" t="s">
        <v>4708</v>
      </c>
      <c r="J631" s="17">
        <f t="shared" si="4"/>
        <v>32818</v>
      </c>
      <c r="K631" s="10">
        <f t="shared" ca="1" si="5"/>
        <v>36</v>
      </c>
      <c r="L631" s="6"/>
      <c r="M631" s="6"/>
      <c r="N631" s="6"/>
      <c r="O631" s="6"/>
      <c r="P631" s="6"/>
      <c r="Q631" s="6"/>
      <c r="R631" s="6"/>
      <c r="S631" s="6"/>
      <c r="T631" s="6"/>
      <c r="U631" s="6"/>
      <c r="V631" s="6"/>
      <c r="W631" s="6"/>
      <c r="X631" s="6"/>
      <c r="Y631" s="6"/>
      <c r="Z631" s="6"/>
    </row>
    <row r="632" spans="1:26" ht="15.75" customHeight="1" x14ac:dyDescent="0.3">
      <c r="A632" s="10" t="s">
        <v>3416</v>
      </c>
      <c r="B632" s="10">
        <v>1984</v>
      </c>
      <c r="C632" s="10" t="s">
        <v>4711</v>
      </c>
      <c r="D632" s="10">
        <v>3</v>
      </c>
      <c r="E632" s="10">
        <v>0</v>
      </c>
      <c r="F632" s="24">
        <v>5397.62</v>
      </c>
      <c r="G632" s="10" t="s">
        <v>4695</v>
      </c>
      <c r="H632" s="10" t="s">
        <v>4695</v>
      </c>
      <c r="I632" s="10" t="s">
        <v>4708</v>
      </c>
      <c r="J632" s="17">
        <f t="shared" si="4"/>
        <v>30928</v>
      </c>
      <c r="K632" s="10">
        <f t="shared" ca="1" si="5"/>
        <v>41</v>
      </c>
      <c r="L632" s="6"/>
      <c r="M632" s="6"/>
      <c r="N632" s="6"/>
      <c r="O632" s="6"/>
      <c r="P632" s="6"/>
      <c r="Q632" s="6"/>
      <c r="R632" s="6"/>
      <c r="S632" s="6"/>
      <c r="T632" s="6"/>
      <c r="U632" s="6"/>
      <c r="V632" s="6"/>
      <c r="W632" s="6"/>
      <c r="X632" s="6"/>
      <c r="Y632" s="6"/>
      <c r="Z632" s="6"/>
    </row>
    <row r="633" spans="1:26" ht="15.75" customHeight="1" x14ac:dyDescent="0.3">
      <c r="A633" s="10" t="s">
        <v>3414</v>
      </c>
      <c r="B633" s="10">
        <v>1984</v>
      </c>
      <c r="C633" s="10" t="s">
        <v>4714</v>
      </c>
      <c r="D633" s="10">
        <v>1</v>
      </c>
      <c r="E633" s="10">
        <v>0</v>
      </c>
      <c r="F633" s="24">
        <v>5400.98</v>
      </c>
      <c r="G633" s="10" t="s">
        <v>4695</v>
      </c>
      <c r="H633" s="10" t="s">
        <v>4695</v>
      </c>
      <c r="I633" s="10" t="s">
        <v>4708</v>
      </c>
      <c r="J633" s="17">
        <f t="shared" si="4"/>
        <v>30895</v>
      </c>
      <c r="K633" s="10">
        <f t="shared" ca="1" si="5"/>
        <v>41</v>
      </c>
      <c r="L633" s="6"/>
      <c r="M633" s="6"/>
      <c r="N633" s="6"/>
      <c r="O633" s="6"/>
      <c r="P633" s="6"/>
      <c r="Q633" s="6"/>
      <c r="R633" s="6"/>
      <c r="S633" s="6"/>
      <c r="T633" s="6"/>
      <c r="U633" s="6"/>
      <c r="V633" s="6"/>
      <c r="W633" s="6"/>
      <c r="X633" s="6"/>
      <c r="Y633" s="6"/>
      <c r="Z633" s="6"/>
    </row>
    <row r="634" spans="1:26" ht="15.75" customHeight="1" x14ac:dyDescent="0.3">
      <c r="A634" s="10" t="s">
        <v>3412</v>
      </c>
      <c r="B634" s="10">
        <v>1985</v>
      </c>
      <c r="C634" s="10" t="s">
        <v>4713</v>
      </c>
      <c r="D634" s="10">
        <v>23</v>
      </c>
      <c r="E634" s="10">
        <v>3</v>
      </c>
      <c r="F634" s="24">
        <v>5402.89</v>
      </c>
      <c r="G634" s="10" t="s">
        <v>4695</v>
      </c>
      <c r="H634" s="10" t="s">
        <v>4694</v>
      </c>
      <c r="I634" s="10" t="s">
        <v>4708</v>
      </c>
      <c r="J634" s="17">
        <f t="shared" si="4"/>
        <v>31404</v>
      </c>
      <c r="K634" s="10">
        <f t="shared" ca="1" si="5"/>
        <v>39</v>
      </c>
      <c r="L634" s="6"/>
      <c r="M634" s="6"/>
      <c r="N634" s="6"/>
      <c r="O634" s="6"/>
      <c r="P634" s="6"/>
      <c r="Q634" s="6"/>
      <c r="R634" s="6"/>
      <c r="S634" s="6"/>
      <c r="T634" s="6"/>
      <c r="U634" s="6"/>
      <c r="V634" s="6"/>
      <c r="W634" s="6"/>
      <c r="X634" s="6"/>
      <c r="Y634" s="6"/>
      <c r="Z634" s="6"/>
    </row>
    <row r="635" spans="1:26" ht="15.75" customHeight="1" x14ac:dyDescent="0.3">
      <c r="A635" s="10" t="s">
        <v>3410</v>
      </c>
      <c r="B635" s="10">
        <v>1975</v>
      </c>
      <c r="C635" s="10" t="s">
        <v>4711</v>
      </c>
      <c r="D635" s="10">
        <v>27</v>
      </c>
      <c r="E635" s="10">
        <v>1</v>
      </c>
      <c r="F635" s="24">
        <v>5411.99</v>
      </c>
      <c r="G635" s="10" t="s">
        <v>4695</v>
      </c>
      <c r="H635" s="10" t="s">
        <v>4696</v>
      </c>
      <c r="I635" s="10" t="s">
        <v>4712</v>
      </c>
      <c r="J635" s="17">
        <f t="shared" si="4"/>
        <v>27664</v>
      </c>
      <c r="K635" s="10">
        <f t="shared" ca="1" si="5"/>
        <v>50</v>
      </c>
      <c r="L635" s="6"/>
      <c r="M635" s="6"/>
      <c r="N635" s="6"/>
      <c r="O635" s="6"/>
      <c r="P635" s="6"/>
      <c r="Q635" s="6"/>
      <c r="R635" s="6"/>
      <c r="S635" s="6"/>
      <c r="T635" s="6"/>
      <c r="U635" s="6"/>
      <c r="V635" s="6"/>
      <c r="W635" s="6"/>
      <c r="X635" s="6"/>
      <c r="Y635" s="6"/>
      <c r="Z635" s="6"/>
    </row>
    <row r="636" spans="1:26" ht="15.75" customHeight="1" x14ac:dyDescent="0.3">
      <c r="A636" s="10" t="s">
        <v>3408</v>
      </c>
      <c r="B636" s="10">
        <v>1982</v>
      </c>
      <c r="C636" s="10" t="s">
        <v>4711</v>
      </c>
      <c r="D636" s="10">
        <v>27</v>
      </c>
      <c r="E636" s="10">
        <v>0</v>
      </c>
      <c r="F636" s="24">
        <v>5415.66</v>
      </c>
      <c r="G636" s="10" t="s">
        <v>4695</v>
      </c>
      <c r="H636" s="10" t="s">
        <v>4696</v>
      </c>
      <c r="I636" s="10" t="s">
        <v>4708</v>
      </c>
      <c r="J636" s="17">
        <f t="shared" si="4"/>
        <v>30221</v>
      </c>
      <c r="K636" s="10">
        <f t="shared" ca="1" si="5"/>
        <v>43</v>
      </c>
      <c r="L636" s="6"/>
      <c r="M636" s="6"/>
      <c r="N636" s="6"/>
      <c r="O636" s="6"/>
      <c r="P636" s="6"/>
      <c r="Q636" s="6"/>
      <c r="R636" s="6"/>
      <c r="S636" s="6"/>
      <c r="T636" s="6"/>
      <c r="U636" s="6"/>
      <c r="V636" s="6"/>
      <c r="W636" s="6"/>
      <c r="X636" s="6"/>
      <c r="Y636" s="6"/>
      <c r="Z636" s="6"/>
    </row>
    <row r="637" spans="1:26" ht="15.75" customHeight="1" x14ac:dyDescent="0.3">
      <c r="A637" s="10" t="s">
        <v>3406</v>
      </c>
      <c r="B637" s="10">
        <v>1991</v>
      </c>
      <c r="C637" s="10" t="s">
        <v>4707</v>
      </c>
      <c r="D637" s="10">
        <v>6</v>
      </c>
      <c r="E637" s="10">
        <v>3</v>
      </c>
      <c r="F637" s="24">
        <v>5425.02</v>
      </c>
      <c r="G637" s="10" t="s">
        <v>4695</v>
      </c>
      <c r="H637" s="10" t="s">
        <v>4694</v>
      </c>
      <c r="I637" s="10" t="s">
        <v>4712</v>
      </c>
      <c r="J637" s="17">
        <f t="shared" si="4"/>
        <v>33425</v>
      </c>
      <c r="K637" s="10">
        <f t="shared" ca="1" si="5"/>
        <v>34</v>
      </c>
      <c r="L637" s="6"/>
      <c r="M637" s="6"/>
      <c r="N637" s="6"/>
      <c r="O637" s="6"/>
      <c r="P637" s="6"/>
      <c r="Q637" s="6"/>
      <c r="R637" s="6"/>
      <c r="S637" s="6"/>
      <c r="T637" s="6"/>
      <c r="U637" s="6"/>
      <c r="V637" s="6"/>
      <c r="W637" s="6"/>
      <c r="X637" s="6"/>
      <c r="Y637" s="6"/>
      <c r="Z637" s="6"/>
    </row>
    <row r="638" spans="1:26" ht="15.75" customHeight="1" x14ac:dyDescent="0.3">
      <c r="A638" s="10" t="s">
        <v>3404</v>
      </c>
      <c r="B638" s="10">
        <v>1992</v>
      </c>
      <c r="C638" s="10" t="s">
        <v>4711</v>
      </c>
      <c r="D638" s="10">
        <v>17</v>
      </c>
      <c r="E638" s="10">
        <v>3</v>
      </c>
      <c r="F638" s="24">
        <v>5428.73</v>
      </c>
      <c r="G638" s="10" t="s">
        <v>4696</v>
      </c>
      <c r="H638" s="10" t="s">
        <v>4694</v>
      </c>
      <c r="I638" s="10" t="s">
        <v>4727</v>
      </c>
      <c r="J638" s="17">
        <f t="shared" si="4"/>
        <v>33864</v>
      </c>
      <c r="K638" s="10">
        <f t="shared" ca="1" si="5"/>
        <v>33</v>
      </c>
      <c r="L638" s="6"/>
      <c r="M638" s="6"/>
      <c r="N638" s="6"/>
      <c r="O638" s="6"/>
      <c r="P638" s="6"/>
      <c r="Q638" s="6"/>
      <c r="R638" s="6"/>
      <c r="S638" s="6"/>
      <c r="T638" s="6"/>
      <c r="U638" s="6"/>
      <c r="V638" s="6"/>
      <c r="W638" s="6"/>
      <c r="X638" s="6"/>
      <c r="Y638" s="6"/>
      <c r="Z638" s="6"/>
    </row>
    <row r="639" spans="1:26" ht="15.75" customHeight="1" x14ac:dyDescent="0.3">
      <c r="A639" s="10" t="s">
        <v>3402</v>
      </c>
      <c r="B639" s="10">
        <v>1978</v>
      </c>
      <c r="C639" s="10" t="s">
        <v>4710</v>
      </c>
      <c r="D639" s="10">
        <v>8</v>
      </c>
      <c r="E639" s="10">
        <v>2</v>
      </c>
      <c r="F639" s="24">
        <v>5428.98</v>
      </c>
      <c r="G639" s="10" t="s">
        <v>4695</v>
      </c>
      <c r="H639" s="10" t="s">
        <v>4695</v>
      </c>
      <c r="I639" s="10" t="s">
        <v>4712</v>
      </c>
      <c r="J639" s="17">
        <f t="shared" si="4"/>
        <v>28649</v>
      </c>
      <c r="K639" s="10">
        <f t="shared" ca="1" si="5"/>
        <v>47</v>
      </c>
      <c r="L639" s="6"/>
      <c r="M639" s="6"/>
      <c r="N639" s="6"/>
      <c r="O639" s="6"/>
      <c r="P639" s="6"/>
      <c r="Q639" s="6"/>
      <c r="R639" s="6"/>
      <c r="S639" s="6"/>
      <c r="T639" s="6"/>
      <c r="U639" s="6"/>
      <c r="V639" s="6"/>
      <c r="W639" s="6"/>
      <c r="X639" s="6"/>
      <c r="Y639" s="6"/>
      <c r="Z639" s="6"/>
    </row>
    <row r="640" spans="1:26" ht="15.75" customHeight="1" x14ac:dyDescent="0.3">
      <c r="A640" s="10" t="s">
        <v>3400</v>
      </c>
      <c r="B640" s="10">
        <v>1982</v>
      </c>
      <c r="C640" s="10" t="s">
        <v>4714</v>
      </c>
      <c r="D640" s="10">
        <v>25</v>
      </c>
      <c r="E640" s="10">
        <v>0</v>
      </c>
      <c r="F640" s="24">
        <v>5438.75</v>
      </c>
      <c r="G640" s="10" t="s">
        <v>4696</v>
      </c>
      <c r="H640" s="10" t="s">
        <v>4695</v>
      </c>
      <c r="I640" s="10" t="s">
        <v>4708</v>
      </c>
      <c r="J640" s="17">
        <f t="shared" si="4"/>
        <v>30188</v>
      </c>
      <c r="K640" s="10">
        <f t="shared" ca="1" si="5"/>
        <v>43</v>
      </c>
      <c r="L640" s="6"/>
      <c r="M640" s="6"/>
      <c r="N640" s="6"/>
      <c r="O640" s="6"/>
      <c r="P640" s="6"/>
      <c r="Q640" s="6"/>
      <c r="R640" s="6"/>
      <c r="S640" s="6"/>
      <c r="T640" s="6"/>
      <c r="U640" s="6"/>
      <c r="V640" s="6"/>
      <c r="W640" s="6"/>
      <c r="X640" s="6"/>
      <c r="Y640" s="6"/>
      <c r="Z640" s="6"/>
    </row>
    <row r="641" spans="1:26" ht="15.75" customHeight="1" x14ac:dyDescent="0.3">
      <c r="A641" s="10" t="s">
        <v>3398</v>
      </c>
      <c r="B641" s="10">
        <v>1986</v>
      </c>
      <c r="C641" s="10" t="s">
        <v>4713</v>
      </c>
      <c r="D641" s="10">
        <v>25</v>
      </c>
      <c r="E641" s="10">
        <v>0</v>
      </c>
      <c r="F641" s="24">
        <v>5458.05</v>
      </c>
      <c r="G641" s="10" t="s">
        <v>4695</v>
      </c>
      <c r="H641" s="10" t="s">
        <v>4695</v>
      </c>
      <c r="I641" s="10" t="s">
        <v>4723</v>
      </c>
      <c r="J641" s="17">
        <f t="shared" si="4"/>
        <v>31771</v>
      </c>
      <c r="K641" s="10">
        <f t="shared" ca="1" si="5"/>
        <v>38</v>
      </c>
      <c r="L641" s="6"/>
      <c r="M641" s="6"/>
      <c r="N641" s="6"/>
      <c r="O641" s="6"/>
      <c r="P641" s="6"/>
      <c r="Q641" s="6"/>
      <c r="R641" s="6"/>
      <c r="S641" s="6"/>
      <c r="T641" s="6"/>
      <c r="U641" s="6"/>
      <c r="V641" s="6"/>
      <c r="W641" s="6"/>
      <c r="X641" s="6"/>
      <c r="Y641" s="6"/>
      <c r="Z641" s="6"/>
    </row>
    <row r="642" spans="1:26" ht="15.75" customHeight="1" x14ac:dyDescent="0.3">
      <c r="A642" s="10" t="s">
        <v>3396</v>
      </c>
      <c r="B642" s="10">
        <v>1973</v>
      </c>
      <c r="C642" s="10" t="s">
        <v>4715</v>
      </c>
      <c r="D642" s="10">
        <v>24</v>
      </c>
      <c r="E642" s="10">
        <v>0</v>
      </c>
      <c r="F642" s="24">
        <v>5466.88</v>
      </c>
      <c r="G642" s="10" t="s">
        <v>4695</v>
      </c>
      <c r="H642" s="10" t="s">
        <v>4695</v>
      </c>
      <c r="I642" s="10" t="s">
        <v>4708</v>
      </c>
      <c r="J642" s="17">
        <f t="shared" si="4"/>
        <v>26961</v>
      </c>
      <c r="K642" s="10">
        <f t="shared" ca="1" si="5"/>
        <v>52</v>
      </c>
      <c r="L642" s="6"/>
      <c r="M642" s="6"/>
      <c r="N642" s="6"/>
      <c r="O642" s="6"/>
      <c r="P642" s="6"/>
      <c r="Q642" s="6"/>
      <c r="R642" s="6"/>
      <c r="S642" s="6"/>
      <c r="T642" s="6"/>
      <c r="U642" s="6"/>
      <c r="V642" s="6"/>
      <c r="W642" s="6"/>
      <c r="X642" s="6"/>
      <c r="Y642" s="6"/>
      <c r="Z642" s="6"/>
    </row>
    <row r="643" spans="1:26" ht="15.75" customHeight="1" x14ac:dyDescent="0.3">
      <c r="A643" s="10" t="s">
        <v>3394</v>
      </c>
      <c r="B643" s="10">
        <v>1986</v>
      </c>
      <c r="C643" s="10" t="s">
        <v>4713</v>
      </c>
      <c r="D643" s="10">
        <v>2</v>
      </c>
      <c r="E643" s="10">
        <v>0</v>
      </c>
      <c r="F643" s="24">
        <v>5469.01</v>
      </c>
      <c r="G643" s="10" t="s">
        <v>4695</v>
      </c>
      <c r="H643" s="10" t="s">
        <v>4695</v>
      </c>
      <c r="I643" s="10" t="s">
        <v>4723</v>
      </c>
      <c r="J643" s="17">
        <f t="shared" si="4"/>
        <v>31748</v>
      </c>
      <c r="K643" s="10">
        <f t="shared" ca="1" si="5"/>
        <v>38</v>
      </c>
      <c r="L643" s="6"/>
      <c r="M643" s="6"/>
      <c r="N643" s="6"/>
      <c r="O643" s="6"/>
      <c r="P643" s="6"/>
      <c r="Q643" s="6"/>
      <c r="R643" s="6"/>
      <c r="S643" s="6"/>
      <c r="T643" s="6"/>
      <c r="U643" s="6"/>
      <c r="V643" s="6"/>
      <c r="W643" s="6"/>
      <c r="X643" s="6"/>
      <c r="Y643" s="6"/>
      <c r="Z643" s="6"/>
    </row>
    <row r="644" spans="1:26" ht="15.75" customHeight="1" x14ac:dyDescent="0.3">
      <c r="A644" s="10" t="s">
        <v>3392</v>
      </c>
      <c r="B644" s="10">
        <v>1986</v>
      </c>
      <c r="C644" s="10" t="s">
        <v>4707</v>
      </c>
      <c r="D644" s="10">
        <v>12</v>
      </c>
      <c r="E644" s="10">
        <v>1</v>
      </c>
      <c r="F644" s="24">
        <v>5472.45</v>
      </c>
      <c r="G644" s="10" t="s">
        <v>4695</v>
      </c>
      <c r="H644" s="10" t="s">
        <v>4696</v>
      </c>
      <c r="I644" s="10" t="s">
        <v>4716</v>
      </c>
      <c r="J644" s="17">
        <f t="shared" si="4"/>
        <v>31605</v>
      </c>
      <c r="K644" s="10">
        <f t="shared" ca="1" si="5"/>
        <v>39</v>
      </c>
      <c r="L644" s="6"/>
      <c r="M644" s="6"/>
      <c r="N644" s="6"/>
      <c r="O644" s="6"/>
      <c r="P644" s="6"/>
      <c r="Q644" s="6"/>
      <c r="R644" s="6"/>
      <c r="S644" s="6"/>
      <c r="T644" s="6"/>
      <c r="U644" s="6"/>
      <c r="V644" s="6"/>
      <c r="W644" s="6"/>
      <c r="X644" s="6"/>
      <c r="Y644" s="6"/>
      <c r="Z644" s="6"/>
    </row>
    <row r="645" spans="1:26" ht="15.75" customHeight="1" x14ac:dyDescent="0.3">
      <c r="A645" s="10" t="s">
        <v>3390</v>
      </c>
      <c r="B645" s="10">
        <v>1986</v>
      </c>
      <c r="C645" s="10" t="s">
        <v>4711</v>
      </c>
      <c r="D645" s="10">
        <v>30</v>
      </c>
      <c r="E645" s="10">
        <v>1</v>
      </c>
      <c r="F645" s="24">
        <v>5478.04</v>
      </c>
      <c r="G645" s="10" t="s">
        <v>4695</v>
      </c>
      <c r="H645" s="10" t="s">
        <v>4696</v>
      </c>
      <c r="I645" s="10" t="s">
        <v>4708</v>
      </c>
      <c r="J645" s="17">
        <f t="shared" si="4"/>
        <v>31685</v>
      </c>
      <c r="K645" s="10">
        <f t="shared" ca="1" si="5"/>
        <v>39</v>
      </c>
      <c r="L645" s="6"/>
      <c r="M645" s="6"/>
      <c r="N645" s="6"/>
      <c r="O645" s="6"/>
      <c r="P645" s="6"/>
      <c r="Q645" s="6"/>
      <c r="R645" s="6"/>
      <c r="S645" s="6"/>
      <c r="T645" s="6"/>
      <c r="U645" s="6"/>
      <c r="V645" s="6"/>
      <c r="W645" s="6"/>
      <c r="X645" s="6"/>
      <c r="Y645" s="6"/>
      <c r="Z645" s="6"/>
    </row>
    <row r="646" spans="1:26" ht="15.75" customHeight="1" x14ac:dyDescent="0.3">
      <c r="A646" s="10" t="s">
        <v>3388</v>
      </c>
      <c r="B646" s="10">
        <v>1984</v>
      </c>
      <c r="C646" s="10" t="s">
        <v>4714</v>
      </c>
      <c r="D646" s="10">
        <v>26</v>
      </c>
      <c r="E646" s="10">
        <v>1</v>
      </c>
      <c r="F646" s="24">
        <v>5484.47</v>
      </c>
      <c r="G646" s="10" t="s">
        <v>4695</v>
      </c>
      <c r="H646" s="10" t="s">
        <v>4695</v>
      </c>
      <c r="I646" s="10" t="s">
        <v>4708</v>
      </c>
      <c r="J646" s="17">
        <f t="shared" si="4"/>
        <v>30920</v>
      </c>
      <c r="K646" s="10">
        <f t="shared" ca="1" si="5"/>
        <v>41</v>
      </c>
      <c r="L646" s="6"/>
      <c r="M646" s="6"/>
      <c r="N646" s="6"/>
      <c r="O646" s="6"/>
      <c r="P646" s="6"/>
      <c r="Q646" s="6"/>
      <c r="R646" s="6"/>
      <c r="S646" s="6"/>
      <c r="T646" s="6"/>
      <c r="U646" s="6"/>
      <c r="V646" s="6"/>
      <c r="W646" s="6"/>
      <c r="X646" s="6"/>
      <c r="Y646" s="6"/>
      <c r="Z646" s="6"/>
    </row>
    <row r="647" spans="1:26" ht="15.75" customHeight="1" x14ac:dyDescent="0.3">
      <c r="A647" s="10" t="s">
        <v>3386</v>
      </c>
      <c r="B647" s="10">
        <v>1984</v>
      </c>
      <c r="C647" s="10" t="s">
        <v>4714</v>
      </c>
      <c r="D647" s="10">
        <v>17</v>
      </c>
      <c r="E647" s="10">
        <v>1</v>
      </c>
      <c r="F647" s="24">
        <v>5488.26</v>
      </c>
      <c r="G647" s="10" t="s">
        <v>4695</v>
      </c>
      <c r="H647" s="10" t="s">
        <v>4696</v>
      </c>
      <c r="I647" s="10" t="s">
        <v>4716</v>
      </c>
      <c r="J647" s="17">
        <f t="shared" si="4"/>
        <v>30911</v>
      </c>
      <c r="K647" s="10">
        <f t="shared" ca="1" si="5"/>
        <v>41</v>
      </c>
      <c r="L647" s="6"/>
      <c r="M647" s="6"/>
      <c r="N647" s="6"/>
      <c r="O647" s="6"/>
      <c r="P647" s="6"/>
      <c r="Q647" s="6"/>
      <c r="R647" s="6"/>
      <c r="S647" s="6"/>
      <c r="T647" s="6"/>
      <c r="U647" s="6"/>
      <c r="V647" s="6"/>
      <c r="W647" s="6"/>
      <c r="X647" s="6"/>
      <c r="Y647" s="6"/>
      <c r="Z647" s="6"/>
    </row>
    <row r="648" spans="1:26" ht="15.75" customHeight="1" x14ac:dyDescent="0.3">
      <c r="A648" s="10" t="s">
        <v>3384</v>
      </c>
      <c r="B648" s="10">
        <v>1988</v>
      </c>
      <c r="C648" s="10" t="s">
        <v>4707</v>
      </c>
      <c r="D648" s="10">
        <v>29</v>
      </c>
      <c r="E648" s="10">
        <v>3</v>
      </c>
      <c r="F648" s="24">
        <v>5503.36</v>
      </c>
      <c r="G648" s="10" t="s">
        <v>4695</v>
      </c>
      <c r="H648" s="10" t="s">
        <v>4695</v>
      </c>
      <c r="I648" s="10" t="s">
        <v>4712</v>
      </c>
      <c r="J648" s="17">
        <f t="shared" si="4"/>
        <v>32353</v>
      </c>
      <c r="K648" s="10">
        <f t="shared" ca="1" si="5"/>
        <v>37</v>
      </c>
      <c r="L648" s="6"/>
      <c r="M648" s="6"/>
      <c r="N648" s="6"/>
      <c r="O648" s="6"/>
      <c r="P648" s="6"/>
      <c r="Q648" s="6"/>
      <c r="R648" s="6"/>
      <c r="S648" s="6"/>
      <c r="T648" s="6"/>
      <c r="U648" s="6"/>
      <c r="V648" s="6"/>
      <c r="W648" s="6"/>
      <c r="X648" s="6"/>
      <c r="Y648" s="6"/>
      <c r="Z648" s="6"/>
    </row>
    <row r="649" spans="1:26" ht="15.75" customHeight="1" x14ac:dyDescent="0.3">
      <c r="A649" s="10" t="s">
        <v>3382</v>
      </c>
      <c r="B649" s="10">
        <v>1981</v>
      </c>
      <c r="C649" s="10" t="s">
        <v>4709</v>
      </c>
      <c r="D649" s="10">
        <v>7</v>
      </c>
      <c r="E649" s="10">
        <v>1</v>
      </c>
      <c r="F649" s="24">
        <v>5539.4</v>
      </c>
      <c r="G649" s="10" t="s">
        <v>4695</v>
      </c>
      <c r="H649" s="10" t="s">
        <v>4695</v>
      </c>
      <c r="I649" s="10" t="s">
        <v>4708</v>
      </c>
      <c r="J649" s="17">
        <f t="shared" si="4"/>
        <v>29897</v>
      </c>
      <c r="K649" s="10">
        <f t="shared" ca="1" si="5"/>
        <v>44</v>
      </c>
      <c r="L649" s="6"/>
      <c r="M649" s="6"/>
      <c r="N649" s="6"/>
      <c r="O649" s="6"/>
      <c r="P649" s="6"/>
      <c r="Q649" s="6"/>
      <c r="R649" s="6"/>
      <c r="S649" s="6"/>
      <c r="T649" s="6"/>
      <c r="U649" s="6"/>
      <c r="V649" s="6"/>
      <c r="W649" s="6"/>
      <c r="X649" s="6"/>
      <c r="Y649" s="6"/>
      <c r="Z649" s="6"/>
    </row>
    <row r="650" spans="1:26" ht="15.75" customHeight="1" x14ac:dyDescent="0.3">
      <c r="A650" s="10" t="s">
        <v>3380</v>
      </c>
      <c r="B650" s="10">
        <v>1980</v>
      </c>
      <c r="C650" s="10" t="s">
        <v>4713</v>
      </c>
      <c r="D650" s="10">
        <v>7</v>
      </c>
      <c r="E650" s="10">
        <v>2</v>
      </c>
      <c r="F650" s="24">
        <v>5540.35</v>
      </c>
      <c r="G650" s="10" t="s">
        <v>4695</v>
      </c>
      <c r="H650" s="10" t="s">
        <v>4695</v>
      </c>
      <c r="I650" s="10" t="s">
        <v>4712</v>
      </c>
      <c r="J650" s="17">
        <f t="shared" si="4"/>
        <v>29562</v>
      </c>
      <c r="K650" s="10">
        <f t="shared" ca="1" si="5"/>
        <v>44</v>
      </c>
      <c r="L650" s="6"/>
      <c r="M650" s="6"/>
      <c r="N650" s="6"/>
      <c r="O650" s="6"/>
      <c r="P650" s="6"/>
      <c r="Q650" s="6"/>
      <c r="R650" s="6"/>
      <c r="S650" s="6"/>
      <c r="T650" s="6"/>
      <c r="U650" s="6"/>
      <c r="V650" s="6"/>
      <c r="W650" s="6"/>
      <c r="X650" s="6"/>
      <c r="Y650" s="6"/>
      <c r="Z650" s="6"/>
    </row>
    <row r="651" spans="1:26" ht="15.75" customHeight="1" x14ac:dyDescent="0.3">
      <c r="A651" s="10" t="s">
        <v>3378</v>
      </c>
      <c r="B651" s="10">
        <v>1999</v>
      </c>
      <c r="C651" s="10" t="s">
        <v>4711</v>
      </c>
      <c r="D651" s="10">
        <v>22</v>
      </c>
      <c r="E651" s="10">
        <v>0</v>
      </c>
      <c r="F651" s="24">
        <v>5552.61</v>
      </c>
      <c r="G651" s="10" t="s">
        <v>4695</v>
      </c>
      <c r="H651" s="10" t="s">
        <v>4696</v>
      </c>
      <c r="I651" s="10" t="s">
        <v>4729</v>
      </c>
      <c r="J651" s="17">
        <f t="shared" si="4"/>
        <v>36425</v>
      </c>
      <c r="K651" s="10">
        <f t="shared" ca="1" si="5"/>
        <v>26</v>
      </c>
      <c r="L651" s="6"/>
      <c r="M651" s="6"/>
      <c r="N651" s="6"/>
      <c r="O651" s="6"/>
      <c r="P651" s="6"/>
      <c r="Q651" s="6"/>
      <c r="R651" s="6"/>
      <c r="S651" s="6"/>
      <c r="T651" s="6"/>
      <c r="U651" s="6"/>
      <c r="V651" s="6"/>
      <c r="W651" s="6"/>
      <c r="X651" s="6"/>
      <c r="Y651" s="6"/>
      <c r="Z651" s="6"/>
    </row>
    <row r="652" spans="1:26" ht="15.75" customHeight="1" x14ac:dyDescent="0.3">
      <c r="A652" s="10" t="s">
        <v>3376</v>
      </c>
      <c r="B652" s="10">
        <v>1974</v>
      </c>
      <c r="C652" s="10" t="s">
        <v>4711</v>
      </c>
      <c r="D652" s="10">
        <v>18</v>
      </c>
      <c r="E652" s="10">
        <v>0</v>
      </c>
      <c r="F652" s="24">
        <v>5576.35</v>
      </c>
      <c r="G652" s="10" t="s">
        <v>4695</v>
      </c>
      <c r="H652" s="10" t="s">
        <v>4696</v>
      </c>
      <c r="I652" s="10" t="s">
        <v>4708</v>
      </c>
      <c r="J652" s="17">
        <f t="shared" si="4"/>
        <v>27290</v>
      </c>
      <c r="K652" s="10">
        <f t="shared" ca="1" si="5"/>
        <v>51</v>
      </c>
      <c r="L652" s="6"/>
      <c r="M652" s="6"/>
      <c r="N652" s="6"/>
      <c r="O652" s="6"/>
      <c r="P652" s="6"/>
      <c r="Q652" s="6"/>
      <c r="R652" s="6"/>
      <c r="S652" s="6"/>
      <c r="T652" s="6"/>
      <c r="U652" s="6"/>
      <c r="V652" s="6"/>
      <c r="W652" s="6"/>
      <c r="X652" s="6"/>
      <c r="Y652" s="6"/>
      <c r="Z652" s="6"/>
    </row>
    <row r="653" spans="1:26" ht="15.75" customHeight="1" x14ac:dyDescent="0.3">
      <c r="A653" s="10" t="s">
        <v>3374</v>
      </c>
      <c r="B653" s="10">
        <v>1985</v>
      </c>
      <c r="C653" s="10" t="s">
        <v>4711</v>
      </c>
      <c r="D653" s="10">
        <v>5</v>
      </c>
      <c r="E653" s="10">
        <v>3</v>
      </c>
      <c r="F653" s="24">
        <v>5582.95</v>
      </c>
      <c r="G653" s="10" t="s">
        <v>4695</v>
      </c>
      <c r="H653" s="10" t="s">
        <v>4694</v>
      </c>
      <c r="I653" s="10" t="s">
        <v>4712</v>
      </c>
      <c r="J653" s="17">
        <f t="shared" si="4"/>
        <v>31295</v>
      </c>
      <c r="K653" s="10">
        <f t="shared" ca="1" si="5"/>
        <v>40</v>
      </c>
      <c r="L653" s="6"/>
      <c r="M653" s="6"/>
      <c r="N653" s="6"/>
      <c r="O653" s="6"/>
      <c r="P653" s="6"/>
      <c r="Q653" s="6"/>
      <c r="R653" s="6"/>
      <c r="S653" s="6"/>
      <c r="T653" s="6"/>
      <c r="U653" s="6"/>
      <c r="V653" s="6"/>
      <c r="W653" s="6"/>
      <c r="X653" s="6"/>
      <c r="Y653" s="6"/>
      <c r="Z653" s="6"/>
    </row>
    <row r="654" spans="1:26" ht="15.75" customHeight="1" x14ac:dyDescent="0.3">
      <c r="A654" s="10" t="s">
        <v>3372</v>
      </c>
      <c r="B654" s="10">
        <v>1986</v>
      </c>
      <c r="C654" s="10" t="s">
        <v>4709</v>
      </c>
      <c r="D654" s="10">
        <v>21</v>
      </c>
      <c r="E654" s="10">
        <v>2</v>
      </c>
      <c r="F654" s="24">
        <v>5584.31</v>
      </c>
      <c r="G654" s="10" t="s">
        <v>4696</v>
      </c>
      <c r="H654" s="10" t="s">
        <v>4694</v>
      </c>
      <c r="I654" s="10" t="s">
        <v>4708</v>
      </c>
      <c r="J654" s="17">
        <f t="shared" si="4"/>
        <v>31737</v>
      </c>
      <c r="K654" s="10">
        <f t="shared" ca="1" si="5"/>
        <v>39</v>
      </c>
      <c r="L654" s="6"/>
      <c r="M654" s="6"/>
      <c r="N654" s="6"/>
      <c r="O654" s="6"/>
      <c r="P654" s="6"/>
      <c r="Q654" s="6"/>
      <c r="R654" s="6"/>
      <c r="S654" s="6"/>
      <c r="T654" s="6"/>
      <c r="U654" s="6"/>
      <c r="V654" s="6"/>
      <c r="W654" s="6"/>
      <c r="X654" s="6"/>
      <c r="Y654" s="6"/>
      <c r="Z654" s="6"/>
    </row>
    <row r="655" spans="1:26" ht="15.75" customHeight="1" x14ac:dyDescent="0.3">
      <c r="A655" s="10" t="s">
        <v>3370</v>
      </c>
      <c r="B655" s="10">
        <v>1983</v>
      </c>
      <c r="C655" s="10" t="s">
        <v>4715</v>
      </c>
      <c r="D655" s="10">
        <v>3</v>
      </c>
      <c r="E655" s="10">
        <v>3</v>
      </c>
      <c r="F655" s="24">
        <v>5587.59</v>
      </c>
      <c r="G655" s="10" t="s">
        <v>4695</v>
      </c>
      <c r="H655" s="10" t="s">
        <v>4694</v>
      </c>
      <c r="I655" s="10" t="s">
        <v>4708</v>
      </c>
      <c r="J655" s="17">
        <f t="shared" si="4"/>
        <v>30592</v>
      </c>
      <c r="K655" s="10">
        <f t="shared" ca="1" si="5"/>
        <v>42</v>
      </c>
      <c r="L655" s="6"/>
      <c r="M655" s="6"/>
      <c r="N655" s="6"/>
      <c r="O655" s="6"/>
      <c r="P655" s="6"/>
      <c r="Q655" s="6"/>
      <c r="R655" s="6"/>
      <c r="S655" s="6"/>
      <c r="T655" s="6"/>
      <c r="U655" s="6"/>
      <c r="V655" s="6"/>
      <c r="W655" s="6"/>
      <c r="X655" s="6"/>
      <c r="Y655" s="6"/>
      <c r="Z655" s="6"/>
    </row>
    <row r="656" spans="1:26" ht="15.75" customHeight="1" x14ac:dyDescent="0.3">
      <c r="A656" s="10" t="s">
        <v>3368</v>
      </c>
      <c r="B656" s="10">
        <v>1988</v>
      </c>
      <c r="C656" s="10" t="s">
        <v>4709</v>
      </c>
      <c r="D656" s="10">
        <v>18</v>
      </c>
      <c r="E656" s="10">
        <v>1</v>
      </c>
      <c r="F656" s="24">
        <v>5594.85</v>
      </c>
      <c r="G656" s="10" t="s">
        <v>4695</v>
      </c>
      <c r="H656" s="10" t="s">
        <v>4696</v>
      </c>
      <c r="I656" s="10" t="s">
        <v>4723</v>
      </c>
      <c r="J656" s="17">
        <f t="shared" si="4"/>
        <v>32465</v>
      </c>
      <c r="K656" s="10">
        <f t="shared" ca="1" si="5"/>
        <v>37</v>
      </c>
      <c r="L656" s="6"/>
      <c r="M656" s="6"/>
      <c r="N656" s="6"/>
      <c r="O656" s="6"/>
      <c r="P656" s="6"/>
      <c r="Q656" s="6"/>
      <c r="R656" s="6"/>
      <c r="S656" s="6"/>
      <c r="T656" s="6"/>
      <c r="U656" s="6"/>
      <c r="V656" s="6"/>
      <c r="W656" s="6"/>
      <c r="X656" s="6"/>
      <c r="Y656" s="6"/>
      <c r="Z656" s="6"/>
    </row>
    <row r="657" spans="1:26" ht="15.75" customHeight="1" x14ac:dyDescent="0.3">
      <c r="A657" s="10" t="s">
        <v>3366</v>
      </c>
      <c r="B657" s="10">
        <v>1978</v>
      </c>
      <c r="C657" s="10" t="s">
        <v>4711</v>
      </c>
      <c r="D657" s="10">
        <v>11</v>
      </c>
      <c r="E657" s="10">
        <v>2</v>
      </c>
      <c r="F657" s="24">
        <v>5612.83</v>
      </c>
      <c r="G657" s="10" t="s">
        <v>4695</v>
      </c>
      <c r="H657" s="10" t="s">
        <v>4696</v>
      </c>
      <c r="I657" s="10" t="s">
        <v>4708</v>
      </c>
      <c r="J657" s="17">
        <f t="shared" si="4"/>
        <v>28744</v>
      </c>
      <c r="K657" s="10">
        <f t="shared" ca="1" si="5"/>
        <v>47</v>
      </c>
      <c r="L657" s="6"/>
      <c r="M657" s="6"/>
      <c r="N657" s="6"/>
      <c r="O657" s="6"/>
      <c r="P657" s="6"/>
      <c r="Q657" s="6"/>
      <c r="R657" s="6"/>
      <c r="S657" s="6"/>
      <c r="T657" s="6"/>
      <c r="U657" s="6"/>
      <c r="V657" s="6"/>
      <c r="W657" s="6"/>
      <c r="X657" s="6"/>
      <c r="Y657" s="6"/>
      <c r="Z657" s="6"/>
    </row>
    <row r="658" spans="1:26" ht="15.75" customHeight="1" x14ac:dyDescent="0.3">
      <c r="A658" s="10" t="s">
        <v>3364</v>
      </c>
      <c r="B658" s="10">
        <v>1994</v>
      </c>
      <c r="C658" s="10" t="s">
        <v>4709</v>
      </c>
      <c r="D658" s="10">
        <v>15</v>
      </c>
      <c r="E658" s="10">
        <v>5</v>
      </c>
      <c r="F658" s="24">
        <v>5615.37</v>
      </c>
      <c r="G658" s="10" t="s">
        <v>4695</v>
      </c>
      <c r="H658" s="10" t="s">
        <v>4696</v>
      </c>
      <c r="I658" s="10" t="s">
        <v>4716</v>
      </c>
      <c r="J658" s="17">
        <f t="shared" si="4"/>
        <v>34653</v>
      </c>
      <c r="K658" s="10">
        <f t="shared" ca="1" si="5"/>
        <v>31</v>
      </c>
      <c r="L658" s="6"/>
      <c r="M658" s="6"/>
      <c r="N658" s="6"/>
      <c r="O658" s="6"/>
      <c r="P658" s="6"/>
      <c r="Q658" s="6"/>
      <c r="R658" s="6"/>
      <c r="S658" s="6"/>
      <c r="T658" s="6"/>
      <c r="U658" s="6"/>
      <c r="V658" s="6"/>
      <c r="W658" s="6"/>
      <c r="X658" s="6"/>
      <c r="Y658" s="6"/>
      <c r="Z658" s="6"/>
    </row>
    <row r="659" spans="1:26" ht="15.75" customHeight="1" x14ac:dyDescent="0.3">
      <c r="A659" s="10" t="s">
        <v>3362</v>
      </c>
      <c r="B659" s="10">
        <v>1987</v>
      </c>
      <c r="C659" s="10" t="s">
        <v>4713</v>
      </c>
      <c r="D659" s="10">
        <v>9</v>
      </c>
      <c r="E659" s="10">
        <v>1</v>
      </c>
      <c r="F659" s="24">
        <v>5630.46</v>
      </c>
      <c r="G659" s="10" t="s">
        <v>4695</v>
      </c>
      <c r="H659" s="10" t="s">
        <v>4696</v>
      </c>
      <c r="I659" s="10" t="s">
        <v>4712</v>
      </c>
      <c r="J659" s="17">
        <f t="shared" si="4"/>
        <v>32120</v>
      </c>
      <c r="K659" s="10">
        <f t="shared" ca="1" si="5"/>
        <v>37</v>
      </c>
      <c r="L659" s="6"/>
      <c r="M659" s="6"/>
      <c r="N659" s="6"/>
      <c r="O659" s="6"/>
      <c r="P659" s="6"/>
      <c r="Q659" s="6"/>
      <c r="R659" s="6"/>
      <c r="S659" s="6"/>
      <c r="T659" s="6"/>
      <c r="U659" s="6"/>
      <c r="V659" s="6"/>
      <c r="W659" s="6"/>
      <c r="X659" s="6"/>
      <c r="Y659" s="6"/>
      <c r="Z659" s="6"/>
    </row>
    <row r="660" spans="1:26" ht="15.75" customHeight="1" x14ac:dyDescent="0.3">
      <c r="A660" s="10" t="s">
        <v>3360</v>
      </c>
      <c r="B660" s="10">
        <v>1983</v>
      </c>
      <c r="C660" s="10" t="s">
        <v>4710</v>
      </c>
      <c r="D660" s="10">
        <v>8</v>
      </c>
      <c r="E660" s="10">
        <v>0</v>
      </c>
      <c r="F660" s="24">
        <v>5649.72</v>
      </c>
      <c r="G660" s="10" t="s">
        <v>4695</v>
      </c>
      <c r="H660" s="10" t="s">
        <v>4696</v>
      </c>
      <c r="I660" s="10" t="s">
        <v>4716</v>
      </c>
      <c r="J660" s="17">
        <f t="shared" si="4"/>
        <v>30475</v>
      </c>
      <c r="K660" s="10">
        <f t="shared" ca="1" si="5"/>
        <v>42</v>
      </c>
      <c r="L660" s="6"/>
      <c r="M660" s="6"/>
      <c r="N660" s="6"/>
      <c r="O660" s="6"/>
      <c r="P660" s="6"/>
      <c r="Q660" s="6"/>
      <c r="R660" s="6"/>
      <c r="S660" s="6"/>
      <c r="T660" s="6"/>
      <c r="U660" s="6"/>
      <c r="V660" s="6"/>
      <c r="W660" s="6"/>
      <c r="X660" s="6"/>
      <c r="Y660" s="6"/>
      <c r="Z660" s="6"/>
    </row>
    <row r="661" spans="1:26" ht="15.75" customHeight="1" x14ac:dyDescent="0.3">
      <c r="A661" s="10" t="s">
        <v>3358</v>
      </c>
      <c r="B661" s="10">
        <v>1978</v>
      </c>
      <c r="C661" s="10" t="s">
        <v>4711</v>
      </c>
      <c r="D661" s="10">
        <v>27</v>
      </c>
      <c r="E661" s="10">
        <v>2</v>
      </c>
      <c r="F661" s="24">
        <v>5650.14</v>
      </c>
      <c r="G661" s="10" t="s">
        <v>4695</v>
      </c>
      <c r="H661" s="10" t="s">
        <v>4694</v>
      </c>
      <c r="I661" s="10" t="s">
        <v>4708</v>
      </c>
      <c r="J661" s="17">
        <f t="shared" si="4"/>
        <v>28760</v>
      </c>
      <c r="K661" s="10">
        <f t="shared" ca="1" si="5"/>
        <v>47</v>
      </c>
      <c r="L661" s="6"/>
      <c r="M661" s="6"/>
      <c r="N661" s="6"/>
      <c r="O661" s="6"/>
      <c r="P661" s="6"/>
      <c r="Q661" s="6"/>
      <c r="R661" s="6"/>
      <c r="S661" s="6"/>
      <c r="T661" s="6"/>
      <c r="U661" s="6"/>
      <c r="V661" s="6"/>
      <c r="W661" s="6"/>
      <c r="X661" s="6"/>
      <c r="Y661" s="6"/>
      <c r="Z661" s="6"/>
    </row>
    <row r="662" spans="1:26" ht="15.75" customHeight="1" x14ac:dyDescent="0.3">
      <c r="A662" s="10" t="s">
        <v>3356</v>
      </c>
      <c r="B662" s="10">
        <v>1983</v>
      </c>
      <c r="C662" s="10" t="s">
        <v>4711</v>
      </c>
      <c r="D662" s="10">
        <v>3</v>
      </c>
      <c r="E662" s="10">
        <v>0</v>
      </c>
      <c r="F662" s="24">
        <v>5662.23</v>
      </c>
      <c r="G662" s="10" t="s">
        <v>4695</v>
      </c>
      <c r="H662" s="10" t="s">
        <v>4694</v>
      </c>
      <c r="I662" s="10" t="s">
        <v>4708</v>
      </c>
      <c r="J662" s="17">
        <f t="shared" si="4"/>
        <v>30562</v>
      </c>
      <c r="K662" s="10">
        <f t="shared" ca="1" si="5"/>
        <v>42</v>
      </c>
      <c r="L662" s="6"/>
      <c r="M662" s="6"/>
      <c r="N662" s="6"/>
      <c r="O662" s="6"/>
      <c r="P662" s="6"/>
      <c r="Q662" s="6"/>
      <c r="R662" s="6"/>
      <c r="S662" s="6"/>
      <c r="T662" s="6"/>
      <c r="U662" s="6"/>
      <c r="V662" s="6"/>
      <c r="W662" s="6"/>
      <c r="X662" s="6"/>
      <c r="Y662" s="6"/>
      <c r="Z662" s="6"/>
    </row>
    <row r="663" spans="1:26" ht="15.75" customHeight="1" x14ac:dyDescent="0.3">
      <c r="A663" s="10" t="s">
        <v>3354</v>
      </c>
      <c r="B663" s="10">
        <v>1984</v>
      </c>
      <c r="C663" s="10" t="s">
        <v>4714</v>
      </c>
      <c r="D663" s="10">
        <v>12</v>
      </c>
      <c r="E663" s="10">
        <v>3</v>
      </c>
      <c r="F663" s="24">
        <v>5679.13</v>
      </c>
      <c r="G663" s="10" t="s">
        <v>4695</v>
      </c>
      <c r="H663" s="10" t="s">
        <v>4695</v>
      </c>
      <c r="I663" s="10" t="s">
        <v>4708</v>
      </c>
      <c r="J663" s="17">
        <f t="shared" si="4"/>
        <v>30906</v>
      </c>
      <c r="K663" s="10">
        <f t="shared" ca="1" si="5"/>
        <v>41</v>
      </c>
      <c r="L663" s="6"/>
      <c r="M663" s="6"/>
      <c r="N663" s="6"/>
      <c r="O663" s="6"/>
      <c r="P663" s="6"/>
      <c r="Q663" s="6"/>
      <c r="R663" s="6"/>
      <c r="S663" s="6"/>
      <c r="T663" s="6"/>
      <c r="U663" s="6"/>
      <c r="V663" s="6"/>
      <c r="W663" s="6"/>
      <c r="X663" s="6"/>
      <c r="Y663" s="6"/>
      <c r="Z663" s="6"/>
    </row>
    <row r="664" spans="1:26" ht="15.75" customHeight="1" x14ac:dyDescent="0.3">
      <c r="A664" s="10" t="s">
        <v>3352</v>
      </c>
      <c r="B664" s="10">
        <v>1972</v>
      </c>
      <c r="C664" s="10" t="s">
        <v>4715</v>
      </c>
      <c r="D664" s="10">
        <v>28</v>
      </c>
      <c r="E664" s="10">
        <v>0</v>
      </c>
      <c r="F664" s="24">
        <v>5690.79</v>
      </c>
      <c r="G664" s="10" t="s">
        <v>4695</v>
      </c>
      <c r="H664" s="10" t="s">
        <v>4694</v>
      </c>
      <c r="I664" s="10" t="s">
        <v>4708</v>
      </c>
      <c r="J664" s="17">
        <f t="shared" si="4"/>
        <v>26600</v>
      </c>
      <c r="K664" s="10">
        <f t="shared" ca="1" si="5"/>
        <v>53</v>
      </c>
      <c r="L664" s="6"/>
      <c r="M664" s="6"/>
      <c r="N664" s="6"/>
      <c r="O664" s="6"/>
      <c r="P664" s="6"/>
      <c r="Q664" s="6"/>
      <c r="R664" s="6"/>
      <c r="S664" s="6"/>
      <c r="T664" s="6"/>
      <c r="U664" s="6"/>
      <c r="V664" s="6"/>
      <c r="W664" s="6"/>
      <c r="X664" s="6"/>
      <c r="Y664" s="6"/>
      <c r="Z664" s="6"/>
    </row>
    <row r="665" spans="1:26" ht="15.75" customHeight="1" x14ac:dyDescent="0.3">
      <c r="A665" s="10" t="s">
        <v>3350</v>
      </c>
      <c r="B665" s="10">
        <v>1992</v>
      </c>
      <c r="C665" s="10" t="s">
        <v>4709</v>
      </c>
      <c r="D665" s="10">
        <v>3</v>
      </c>
      <c r="E665" s="10">
        <v>3</v>
      </c>
      <c r="F665" s="24">
        <v>5693.43</v>
      </c>
      <c r="G665" s="10" t="s">
        <v>4695</v>
      </c>
      <c r="H665" s="10" t="s">
        <v>4696</v>
      </c>
      <c r="I665" s="10" t="s">
        <v>4712</v>
      </c>
      <c r="J665" s="17">
        <f t="shared" si="4"/>
        <v>33911</v>
      </c>
      <c r="K665" s="10">
        <f t="shared" ca="1" si="5"/>
        <v>33</v>
      </c>
      <c r="L665" s="6"/>
      <c r="M665" s="6"/>
      <c r="N665" s="6"/>
      <c r="O665" s="6"/>
      <c r="P665" s="6"/>
      <c r="Q665" s="6"/>
      <c r="R665" s="6"/>
      <c r="S665" s="6"/>
      <c r="T665" s="6"/>
      <c r="U665" s="6"/>
      <c r="V665" s="6"/>
      <c r="W665" s="6"/>
      <c r="X665" s="6"/>
      <c r="Y665" s="6"/>
      <c r="Z665" s="6"/>
    </row>
    <row r="666" spans="1:26" ht="15.75" customHeight="1" x14ac:dyDescent="0.3">
      <c r="A666" s="10" t="s">
        <v>3348</v>
      </c>
      <c r="B666" s="10">
        <v>1974</v>
      </c>
      <c r="C666" s="10" t="s">
        <v>4707</v>
      </c>
      <c r="D666" s="10">
        <v>6</v>
      </c>
      <c r="E666" s="10">
        <v>0</v>
      </c>
      <c r="F666" s="24">
        <v>5698.74</v>
      </c>
      <c r="G666" s="10" t="s">
        <v>4695</v>
      </c>
      <c r="H666" s="10" t="s">
        <v>4695</v>
      </c>
      <c r="I666" s="10" t="s">
        <v>4712</v>
      </c>
      <c r="J666" s="17">
        <f t="shared" si="4"/>
        <v>27216</v>
      </c>
      <c r="K666" s="10">
        <f t="shared" ca="1" si="5"/>
        <v>51</v>
      </c>
      <c r="L666" s="6"/>
      <c r="M666" s="6"/>
      <c r="N666" s="6"/>
      <c r="O666" s="6"/>
      <c r="P666" s="6"/>
      <c r="Q666" s="6"/>
      <c r="R666" s="6"/>
      <c r="S666" s="6"/>
      <c r="T666" s="6"/>
      <c r="U666" s="6"/>
      <c r="V666" s="6"/>
      <c r="W666" s="6"/>
      <c r="X666" s="6"/>
      <c r="Y666" s="6"/>
      <c r="Z666" s="6"/>
    </row>
    <row r="667" spans="1:26" ht="15.75" customHeight="1" x14ac:dyDescent="0.3">
      <c r="A667" s="10" t="s">
        <v>3346</v>
      </c>
      <c r="B667" s="10">
        <v>1981</v>
      </c>
      <c r="C667" s="10" t="s">
        <v>4710</v>
      </c>
      <c r="D667" s="10">
        <v>15</v>
      </c>
      <c r="E667" s="10">
        <v>0</v>
      </c>
      <c r="F667" s="24">
        <v>5699.84</v>
      </c>
      <c r="G667" s="10" t="s">
        <v>4695</v>
      </c>
      <c r="H667" s="10" t="s">
        <v>4696</v>
      </c>
      <c r="I667" s="10" t="s">
        <v>4708</v>
      </c>
      <c r="J667" s="17">
        <f t="shared" si="4"/>
        <v>29752</v>
      </c>
      <c r="K667" s="10">
        <f t="shared" ca="1" si="5"/>
        <v>44</v>
      </c>
      <c r="L667" s="6"/>
      <c r="M667" s="6"/>
      <c r="N667" s="6"/>
      <c r="O667" s="6"/>
      <c r="P667" s="6"/>
      <c r="Q667" s="6"/>
      <c r="R667" s="6"/>
      <c r="S667" s="6"/>
      <c r="T667" s="6"/>
      <c r="U667" s="6"/>
      <c r="V667" s="6"/>
      <c r="W667" s="6"/>
      <c r="X667" s="6"/>
      <c r="Y667" s="6"/>
      <c r="Z667" s="6"/>
    </row>
    <row r="668" spans="1:26" ht="15.75" customHeight="1" x14ac:dyDescent="0.3">
      <c r="A668" s="10" t="s">
        <v>3344</v>
      </c>
      <c r="B668" s="10">
        <v>1993</v>
      </c>
      <c r="C668" s="10" t="s">
        <v>4709</v>
      </c>
      <c r="D668" s="10">
        <v>3</v>
      </c>
      <c r="E668" s="10">
        <v>4</v>
      </c>
      <c r="F668" s="24">
        <v>5708.87</v>
      </c>
      <c r="G668" s="10" t="s">
        <v>4695</v>
      </c>
      <c r="H668" s="10" t="s">
        <v>4694</v>
      </c>
      <c r="I668" s="10" t="s">
        <v>4716</v>
      </c>
      <c r="J668" s="17">
        <f t="shared" si="4"/>
        <v>34276</v>
      </c>
      <c r="K668" s="10">
        <f t="shared" ca="1" si="5"/>
        <v>32</v>
      </c>
      <c r="L668" s="6"/>
      <c r="M668" s="6"/>
      <c r="N668" s="6"/>
      <c r="O668" s="6"/>
      <c r="P668" s="6"/>
      <c r="Q668" s="6"/>
      <c r="R668" s="6"/>
      <c r="S668" s="6"/>
      <c r="T668" s="6"/>
      <c r="U668" s="6"/>
      <c r="V668" s="6"/>
      <c r="W668" s="6"/>
      <c r="X668" s="6"/>
      <c r="Y668" s="6"/>
      <c r="Z668" s="6"/>
    </row>
    <row r="669" spans="1:26" ht="15.75" customHeight="1" x14ac:dyDescent="0.3">
      <c r="A669" s="10" t="s">
        <v>3342</v>
      </c>
      <c r="B669" s="10">
        <v>1981</v>
      </c>
      <c r="C669" s="10" t="s">
        <v>4714</v>
      </c>
      <c r="D669" s="10">
        <v>30</v>
      </c>
      <c r="E669" s="10">
        <v>0</v>
      </c>
      <c r="F669" s="24">
        <v>5709.16</v>
      </c>
      <c r="G669" s="10" t="s">
        <v>4696</v>
      </c>
      <c r="H669" s="10" t="s">
        <v>4696</v>
      </c>
      <c r="I669" s="10" t="s">
        <v>4708</v>
      </c>
      <c r="J669" s="17">
        <f t="shared" si="4"/>
        <v>29828</v>
      </c>
      <c r="K669" s="10">
        <f t="shared" ca="1" si="5"/>
        <v>44</v>
      </c>
      <c r="L669" s="6"/>
      <c r="M669" s="6"/>
      <c r="N669" s="6"/>
      <c r="O669" s="6"/>
      <c r="P669" s="6"/>
      <c r="Q669" s="6"/>
      <c r="R669" s="6"/>
      <c r="S669" s="6"/>
      <c r="T669" s="6"/>
      <c r="U669" s="6"/>
      <c r="V669" s="6"/>
      <c r="W669" s="6"/>
      <c r="X669" s="6"/>
      <c r="Y669" s="6"/>
      <c r="Z669" s="6"/>
    </row>
    <row r="670" spans="1:26" ht="15.75" customHeight="1" x14ac:dyDescent="0.3">
      <c r="A670" s="10" t="s">
        <v>3340</v>
      </c>
      <c r="B670" s="10">
        <v>1971</v>
      </c>
      <c r="C670" s="10" t="s">
        <v>4713</v>
      </c>
      <c r="D670" s="10">
        <v>18</v>
      </c>
      <c r="E670" s="10">
        <v>0</v>
      </c>
      <c r="F670" s="24">
        <v>5720.38</v>
      </c>
      <c r="G670" s="10" t="s">
        <v>4695</v>
      </c>
      <c r="H670" s="10" t="s">
        <v>4694</v>
      </c>
      <c r="I670" s="10" t="s">
        <v>4708</v>
      </c>
      <c r="J670" s="17">
        <f t="shared" si="4"/>
        <v>26285</v>
      </c>
      <c r="K670" s="10">
        <f t="shared" ca="1" si="5"/>
        <v>53</v>
      </c>
      <c r="L670" s="6"/>
      <c r="M670" s="6"/>
      <c r="N670" s="6"/>
      <c r="O670" s="6"/>
      <c r="P670" s="6"/>
      <c r="Q670" s="6"/>
      <c r="R670" s="6"/>
      <c r="S670" s="6"/>
      <c r="T670" s="6"/>
      <c r="U670" s="6"/>
      <c r="V670" s="6"/>
      <c r="W670" s="6"/>
      <c r="X670" s="6"/>
      <c r="Y670" s="6"/>
      <c r="Z670" s="6"/>
    </row>
    <row r="671" spans="1:26" ht="15.75" customHeight="1" x14ac:dyDescent="0.3">
      <c r="A671" s="10" t="s">
        <v>3338</v>
      </c>
      <c r="B671" s="10">
        <v>1987</v>
      </c>
      <c r="C671" s="10" t="s">
        <v>4715</v>
      </c>
      <c r="D671" s="10">
        <v>19</v>
      </c>
      <c r="E671" s="10">
        <v>2</v>
      </c>
      <c r="F671" s="24">
        <v>5729.01</v>
      </c>
      <c r="G671" s="10" t="s">
        <v>4694</v>
      </c>
      <c r="H671" s="10" t="s">
        <v>4695</v>
      </c>
      <c r="I671" s="10" t="s">
        <v>4712</v>
      </c>
      <c r="J671" s="17">
        <f t="shared" si="4"/>
        <v>32069</v>
      </c>
      <c r="K671" s="10">
        <f t="shared" ca="1" si="5"/>
        <v>38</v>
      </c>
      <c r="L671" s="6"/>
      <c r="M671" s="6"/>
      <c r="N671" s="6"/>
      <c r="O671" s="6"/>
      <c r="P671" s="6"/>
      <c r="Q671" s="6"/>
      <c r="R671" s="6"/>
      <c r="S671" s="6"/>
      <c r="T671" s="6"/>
      <c r="U671" s="6"/>
      <c r="V671" s="6"/>
      <c r="W671" s="6"/>
      <c r="X671" s="6"/>
      <c r="Y671" s="6"/>
      <c r="Z671" s="6"/>
    </row>
    <row r="672" spans="1:26" ht="15.75" customHeight="1" x14ac:dyDescent="0.3">
      <c r="A672" s="10" t="s">
        <v>3336</v>
      </c>
      <c r="B672" s="10">
        <v>1972</v>
      </c>
      <c r="C672" s="10" t="s">
        <v>4714</v>
      </c>
      <c r="D672" s="10">
        <v>21</v>
      </c>
      <c r="E672" s="10">
        <v>0</v>
      </c>
      <c r="F672" s="24">
        <v>5741.67</v>
      </c>
      <c r="G672" s="10" t="s">
        <v>4695</v>
      </c>
      <c r="H672" s="10" t="s">
        <v>4696</v>
      </c>
      <c r="I672" s="10" t="s">
        <v>4708</v>
      </c>
      <c r="J672" s="17">
        <f t="shared" si="4"/>
        <v>26532</v>
      </c>
      <c r="K672" s="10">
        <f t="shared" ca="1" si="5"/>
        <v>53</v>
      </c>
      <c r="L672" s="6"/>
      <c r="M672" s="6"/>
      <c r="N672" s="6"/>
      <c r="O672" s="6"/>
      <c r="P672" s="6"/>
      <c r="Q672" s="6"/>
      <c r="R672" s="6"/>
      <c r="S672" s="6"/>
      <c r="T672" s="6"/>
      <c r="U672" s="6"/>
      <c r="V672" s="6"/>
      <c r="W672" s="6"/>
      <c r="X672" s="6"/>
      <c r="Y672" s="6"/>
      <c r="Z672" s="6"/>
    </row>
    <row r="673" spans="1:26" ht="15.75" customHeight="1" x14ac:dyDescent="0.3">
      <c r="A673" s="10" t="s">
        <v>3334</v>
      </c>
      <c r="B673" s="10">
        <v>1993</v>
      </c>
      <c r="C673" s="10" t="s">
        <v>4710</v>
      </c>
      <c r="D673" s="10">
        <v>10</v>
      </c>
      <c r="E673" s="10">
        <v>0</v>
      </c>
      <c r="F673" s="24">
        <v>5748.13</v>
      </c>
      <c r="G673" s="10" t="s">
        <v>4695</v>
      </c>
      <c r="H673" s="10" t="s">
        <v>4694</v>
      </c>
      <c r="I673" s="10" t="s">
        <v>4726</v>
      </c>
      <c r="J673" s="17">
        <f t="shared" si="4"/>
        <v>34130</v>
      </c>
      <c r="K673" s="10">
        <f t="shared" ca="1" si="5"/>
        <v>32</v>
      </c>
      <c r="L673" s="6"/>
      <c r="M673" s="6"/>
      <c r="N673" s="6"/>
      <c r="O673" s="6"/>
      <c r="P673" s="6"/>
      <c r="Q673" s="6"/>
      <c r="R673" s="6"/>
      <c r="S673" s="6"/>
      <c r="T673" s="6"/>
      <c r="U673" s="6"/>
      <c r="V673" s="6"/>
      <c r="W673" s="6"/>
      <c r="X673" s="6"/>
      <c r="Y673" s="6"/>
      <c r="Z673" s="6"/>
    </row>
    <row r="674" spans="1:26" ht="15.75" customHeight="1" x14ac:dyDescent="0.3">
      <c r="A674" s="10" t="s">
        <v>3332</v>
      </c>
      <c r="B674" s="10">
        <v>1983</v>
      </c>
      <c r="C674" s="10" t="s">
        <v>4714</v>
      </c>
      <c r="D674" s="10">
        <v>30</v>
      </c>
      <c r="E674" s="10">
        <v>0</v>
      </c>
      <c r="F674" s="24">
        <v>5757.41</v>
      </c>
      <c r="G674" s="10" t="s">
        <v>4695</v>
      </c>
      <c r="H674" s="10" t="s">
        <v>4696</v>
      </c>
      <c r="I674" s="10" t="s">
        <v>4719</v>
      </c>
      <c r="J674" s="17">
        <f t="shared" si="4"/>
        <v>30558</v>
      </c>
      <c r="K674" s="10">
        <f t="shared" ca="1" si="5"/>
        <v>42</v>
      </c>
      <c r="L674" s="6"/>
      <c r="M674" s="6"/>
      <c r="N674" s="6"/>
      <c r="O674" s="6"/>
      <c r="P674" s="6"/>
      <c r="Q674" s="6"/>
      <c r="R674" s="6"/>
      <c r="S674" s="6"/>
      <c r="T674" s="6"/>
      <c r="U674" s="6"/>
      <c r="V674" s="6"/>
      <c r="W674" s="6"/>
      <c r="X674" s="6"/>
      <c r="Y674" s="6"/>
      <c r="Z674" s="6"/>
    </row>
    <row r="675" spans="1:26" ht="15.75" customHeight="1" x14ac:dyDescent="0.3">
      <c r="A675" s="10" t="s">
        <v>3330</v>
      </c>
      <c r="B675" s="10">
        <v>2004</v>
      </c>
      <c r="C675" s="10" t="s">
        <v>4709</v>
      </c>
      <c r="D675" s="10">
        <v>1</v>
      </c>
      <c r="E675" s="10">
        <v>0</v>
      </c>
      <c r="F675" s="24">
        <v>5778.71</v>
      </c>
      <c r="G675" s="10" t="s">
        <v>4695</v>
      </c>
      <c r="H675" s="10" t="s">
        <v>4696</v>
      </c>
      <c r="I675" s="10" t="s">
        <v>4730</v>
      </c>
      <c r="J675" s="17">
        <f t="shared" si="4"/>
        <v>38292</v>
      </c>
      <c r="K675" s="10">
        <f t="shared" ca="1" si="5"/>
        <v>21</v>
      </c>
      <c r="L675" s="6"/>
      <c r="M675" s="6"/>
      <c r="N675" s="6"/>
      <c r="O675" s="6"/>
      <c r="P675" s="6"/>
      <c r="Q675" s="6"/>
      <c r="R675" s="6"/>
      <c r="S675" s="6"/>
      <c r="T675" s="6"/>
      <c r="U675" s="6"/>
      <c r="V675" s="6"/>
      <c r="W675" s="6"/>
      <c r="X675" s="6"/>
      <c r="Y675" s="6"/>
      <c r="Z675" s="6"/>
    </row>
    <row r="676" spans="1:26" ht="15.75" customHeight="1" x14ac:dyDescent="0.3">
      <c r="A676" s="10" t="s">
        <v>3328</v>
      </c>
      <c r="B676" s="10">
        <v>1980</v>
      </c>
      <c r="C676" s="10" t="s">
        <v>4711</v>
      </c>
      <c r="D676" s="10">
        <v>18</v>
      </c>
      <c r="E676" s="10">
        <v>2</v>
      </c>
      <c r="F676" s="24">
        <v>5807.06</v>
      </c>
      <c r="G676" s="10" t="s">
        <v>4695</v>
      </c>
      <c r="H676" s="10" t="s">
        <v>4696</v>
      </c>
      <c r="I676" s="10" t="s">
        <v>4708</v>
      </c>
      <c r="J676" s="17">
        <f t="shared" si="4"/>
        <v>29482</v>
      </c>
      <c r="K676" s="10">
        <f t="shared" ca="1" si="5"/>
        <v>45</v>
      </c>
      <c r="L676" s="6"/>
      <c r="M676" s="6"/>
      <c r="N676" s="6"/>
      <c r="O676" s="6"/>
      <c r="P676" s="6"/>
      <c r="Q676" s="6"/>
      <c r="R676" s="6"/>
      <c r="S676" s="6"/>
      <c r="T676" s="6"/>
      <c r="U676" s="6"/>
      <c r="V676" s="6"/>
      <c r="W676" s="6"/>
      <c r="X676" s="6"/>
      <c r="Y676" s="6"/>
      <c r="Z676" s="6"/>
    </row>
    <row r="677" spans="1:26" ht="15.75" customHeight="1" x14ac:dyDescent="0.3">
      <c r="A677" s="10" t="s">
        <v>3326</v>
      </c>
      <c r="B677" s="10">
        <v>1972</v>
      </c>
      <c r="C677" s="10" t="s">
        <v>4709</v>
      </c>
      <c r="D677" s="10">
        <v>2</v>
      </c>
      <c r="E677" s="10">
        <v>0</v>
      </c>
      <c r="F677" s="24">
        <v>5812.9</v>
      </c>
      <c r="G677" s="10" t="s">
        <v>4695</v>
      </c>
      <c r="H677" s="10" t="s">
        <v>4695</v>
      </c>
      <c r="I677" s="10" t="s">
        <v>4708</v>
      </c>
      <c r="J677" s="17">
        <f t="shared" si="4"/>
        <v>26605</v>
      </c>
      <c r="K677" s="10">
        <f t="shared" ca="1" si="5"/>
        <v>53</v>
      </c>
      <c r="L677" s="6"/>
      <c r="M677" s="6"/>
      <c r="N677" s="6"/>
      <c r="O677" s="6"/>
      <c r="P677" s="6"/>
      <c r="Q677" s="6"/>
      <c r="R677" s="6"/>
      <c r="S677" s="6"/>
      <c r="T677" s="6"/>
      <c r="U677" s="6"/>
      <c r="V677" s="6"/>
      <c r="W677" s="6"/>
      <c r="X677" s="6"/>
      <c r="Y677" s="6"/>
      <c r="Z677" s="6"/>
    </row>
    <row r="678" spans="1:26" ht="15.75" customHeight="1" x14ac:dyDescent="0.3">
      <c r="A678" s="10" t="s">
        <v>3324</v>
      </c>
      <c r="B678" s="10">
        <v>2002</v>
      </c>
      <c r="C678" s="10" t="s">
        <v>4707</v>
      </c>
      <c r="D678" s="10">
        <v>22</v>
      </c>
      <c r="E678" s="10">
        <v>0</v>
      </c>
      <c r="F678" s="24">
        <v>5816.58</v>
      </c>
      <c r="G678" s="10" t="s">
        <v>4695</v>
      </c>
      <c r="H678" s="10" t="s">
        <v>4695</v>
      </c>
      <c r="I678" s="10" t="s">
        <v>4729</v>
      </c>
      <c r="J678" s="17">
        <f t="shared" si="4"/>
        <v>37459</v>
      </c>
      <c r="K678" s="10">
        <f t="shared" ca="1" si="5"/>
        <v>23</v>
      </c>
      <c r="L678" s="6"/>
      <c r="M678" s="6"/>
      <c r="N678" s="6"/>
      <c r="O678" s="6"/>
      <c r="P678" s="6"/>
      <c r="Q678" s="6"/>
      <c r="R678" s="6"/>
      <c r="S678" s="6"/>
      <c r="T678" s="6"/>
      <c r="U678" s="6"/>
      <c r="V678" s="6"/>
      <c r="W678" s="6"/>
      <c r="X678" s="6"/>
      <c r="Y678" s="6"/>
      <c r="Z678" s="6"/>
    </row>
    <row r="679" spans="1:26" ht="15.75" customHeight="1" x14ac:dyDescent="0.3">
      <c r="A679" s="10" t="s">
        <v>3322</v>
      </c>
      <c r="B679" s="10">
        <v>1971</v>
      </c>
      <c r="C679" s="10" t="s">
        <v>4711</v>
      </c>
      <c r="D679" s="10">
        <v>27</v>
      </c>
      <c r="E679" s="10">
        <v>0</v>
      </c>
      <c r="F679" s="24">
        <v>5832.6</v>
      </c>
      <c r="G679" s="10" t="s">
        <v>4695</v>
      </c>
      <c r="H679" s="10" t="s">
        <v>4696</v>
      </c>
      <c r="I679" s="10" t="s">
        <v>4712</v>
      </c>
      <c r="J679" s="17">
        <f t="shared" si="4"/>
        <v>26203</v>
      </c>
      <c r="K679" s="10">
        <f t="shared" ca="1" si="5"/>
        <v>54</v>
      </c>
      <c r="L679" s="6"/>
      <c r="M679" s="6"/>
      <c r="N679" s="6"/>
      <c r="O679" s="6"/>
      <c r="P679" s="6"/>
      <c r="Q679" s="6"/>
      <c r="R679" s="6"/>
      <c r="S679" s="6"/>
      <c r="T679" s="6"/>
      <c r="U679" s="6"/>
      <c r="V679" s="6"/>
      <c r="W679" s="6"/>
      <c r="X679" s="6"/>
      <c r="Y679" s="6"/>
      <c r="Z679" s="6"/>
    </row>
    <row r="680" spans="1:26" ht="15.75" customHeight="1" x14ac:dyDescent="0.3">
      <c r="A680" s="10" t="s">
        <v>3320</v>
      </c>
      <c r="B680" s="10">
        <v>1987</v>
      </c>
      <c r="C680" s="10" t="s">
        <v>4707</v>
      </c>
      <c r="D680" s="10">
        <v>27</v>
      </c>
      <c r="E680" s="10">
        <v>2</v>
      </c>
      <c r="F680" s="24">
        <v>5836.52</v>
      </c>
      <c r="G680" s="10" t="s">
        <v>4695</v>
      </c>
      <c r="H680" s="10" t="s">
        <v>4696</v>
      </c>
      <c r="I680" s="10" t="s">
        <v>4708</v>
      </c>
      <c r="J680" s="17">
        <f t="shared" si="4"/>
        <v>31985</v>
      </c>
      <c r="K680" s="10">
        <f t="shared" ca="1" si="5"/>
        <v>38</v>
      </c>
      <c r="L680" s="6"/>
      <c r="M680" s="6"/>
      <c r="N680" s="6"/>
      <c r="O680" s="6"/>
      <c r="P680" s="6"/>
      <c r="Q680" s="6"/>
      <c r="R680" s="6"/>
      <c r="S680" s="6"/>
      <c r="T680" s="6"/>
      <c r="U680" s="6"/>
      <c r="V680" s="6"/>
      <c r="W680" s="6"/>
      <c r="X680" s="6"/>
      <c r="Y680" s="6"/>
      <c r="Z680" s="6"/>
    </row>
    <row r="681" spans="1:26" ht="15.75" customHeight="1" x14ac:dyDescent="0.3">
      <c r="A681" s="10" t="s">
        <v>3318</v>
      </c>
      <c r="B681" s="10">
        <v>1995</v>
      </c>
      <c r="C681" s="10" t="s">
        <v>4714</v>
      </c>
      <c r="D681" s="10">
        <v>20</v>
      </c>
      <c r="E681" s="10">
        <v>0</v>
      </c>
      <c r="F681" s="24">
        <v>5843.99</v>
      </c>
      <c r="G681" s="10" t="s">
        <v>4695</v>
      </c>
      <c r="H681" s="10" t="s">
        <v>4695</v>
      </c>
      <c r="I681" s="10" t="s">
        <v>4722</v>
      </c>
      <c r="J681" s="17">
        <f t="shared" si="4"/>
        <v>34931</v>
      </c>
      <c r="K681" s="10">
        <f t="shared" ca="1" si="5"/>
        <v>30</v>
      </c>
      <c r="L681" s="6"/>
      <c r="M681" s="6"/>
      <c r="N681" s="6"/>
      <c r="O681" s="6"/>
      <c r="P681" s="6"/>
      <c r="Q681" s="6"/>
      <c r="R681" s="6"/>
      <c r="S681" s="6"/>
      <c r="T681" s="6"/>
      <c r="U681" s="6"/>
      <c r="V681" s="6"/>
      <c r="W681" s="6"/>
      <c r="X681" s="6"/>
      <c r="Y681" s="6"/>
      <c r="Z681" s="6"/>
    </row>
    <row r="682" spans="1:26" ht="15.75" customHeight="1" x14ac:dyDescent="0.3">
      <c r="A682" s="10" t="s">
        <v>3316</v>
      </c>
      <c r="B682" s="10">
        <v>1987</v>
      </c>
      <c r="C682" s="10" t="s">
        <v>4711</v>
      </c>
      <c r="D682" s="10">
        <v>30</v>
      </c>
      <c r="E682" s="10">
        <v>2</v>
      </c>
      <c r="F682" s="24">
        <v>5846.92</v>
      </c>
      <c r="G682" s="10" t="s">
        <v>4695</v>
      </c>
      <c r="H682" s="10" t="s">
        <v>4695</v>
      </c>
      <c r="I682" s="10" t="s">
        <v>4708</v>
      </c>
      <c r="J682" s="17">
        <f t="shared" si="4"/>
        <v>32050</v>
      </c>
      <c r="K682" s="10">
        <f t="shared" ca="1" si="5"/>
        <v>38</v>
      </c>
      <c r="L682" s="6"/>
      <c r="M682" s="6"/>
      <c r="N682" s="6"/>
      <c r="O682" s="6"/>
      <c r="P682" s="6"/>
      <c r="Q682" s="6"/>
      <c r="R682" s="6"/>
      <c r="S682" s="6"/>
      <c r="T682" s="6"/>
      <c r="U682" s="6"/>
      <c r="V682" s="6"/>
      <c r="W682" s="6"/>
      <c r="X682" s="6"/>
      <c r="Y682" s="6"/>
      <c r="Z682" s="6"/>
    </row>
    <row r="683" spans="1:26" ht="15.75" customHeight="1" x14ac:dyDescent="0.3">
      <c r="A683" s="10" t="s">
        <v>3314</v>
      </c>
      <c r="B683" s="10">
        <v>1985</v>
      </c>
      <c r="C683" s="10" t="s">
        <v>4710</v>
      </c>
      <c r="D683" s="10">
        <v>18</v>
      </c>
      <c r="E683" s="10">
        <v>3</v>
      </c>
      <c r="F683" s="24">
        <v>5847.24</v>
      </c>
      <c r="G683" s="10" t="s">
        <v>4695</v>
      </c>
      <c r="H683" s="10" t="s">
        <v>4694</v>
      </c>
      <c r="I683" s="10" t="s">
        <v>4708</v>
      </c>
      <c r="J683" s="17">
        <f t="shared" si="4"/>
        <v>31216</v>
      </c>
      <c r="K683" s="10">
        <f t="shared" ca="1" si="5"/>
        <v>40</v>
      </c>
      <c r="L683" s="6"/>
      <c r="M683" s="6"/>
      <c r="N683" s="6"/>
      <c r="O683" s="6"/>
      <c r="P683" s="6"/>
      <c r="Q683" s="6"/>
      <c r="R683" s="6"/>
      <c r="S683" s="6"/>
      <c r="T683" s="6"/>
      <c r="U683" s="6"/>
      <c r="V683" s="6"/>
      <c r="W683" s="6"/>
      <c r="X683" s="6"/>
      <c r="Y683" s="6"/>
      <c r="Z683" s="6"/>
    </row>
    <row r="684" spans="1:26" ht="15.75" customHeight="1" x14ac:dyDescent="0.3">
      <c r="A684" s="10" t="s">
        <v>3312</v>
      </c>
      <c r="B684" s="10">
        <v>1984</v>
      </c>
      <c r="C684" s="10" t="s">
        <v>4709</v>
      </c>
      <c r="D684" s="10">
        <v>22</v>
      </c>
      <c r="E684" s="10">
        <v>1</v>
      </c>
      <c r="F684" s="24">
        <v>5855.9</v>
      </c>
      <c r="G684" s="10" t="s">
        <v>4695</v>
      </c>
      <c r="H684" s="10" t="s">
        <v>4696</v>
      </c>
      <c r="I684" s="10" t="s">
        <v>4712</v>
      </c>
      <c r="J684" s="17">
        <f t="shared" si="4"/>
        <v>31008</v>
      </c>
      <c r="K684" s="10">
        <f t="shared" ca="1" si="5"/>
        <v>41</v>
      </c>
      <c r="L684" s="6"/>
      <c r="M684" s="6"/>
      <c r="N684" s="6"/>
      <c r="O684" s="6"/>
      <c r="P684" s="6"/>
      <c r="Q684" s="6"/>
      <c r="R684" s="6"/>
      <c r="S684" s="6"/>
      <c r="T684" s="6"/>
      <c r="U684" s="6"/>
      <c r="V684" s="6"/>
      <c r="W684" s="6"/>
      <c r="X684" s="6"/>
      <c r="Y684" s="6"/>
      <c r="Z684" s="6"/>
    </row>
    <row r="685" spans="1:26" ht="15.75" customHeight="1" x14ac:dyDescent="0.3">
      <c r="A685" s="10" t="s">
        <v>3310</v>
      </c>
      <c r="B685" s="10">
        <v>1993</v>
      </c>
      <c r="C685" s="10" t="s">
        <v>4715</v>
      </c>
      <c r="D685" s="10">
        <v>19</v>
      </c>
      <c r="E685" s="10">
        <v>0</v>
      </c>
      <c r="F685" s="24">
        <v>5877.02</v>
      </c>
      <c r="G685" s="10" t="s">
        <v>4695</v>
      </c>
      <c r="H685" s="10" t="s">
        <v>4695</v>
      </c>
      <c r="I685" s="10" t="s">
        <v>4726</v>
      </c>
      <c r="J685" s="17">
        <f t="shared" si="4"/>
        <v>34261</v>
      </c>
      <c r="K685" s="10">
        <f t="shared" ca="1" si="5"/>
        <v>32</v>
      </c>
      <c r="L685" s="6"/>
      <c r="M685" s="6"/>
      <c r="N685" s="6"/>
      <c r="O685" s="6"/>
      <c r="P685" s="6"/>
      <c r="Q685" s="6"/>
      <c r="R685" s="6"/>
      <c r="S685" s="6"/>
      <c r="T685" s="6"/>
      <c r="U685" s="6"/>
      <c r="V685" s="6"/>
      <c r="W685" s="6"/>
      <c r="X685" s="6"/>
      <c r="Y685" s="6"/>
      <c r="Z685" s="6"/>
    </row>
    <row r="686" spans="1:26" ht="15.75" customHeight="1" x14ac:dyDescent="0.3">
      <c r="A686" s="10" t="s">
        <v>3308</v>
      </c>
      <c r="B686" s="10">
        <v>1982</v>
      </c>
      <c r="C686" s="10" t="s">
        <v>4707</v>
      </c>
      <c r="D686" s="10">
        <v>8</v>
      </c>
      <c r="E686" s="10">
        <v>0</v>
      </c>
      <c r="F686" s="24">
        <v>5910.94</v>
      </c>
      <c r="G686" s="10" t="s">
        <v>4695</v>
      </c>
      <c r="H686" s="10" t="s">
        <v>4694</v>
      </c>
      <c r="I686" s="10" t="s">
        <v>4716</v>
      </c>
      <c r="J686" s="17">
        <f t="shared" si="4"/>
        <v>30140</v>
      </c>
      <c r="K686" s="10">
        <f t="shared" ca="1" si="5"/>
        <v>43</v>
      </c>
      <c r="L686" s="6"/>
      <c r="M686" s="6"/>
      <c r="N686" s="6"/>
      <c r="O686" s="6"/>
      <c r="P686" s="6"/>
      <c r="Q686" s="6"/>
      <c r="R686" s="6"/>
      <c r="S686" s="6"/>
      <c r="T686" s="6"/>
      <c r="U686" s="6"/>
      <c r="V686" s="6"/>
      <c r="W686" s="6"/>
      <c r="X686" s="6"/>
      <c r="Y686" s="6"/>
      <c r="Z686" s="6"/>
    </row>
    <row r="687" spans="1:26" ht="15.75" customHeight="1" x14ac:dyDescent="0.3">
      <c r="A687" s="10" t="s">
        <v>3306</v>
      </c>
      <c r="B687" s="10">
        <v>1982</v>
      </c>
      <c r="C687" s="10" t="s">
        <v>4713</v>
      </c>
      <c r="D687" s="10">
        <v>21</v>
      </c>
      <c r="E687" s="10">
        <v>0</v>
      </c>
      <c r="F687" s="24">
        <v>5920.1</v>
      </c>
      <c r="G687" s="10" t="s">
        <v>4695</v>
      </c>
      <c r="H687" s="10" t="s">
        <v>4694</v>
      </c>
      <c r="I687" s="10" t="s">
        <v>4708</v>
      </c>
      <c r="J687" s="17">
        <f t="shared" si="4"/>
        <v>30306</v>
      </c>
      <c r="K687" s="10">
        <f t="shared" ca="1" si="5"/>
        <v>42</v>
      </c>
      <c r="L687" s="6"/>
      <c r="M687" s="6"/>
      <c r="N687" s="6"/>
      <c r="O687" s="6"/>
      <c r="P687" s="6"/>
      <c r="Q687" s="6"/>
      <c r="R687" s="6"/>
      <c r="S687" s="6"/>
      <c r="T687" s="6"/>
      <c r="U687" s="6"/>
      <c r="V687" s="6"/>
      <c r="W687" s="6"/>
      <c r="X687" s="6"/>
      <c r="Y687" s="6"/>
      <c r="Z687" s="6"/>
    </row>
    <row r="688" spans="1:26" ht="15.75" customHeight="1" x14ac:dyDescent="0.3">
      <c r="A688" s="10" t="s">
        <v>3304</v>
      </c>
      <c r="B688" s="10">
        <v>1987</v>
      </c>
      <c r="C688" s="10" t="s">
        <v>4707</v>
      </c>
      <c r="D688" s="10">
        <v>29</v>
      </c>
      <c r="E688" s="10">
        <v>3</v>
      </c>
      <c r="F688" s="24">
        <v>5926.85</v>
      </c>
      <c r="G688" s="10" t="s">
        <v>4696</v>
      </c>
      <c r="H688" s="10" t="s">
        <v>4696</v>
      </c>
      <c r="I688" s="10" t="s">
        <v>4716</v>
      </c>
      <c r="J688" s="17">
        <f t="shared" si="4"/>
        <v>31987</v>
      </c>
      <c r="K688" s="10">
        <f t="shared" ca="1" si="5"/>
        <v>38</v>
      </c>
      <c r="L688" s="6"/>
      <c r="M688" s="6"/>
      <c r="N688" s="6"/>
      <c r="O688" s="6"/>
      <c r="P688" s="6"/>
      <c r="Q688" s="6"/>
      <c r="R688" s="6"/>
      <c r="S688" s="6"/>
      <c r="T688" s="6"/>
      <c r="U688" s="6"/>
      <c r="V688" s="6"/>
      <c r="W688" s="6"/>
      <c r="X688" s="6"/>
      <c r="Y688" s="6"/>
      <c r="Z688" s="6"/>
    </row>
    <row r="689" spans="1:26" ht="15.75" customHeight="1" x14ac:dyDescent="0.3">
      <c r="A689" s="10" t="s">
        <v>3302</v>
      </c>
      <c r="B689" s="10">
        <v>1993</v>
      </c>
      <c r="C689" s="10" t="s">
        <v>4714</v>
      </c>
      <c r="D689" s="10">
        <v>13</v>
      </c>
      <c r="E689" s="10">
        <v>0</v>
      </c>
      <c r="F689" s="24">
        <v>5926.93</v>
      </c>
      <c r="G689" s="10" t="s">
        <v>4695</v>
      </c>
      <c r="H689" s="10" t="s">
        <v>4695</v>
      </c>
      <c r="I689" s="10" t="s">
        <v>4722</v>
      </c>
      <c r="J689" s="17">
        <f t="shared" si="4"/>
        <v>34194</v>
      </c>
      <c r="K689" s="10">
        <f t="shared" ca="1" si="5"/>
        <v>32</v>
      </c>
      <c r="L689" s="6"/>
      <c r="M689" s="6"/>
      <c r="N689" s="6"/>
      <c r="O689" s="6"/>
      <c r="P689" s="6"/>
      <c r="Q689" s="6"/>
      <c r="R689" s="6"/>
      <c r="S689" s="6"/>
      <c r="T689" s="6"/>
      <c r="U689" s="6"/>
      <c r="V689" s="6"/>
      <c r="W689" s="6"/>
      <c r="X689" s="6"/>
      <c r="Y689" s="6"/>
      <c r="Z689" s="6"/>
    </row>
    <row r="690" spans="1:26" ht="15.75" customHeight="1" x14ac:dyDescent="0.3">
      <c r="A690" s="10" t="s">
        <v>3300</v>
      </c>
      <c r="B690" s="10">
        <v>1994</v>
      </c>
      <c r="C690" s="10" t="s">
        <v>4707</v>
      </c>
      <c r="D690" s="10">
        <v>30</v>
      </c>
      <c r="E690" s="10">
        <v>0</v>
      </c>
      <c r="F690" s="24">
        <v>5927.65</v>
      </c>
      <c r="G690" s="10" t="s">
        <v>4695</v>
      </c>
      <c r="H690" s="10" t="s">
        <v>4694</v>
      </c>
      <c r="I690" s="10" t="s">
        <v>4712</v>
      </c>
      <c r="J690" s="17">
        <f t="shared" si="4"/>
        <v>34545</v>
      </c>
      <c r="K690" s="10">
        <f t="shared" ca="1" si="5"/>
        <v>31</v>
      </c>
      <c r="L690" s="6"/>
      <c r="M690" s="6"/>
      <c r="N690" s="6"/>
      <c r="O690" s="6"/>
      <c r="P690" s="6"/>
      <c r="Q690" s="6"/>
      <c r="R690" s="6"/>
      <c r="S690" s="6"/>
      <c r="T690" s="6"/>
      <c r="U690" s="6"/>
      <c r="V690" s="6"/>
      <c r="W690" s="6"/>
      <c r="X690" s="6"/>
      <c r="Y690" s="6"/>
      <c r="Z690" s="6"/>
    </row>
    <row r="691" spans="1:26" ht="15.75" customHeight="1" x14ac:dyDescent="0.3">
      <c r="A691" s="10" t="s">
        <v>3298</v>
      </c>
      <c r="B691" s="10">
        <v>1987</v>
      </c>
      <c r="C691" s="10" t="s">
        <v>4707</v>
      </c>
      <c r="D691" s="10">
        <v>14</v>
      </c>
      <c r="E691" s="10">
        <v>3</v>
      </c>
      <c r="F691" s="24">
        <v>5934.38</v>
      </c>
      <c r="G691" s="10" t="s">
        <v>4696</v>
      </c>
      <c r="H691" s="10" t="s">
        <v>4695</v>
      </c>
      <c r="I691" s="10" t="s">
        <v>4708</v>
      </c>
      <c r="J691" s="17">
        <f t="shared" si="4"/>
        <v>31972</v>
      </c>
      <c r="K691" s="10">
        <f t="shared" ca="1" si="5"/>
        <v>38</v>
      </c>
      <c r="L691" s="6"/>
      <c r="M691" s="6"/>
      <c r="N691" s="6"/>
      <c r="O691" s="6"/>
      <c r="P691" s="6"/>
      <c r="Q691" s="6"/>
      <c r="R691" s="6"/>
      <c r="S691" s="6"/>
      <c r="T691" s="6"/>
      <c r="U691" s="6"/>
      <c r="V691" s="6"/>
      <c r="W691" s="6"/>
      <c r="X691" s="6"/>
      <c r="Y691" s="6"/>
      <c r="Z691" s="6"/>
    </row>
    <row r="692" spans="1:26" ht="15.75" customHeight="1" x14ac:dyDescent="0.3">
      <c r="A692" s="10" t="s">
        <v>3296</v>
      </c>
      <c r="B692" s="10">
        <v>2003</v>
      </c>
      <c r="C692" s="10" t="s">
        <v>4714</v>
      </c>
      <c r="D692" s="10">
        <v>13</v>
      </c>
      <c r="E692" s="10">
        <v>0</v>
      </c>
      <c r="F692" s="24">
        <v>5957.35</v>
      </c>
      <c r="G692" s="10" t="s">
        <v>4695</v>
      </c>
      <c r="H692" s="10" t="s">
        <v>4695</v>
      </c>
      <c r="I692" s="10" t="s">
        <v>4712</v>
      </c>
      <c r="J692" s="17">
        <f t="shared" si="4"/>
        <v>37846</v>
      </c>
      <c r="K692" s="10">
        <f t="shared" ca="1" si="5"/>
        <v>22</v>
      </c>
      <c r="L692" s="6"/>
      <c r="M692" s="6"/>
      <c r="N692" s="6"/>
      <c r="O692" s="6"/>
      <c r="P692" s="6"/>
      <c r="Q692" s="6"/>
      <c r="R692" s="6"/>
      <c r="S692" s="6"/>
      <c r="T692" s="6"/>
      <c r="U692" s="6"/>
      <c r="V692" s="6"/>
      <c r="W692" s="6"/>
      <c r="X692" s="6"/>
      <c r="Y692" s="6"/>
      <c r="Z692" s="6"/>
    </row>
    <row r="693" spans="1:26" ht="15.75" customHeight="1" x14ac:dyDescent="0.3">
      <c r="A693" s="10" t="s">
        <v>3294</v>
      </c>
      <c r="B693" s="10">
        <v>2004</v>
      </c>
      <c r="C693" s="10" t="s">
        <v>4707</v>
      </c>
      <c r="D693" s="10">
        <v>15</v>
      </c>
      <c r="E693" s="10">
        <v>0</v>
      </c>
      <c r="F693" s="24">
        <v>5960.91</v>
      </c>
      <c r="G693" s="10" t="s">
        <v>4695</v>
      </c>
      <c r="H693" s="10" t="s">
        <v>4694</v>
      </c>
      <c r="I693" s="10" t="s">
        <v>4729</v>
      </c>
      <c r="J693" s="17">
        <f t="shared" si="4"/>
        <v>38183</v>
      </c>
      <c r="K693" s="10">
        <f t="shared" ca="1" si="5"/>
        <v>21</v>
      </c>
      <c r="L693" s="6"/>
      <c r="M693" s="6"/>
      <c r="N693" s="6"/>
      <c r="O693" s="6"/>
      <c r="P693" s="6"/>
      <c r="Q693" s="6"/>
      <c r="R693" s="6"/>
      <c r="S693" s="6"/>
      <c r="T693" s="6"/>
      <c r="U693" s="6"/>
      <c r="V693" s="6"/>
      <c r="W693" s="6"/>
      <c r="X693" s="6"/>
      <c r="Y693" s="6"/>
      <c r="Z693" s="6"/>
    </row>
    <row r="694" spans="1:26" ht="15.75" customHeight="1" x14ac:dyDescent="0.3">
      <c r="A694" s="10" t="s">
        <v>3292</v>
      </c>
      <c r="B694" s="10">
        <v>1980</v>
      </c>
      <c r="C694" s="10" t="s">
        <v>4714</v>
      </c>
      <c r="D694" s="10">
        <v>5</v>
      </c>
      <c r="E694" s="10">
        <v>0</v>
      </c>
      <c r="F694" s="24">
        <v>5966.89</v>
      </c>
      <c r="G694" s="10" t="s">
        <v>4695</v>
      </c>
      <c r="H694" s="10" t="s">
        <v>4696</v>
      </c>
      <c r="I694" s="10" t="s">
        <v>4708</v>
      </c>
      <c r="J694" s="17">
        <f t="shared" si="4"/>
        <v>29438</v>
      </c>
      <c r="K694" s="10">
        <f t="shared" ca="1" si="5"/>
        <v>45</v>
      </c>
      <c r="L694" s="6"/>
      <c r="M694" s="6"/>
      <c r="N694" s="6"/>
      <c r="O694" s="6"/>
      <c r="P694" s="6"/>
      <c r="Q694" s="6"/>
      <c r="R694" s="6"/>
      <c r="S694" s="6"/>
      <c r="T694" s="6"/>
      <c r="U694" s="6"/>
      <c r="V694" s="6"/>
      <c r="W694" s="6"/>
      <c r="X694" s="6"/>
      <c r="Y694" s="6"/>
      <c r="Z694" s="6"/>
    </row>
    <row r="695" spans="1:26" ht="15.75" customHeight="1" x14ac:dyDescent="0.3">
      <c r="A695" s="10" t="s">
        <v>3290</v>
      </c>
      <c r="B695" s="10">
        <v>1980</v>
      </c>
      <c r="C695" s="10" t="s">
        <v>4707</v>
      </c>
      <c r="D695" s="10">
        <v>21</v>
      </c>
      <c r="E695" s="10">
        <v>0</v>
      </c>
      <c r="F695" s="24">
        <v>5969.72</v>
      </c>
      <c r="G695" s="10" t="s">
        <v>4696</v>
      </c>
      <c r="H695" s="10" t="s">
        <v>4696</v>
      </c>
      <c r="I695" s="10" t="s">
        <v>4716</v>
      </c>
      <c r="J695" s="17">
        <f t="shared" si="4"/>
        <v>29423</v>
      </c>
      <c r="K695" s="10">
        <f t="shared" ca="1" si="5"/>
        <v>45</v>
      </c>
      <c r="L695" s="6"/>
      <c r="M695" s="6"/>
      <c r="N695" s="6"/>
      <c r="O695" s="6"/>
      <c r="P695" s="6"/>
      <c r="Q695" s="6"/>
      <c r="R695" s="6"/>
      <c r="S695" s="6"/>
      <c r="T695" s="6"/>
      <c r="U695" s="6"/>
      <c r="V695" s="6"/>
      <c r="W695" s="6"/>
      <c r="X695" s="6"/>
      <c r="Y695" s="6"/>
      <c r="Z695" s="6"/>
    </row>
    <row r="696" spans="1:26" ht="15.75" customHeight="1" x14ac:dyDescent="0.3">
      <c r="A696" s="10" t="s">
        <v>3288</v>
      </c>
      <c r="B696" s="10">
        <v>1989</v>
      </c>
      <c r="C696" s="10" t="s">
        <v>4707</v>
      </c>
      <c r="D696" s="10">
        <v>22</v>
      </c>
      <c r="E696" s="10">
        <v>3</v>
      </c>
      <c r="F696" s="24">
        <v>5972.38</v>
      </c>
      <c r="G696" s="10" t="s">
        <v>4695</v>
      </c>
      <c r="H696" s="10" t="s">
        <v>4695</v>
      </c>
      <c r="I696" s="10" t="s">
        <v>4716</v>
      </c>
      <c r="J696" s="17">
        <f t="shared" si="4"/>
        <v>32711</v>
      </c>
      <c r="K696" s="10">
        <f t="shared" ca="1" si="5"/>
        <v>36</v>
      </c>
      <c r="L696" s="6"/>
      <c r="M696" s="6"/>
      <c r="N696" s="6"/>
      <c r="O696" s="6"/>
      <c r="P696" s="6"/>
      <c r="Q696" s="6"/>
      <c r="R696" s="6"/>
      <c r="S696" s="6"/>
      <c r="T696" s="6"/>
      <c r="U696" s="6"/>
      <c r="V696" s="6"/>
      <c r="W696" s="6"/>
      <c r="X696" s="6"/>
      <c r="Y696" s="6"/>
      <c r="Z696" s="6"/>
    </row>
    <row r="697" spans="1:26" ht="15.75" customHeight="1" x14ac:dyDescent="0.3">
      <c r="A697" s="10" t="s">
        <v>3286</v>
      </c>
      <c r="B697" s="10">
        <v>1984</v>
      </c>
      <c r="C697" s="10" t="s">
        <v>4711</v>
      </c>
      <c r="D697" s="10">
        <v>19</v>
      </c>
      <c r="E697" s="10">
        <v>1</v>
      </c>
      <c r="F697" s="24">
        <v>5974.38</v>
      </c>
      <c r="G697" s="10" t="s">
        <v>4695</v>
      </c>
      <c r="H697" s="10" t="s">
        <v>4696</v>
      </c>
      <c r="I697" s="10" t="s">
        <v>4708</v>
      </c>
      <c r="J697" s="17">
        <f t="shared" si="4"/>
        <v>30944</v>
      </c>
      <c r="K697" s="10">
        <f t="shared" ca="1" si="5"/>
        <v>41</v>
      </c>
      <c r="L697" s="6"/>
      <c r="M697" s="6"/>
      <c r="N697" s="6"/>
      <c r="O697" s="6"/>
      <c r="P697" s="6"/>
      <c r="Q697" s="6"/>
      <c r="R697" s="6"/>
      <c r="S697" s="6"/>
      <c r="T697" s="6"/>
      <c r="U697" s="6"/>
      <c r="V697" s="6"/>
      <c r="W697" s="6"/>
      <c r="X697" s="6"/>
      <c r="Y697" s="6"/>
      <c r="Z697" s="6"/>
    </row>
    <row r="698" spans="1:26" ht="15.75" customHeight="1" x14ac:dyDescent="0.3">
      <c r="A698" s="10" t="s">
        <v>3284</v>
      </c>
      <c r="B698" s="10">
        <v>1984</v>
      </c>
      <c r="C698" s="10" t="s">
        <v>4709</v>
      </c>
      <c r="D698" s="10">
        <v>11</v>
      </c>
      <c r="E698" s="10">
        <v>1</v>
      </c>
      <c r="F698" s="24">
        <v>5976.83</v>
      </c>
      <c r="G698" s="10" t="s">
        <v>4695</v>
      </c>
      <c r="H698" s="10" t="s">
        <v>4695</v>
      </c>
      <c r="I698" s="10" t="s">
        <v>4708</v>
      </c>
      <c r="J698" s="17">
        <f t="shared" si="4"/>
        <v>30997</v>
      </c>
      <c r="K698" s="10">
        <f t="shared" ca="1" si="5"/>
        <v>41</v>
      </c>
      <c r="L698" s="6"/>
      <c r="M698" s="6"/>
      <c r="N698" s="6"/>
      <c r="O698" s="6"/>
      <c r="P698" s="6"/>
      <c r="Q698" s="6"/>
      <c r="R698" s="6"/>
      <c r="S698" s="6"/>
      <c r="T698" s="6"/>
      <c r="U698" s="6"/>
      <c r="V698" s="6"/>
      <c r="W698" s="6"/>
      <c r="X698" s="6"/>
      <c r="Y698" s="6"/>
      <c r="Z698" s="6"/>
    </row>
    <row r="699" spans="1:26" ht="15.75" customHeight="1" x14ac:dyDescent="0.3">
      <c r="A699" s="10" t="s">
        <v>3282</v>
      </c>
      <c r="B699" s="10">
        <v>1970</v>
      </c>
      <c r="C699" s="10" t="s">
        <v>4710</v>
      </c>
      <c r="D699" s="10">
        <v>25</v>
      </c>
      <c r="E699" s="10">
        <v>0</v>
      </c>
      <c r="F699" s="24">
        <v>5979.66</v>
      </c>
      <c r="G699" s="10" t="s">
        <v>4695</v>
      </c>
      <c r="H699" s="10" t="s">
        <v>4696</v>
      </c>
      <c r="I699" s="10" t="s">
        <v>4708</v>
      </c>
      <c r="J699" s="17">
        <f t="shared" si="4"/>
        <v>25744</v>
      </c>
      <c r="K699" s="10">
        <f t="shared" ca="1" si="5"/>
        <v>55</v>
      </c>
      <c r="L699" s="6"/>
      <c r="M699" s="6"/>
      <c r="N699" s="6"/>
      <c r="O699" s="6"/>
      <c r="P699" s="6"/>
      <c r="Q699" s="6"/>
      <c r="R699" s="6"/>
      <c r="S699" s="6"/>
      <c r="T699" s="6"/>
      <c r="U699" s="6"/>
      <c r="V699" s="6"/>
      <c r="W699" s="6"/>
      <c r="X699" s="6"/>
      <c r="Y699" s="6"/>
      <c r="Z699" s="6"/>
    </row>
    <row r="700" spans="1:26" ht="15.75" customHeight="1" x14ac:dyDescent="0.3">
      <c r="A700" s="10" t="s">
        <v>3280</v>
      </c>
      <c r="B700" s="10">
        <v>1980</v>
      </c>
      <c r="C700" s="10" t="s">
        <v>4715</v>
      </c>
      <c r="D700" s="10">
        <v>10</v>
      </c>
      <c r="E700" s="10">
        <v>0</v>
      </c>
      <c r="F700" s="24">
        <v>5979.73</v>
      </c>
      <c r="G700" s="10" t="s">
        <v>4695</v>
      </c>
      <c r="H700" s="10" t="s">
        <v>4695</v>
      </c>
      <c r="I700" s="10" t="s">
        <v>4716</v>
      </c>
      <c r="J700" s="17">
        <f t="shared" si="4"/>
        <v>29504</v>
      </c>
      <c r="K700" s="10">
        <f t="shared" ca="1" si="5"/>
        <v>45</v>
      </c>
      <c r="L700" s="6"/>
      <c r="M700" s="6"/>
      <c r="N700" s="6"/>
      <c r="O700" s="6"/>
      <c r="P700" s="6"/>
      <c r="Q700" s="6"/>
      <c r="R700" s="6"/>
      <c r="S700" s="6"/>
      <c r="T700" s="6"/>
      <c r="U700" s="6"/>
      <c r="V700" s="6"/>
      <c r="W700" s="6"/>
      <c r="X700" s="6"/>
      <c r="Y700" s="6"/>
      <c r="Z700" s="6"/>
    </row>
    <row r="701" spans="1:26" ht="15.75" customHeight="1" x14ac:dyDescent="0.3">
      <c r="A701" s="10" t="s">
        <v>3278</v>
      </c>
      <c r="B701" s="10">
        <v>1974</v>
      </c>
      <c r="C701" s="10" t="s">
        <v>4715</v>
      </c>
      <c r="D701" s="10">
        <v>11</v>
      </c>
      <c r="E701" s="10">
        <v>0</v>
      </c>
      <c r="F701" s="24">
        <v>5979.99</v>
      </c>
      <c r="G701" s="10" t="s">
        <v>4695</v>
      </c>
      <c r="H701" s="10" t="s">
        <v>4696</v>
      </c>
      <c r="I701" s="10" t="s">
        <v>4708</v>
      </c>
      <c r="J701" s="17">
        <f t="shared" si="4"/>
        <v>27313</v>
      </c>
      <c r="K701" s="10">
        <f t="shared" ca="1" si="5"/>
        <v>51</v>
      </c>
      <c r="L701" s="6"/>
      <c r="M701" s="6"/>
      <c r="N701" s="6"/>
      <c r="O701" s="6"/>
      <c r="P701" s="6"/>
      <c r="Q701" s="6"/>
      <c r="R701" s="6"/>
      <c r="S701" s="6"/>
      <c r="T701" s="6"/>
      <c r="U701" s="6"/>
      <c r="V701" s="6"/>
      <c r="W701" s="6"/>
      <c r="X701" s="6"/>
      <c r="Y701" s="6"/>
      <c r="Z701" s="6"/>
    </row>
    <row r="702" spans="1:26" ht="15.75" customHeight="1" x14ac:dyDescent="0.3">
      <c r="A702" s="10" t="s">
        <v>3276</v>
      </c>
      <c r="B702" s="10">
        <v>1988</v>
      </c>
      <c r="C702" s="10" t="s">
        <v>4710</v>
      </c>
      <c r="D702" s="10">
        <v>10</v>
      </c>
      <c r="E702" s="10">
        <v>2</v>
      </c>
      <c r="F702" s="24">
        <v>5989.52</v>
      </c>
      <c r="G702" s="10" t="s">
        <v>4695</v>
      </c>
      <c r="H702" s="10" t="s">
        <v>4694</v>
      </c>
      <c r="I702" s="10" t="s">
        <v>4712</v>
      </c>
      <c r="J702" s="17">
        <f t="shared" si="4"/>
        <v>32304</v>
      </c>
      <c r="K702" s="10">
        <f t="shared" ca="1" si="5"/>
        <v>37</v>
      </c>
      <c r="L702" s="6"/>
      <c r="M702" s="6"/>
      <c r="N702" s="6"/>
      <c r="O702" s="6"/>
      <c r="P702" s="6"/>
      <c r="Q702" s="6"/>
      <c r="R702" s="6"/>
      <c r="S702" s="6"/>
      <c r="T702" s="6"/>
      <c r="U702" s="6"/>
      <c r="V702" s="6"/>
      <c r="W702" s="6"/>
      <c r="X702" s="6"/>
      <c r="Y702" s="6"/>
      <c r="Z702" s="6"/>
    </row>
    <row r="703" spans="1:26" ht="15.75" customHeight="1" x14ac:dyDescent="0.3">
      <c r="A703" s="10" t="s">
        <v>3274</v>
      </c>
      <c r="B703" s="10">
        <v>1974</v>
      </c>
      <c r="C703" s="10" t="s">
        <v>4714</v>
      </c>
      <c r="D703" s="10">
        <v>17</v>
      </c>
      <c r="E703" s="10">
        <v>0</v>
      </c>
      <c r="F703" s="24">
        <v>5990.17</v>
      </c>
      <c r="G703" s="10" t="s">
        <v>4695</v>
      </c>
      <c r="H703" s="10" t="s">
        <v>4695</v>
      </c>
      <c r="I703" s="10" t="s">
        <v>4708</v>
      </c>
      <c r="J703" s="17">
        <f t="shared" si="4"/>
        <v>27258</v>
      </c>
      <c r="K703" s="10">
        <f t="shared" ca="1" si="5"/>
        <v>51</v>
      </c>
      <c r="L703" s="6"/>
      <c r="M703" s="6"/>
      <c r="N703" s="6"/>
      <c r="O703" s="6"/>
      <c r="P703" s="6"/>
      <c r="Q703" s="6"/>
      <c r="R703" s="6"/>
      <c r="S703" s="6"/>
      <c r="T703" s="6"/>
      <c r="U703" s="6"/>
      <c r="V703" s="6"/>
      <c r="W703" s="6"/>
      <c r="X703" s="6"/>
      <c r="Y703" s="6"/>
      <c r="Z703" s="6"/>
    </row>
    <row r="704" spans="1:26" ht="15.75" customHeight="1" x14ac:dyDescent="0.3">
      <c r="A704" s="10" t="s">
        <v>3272</v>
      </c>
      <c r="B704" s="10">
        <v>1980</v>
      </c>
      <c r="C704" s="10" t="s">
        <v>4714</v>
      </c>
      <c r="D704" s="10">
        <v>8</v>
      </c>
      <c r="E704" s="10">
        <v>2</v>
      </c>
      <c r="F704" s="24">
        <v>5993.62</v>
      </c>
      <c r="G704" s="10" t="s">
        <v>4695</v>
      </c>
      <c r="H704" s="10" t="s">
        <v>4696</v>
      </c>
      <c r="I704" s="10" t="s">
        <v>4708</v>
      </c>
      <c r="J704" s="17">
        <f t="shared" si="4"/>
        <v>29441</v>
      </c>
      <c r="K704" s="10">
        <f t="shared" ca="1" si="5"/>
        <v>45</v>
      </c>
      <c r="L704" s="6"/>
      <c r="M704" s="6"/>
      <c r="N704" s="6"/>
      <c r="O704" s="6"/>
      <c r="P704" s="6"/>
      <c r="Q704" s="6"/>
      <c r="R704" s="6"/>
      <c r="S704" s="6"/>
      <c r="T704" s="6"/>
      <c r="U704" s="6"/>
      <c r="V704" s="6"/>
      <c r="W704" s="6"/>
      <c r="X704" s="6"/>
      <c r="Y704" s="6"/>
      <c r="Z704" s="6"/>
    </row>
    <row r="705" spans="1:26" ht="15.75" customHeight="1" x14ac:dyDescent="0.3">
      <c r="A705" s="10" t="s">
        <v>3270</v>
      </c>
      <c r="B705" s="10">
        <v>1989</v>
      </c>
      <c r="C705" s="10" t="s">
        <v>4714</v>
      </c>
      <c r="D705" s="10">
        <v>16</v>
      </c>
      <c r="E705" s="10">
        <v>4</v>
      </c>
      <c r="F705" s="24">
        <v>6059.17</v>
      </c>
      <c r="G705" s="10" t="s">
        <v>4695</v>
      </c>
      <c r="H705" s="10" t="s">
        <v>4694</v>
      </c>
      <c r="I705" s="10" t="s">
        <v>4716</v>
      </c>
      <c r="J705" s="17">
        <f t="shared" si="4"/>
        <v>32736</v>
      </c>
      <c r="K705" s="10">
        <f t="shared" ca="1" si="5"/>
        <v>36</v>
      </c>
      <c r="L705" s="6"/>
      <c r="M705" s="6"/>
      <c r="N705" s="6"/>
      <c r="O705" s="6"/>
      <c r="P705" s="6"/>
      <c r="Q705" s="6"/>
      <c r="R705" s="6"/>
      <c r="S705" s="6"/>
      <c r="T705" s="6"/>
      <c r="U705" s="6"/>
      <c r="V705" s="6"/>
      <c r="W705" s="6"/>
      <c r="X705" s="6"/>
      <c r="Y705" s="6"/>
      <c r="Z705" s="6"/>
    </row>
    <row r="706" spans="1:26" ht="15.75" customHeight="1" x14ac:dyDescent="0.3">
      <c r="A706" s="10" t="s">
        <v>3268</v>
      </c>
      <c r="B706" s="10">
        <v>1996</v>
      </c>
      <c r="C706" s="10" t="s">
        <v>4707</v>
      </c>
      <c r="D706" s="10">
        <v>28</v>
      </c>
      <c r="E706" s="10">
        <v>0</v>
      </c>
      <c r="F706" s="24">
        <v>6061.8</v>
      </c>
      <c r="G706" s="10" t="s">
        <v>4695</v>
      </c>
      <c r="H706" s="10" t="s">
        <v>4696</v>
      </c>
      <c r="I706" s="10" t="s">
        <v>4712</v>
      </c>
      <c r="J706" s="17">
        <f t="shared" si="4"/>
        <v>35274</v>
      </c>
      <c r="K706" s="10">
        <f t="shared" ca="1" si="5"/>
        <v>29</v>
      </c>
      <c r="L706" s="6"/>
      <c r="M706" s="6"/>
      <c r="N706" s="6"/>
      <c r="O706" s="6"/>
      <c r="P706" s="6"/>
      <c r="Q706" s="6"/>
      <c r="R706" s="6"/>
      <c r="S706" s="6"/>
      <c r="T706" s="6"/>
      <c r="U706" s="6"/>
      <c r="V706" s="6"/>
      <c r="W706" s="6"/>
      <c r="X706" s="6"/>
      <c r="Y706" s="6"/>
      <c r="Z706" s="6"/>
    </row>
    <row r="707" spans="1:26" ht="15.75" customHeight="1" x14ac:dyDescent="0.3">
      <c r="A707" s="10" t="s">
        <v>3266</v>
      </c>
      <c r="B707" s="10">
        <v>1994</v>
      </c>
      <c r="C707" s="10" t="s">
        <v>4709</v>
      </c>
      <c r="D707" s="10">
        <v>8</v>
      </c>
      <c r="E707" s="10">
        <v>0</v>
      </c>
      <c r="F707" s="24">
        <v>6064.37</v>
      </c>
      <c r="G707" s="10" t="s">
        <v>4695</v>
      </c>
      <c r="H707" s="10" t="s">
        <v>4695</v>
      </c>
      <c r="I707" s="10" t="s">
        <v>4716</v>
      </c>
      <c r="J707" s="17">
        <f t="shared" si="4"/>
        <v>34646</v>
      </c>
      <c r="K707" s="10">
        <f t="shared" ca="1" si="5"/>
        <v>31</v>
      </c>
      <c r="L707" s="6"/>
      <c r="M707" s="6"/>
      <c r="N707" s="6"/>
      <c r="O707" s="6"/>
      <c r="P707" s="6"/>
      <c r="Q707" s="6"/>
      <c r="R707" s="6"/>
      <c r="S707" s="6"/>
      <c r="T707" s="6"/>
      <c r="U707" s="6"/>
      <c r="V707" s="6"/>
      <c r="W707" s="6"/>
      <c r="X707" s="6"/>
      <c r="Y707" s="6"/>
      <c r="Z707" s="6"/>
    </row>
    <row r="708" spans="1:26" ht="15.75" customHeight="1" x14ac:dyDescent="0.3">
      <c r="A708" s="10" t="s">
        <v>3264</v>
      </c>
      <c r="B708" s="10">
        <v>1984</v>
      </c>
      <c r="C708" s="10" t="s">
        <v>4711</v>
      </c>
      <c r="D708" s="10">
        <v>21</v>
      </c>
      <c r="E708" s="10">
        <v>1</v>
      </c>
      <c r="F708" s="24">
        <v>6067.13</v>
      </c>
      <c r="G708" s="10" t="s">
        <v>4696</v>
      </c>
      <c r="H708" s="10" t="s">
        <v>4694</v>
      </c>
      <c r="I708" s="10" t="s">
        <v>4720</v>
      </c>
      <c r="J708" s="17">
        <f t="shared" si="4"/>
        <v>30946</v>
      </c>
      <c r="K708" s="10">
        <f t="shared" ca="1" si="5"/>
        <v>41</v>
      </c>
      <c r="L708" s="6"/>
      <c r="M708" s="6"/>
      <c r="N708" s="6"/>
      <c r="O708" s="6"/>
      <c r="P708" s="6"/>
      <c r="Q708" s="6"/>
      <c r="R708" s="6"/>
      <c r="S708" s="6"/>
      <c r="T708" s="6"/>
      <c r="U708" s="6"/>
      <c r="V708" s="6"/>
      <c r="W708" s="6"/>
      <c r="X708" s="6"/>
      <c r="Y708" s="6"/>
      <c r="Z708" s="6"/>
    </row>
    <row r="709" spans="1:26" ht="15.75" customHeight="1" x14ac:dyDescent="0.3">
      <c r="A709" s="10" t="s">
        <v>3262</v>
      </c>
      <c r="B709" s="10">
        <v>1979</v>
      </c>
      <c r="C709" s="10" t="s">
        <v>4714</v>
      </c>
      <c r="D709" s="10">
        <v>8</v>
      </c>
      <c r="E709" s="10">
        <v>2</v>
      </c>
      <c r="F709" s="24">
        <v>6074.37</v>
      </c>
      <c r="G709" s="10" t="s">
        <v>4695</v>
      </c>
      <c r="H709" s="10" t="s">
        <v>4695</v>
      </c>
      <c r="I709" s="10" t="s">
        <v>4712</v>
      </c>
      <c r="J709" s="17">
        <f t="shared" si="4"/>
        <v>29075</v>
      </c>
      <c r="K709" s="10">
        <f t="shared" ca="1" si="5"/>
        <v>46</v>
      </c>
      <c r="L709" s="6"/>
      <c r="M709" s="6"/>
      <c r="N709" s="6"/>
      <c r="O709" s="6"/>
      <c r="P709" s="6"/>
      <c r="Q709" s="6"/>
      <c r="R709" s="6"/>
      <c r="S709" s="6"/>
      <c r="T709" s="6"/>
      <c r="U709" s="6"/>
      <c r="V709" s="6"/>
      <c r="W709" s="6"/>
      <c r="X709" s="6"/>
      <c r="Y709" s="6"/>
      <c r="Z709" s="6"/>
    </row>
    <row r="710" spans="1:26" ht="15.75" customHeight="1" x14ac:dyDescent="0.3">
      <c r="A710" s="10" t="s">
        <v>3260</v>
      </c>
      <c r="B710" s="10">
        <v>1984</v>
      </c>
      <c r="C710" s="10" t="s">
        <v>4715</v>
      </c>
      <c r="D710" s="10">
        <v>14</v>
      </c>
      <c r="E710" s="10">
        <v>1</v>
      </c>
      <c r="F710" s="24">
        <v>6079.67</v>
      </c>
      <c r="G710" s="10" t="s">
        <v>4694</v>
      </c>
      <c r="H710" s="10" t="s">
        <v>4694</v>
      </c>
      <c r="I710" s="10" t="s">
        <v>4725</v>
      </c>
      <c r="J710" s="17">
        <f t="shared" si="4"/>
        <v>30969</v>
      </c>
      <c r="K710" s="10">
        <f t="shared" ca="1" si="5"/>
        <v>41</v>
      </c>
      <c r="L710" s="6"/>
      <c r="M710" s="6"/>
      <c r="N710" s="6"/>
      <c r="O710" s="6"/>
      <c r="P710" s="6"/>
      <c r="Q710" s="6"/>
      <c r="R710" s="6"/>
      <c r="S710" s="6"/>
      <c r="T710" s="6"/>
      <c r="U710" s="6"/>
      <c r="V710" s="6"/>
      <c r="W710" s="6"/>
      <c r="X710" s="6"/>
      <c r="Y710" s="6"/>
      <c r="Z710" s="6"/>
    </row>
    <row r="711" spans="1:26" ht="15.75" customHeight="1" x14ac:dyDescent="0.3">
      <c r="A711" s="10" t="s">
        <v>3258</v>
      </c>
      <c r="B711" s="10">
        <v>1984</v>
      </c>
      <c r="C711" s="10" t="s">
        <v>4707</v>
      </c>
      <c r="D711" s="10">
        <v>25</v>
      </c>
      <c r="E711" s="10">
        <v>2</v>
      </c>
      <c r="F711" s="24">
        <v>6082.41</v>
      </c>
      <c r="G711" s="10" t="s">
        <v>4694</v>
      </c>
      <c r="H711" s="10" t="s">
        <v>4695</v>
      </c>
      <c r="I711" s="10" t="s">
        <v>4716</v>
      </c>
      <c r="J711" s="17">
        <f t="shared" si="4"/>
        <v>30888</v>
      </c>
      <c r="K711" s="10">
        <f t="shared" ca="1" si="5"/>
        <v>41</v>
      </c>
      <c r="L711" s="6"/>
      <c r="M711" s="6"/>
      <c r="N711" s="6"/>
      <c r="O711" s="6"/>
      <c r="P711" s="6"/>
      <c r="Q711" s="6"/>
      <c r="R711" s="6"/>
      <c r="S711" s="6"/>
      <c r="T711" s="6"/>
      <c r="U711" s="6"/>
      <c r="V711" s="6"/>
      <c r="W711" s="6"/>
      <c r="X711" s="6"/>
      <c r="Y711" s="6"/>
      <c r="Z711" s="6"/>
    </row>
    <row r="712" spans="1:26" ht="15.75" customHeight="1" x14ac:dyDescent="0.3">
      <c r="A712" s="10" t="s">
        <v>3256</v>
      </c>
      <c r="B712" s="10">
        <v>1970</v>
      </c>
      <c r="C712" s="10" t="s">
        <v>4710</v>
      </c>
      <c r="D712" s="10">
        <v>9</v>
      </c>
      <c r="E712" s="10">
        <v>0</v>
      </c>
      <c r="F712" s="24">
        <v>6098.38</v>
      </c>
      <c r="G712" s="10" t="s">
        <v>4695</v>
      </c>
      <c r="H712" s="10" t="s">
        <v>4695</v>
      </c>
      <c r="I712" s="10" t="s">
        <v>4708</v>
      </c>
      <c r="J712" s="17">
        <f t="shared" si="4"/>
        <v>25728</v>
      </c>
      <c r="K712" s="10">
        <f t="shared" ca="1" si="5"/>
        <v>55</v>
      </c>
      <c r="L712" s="6"/>
      <c r="M712" s="6"/>
      <c r="N712" s="6"/>
      <c r="O712" s="6"/>
      <c r="P712" s="6"/>
      <c r="Q712" s="6"/>
      <c r="R712" s="6"/>
      <c r="S712" s="6"/>
      <c r="T712" s="6"/>
      <c r="U712" s="6"/>
      <c r="V712" s="6"/>
      <c r="W712" s="6"/>
      <c r="X712" s="6"/>
      <c r="Y712" s="6"/>
      <c r="Z712" s="6"/>
    </row>
    <row r="713" spans="1:26" ht="15.75" customHeight="1" x14ac:dyDescent="0.3">
      <c r="A713" s="10" t="s">
        <v>3254</v>
      </c>
      <c r="B713" s="10">
        <v>1995</v>
      </c>
      <c r="C713" s="10" t="s">
        <v>4711</v>
      </c>
      <c r="D713" s="10">
        <v>9</v>
      </c>
      <c r="E713" s="10">
        <v>0</v>
      </c>
      <c r="F713" s="24">
        <v>6111.95</v>
      </c>
      <c r="G713" s="10" t="s">
        <v>4695</v>
      </c>
      <c r="H713" s="10" t="s">
        <v>4696</v>
      </c>
      <c r="I713" s="10" t="s">
        <v>4729</v>
      </c>
      <c r="J713" s="17">
        <f t="shared" si="4"/>
        <v>34951</v>
      </c>
      <c r="K713" s="10">
        <f t="shared" ca="1" si="5"/>
        <v>30</v>
      </c>
      <c r="L713" s="6"/>
      <c r="M713" s="6"/>
      <c r="N713" s="6"/>
      <c r="O713" s="6"/>
      <c r="P713" s="6"/>
      <c r="Q713" s="6"/>
      <c r="R713" s="6"/>
      <c r="S713" s="6"/>
      <c r="T713" s="6"/>
      <c r="U713" s="6"/>
      <c r="V713" s="6"/>
      <c r="W713" s="6"/>
      <c r="X713" s="6"/>
      <c r="Y713" s="6"/>
      <c r="Z713" s="6"/>
    </row>
    <row r="714" spans="1:26" ht="15.75" customHeight="1" x14ac:dyDescent="0.3">
      <c r="A714" s="10" t="s">
        <v>3252</v>
      </c>
      <c r="B714" s="10">
        <v>1985</v>
      </c>
      <c r="C714" s="10" t="s">
        <v>4707</v>
      </c>
      <c r="D714" s="10">
        <v>21</v>
      </c>
      <c r="E714" s="10">
        <v>1</v>
      </c>
      <c r="F714" s="24">
        <v>6112.35</v>
      </c>
      <c r="G714" s="10" t="s">
        <v>4695</v>
      </c>
      <c r="H714" s="10" t="s">
        <v>4694</v>
      </c>
      <c r="I714" s="10" t="s">
        <v>4712</v>
      </c>
      <c r="J714" s="17">
        <f t="shared" si="4"/>
        <v>31249</v>
      </c>
      <c r="K714" s="10">
        <f t="shared" ca="1" si="5"/>
        <v>40</v>
      </c>
      <c r="L714" s="6"/>
      <c r="M714" s="6"/>
      <c r="N714" s="6"/>
      <c r="O714" s="6"/>
      <c r="P714" s="6"/>
      <c r="Q714" s="6"/>
      <c r="R714" s="6"/>
      <c r="S714" s="6"/>
      <c r="T714" s="6"/>
      <c r="U714" s="6"/>
      <c r="V714" s="6"/>
      <c r="W714" s="6"/>
      <c r="X714" s="6"/>
      <c r="Y714" s="6"/>
      <c r="Z714" s="6"/>
    </row>
    <row r="715" spans="1:26" ht="15.75" customHeight="1" x14ac:dyDescent="0.3">
      <c r="A715" s="10" t="s">
        <v>3250</v>
      </c>
      <c r="B715" s="10">
        <v>1991</v>
      </c>
      <c r="C715" s="10" t="s">
        <v>4707</v>
      </c>
      <c r="D715" s="10">
        <v>25</v>
      </c>
      <c r="E715" s="10">
        <v>3</v>
      </c>
      <c r="F715" s="24">
        <v>6113.23</v>
      </c>
      <c r="G715" s="10" t="s">
        <v>4695</v>
      </c>
      <c r="H715" s="10" t="s">
        <v>4695</v>
      </c>
      <c r="I715" s="10" t="s">
        <v>4723</v>
      </c>
      <c r="J715" s="17">
        <f t="shared" si="4"/>
        <v>33444</v>
      </c>
      <c r="K715" s="10">
        <f t="shared" ca="1" si="5"/>
        <v>34</v>
      </c>
      <c r="L715" s="6"/>
      <c r="M715" s="6"/>
      <c r="N715" s="6"/>
      <c r="O715" s="6"/>
      <c r="P715" s="6"/>
      <c r="Q715" s="6"/>
      <c r="R715" s="6"/>
      <c r="S715" s="6"/>
      <c r="T715" s="6"/>
      <c r="U715" s="6"/>
      <c r="V715" s="6"/>
      <c r="W715" s="6"/>
      <c r="X715" s="6"/>
      <c r="Y715" s="6"/>
      <c r="Z715" s="6"/>
    </row>
    <row r="716" spans="1:26" ht="15.75" customHeight="1" x14ac:dyDescent="0.3">
      <c r="A716" s="10" t="s">
        <v>3248</v>
      </c>
      <c r="B716" s="10">
        <v>1983</v>
      </c>
      <c r="C716" s="10" t="s">
        <v>4714</v>
      </c>
      <c r="D716" s="10">
        <v>11</v>
      </c>
      <c r="E716" s="10">
        <v>1</v>
      </c>
      <c r="F716" s="24">
        <v>6117.49</v>
      </c>
      <c r="G716" s="10" t="s">
        <v>4695</v>
      </c>
      <c r="H716" s="10" t="s">
        <v>4696</v>
      </c>
      <c r="I716" s="10" t="s">
        <v>4712</v>
      </c>
      <c r="J716" s="17">
        <f t="shared" si="4"/>
        <v>30539</v>
      </c>
      <c r="K716" s="10">
        <f t="shared" ca="1" si="5"/>
        <v>42</v>
      </c>
      <c r="L716" s="6"/>
      <c r="M716" s="6"/>
      <c r="N716" s="6"/>
      <c r="O716" s="6"/>
      <c r="P716" s="6"/>
      <c r="Q716" s="6"/>
      <c r="R716" s="6"/>
      <c r="S716" s="6"/>
      <c r="T716" s="6"/>
      <c r="U716" s="6"/>
      <c r="V716" s="6"/>
      <c r="W716" s="6"/>
      <c r="X716" s="6"/>
      <c r="Y716" s="6"/>
      <c r="Z716" s="6"/>
    </row>
    <row r="717" spans="1:26" ht="15.75" customHeight="1" x14ac:dyDescent="0.3">
      <c r="A717" s="10" t="s">
        <v>3246</v>
      </c>
      <c r="B717" s="10">
        <v>1983</v>
      </c>
      <c r="C717" s="10" t="s">
        <v>4709</v>
      </c>
      <c r="D717" s="10">
        <v>16</v>
      </c>
      <c r="E717" s="10">
        <v>1</v>
      </c>
      <c r="F717" s="24">
        <v>6123.57</v>
      </c>
      <c r="G717" s="10" t="s">
        <v>4696</v>
      </c>
      <c r="H717" s="10" t="s">
        <v>4695</v>
      </c>
      <c r="I717" s="10" t="s">
        <v>4712</v>
      </c>
      <c r="J717" s="17">
        <f t="shared" si="4"/>
        <v>30636</v>
      </c>
      <c r="K717" s="10">
        <f t="shared" ca="1" si="5"/>
        <v>42</v>
      </c>
      <c r="L717" s="6"/>
      <c r="M717" s="6"/>
      <c r="N717" s="6"/>
      <c r="O717" s="6"/>
      <c r="P717" s="6"/>
      <c r="Q717" s="6"/>
      <c r="R717" s="6"/>
      <c r="S717" s="6"/>
      <c r="T717" s="6"/>
      <c r="U717" s="6"/>
      <c r="V717" s="6"/>
      <c r="W717" s="6"/>
      <c r="X717" s="6"/>
      <c r="Y717" s="6"/>
      <c r="Z717" s="6"/>
    </row>
    <row r="718" spans="1:26" ht="15.75" customHeight="1" x14ac:dyDescent="0.3">
      <c r="A718" s="10" t="s">
        <v>3244</v>
      </c>
      <c r="B718" s="10">
        <v>1990</v>
      </c>
      <c r="C718" s="10" t="s">
        <v>4714</v>
      </c>
      <c r="D718" s="10">
        <v>18</v>
      </c>
      <c r="E718" s="10">
        <v>3</v>
      </c>
      <c r="F718" s="24">
        <v>6128.8</v>
      </c>
      <c r="G718" s="10" t="s">
        <v>4695</v>
      </c>
      <c r="H718" s="10" t="s">
        <v>4696</v>
      </c>
      <c r="I718" s="10" t="s">
        <v>4712</v>
      </c>
      <c r="J718" s="17">
        <f t="shared" si="4"/>
        <v>33103</v>
      </c>
      <c r="K718" s="10">
        <f t="shared" ca="1" si="5"/>
        <v>35</v>
      </c>
      <c r="L718" s="6"/>
      <c r="M718" s="6"/>
      <c r="N718" s="6"/>
      <c r="O718" s="6"/>
      <c r="P718" s="6"/>
      <c r="Q718" s="6"/>
      <c r="R718" s="6"/>
      <c r="S718" s="6"/>
      <c r="T718" s="6"/>
      <c r="U718" s="6"/>
      <c r="V718" s="6"/>
      <c r="W718" s="6"/>
      <c r="X718" s="6"/>
      <c r="Y718" s="6"/>
      <c r="Z718" s="6"/>
    </row>
    <row r="719" spans="1:26" ht="15.75" customHeight="1" x14ac:dyDescent="0.3">
      <c r="A719" s="10" t="s">
        <v>3242</v>
      </c>
      <c r="B719" s="10">
        <v>1969</v>
      </c>
      <c r="C719" s="10" t="s">
        <v>4709</v>
      </c>
      <c r="D719" s="10">
        <v>9</v>
      </c>
      <c r="E719" s="10">
        <v>0</v>
      </c>
      <c r="F719" s="24">
        <v>6138.5</v>
      </c>
      <c r="G719" s="10" t="s">
        <v>4695</v>
      </c>
      <c r="H719" s="10" t="s">
        <v>4695</v>
      </c>
      <c r="I719" s="10" t="s">
        <v>4716</v>
      </c>
      <c r="J719" s="17">
        <f t="shared" si="4"/>
        <v>25516</v>
      </c>
      <c r="K719" s="10">
        <f t="shared" ca="1" si="5"/>
        <v>56</v>
      </c>
      <c r="L719" s="6"/>
      <c r="M719" s="6"/>
      <c r="N719" s="6"/>
      <c r="O719" s="6"/>
      <c r="P719" s="6"/>
      <c r="Q719" s="6"/>
      <c r="R719" s="6"/>
      <c r="S719" s="6"/>
      <c r="T719" s="6"/>
      <c r="U719" s="6"/>
      <c r="V719" s="6"/>
      <c r="W719" s="6"/>
      <c r="X719" s="6"/>
      <c r="Y719" s="6"/>
      <c r="Z719" s="6"/>
    </row>
    <row r="720" spans="1:26" ht="15.75" customHeight="1" x14ac:dyDescent="0.3">
      <c r="A720" s="10" t="s">
        <v>3240</v>
      </c>
      <c r="B720" s="10">
        <v>1978</v>
      </c>
      <c r="C720" s="10" t="s">
        <v>4711</v>
      </c>
      <c r="D720" s="10">
        <v>5</v>
      </c>
      <c r="E720" s="10">
        <v>2</v>
      </c>
      <c r="F720" s="24">
        <v>6138.58</v>
      </c>
      <c r="G720" s="10" t="s">
        <v>4695</v>
      </c>
      <c r="H720" s="10" t="s">
        <v>4694</v>
      </c>
      <c r="I720" s="10" t="s">
        <v>4708</v>
      </c>
      <c r="J720" s="17">
        <f t="shared" si="4"/>
        <v>28738</v>
      </c>
      <c r="K720" s="10">
        <f t="shared" ca="1" si="5"/>
        <v>47</v>
      </c>
      <c r="L720" s="6"/>
      <c r="M720" s="6"/>
      <c r="N720" s="6"/>
      <c r="O720" s="6"/>
      <c r="P720" s="6"/>
      <c r="Q720" s="6"/>
      <c r="R720" s="6"/>
      <c r="S720" s="6"/>
      <c r="T720" s="6"/>
      <c r="U720" s="6"/>
      <c r="V720" s="6"/>
      <c r="W720" s="6"/>
      <c r="X720" s="6"/>
      <c r="Y720" s="6"/>
      <c r="Z720" s="6"/>
    </row>
    <row r="721" spans="1:26" ht="15.75" customHeight="1" x14ac:dyDescent="0.3">
      <c r="A721" s="10" t="s">
        <v>3238</v>
      </c>
      <c r="B721" s="10">
        <v>1976</v>
      </c>
      <c r="C721" s="10" t="s">
        <v>4713</v>
      </c>
      <c r="D721" s="10">
        <v>12</v>
      </c>
      <c r="E721" s="10">
        <v>2</v>
      </c>
      <c r="F721" s="24">
        <v>6139.14</v>
      </c>
      <c r="G721" s="10" t="s">
        <v>4695</v>
      </c>
      <c r="H721" s="10" t="s">
        <v>4696</v>
      </c>
      <c r="I721" s="10" t="s">
        <v>4708</v>
      </c>
      <c r="J721" s="17">
        <f t="shared" si="4"/>
        <v>28106</v>
      </c>
      <c r="K721" s="10">
        <f t="shared" ca="1" si="5"/>
        <v>48</v>
      </c>
      <c r="L721" s="6"/>
      <c r="M721" s="6"/>
      <c r="N721" s="6"/>
      <c r="O721" s="6"/>
      <c r="P721" s="6"/>
      <c r="Q721" s="6"/>
      <c r="R721" s="6"/>
      <c r="S721" s="6"/>
      <c r="T721" s="6"/>
      <c r="U721" s="6"/>
      <c r="V721" s="6"/>
      <c r="W721" s="6"/>
      <c r="X721" s="6"/>
      <c r="Y721" s="6"/>
      <c r="Z721" s="6"/>
    </row>
    <row r="722" spans="1:26" ht="15.75" customHeight="1" x14ac:dyDescent="0.3">
      <c r="A722" s="10" t="s">
        <v>3236</v>
      </c>
      <c r="B722" s="10">
        <v>1970</v>
      </c>
      <c r="C722" s="10" t="s">
        <v>4715</v>
      </c>
      <c r="D722" s="10">
        <v>14</v>
      </c>
      <c r="E722" s="10">
        <v>0</v>
      </c>
      <c r="F722" s="24">
        <v>6147.12</v>
      </c>
      <c r="G722" s="10" t="s">
        <v>4695</v>
      </c>
      <c r="H722" s="10" t="s">
        <v>4696</v>
      </c>
      <c r="I722" s="10" t="s">
        <v>4712</v>
      </c>
      <c r="J722" s="17">
        <f t="shared" si="4"/>
        <v>25855</v>
      </c>
      <c r="K722" s="10">
        <f t="shared" ca="1" si="5"/>
        <v>55</v>
      </c>
      <c r="L722" s="6"/>
      <c r="M722" s="6"/>
      <c r="N722" s="6"/>
      <c r="O722" s="6"/>
      <c r="P722" s="6"/>
      <c r="Q722" s="6"/>
      <c r="R722" s="6"/>
      <c r="S722" s="6"/>
      <c r="T722" s="6"/>
      <c r="U722" s="6"/>
      <c r="V722" s="6"/>
      <c r="W722" s="6"/>
      <c r="X722" s="6"/>
      <c r="Y722" s="6"/>
      <c r="Z722" s="6"/>
    </row>
    <row r="723" spans="1:26" ht="15.75" customHeight="1" x14ac:dyDescent="0.3">
      <c r="A723" s="10" t="s">
        <v>3234</v>
      </c>
      <c r="B723" s="10">
        <v>1973</v>
      </c>
      <c r="C723" s="10" t="s">
        <v>4709</v>
      </c>
      <c r="D723" s="10">
        <v>6</v>
      </c>
      <c r="E723" s="10">
        <v>0</v>
      </c>
      <c r="F723" s="24">
        <v>6152.05</v>
      </c>
      <c r="G723" s="10" t="s">
        <v>4695</v>
      </c>
      <c r="H723" s="10" t="s">
        <v>4696</v>
      </c>
      <c r="I723" s="10" t="s">
        <v>4708</v>
      </c>
      <c r="J723" s="17">
        <f t="shared" si="4"/>
        <v>26974</v>
      </c>
      <c r="K723" s="10">
        <f t="shared" ca="1" si="5"/>
        <v>52</v>
      </c>
      <c r="L723" s="6"/>
      <c r="M723" s="6"/>
      <c r="N723" s="6"/>
      <c r="O723" s="6"/>
      <c r="P723" s="6"/>
      <c r="Q723" s="6"/>
      <c r="R723" s="6"/>
      <c r="S723" s="6"/>
      <c r="T723" s="6"/>
      <c r="U723" s="6"/>
      <c r="V723" s="6"/>
      <c r="W723" s="6"/>
      <c r="X723" s="6"/>
      <c r="Y723" s="6"/>
      <c r="Z723" s="6"/>
    </row>
    <row r="724" spans="1:26" ht="15.75" customHeight="1" x14ac:dyDescent="0.3">
      <c r="A724" s="10" t="s">
        <v>3232</v>
      </c>
      <c r="B724" s="10">
        <v>1985</v>
      </c>
      <c r="C724" s="10" t="s">
        <v>4715</v>
      </c>
      <c r="D724" s="10">
        <v>15</v>
      </c>
      <c r="E724" s="10">
        <v>3</v>
      </c>
      <c r="F724" s="24">
        <v>6159.57</v>
      </c>
      <c r="G724" s="10" t="s">
        <v>4695</v>
      </c>
      <c r="H724" s="10" t="s">
        <v>4694</v>
      </c>
      <c r="I724" s="10" t="s">
        <v>4712</v>
      </c>
      <c r="J724" s="17">
        <f t="shared" si="4"/>
        <v>31335</v>
      </c>
      <c r="K724" s="10">
        <f t="shared" ca="1" si="5"/>
        <v>40</v>
      </c>
      <c r="L724" s="6"/>
      <c r="M724" s="6"/>
      <c r="N724" s="6"/>
      <c r="O724" s="6"/>
      <c r="P724" s="6"/>
      <c r="Q724" s="6"/>
      <c r="R724" s="6"/>
      <c r="S724" s="6"/>
      <c r="T724" s="6"/>
      <c r="U724" s="6"/>
      <c r="V724" s="6"/>
      <c r="W724" s="6"/>
      <c r="X724" s="6"/>
      <c r="Y724" s="6"/>
      <c r="Z724" s="6"/>
    </row>
    <row r="725" spans="1:26" ht="15.75" customHeight="1" x14ac:dyDescent="0.3">
      <c r="A725" s="10" t="s">
        <v>3230</v>
      </c>
      <c r="B725" s="10">
        <v>1984</v>
      </c>
      <c r="C725" s="10" t="s">
        <v>4715</v>
      </c>
      <c r="D725" s="10">
        <v>6</v>
      </c>
      <c r="E725" s="10">
        <v>3</v>
      </c>
      <c r="F725" s="24">
        <v>6170.96</v>
      </c>
      <c r="G725" s="10" t="s">
        <v>4695</v>
      </c>
      <c r="H725" s="10" t="s">
        <v>4694</v>
      </c>
      <c r="I725" s="10" t="s">
        <v>4708</v>
      </c>
      <c r="J725" s="17">
        <f t="shared" si="4"/>
        <v>30961</v>
      </c>
      <c r="K725" s="10">
        <f t="shared" ca="1" si="5"/>
        <v>41</v>
      </c>
      <c r="L725" s="6"/>
      <c r="M725" s="6"/>
      <c r="N725" s="6"/>
      <c r="O725" s="6"/>
      <c r="P725" s="6"/>
      <c r="Q725" s="6"/>
      <c r="R725" s="6"/>
      <c r="S725" s="6"/>
      <c r="T725" s="6"/>
      <c r="U725" s="6"/>
      <c r="V725" s="6"/>
      <c r="W725" s="6"/>
      <c r="X725" s="6"/>
      <c r="Y725" s="6"/>
      <c r="Z725" s="6"/>
    </row>
    <row r="726" spans="1:26" ht="15.75" customHeight="1" x14ac:dyDescent="0.3">
      <c r="A726" s="10" t="s">
        <v>3228</v>
      </c>
      <c r="B726" s="10">
        <v>1985</v>
      </c>
      <c r="C726" s="10" t="s">
        <v>4714</v>
      </c>
      <c r="D726" s="10">
        <v>9</v>
      </c>
      <c r="E726" s="10">
        <v>3</v>
      </c>
      <c r="F726" s="24">
        <v>6183.32</v>
      </c>
      <c r="G726" s="10" t="s">
        <v>4695</v>
      </c>
      <c r="H726" s="10" t="s">
        <v>4695</v>
      </c>
      <c r="I726" s="10" t="s">
        <v>4712</v>
      </c>
      <c r="J726" s="17">
        <f t="shared" si="4"/>
        <v>31268</v>
      </c>
      <c r="K726" s="10">
        <f t="shared" ca="1" si="5"/>
        <v>40</v>
      </c>
      <c r="L726" s="6"/>
      <c r="M726" s="6"/>
      <c r="N726" s="6"/>
      <c r="O726" s="6"/>
      <c r="P726" s="6"/>
      <c r="Q726" s="6"/>
      <c r="R726" s="6"/>
      <c r="S726" s="6"/>
      <c r="T726" s="6"/>
      <c r="U726" s="6"/>
      <c r="V726" s="6"/>
      <c r="W726" s="6"/>
      <c r="X726" s="6"/>
      <c r="Y726" s="6"/>
      <c r="Z726" s="6"/>
    </row>
    <row r="727" spans="1:26" ht="15.75" customHeight="1" x14ac:dyDescent="0.3">
      <c r="A727" s="10" t="s">
        <v>3226</v>
      </c>
      <c r="B727" s="10">
        <v>1970</v>
      </c>
      <c r="C727" s="10" t="s">
        <v>4715</v>
      </c>
      <c r="D727" s="10">
        <v>5</v>
      </c>
      <c r="E727" s="10">
        <v>0</v>
      </c>
      <c r="F727" s="24">
        <v>6183.46</v>
      </c>
      <c r="G727" s="10" t="s">
        <v>4695</v>
      </c>
      <c r="H727" s="10" t="s">
        <v>4695</v>
      </c>
      <c r="I727" s="10" t="s">
        <v>4712</v>
      </c>
      <c r="J727" s="17">
        <f t="shared" si="4"/>
        <v>25846</v>
      </c>
      <c r="K727" s="10">
        <f t="shared" ca="1" si="5"/>
        <v>55</v>
      </c>
      <c r="L727" s="6"/>
      <c r="M727" s="6"/>
      <c r="N727" s="6"/>
      <c r="O727" s="6"/>
      <c r="P727" s="6"/>
      <c r="Q727" s="6"/>
      <c r="R727" s="6"/>
      <c r="S727" s="6"/>
      <c r="T727" s="6"/>
      <c r="U727" s="6"/>
      <c r="V727" s="6"/>
      <c r="W727" s="6"/>
      <c r="X727" s="6"/>
      <c r="Y727" s="6"/>
      <c r="Z727" s="6"/>
    </row>
    <row r="728" spans="1:26" ht="15.75" customHeight="1" x14ac:dyDescent="0.3">
      <c r="A728" s="10" t="s">
        <v>3224</v>
      </c>
      <c r="B728" s="10">
        <v>1988</v>
      </c>
      <c r="C728" s="10" t="s">
        <v>4709</v>
      </c>
      <c r="D728" s="10">
        <v>1</v>
      </c>
      <c r="E728" s="10">
        <v>3</v>
      </c>
      <c r="F728" s="24">
        <v>6184.3</v>
      </c>
      <c r="G728" s="10" t="s">
        <v>4695</v>
      </c>
      <c r="H728" s="10" t="s">
        <v>4696</v>
      </c>
      <c r="I728" s="10" t="s">
        <v>4708</v>
      </c>
      <c r="J728" s="17">
        <f t="shared" si="4"/>
        <v>32448</v>
      </c>
      <c r="K728" s="10">
        <f t="shared" ca="1" si="5"/>
        <v>37</v>
      </c>
      <c r="L728" s="6"/>
      <c r="M728" s="6"/>
      <c r="N728" s="6"/>
      <c r="O728" s="6"/>
      <c r="P728" s="6"/>
      <c r="Q728" s="6"/>
      <c r="R728" s="6"/>
      <c r="S728" s="6"/>
      <c r="T728" s="6"/>
      <c r="U728" s="6"/>
      <c r="V728" s="6"/>
      <c r="W728" s="6"/>
      <c r="X728" s="6"/>
      <c r="Y728" s="6"/>
      <c r="Z728" s="6"/>
    </row>
    <row r="729" spans="1:26" ht="15.75" customHeight="1" x14ac:dyDescent="0.3">
      <c r="A729" s="10" t="s">
        <v>3222</v>
      </c>
      <c r="B729" s="10">
        <v>1981</v>
      </c>
      <c r="C729" s="10" t="s">
        <v>4709</v>
      </c>
      <c r="D729" s="10">
        <v>22</v>
      </c>
      <c r="E729" s="10">
        <v>0</v>
      </c>
      <c r="F729" s="24">
        <v>6185.32</v>
      </c>
      <c r="G729" s="10" t="s">
        <v>4695</v>
      </c>
      <c r="H729" s="10" t="s">
        <v>4694</v>
      </c>
      <c r="I729" s="10" t="s">
        <v>4708</v>
      </c>
      <c r="J729" s="17">
        <f t="shared" si="4"/>
        <v>29912</v>
      </c>
      <c r="K729" s="10">
        <f t="shared" ca="1" si="5"/>
        <v>44</v>
      </c>
      <c r="L729" s="6"/>
      <c r="M729" s="6"/>
      <c r="N729" s="6"/>
      <c r="O729" s="6"/>
      <c r="P729" s="6"/>
      <c r="Q729" s="6"/>
      <c r="R729" s="6"/>
      <c r="S729" s="6"/>
      <c r="T729" s="6"/>
      <c r="U729" s="6"/>
      <c r="V729" s="6"/>
      <c r="W729" s="6"/>
      <c r="X729" s="6"/>
      <c r="Y729" s="6"/>
      <c r="Z729" s="6"/>
    </row>
    <row r="730" spans="1:26" ht="15.75" customHeight="1" x14ac:dyDescent="0.3">
      <c r="A730" s="10" t="s">
        <v>3220</v>
      </c>
      <c r="B730" s="10">
        <v>1981</v>
      </c>
      <c r="C730" s="10" t="s">
        <v>4715</v>
      </c>
      <c r="D730" s="10">
        <v>1</v>
      </c>
      <c r="E730" s="10">
        <v>0</v>
      </c>
      <c r="F730" s="24">
        <v>6186.13</v>
      </c>
      <c r="G730" s="10" t="s">
        <v>4695</v>
      </c>
      <c r="H730" s="10" t="s">
        <v>4696</v>
      </c>
      <c r="I730" s="10" t="s">
        <v>4716</v>
      </c>
      <c r="J730" s="17">
        <f t="shared" si="4"/>
        <v>29860</v>
      </c>
      <c r="K730" s="10">
        <f t="shared" ca="1" si="5"/>
        <v>44</v>
      </c>
      <c r="L730" s="6"/>
      <c r="M730" s="6"/>
      <c r="N730" s="6"/>
      <c r="O730" s="6"/>
      <c r="P730" s="6"/>
      <c r="Q730" s="6"/>
      <c r="R730" s="6"/>
      <c r="S730" s="6"/>
      <c r="T730" s="6"/>
      <c r="U730" s="6"/>
      <c r="V730" s="6"/>
      <c r="W730" s="6"/>
      <c r="X730" s="6"/>
      <c r="Y730" s="6"/>
      <c r="Z730" s="6"/>
    </row>
    <row r="731" spans="1:26" ht="15.75" customHeight="1" x14ac:dyDescent="0.3">
      <c r="A731" s="10" t="s">
        <v>3218</v>
      </c>
      <c r="B731" s="10">
        <v>1988</v>
      </c>
      <c r="C731" s="10" t="s">
        <v>4715</v>
      </c>
      <c r="D731" s="10">
        <v>23</v>
      </c>
      <c r="E731" s="10">
        <v>3</v>
      </c>
      <c r="F731" s="24">
        <v>6196.45</v>
      </c>
      <c r="G731" s="10" t="s">
        <v>4695</v>
      </c>
      <c r="H731" s="10" t="s">
        <v>4694</v>
      </c>
      <c r="I731" s="10" t="s">
        <v>4716</v>
      </c>
      <c r="J731" s="17">
        <f t="shared" si="4"/>
        <v>32439</v>
      </c>
      <c r="K731" s="10">
        <f t="shared" ca="1" si="5"/>
        <v>37</v>
      </c>
      <c r="L731" s="6"/>
      <c r="M731" s="6"/>
      <c r="N731" s="6"/>
      <c r="O731" s="6"/>
      <c r="P731" s="6"/>
      <c r="Q731" s="6"/>
      <c r="R731" s="6"/>
      <c r="S731" s="6"/>
      <c r="T731" s="6"/>
      <c r="U731" s="6"/>
      <c r="V731" s="6"/>
      <c r="W731" s="6"/>
      <c r="X731" s="6"/>
      <c r="Y731" s="6"/>
      <c r="Z731" s="6"/>
    </row>
    <row r="732" spans="1:26" ht="15.75" customHeight="1" x14ac:dyDescent="0.3">
      <c r="A732" s="10" t="s">
        <v>3216</v>
      </c>
      <c r="B732" s="10">
        <v>1985</v>
      </c>
      <c r="C732" s="10" t="s">
        <v>4707</v>
      </c>
      <c r="D732" s="10">
        <v>22</v>
      </c>
      <c r="E732" s="10">
        <v>2</v>
      </c>
      <c r="F732" s="24">
        <v>6198.75</v>
      </c>
      <c r="G732" s="10" t="s">
        <v>4695</v>
      </c>
      <c r="H732" s="10" t="s">
        <v>4694</v>
      </c>
      <c r="I732" s="10" t="s">
        <v>4712</v>
      </c>
      <c r="J732" s="17">
        <f t="shared" si="4"/>
        <v>31250</v>
      </c>
      <c r="K732" s="10">
        <f t="shared" ca="1" si="5"/>
        <v>40</v>
      </c>
      <c r="L732" s="6"/>
      <c r="M732" s="6"/>
      <c r="N732" s="6"/>
      <c r="O732" s="6"/>
      <c r="P732" s="6"/>
      <c r="Q732" s="6"/>
      <c r="R732" s="6"/>
      <c r="S732" s="6"/>
      <c r="T732" s="6"/>
      <c r="U732" s="6"/>
      <c r="V732" s="6"/>
      <c r="W732" s="6"/>
      <c r="X732" s="6"/>
      <c r="Y732" s="6"/>
      <c r="Z732" s="6"/>
    </row>
    <row r="733" spans="1:26" ht="15.75" customHeight="1" x14ac:dyDescent="0.3">
      <c r="A733" s="10" t="s">
        <v>4717</v>
      </c>
      <c r="B733" s="10">
        <v>1985</v>
      </c>
      <c r="C733" s="10" t="s">
        <v>4713</v>
      </c>
      <c r="D733" s="10">
        <v>20</v>
      </c>
      <c r="E733" s="10">
        <v>2</v>
      </c>
      <c r="F733" s="24">
        <v>6203.9</v>
      </c>
      <c r="G733" s="10" t="s">
        <v>4694</v>
      </c>
      <c r="H733" s="10" t="s">
        <v>4695</v>
      </c>
      <c r="I733" s="10" t="s">
        <v>4712</v>
      </c>
      <c r="J733" s="17">
        <f t="shared" si="4"/>
        <v>31401</v>
      </c>
      <c r="K733" s="10">
        <f t="shared" ca="1" si="5"/>
        <v>39</v>
      </c>
      <c r="L733" s="6"/>
      <c r="M733" s="6"/>
      <c r="N733" s="6"/>
      <c r="O733" s="6"/>
      <c r="P733" s="6"/>
      <c r="Q733" s="6"/>
      <c r="R733" s="6"/>
      <c r="S733" s="6"/>
      <c r="T733" s="6"/>
      <c r="U733" s="6"/>
      <c r="V733" s="6"/>
      <c r="W733" s="6"/>
      <c r="X733" s="6"/>
      <c r="Y733" s="6"/>
      <c r="Z733" s="6"/>
    </row>
    <row r="734" spans="1:26" ht="15.75" customHeight="1" x14ac:dyDescent="0.3">
      <c r="A734" s="10" t="s">
        <v>3214</v>
      </c>
      <c r="B734" s="10">
        <v>1985</v>
      </c>
      <c r="C734" s="10" t="s">
        <v>4711</v>
      </c>
      <c r="D734" s="10">
        <v>22</v>
      </c>
      <c r="E734" s="10">
        <v>2</v>
      </c>
      <c r="F734" s="24">
        <v>6203.9</v>
      </c>
      <c r="G734" s="10" t="s">
        <v>4695</v>
      </c>
      <c r="H734" s="10" t="s">
        <v>4695</v>
      </c>
      <c r="I734" s="10" t="s">
        <v>4712</v>
      </c>
      <c r="J734" s="17">
        <f t="shared" si="4"/>
        <v>31312</v>
      </c>
      <c r="K734" s="10">
        <f t="shared" ca="1" si="5"/>
        <v>40</v>
      </c>
      <c r="L734" s="6"/>
      <c r="M734" s="6"/>
      <c r="N734" s="6"/>
      <c r="O734" s="6"/>
      <c r="P734" s="6"/>
      <c r="Q734" s="6"/>
      <c r="R734" s="6"/>
      <c r="S734" s="6"/>
      <c r="T734" s="6"/>
      <c r="U734" s="6"/>
      <c r="V734" s="6"/>
      <c r="W734" s="6"/>
      <c r="X734" s="6"/>
      <c r="Y734" s="6"/>
      <c r="Z734" s="6"/>
    </row>
    <row r="735" spans="1:26" ht="15.75" customHeight="1" x14ac:dyDescent="0.3">
      <c r="A735" s="10" t="s">
        <v>3212</v>
      </c>
      <c r="B735" s="10">
        <v>1999</v>
      </c>
      <c r="C735" s="10" t="s">
        <v>4711</v>
      </c>
      <c r="D735" s="10">
        <v>10</v>
      </c>
      <c r="E735" s="10">
        <v>0</v>
      </c>
      <c r="F735" s="24">
        <v>6207.26</v>
      </c>
      <c r="G735" s="10" t="s">
        <v>4695</v>
      </c>
      <c r="H735" s="10" t="s">
        <v>4695</v>
      </c>
      <c r="I735" s="10" t="s">
        <v>4729</v>
      </c>
      <c r="J735" s="17">
        <f t="shared" si="4"/>
        <v>36413</v>
      </c>
      <c r="K735" s="10">
        <f t="shared" ca="1" si="5"/>
        <v>26</v>
      </c>
      <c r="L735" s="6"/>
      <c r="M735" s="6"/>
      <c r="N735" s="6"/>
      <c r="O735" s="6"/>
      <c r="P735" s="6"/>
      <c r="Q735" s="6"/>
      <c r="R735" s="6"/>
      <c r="S735" s="6"/>
      <c r="T735" s="6"/>
      <c r="U735" s="6"/>
      <c r="V735" s="6"/>
      <c r="W735" s="6"/>
      <c r="X735" s="6"/>
      <c r="Y735" s="6"/>
      <c r="Z735" s="6"/>
    </row>
    <row r="736" spans="1:26" ht="15.75" customHeight="1" x14ac:dyDescent="0.3">
      <c r="A736" s="10" t="s">
        <v>3210</v>
      </c>
      <c r="B736" s="10">
        <v>1992</v>
      </c>
      <c r="C736" s="10" t="s">
        <v>4714</v>
      </c>
      <c r="D736" s="10">
        <v>12</v>
      </c>
      <c r="E736" s="10">
        <v>0</v>
      </c>
      <c r="F736" s="24">
        <v>6208.5</v>
      </c>
      <c r="G736" s="10" t="s">
        <v>4695</v>
      </c>
      <c r="H736" s="10" t="s">
        <v>4694</v>
      </c>
      <c r="I736" s="10" t="s">
        <v>4726</v>
      </c>
      <c r="J736" s="17">
        <f t="shared" si="4"/>
        <v>33828</v>
      </c>
      <c r="K736" s="10">
        <f t="shared" ca="1" si="5"/>
        <v>33</v>
      </c>
      <c r="L736" s="6"/>
      <c r="M736" s="6"/>
      <c r="N736" s="6"/>
      <c r="O736" s="6"/>
      <c r="P736" s="6"/>
      <c r="Q736" s="6"/>
      <c r="R736" s="6"/>
      <c r="S736" s="6"/>
      <c r="T736" s="6"/>
      <c r="U736" s="6"/>
      <c r="V736" s="6"/>
      <c r="W736" s="6"/>
      <c r="X736" s="6"/>
      <c r="Y736" s="6"/>
      <c r="Z736" s="6"/>
    </row>
    <row r="737" spans="1:26" ht="15.75" customHeight="1" x14ac:dyDescent="0.3">
      <c r="A737" s="10" t="s">
        <v>3208</v>
      </c>
      <c r="B737" s="10">
        <v>1972</v>
      </c>
      <c r="C737" s="10" t="s">
        <v>4710</v>
      </c>
      <c r="D737" s="10">
        <v>29</v>
      </c>
      <c r="E737" s="10">
        <v>0</v>
      </c>
      <c r="F737" s="24">
        <v>6219.93</v>
      </c>
      <c r="G737" s="10" t="s">
        <v>4695</v>
      </c>
      <c r="H737" s="10" t="s">
        <v>4695</v>
      </c>
      <c r="I737" s="10" t="s">
        <v>4708</v>
      </c>
      <c r="J737" s="17">
        <f t="shared" si="4"/>
        <v>26479</v>
      </c>
      <c r="K737" s="10">
        <f t="shared" ca="1" si="5"/>
        <v>53</v>
      </c>
      <c r="L737" s="6"/>
      <c r="M737" s="6"/>
      <c r="N737" s="6"/>
      <c r="O737" s="6"/>
      <c r="P737" s="6"/>
      <c r="Q737" s="6"/>
      <c r="R737" s="6"/>
      <c r="S737" s="6"/>
      <c r="T737" s="6"/>
      <c r="U737" s="6"/>
      <c r="V737" s="6"/>
      <c r="W737" s="6"/>
      <c r="X737" s="6"/>
      <c r="Y737" s="6"/>
      <c r="Z737" s="6"/>
    </row>
    <row r="738" spans="1:26" ht="15.75" customHeight="1" x14ac:dyDescent="0.3">
      <c r="A738" s="10" t="s">
        <v>3206</v>
      </c>
      <c r="B738" s="10">
        <v>1978</v>
      </c>
      <c r="C738" s="10" t="s">
        <v>4711</v>
      </c>
      <c r="D738" s="10">
        <v>19</v>
      </c>
      <c r="E738" s="10">
        <v>2</v>
      </c>
      <c r="F738" s="24">
        <v>6236.95</v>
      </c>
      <c r="G738" s="10" t="s">
        <v>4695</v>
      </c>
      <c r="H738" s="10" t="s">
        <v>4695</v>
      </c>
      <c r="I738" s="10" t="s">
        <v>4708</v>
      </c>
      <c r="J738" s="17">
        <f t="shared" si="4"/>
        <v>28752</v>
      </c>
      <c r="K738" s="10">
        <f t="shared" ca="1" si="5"/>
        <v>47</v>
      </c>
      <c r="L738" s="6"/>
      <c r="M738" s="6"/>
      <c r="N738" s="6"/>
      <c r="O738" s="6"/>
      <c r="P738" s="6"/>
      <c r="Q738" s="6"/>
      <c r="R738" s="6"/>
      <c r="S738" s="6"/>
      <c r="T738" s="6"/>
      <c r="U738" s="6"/>
      <c r="V738" s="6"/>
      <c r="W738" s="6"/>
      <c r="X738" s="6"/>
      <c r="Y738" s="6"/>
      <c r="Z738" s="6"/>
    </row>
    <row r="739" spans="1:26" ht="15.75" customHeight="1" x14ac:dyDescent="0.3">
      <c r="A739" s="10" t="s">
        <v>3204</v>
      </c>
      <c r="B739" s="10">
        <v>1983</v>
      </c>
      <c r="C739" s="10" t="s">
        <v>4714</v>
      </c>
      <c r="D739" s="10">
        <v>11</v>
      </c>
      <c r="E739" s="10">
        <v>1</v>
      </c>
      <c r="F739" s="24">
        <v>6238.3</v>
      </c>
      <c r="G739" s="10" t="s">
        <v>4695</v>
      </c>
      <c r="H739" s="10" t="s">
        <v>4694</v>
      </c>
      <c r="I739" s="10" t="s">
        <v>4716</v>
      </c>
      <c r="J739" s="17">
        <f t="shared" si="4"/>
        <v>30539</v>
      </c>
      <c r="K739" s="10">
        <f t="shared" ca="1" si="5"/>
        <v>42</v>
      </c>
      <c r="L739" s="6"/>
      <c r="M739" s="6"/>
      <c r="N739" s="6"/>
      <c r="O739" s="6"/>
      <c r="P739" s="6"/>
      <c r="Q739" s="6"/>
      <c r="R739" s="6"/>
      <c r="S739" s="6"/>
      <c r="T739" s="6"/>
      <c r="U739" s="6"/>
      <c r="V739" s="6"/>
      <c r="W739" s="6"/>
      <c r="X739" s="6"/>
      <c r="Y739" s="6"/>
      <c r="Z739" s="6"/>
    </row>
    <row r="740" spans="1:26" ht="15.75" customHeight="1" x14ac:dyDescent="0.3">
      <c r="A740" s="10" t="s">
        <v>3202</v>
      </c>
      <c r="B740" s="10">
        <v>1979</v>
      </c>
      <c r="C740" s="10" t="s">
        <v>4715</v>
      </c>
      <c r="D740" s="10">
        <v>10</v>
      </c>
      <c r="E740" s="10">
        <v>0</v>
      </c>
      <c r="F740" s="24">
        <v>6250.44</v>
      </c>
      <c r="G740" s="10" t="s">
        <v>4695</v>
      </c>
      <c r="H740" s="10" t="s">
        <v>4694</v>
      </c>
      <c r="I740" s="10" t="s">
        <v>4716</v>
      </c>
      <c r="J740" s="17">
        <f t="shared" si="4"/>
        <v>29138</v>
      </c>
      <c r="K740" s="10">
        <f t="shared" ca="1" si="5"/>
        <v>46</v>
      </c>
      <c r="L740" s="6"/>
      <c r="M740" s="6"/>
      <c r="N740" s="6"/>
      <c r="O740" s="6"/>
      <c r="P740" s="6"/>
      <c r="Q740" s="6"/>
      <c r="R740" s="6"/>
      <c r="S740" s="6"/>
      <c r="T740" s="6"/>
      <c r="U740" s="6"/>
      <c r="V740" s="6"/>
      <c r="W740" s="6"/>
      <c r="X740" s="6"/>
      <c r="Y740" s="6"/>
      <c r="Z740" s="6"/>
    </row>
    <row r="741" spans="1:26" ht="15.75" customHeight="1" x14ac:dyDescent="0.3">
      <c r="A741" s="10" t="s">
        <v>3200</v>
      </c>
      <c r="B741" s="10">
        <v>1972</v>
      </c>
      <c r="C741" s="10" t="s">
        <v>4709</v>
      </c>
      <c r="D741" s="10">
        <v>11</v>
      </c>
      <c r="E741" s="10">
        <v>0</v>
      </c>
      <c r="F741" s="24">
        <v>6253.85</v>
      </c>
      <c r="G741" s="10" t="s">
        <v>4695</v>
      </c>
      <c r="H741" s="10" t="s">
        <v>4695</v>
      </c>
      <c r="I741" s="10" t="s">
        <v>4708</v>
      </c>
      <c r="J741" s="17">
        <f t="shared" si="4"/>
        <v>26614</v>
      </c>
      <c r="K741" s="10">
        <f t="shared" ca="1" si="5"/>
        <v>53</v>
      </c>
      <c r="L741" s="6"/>
      <c r="M741" s="6"/>
      <c r="N741" s="6"/>
      <c r="O741" s="6"/>
      <c r="P741" s="6"/>
      <c r="Q741" s="6"/>
      <c r="R741" s="6"/>
      <c r="S741" s="6"/>
      <c r="T741" s="6"/>
      <c r="U741" s="6"/>
      <c r="V741" s="6"/>
      <c r="W741" s="6"/>
      <c r="X741" s="6"/>
      <c r="Y741" s="6"/>
      <c r="Z741" s="6"/>
    </row>
    <row r="742" spans="1:26" ht="15.75" customHeight="1" x14ac:dyDescent="0.3">
      <c r="A742" s="10" t="s">
        <v>3198</v>
      </c>
      <c r="B742" s="10">
        <v>1972</v>
      </c>
      <c r="C742" s="10" t="s">
        <v>4711</v>
      </c>
      <c r="D742" s="10">
        <v>8</v>
      </c>
      <c r="E742" s="10">
        <v>0</v>
      </c>
      <c r="F742" s="24">
        <v>6254.13</v>
      </c>
      <c r="G742" s="10" t="s">
        <v>4695</v>
      </c>
      <c r="H742" s="10" t="s">
        <v>4695</v>
      </c>
      <c r="I742" s="10" t="s">
        <v>4712</v>
      </c>
      <c r="J742" s="17">
        <f t="shared" si="4"/>
        <v>26550</v>
      </c>
      <c r="K742" s="10">
        <f t="shared" ca="1" si="5"/>
        <v>53</v>
      </c>
      <c r="L742" s="6"/>
      <c r="M742" s="6"/>
      <c r="N742" s="6"/>
      <c r="O742" s="6"/>
      <c r="P742" s="6"/>
      <c r="Q742" s="6"/>
      <c r="R742" s="6"/>
      <c r="S742" s="6"/>
      <c r="T742" s="6"/>
      <c r="U742" s="6"/>
      <c r="V742" s="6"/>
      <c r="W742" s="6"/>
      <c r="X742" s="6"/>
      <c r="Y742" s="6"/>
      <c r="Z742" s="6"/>
    </row>
    <row r="743" spans="1:26" ht="15.75" customHeight="1" x14ac:dyDescent="0.3">
      <c r="A743" s="10" t="s">
        <v>3196</v>
      </c>
      <c r="B743" s="10">
        <v>1970</v>
      </c>
      <c r="C743" s="10" t="s">
        <v>4715</v>
      </c>
      <c r="D743" s="10">
        <v>11</v>
      </c>
      <c r="E743" s="10">
        <v>0</v>
      </c>
      <c r="F743" s="24">
        <v>6255.38</v>
      </c>
      <c r="G743" s="10" t="s">
        <v>4695</v>
      </c>
      <c r="H743" s="10" t="s">
        <v>4695</v>
      </c>
      <c r="I743" s="10" t="s">
        <v>4708</v>
      </c>
      <c r="J743" s="17">
        <f t="shared" si="4"/>
        <v>25852</v>
      </c>
      <c r="K743" s="10">
        <f t="shared" ca="1" si="5"/>
        <v>55</v>
      </c>
      <c r="L743" s="6"/>
      <c r="M743" s="6"/>
      <c r="N743" s="6"/>
      <c r="O743" s="6"/>
      <c r="P743" s="6"/>
      <c r="Q743" s="6"/>
      <c r="R743" s="6"/>
      <c r="S743" s="6"/>
      <c r="T743" s="6"/>
      <c r="U743" s="6"/>
      <c r="V743" s="6"/>
      <c r="W743" s="6"/>
      <c r="X743" s="6"/>
      <c r="Y743" s="6"/>
      <c r="Z743" s="6"/>
    </row>
    <row r="744" spans="1:26" ht="15.75" customHeight="1" x14ac:dyDescent="0.3">
      <c r="A744" s="10" t="s">
        <v>3194</v>
      </c>
      <c r="B744" s="10">
        <v>1995</v>
      </c>
      <c r="C744" s="10" t="s">
        <v>4715</v>
      </c>
      <c r="D744" s="10">
        <v>17</v>
      </c>
      <c r="E744" s="10">
        <v>0</v>
      </c>
      <c r="F744" s="24">
        <v>6261.2</v>
      </c>
      <c r="G744" s="10" t="s">
        <v>4695</v>
      </c>
      <c r="H744" s="10" t="s">
        <v>4694</v>
      </c>
      <c r="I744" s="10" t="s">
        <v>4729</v>
      </c>
      <c r="J744" s="17">
        <f t="shared" si="4"/>
        <v>34989</v>
      </c>
      <c r="K744" s="10">
        <f t="shared" ca="1" si="5"/>
        <v>30</v>
      </c>
      <c r="L744" s="6"/>
      <c r="M744" s="6"/>
      <c r="N744" s="6"/>
      <c r="O744" s="6"/>
      <c r="P744" s="6"/>
      <c r="Q744" s="6"/>
      <c r="R744" s="6"/>
      <c r="S744" s="6"/>
      <c r="T744" s="6"/>
      <c r="U744" s="6"/>
      <c r="V744" s="6"/>
      <c r="W744" s="6"/>
      <c r="X744" s="6"/>
      <c r="Y744" s="6"/>
      <c r="Z744" s="6"/>
    </row>
    <row r="745" spans="1:26" ht="15.75" customHeight="1" x14ac:dyDescent="0.3">
      <c r="A745" s="10" t="s">
        <v>3192</v>
      </c>
      <c r="B745" s="10">
        <v>1984</v>
      </c>
      <c r="C745" s="10" t="s">
        <v>4711</v>
      </c>
      <c r="D745" s="10">
        <v>25</v>
      </c>
      <c r="E745" s="10">
        <v>3</v>
      </c>
      <c r="F745" s="24">
        <v>6269.33</v>
      </c>
      <c r="G745" s="10" t="s">
        <v>4695</v>
      </c>
      <c r="H745" s="10" t="s">
        <v>4694</v>
      </c>
      <c r="I745" s="10" t="s">
        <v>4708</v>
      </c>
      <c r="J745" s="17">
        <f t="shared" si="4"/>
        <v>30950</v>
      </c>
      <c r="K745" s="10">
        <f t="shared" ca="1" si="5"/>
        <v>41</v>
      </c>
      <c r="L745" s="6"/>
      <c r="M745" s="6"/>
      <c r="N745" s="6"/>
      <c r="O745" s="6"/>
      <c r="P745" s="6"/>
      <c r="Q745" s="6"/>
      <c r="R745" s="6"/>
      <c r="S745" s="6"/>
      <c r="T745" s="6"/>
      <c r="U745" s="6"/>
      <c r="V745" s="6"/>
      <c r="W745" s="6"/>
      <c r="X745" s="6"/>
      <c r="Y745" s="6"/>
      <c r="Z745" s="6"/>
    </row>
    <row r="746" spans="1:26" ht="15.75" customHeight="1" x14ac:dyDescent="0.3">
      <c r="A746" s="10" t="s">
        <v>3190</v>
      </c>
      <c r="B746" s="10">
        <v>1981</v>
      </c>
      <c r="C746" s="10" t="s">
        <v>4710</v>
      </c>
      <c r="D746" s="10">
        <v>30</v>
      </c>
      <c r="E746" s="10">
        <v>1</v>
      </c>
      <c r="F746" s="24">
        <v>6272.48</v>
      </c>
      <c r="G746" s="10" t="s">
        <v>4694</v>
      </c>
      <c r="H746" s="10" t="s">
        <v>4696</v>
      </c>
      <c r="I746" s="10" t="s">
        <v>4708</v>
      </c>
      <c r="J746" s="17">
        <f t="shared" si="4"/>
        <v>29767</v>
      </c>
      <c r="K746" s="10">
        <f t="shared" ca="1" si="5"/>
        <v>44</v>
      </c>
      <c r="L746" s="6"/>
      <c r="M746" s="6"/>
      <c r="N746" s="6"/>
      <c r="O746" s="6"/>
      <c r="P746" s="6"/>
      <c r="Q746" s="6"/>
      <c r="R746" s="6"/>
      <c r="S746" s="6"/>
      <c r="T746" s="6"/>
      <c r="U746" s="6"/>
      <c r="V746" s="6"/>
      <c r="W746" s="6"/>
      <c r="X746" s="6"/>
      <c r="Y746" s="6"/>
      <c r="Z746" s="6"/>
    </row>
    <row r="747" spans="1:26" ht="15.75" customHeight="1" x14ac:dyDescent="0.3">
      <c r="A747" s="10" t="s">
        <v>3188</v>
      </c>
      <c r="B747" s="10">
        <v>1993</v>
      </c>
      <c r="C747" s="10" t="s">
        <v>4715</v>
      </c>
      <c r="D747" s="10">
        <v>16</v>
      </c>
      <c r="E747" s="10">
        <v>0</v>
      </c>
      <c r="F747" s="24">
        <v>6276.3</v>
      </c>
      <c r="G747" s="10" t="s">
        <v>4695</v>
      </c>
      <c r="H747" s="10" t="s">
        <v>4694</v>
      </c>
      <c r="I747" s="10" t="s">
        <v>4722</v>
      </c>
      <c r="J747" s="17">
        <f t="shared" si="4"/>
        <v>34258</v>
      </c>
      <c r="K747" s="10">
        <f t="shared" ca="1" si="5"/>
        <v>32</v>
      </c>
      <c r="L747" s="6"/>
      <c r="M747" s="6"/>
      <c r="N747" s="6"/>
      <c r="O747" s="6"/>
      <c r="P747" s="6"/>
      <c r="Q747" s="6"/>
      <c r="R747" s="6"/>
      <c r="S747" s="6"/>
      <c r="T747" s="6"/>
      <c r="U747" s="6"/>
      <c r="V747" s="6"/>
      <c r="W747" s="6"/>
      <c r="X747" s="6"/>
      <c r="Y747" s="6"/>
      <c r="Z747" s="6"/>
    </row>
    <row r="748" spans="1:26" ht="15.75" customHeight="1" x14ac:dyDescent="0.3">
      <c r="A748" s="10" t="s">
        <v>3186</v>
      </c>
      <c r="B748" s="10">
        <v>1981</v>
      </c>
      <c r="C748" s="10" t="s">
        <v>4709</v>
      </c>
      <c r="D748" s="10">
        <v>24</v>
      </c>
      <c r="E748" s="10">
        <v>1</v>
      </c>
      <c r="F748" s="24">
        <v>6282.24</v>
      </c>
      <c r="G748" s="10" t="s">
        <v>4695</v>
      </c>
      <c r="H748" s="10" t="s">
        <v>4694</v>
      </c>
      <c r="I748" s="10" t="s">
        <v>4716</v>
      </c>
      <c r="J748" s="17">
        <f t="shared" si="4"/>
        <v>29914</v>
      </c>
      <c r="K748" s="10">
        <f t="shared" ca="1" si="5"/>
        <v>44</v>
      </c>
      <c r="L748" s="6"/>
      <c r="M748" s="6"/>
      <c r="N748" s="6"/>
      <c r="O748" s="6"/>
      <c r="P748" s="6"/>
      <c r="Q748" s="6"/>
      <c r="R748" s="6"/>
      <c r="S748" s="6"/>
      <c r="T748" s="6"/>
      <c r="U748" s="6"/>
      <c r="V748" s="6"/>
      <c r="W748" s="6"/>
      <c r="X748" s="6"/>
      <c r="Y748" s="6"/>
      <c r="Z748" s="6"/>
    </row>
    <row r="749" spans="1:26" ht="15.75" customHeight="1" x14ac:dyDescent="0.3">
      <c r="A749" s="10" t="s">
        <v>3184</v>
      </c>
      <c r="B749" s="10">
        <v>1981</v>
      </c>
      <c r="C749" s="10" t="s">
        <v>4714</v>
      </c>
      <c r="D749" s="10">
        <v>26</v>
      </c>
      <c r="E749" s="10">
        <v>1</v>
      </c>
      <c r="F749" s="24">
        <v>6289.75</v>
      </c>
      <c r="G749" s="10" t="s">
        <v>4695</v>
      </c>
      <c r="H749" s="10" t="s">
        <v>4696</v>
      </c>
      <c r="I749" s="10" t="s">
        <v>4708</v>
      </c>
      <c r="J749" s="17">
        <f t="shared" si="4"/>
        <v>29824</v>
      </c>
      <c r="K749" s="10">
        <f t="shared" ca="1" si="5"/>
        <v>44</v>
      </c>
      <c r="L749" s="6"/>
      <c r="M749" s="6"/>
      <c r="N749" s="6"/>
      <c r="O749" s="6"/>
      <c r="P749" s="6"/>
      <c r="Q749" s="6"/>
      <c r="R749" s="6"/>
      <c r="S749" s="6"/>
      <c r="T749" s="6"/>
      <c r="U749" s="6"/>
      <c r="V749" s="6"/>
      <c r="W749" s="6"/>
      <c r="X749" s="6"/>
      <c r="Y749" s="6"/>
      <c r="Z749" s="6"/>
    </row>
    <row r="750" spans="1:26" ht="15.75" customHeight="1" x14ac:dyDescent="0.3">
      <c r="A750" s="10" t="s">
        <v>3182</v>
      </c>
      <c r="B750" s="10">
        <v>1996</v>
      </c>
      <c r="C750" s="10" t="s">
        <v>4707</v>
      </c>
      <c r="D750" s="10">
        <v>4</v>
      </c>
      <c r="E750" s="10">
        <v>0</v>
      </c>
      <c r="F750" s="24">
        <v>6293.63</v>
      </c>
      <c r="G750" s="10" t="s">
        <v>4695</v>
      </c>
      <c r="H750" s="10" t="s">
        <v>4696</v>
      </c>
      <c r="I750" s="10" t="s">
        <v>4726</v>
      </c>
      <c r="J750" s="17">
        <f t="shared" si="4"/>
        <v>35250</v>
      </c>
      <c r="K750" s="10">
        <f t="shared" ca="1" si="5"/>
        <v>29</v>
      </c>
      <c r="L750" s="6"/>
      <c r="M750" s="6"/>
      <c r="N750" s="6"/>
      <c r="O750" s="6"/>
      <c r="P750" s="6"/>
      <c r="Q750" s="6"/>
      <c r="R750" s="6"/>
      <c r="S750" s="6"/>
      <c r="T750" s="6"/>
      <c r="U750" s="6"/>
      <c r="V750" s="6"/>
      <c r="W750" s="6"/>
      <c r="X750" s="6"/>
      <c r="Y750" s="6"/>
      <c r="Z750" s="6"/>
    </row>
    <row r="751" spans="1:26" ht="15.75" customHeight="1" x14ac:dyDescent="0.3">
      <c r="A751" s="10" t="s">
        <v>3180</v>
      </c>
      <c r="B751" s="10">
        <v>1974</v>
      </c>
      <c r="C751" s="10" t="s">
        <v>4711</v>
      </c>
      <c r="D751" s="10">
        <v>17</v>
      </c>
      <c r="E751" s="10">
        <v>0</v>
      </c>
      <c r="F751" s="24">
        <v>6302.23</v>
      </c>
      <c r="G751" s="10" t="s">
        <v>4695</v>
      </c>
      <c r="H751" s="10" t="s">
        <v>4694</v>
      </c>
      <c r="I751" s="10" t="s">
        <v>4708</v>
      </c>
      <c r="J751" s="17">
        <f t="shared" si="4"/>
        <v>27289</v>
      </c>
      <c r="K751" s="10">
        <f t="shared" ca="1" si="5"/>
        <v>51</v>
      </c>
      <c r="L751" s="6"/>
      <c r="M751" s="6"/>
      <c r="N751" s="6"/>
      <c r="O751" s="6"/>
      <c r="P751" s="6"/>
      <c r="Q751" s="6"/>
      <c r="R751" s="6"/>
      <c r="S751" s="6"/>
      <c r="T751" s="6"/>
      <c r="U751" s="6"/>
      <c r="V751" s="6"/>
      <c r="W751" s="6"/>
      <c r="X751" s="6"/>
      <c r="Y751" s="6"/>
      <c r="Z751" s="6"/>
    </row>
    <row r="752" spans="1:26" ht="15.75" customHeight="1" x14ac:dyDescent="0.3">
      <c r="A752" s="10" t="s">
        <v>3178</v>
      </c>
      <c r="B752" s="10">
        <v>1969</v>
      </c>
      <c r="C752" s="10" t="s">
        <v>4711</v>
      </c>
      <c r="D752" s="10">
        <v>4</v>
      </c>
      <c r="E752" s="10">
        <v>0</v>
      </c>
      <c r="F752" s="24">
        <v>6305.61</v>
      </c>
      <c r="G752" s="10" t="s">
        <v>4695</v>
      </c>
      <c r="H752" s="10" t="s">
        <v>4695</v>
      </c>
      <c r="I752" s="10" t="s">
        <v>4712</v>
      </c>
      <c r="J752" s="17">
        <f t="shared" si="4"/>
        <v>25450</v>
      </c>
      <c r="K752" s="10">
        <f t="shared" ca="1" si="5"/>
        <v>56</v>
      </c>
      <c r="L752" s="6"/>
      <c r="M752" s="6"/>
      <c r="N752" s="6"/>
      <c r="O752" s="6"/>
      <c r="P752" s="6"/>
      <c r="Q752" s="6"/>
      <c r="R752" s="6"/>
      <c r="S752" s="6"/>
      <c r="T752" s="6"/>
      <c r="U752" s="6"/>
      <c r="V752" s="6"/>
      <c r="W752" s="6"/>
      <c r="X752" s="6"/>
      <c r="Y752" s="6"/>
      <c r="Z752" s="6"/>
    </row>
    <row r="753" spans="1:26" ht="15.75" customHeight="1" x14ac:dyDescent="0.3">
      <c r="A753" s="10" t="s">
        <v>3176</v>
      </c>
      <c r="B753" s="10">
        <v>2004</v>
      </c>
      <c r="C753" s="10" t="s">
        <v>4707</v>
      </c>
      <c r="D753" s="10">
        <v>27</v>
      </c>
      <c r="E753" s="10">
        <v>0</v>
      </c>
      <c r="F753" s="24">
        <v>6311.11</v>
      </c>
      <c r="G753" s="10" t="s">
        <v>4695</v>
      </c>
      <c r="H753" s="10" t="s">
        <v>4695</v>
      </c>
      <c r="I753" s="10" t="s">
        <v>4716</v>
      </c>
      <c r="J753" s="17">
        <f t="shared" si="4"/>
        <v>38195</v>
      </c>
      <c r="K753" s="10">
        <f t="shared" ca="1" si="5"/>
        <v>21</v>
      </c>
      <c r="L753" s="6"/>
      <c r="M753" s="6"/>
      <c r="N753" s="6"/>
      <c r="O753" s="6"/>
      <c r="P753" s="6"/>
      <c r="Q753" s="6"/>
      <c r="R753" s="6"/>
      <c r="S753" s="6"/>
      <c r="T753" s="6"/>
      <c r="U753" s="6"/>
      <c r="V753" s="6"/>
      <c r="W753" s="6"/>
      <c r="X753" s="6"/>
      <c r="Y753" s="6"/>
      <c r="Z753" s="6"/>
    </row>
    <row r="754" spans="1:26" ht="15.75" customHeight="1" x14ac:dyDescent="0.3">
      <c r="A754" s="10" t="s">
        <v>3174</v>
      </c>
      <c r="B754" s="10">
        <v>1985</v>
      </c>
      <c r="C754" s="10" t="s">
        <v>4709</v>
      </c>
      <c r="D754" s="10">
        <v>19</v>
      </c>
      <c r="E754" s="10">
        <v>2</v>
      </c>
      <c r="F754" s="24">
        <v>6311.95</v>
      </c>
      <c r="G754" s="10" t="s">
        <v>4695</v>
      </c>
      <c r="H754" s="10" t="s">
        <v>4694</v>
      </c>
      <c r="I754" s="10" t="s">
        <v>4716</v>
      </c>
      <c r="J754" s="17">
        <f t="shared" si="4"/>
        <v>31370</v>
      </c>
      <c r="K754" s="10">
        <f t="shared" ca="1" si="5"/>
        <v>40</v>
      </c>
      <c r="L754" s="6"/>
      <c r="M754" s="6"/>
      <c r="N754" s="6"/>
      <c r="O754" s="6"/>
      <c r="P754" s="6"/>
      <c r="Q754" s="6"/>
      <c r="R754" s="6"/>
      <c r="S754" s="6"/>
      <c r="T754" s="6"/>
      <c r="U754" s="6"/>
      <c r="V754" s="6"/>
      <c r="W754" s="6"/>
      <c r="X754" s="6"/>
      <c r="Y754" s="6"/>
      <c r="Z754" s="6"/>
    </row>
    <row r="755" spans="1:26" ht="15.75" customHeight="1" x14ac:dyDescent="0.3">
      <c r="A755" s="10" t="s">
        <v>3172</v>
      </c>
      <c r="B755" s="10">
        <v>1985</v>
      </c>
      <c r="C755" s="10" t="s">
        <v>4713</v>
      </c>
      <c r="D755" s="10">
        <v>15</v>
      </c>
      <c r="E755" s="10">
        <v>2</v>
      </c>
      <c r="F755" s="24">
        <v>6313.76</v>
      </c>
      <c r="G755" s="10" t="s">
        <v>4695</v>
      </c>
      <c r="H755" s="10" t="s">
        <v>4694</v>
      </c>
      <c r="I755" s="10" t="s">
        <v>4708</v>
      </c>
      <c r="J755" s="17">
        <f t="shared" si="4"/>
        <v>31396</v>
      </c>
      <c r="K755" s="10">
        <f t="shared" ca="1" si="5"/>
        <v>39</v>
      </c>
      <c r="L755" s="6"/>
      <c r="M755" s="6"/>
      <c r="N755" s="6"/>
      <c r="O755" s="6"/>
      <c r="P755" s="6"/>
      <c r="Q755" s="6"/>
      <c r="R755" s="6"/>
      <c r="S755" s="6"/>
      <c r="T755" s="6"/>
      <c r="U755" s="6"/>
      <c r="V755" s="6"/>
      <c r="W755" s="6"/>
      <c r="X755" s="6"/>
      <c r="Y755" s="6"/>
      <c r="Z755" s="6"/>
    </row>
    <row r="756" spans="1:26" ht="15.75" customHeight="1" x14ac:dyDescent="0.3">
      <c r="A756" s="10" t="s">
        <v>3170</v>
      </c>
      <c r="B756" s="10">
        <v>1990</v>
      </c>
      <c r="C756" s="10" t="s">
        <v>4714</v>
      </c>
      <c r="D756" s="10">
        <v>13</v>
      </c>
      <c r="E756" s="10">
        <v>3</v>
      </c>
      <c r="F756" s="24">
        <v>6334.34</v>
      </c>
      <c r="G756" s="10" t="s">
        <v>4695</v>
      </c>
      <c r="H756" s="10" t="s">
        <v>4695</v>
      </c>
      <c r="I756" s="10" t="s">
        <v>4723</v>
      </c>
      <c r="J756" s="17">
        <f t="shared" si="4"/>
        <v>33098</v>
      </c>
      <c r="K756" s="10">
        <f t="shared" ca="1" si="5"/>
        <v>35</v>
      </c>
      <c r="L756" s="6"/>
      <c r="M756" s="6"/>
      <c r="N756" s="6"/>
      <c r="O756" s="6"/>
      <c r="P756" s="6"/>
      <c r="Q756" s="6"/>
      <c r="R756" s="6"/>
      <c r="S756" s="6"/>
      <c r="T756" s="6"/>
      <c r="U756" s="6"/>
      <c r="V756" s="6"/>
      <c r="W756" s="6"/>
      <c r="X756" s="6"/>
      <c r="Y756" s="6"/>
      <c r="Z756" s="6"/>
    </row>
    <row r="757" spans="1:26" ht="15.75" customHeight="1" x14ac:dyDescent="0.3">
      <c r="A757" s="10" t="s">
        <v>3168</v>
      </c>
      <c r="B757" s="10">
        <v>1986</v>
      </c>
      <c r="C757" s="10" t="s">
        <v>4711</v>
      </c>
      <c r="D757" s="10">
        <v>25</v>
      </c>
      <c r="E757" s="10">
        <v>3</v>
      </c>
      <c r="F757" s="24">
        <v>6335.64</v>
      </c>
      <c r="G757" s="10" t="s">
        <v>4695</v>
      </c>
      <c r="H757" s="10" t="s">
        <v>4695</v>
      </c>
      <c r="I757" s="10" t="s">
        <v>4708</v>
      </c>
      <c r="J757" s="17">
        <f t="shared" si="4"/>
        <v>31680</v>
      </c>
      <c r="K757" s="10">
        <f t="shared" ca="1" si="5"/>
        <v>39</v>
      </c>
      <c r="L757" s="6"/>
      <c r="M757" s="6"/>
      <c r="N757" s="6"/>
      <c r="O757" s="6"/>
      <c r="P757" s="6"/>
      <c r="Q757" s="6"/>
      <c r="R757" s="6"/>
      <c r="S757" s="6"/>
      <c r="T757" s="6"/>
      <c r="U757" s="6"/>
      <c r="V757" s="6"/>
      <c r="W757" s="6"/>
      <c r="X757" s="6"/>
      <c r="Y757" s="6"/>
      <c r="Z757" s="6"/>
    </row>
    <row r="758" spans="1:26" ht="15.75" customHeight="1" x14ac:dyDescent="0.3">
      <c r="A758" s="10" t="s">
        <v>3166</v>
      </c>
      <c r="B758" s="10">
        <v>1983</v>
      </c>
      <c r="C758" s="10" t="s">
        <v>4715</v>
      </c>
      <c r="D758" s="10">
        <v>21</v>
      </c>
      <c r="E758" s="10">
        <v>2</v>
      </c>
      <c r="F758" s="24">
        <v>6338.08</v>
      </c>
      <c r="G758" s="10" t="s">
        <v>4695</v>
      </c>
      <c r="H758" s="10" t="s">
        <v>4694</v>
      </c>
      <c r="I758" s="10" t="s">
        <v>4708</v>
      </c>
      <c r="J758" s="17">
        <f t="shared" si="4"/>
        <v>30610</v>
      </c>
      <c r="K758" s="10">
        <f t="shared" ca="1" si="5"/>
        <v>42</v>
      </c>
      <c r="L758" s="6"/>
      <c r="M758" s="6"/>
      <c r="N758" s="6"/>
      <c r="O758" s="6"/>
      <c r="P758" s="6"/>
      <c r="Q758" s="6"/>
      <c r="R758" s="6"/>
      <c r="S758" s="6"/>
      <c r="T758" s="6"/>
      <c r="U758" s="6"/>
      <c r="V758" s="6"/>
      <c r="W758" s="6"/>
      <c r="X758" s="6"/>
      <c r="Y758" s="6"/>
      <c r="Z758" s="6"/>
    </row>
    <row r="759" spans="1:26" ht="15.75" customHeight="1" x14ac:dyDescent="0.3">
      <c r="A759" s="10" t="s">
        <v>3164</v>
      </c>
      <c r="B759" s="10">
        <v>1983</v>
      </c>
      <c r="C759" s="10" t="s">
        <v>4714</v>
      </c>
      <c r="D759" s="10">
        <v>19</v>
      </c>
      <c r="E759" s="10">
        <v>2</v>
      </c>
      <c r="F759" s="24">
        <v>6356.27</v>
      </c>
      <c r="G759" s="10" t="s">
        <v>4696</v>
      </c>
      <c r="H759" s="10" t="s">
        <v>4695</v>
      </c>
      <c r="I759" s="10" t="s">
        <v>4708</v>
      </c>
      <c r="J759" s="17">
        <f t="shared" si="4"/>
        <v>30547</v>
      </c>
      <c r="K759" s="10">
        <f t="shared" ca="1" si="5"/>
        <v>42</v>
      </c>
      <c r="L759" s="6"/>
      <c r="M759" s="6"/>
      <c r="N759" s="6"/>
      <c r="O759" s="6"/>
      <c r="P759" s="6"/>
      <c r="Q759" s="6"/>
      <c r="R759" s="6"/>
      <c r="S759" s="6"/>
      <c r="T759" s="6"/>
      <c r="U759" s="6"/>
      <c r="V759" s="6"/>
      <c r="W759" s="6"/>
      <c r="X759" s="6"/>
      <c r="Y759" s="6"/>
      <c r="Z759" s="6"/>
    </row>
    <row r="760" spans="1:26" ht="15.75" customHeight="1" x14ac:dyDescent="0.3">
      <c r="A760" s="10" t="s">
        <v>3162</v>
      </c>
      <c r="B760" s="10">
        <v>1980</v>
      </c>
      <c r="C760" s="10" t="s">
        <v>4715</v>
      </c>
      <c r="D760" s="10">
        <v>30</v>
      </c>
      <c r="E760" s="10">
        <v>0</v>
      </c>
      <c r="F760" s="24">
        <v>6358.78</v>
      </c>
      <c r="G760" s="10" t="s">
        <v>4695</v>
      </c>
      <c r="H760" s="10" t="s">
        <v>4694</v>
      </c>
      <c r="I760" s="10" t="s">
        <v>4712</v>
      </c>
      <c r="J760" s="17">
        <f t="shared" si="4"/>
        <v>29524</v>
      </c>
      <c r="K760" s="10">
        <f t="shared" ca="1" si="5"/>
        <v>45</v>
      </c>
      <c r="L760" s="6"/>
      <c r="M760" s="6"/>
      <c r="N760" s="6"/>
      <c r="O760" s="6"/>
      <c r="P760" s="6"/>
      <c r="Q760" s="6"/>
      <c r="R760" s="6"/>
      <c r="S760" s="6"/>
      <c r="T760" s="6"/>
      <c r="U760" s="6"/>
      <c r="V760" s="6"/>
      <c r="W760" s="6"/>
      <c r="X760" s="6"/>
      <c r="Y760" s="6"/>
      <c r="Z760" s="6"/>
    </row>
    <row r="761" spans="1:26" ht="15.75" customHeight="1" x14ac:dyDescent="0.3">
      <c r="A761" s="10" t="s">
        <v>3160</v>
      </c>
      <c r="B761" s="10">
        <v>1989</v>
      </c>
      <c r="C761" s="10" t="s">
        <v>4710</v>
      </c>
      <c r="D761" s="10">
        <v>24</v>
      </c>
      <c r="E761" s="10">
        <v>3</v>
      </c>
      <c r="F761" s="24">
        <v>6360.99</v>
      </c>
      <c r="G761" s="10" t="s">
        <v>4695</v>
      </c>
      <c r="H761" s="10" t="s">
        <v>4695</v>
      </c>
      <c r="I761" s="10" t="s">
        <v>4712</v>
      </c>
      <c r="J761" s="17">
        <f t="shared" si="4"/>
        <v>32683</v>
      </c>
      <c r="K761" s="10">
        <f t="shared" ca="1" si="5"/>
        <v>36</v>
      </c>
      <c r="L761" s="6"/>
      <c r="M761" s="6"/>
      <c r="N761" s="6"/>
      <c r="O761" s="6"/>
      <c r="P761" s="6"/>
      <c r="Q761" s="6"/>
      <c r="R761" s="6"/>
      <c r="S761" s="6"/>
      <c r="T761" s="6"/>
      <c r="U761" s="6"/>
      <c r="V761" s="6"/>
      <c r="W761" s="6"/>
      <c r="X761" s="6"/>
      <c r="Y761" s="6"/>
      <c r="Z761" s="6"/>
    </row>
    <row r="762" spans="1:26" ht="15.75" customHeight="1" x14ac:dyDescent="0.3">
      <c r="A762" s="10" t="s">
        <v>3158</v>
      </c>
      <c r="B762" s="10">
        <v>1996</v>
      </c>
      <c r="C762" s="10" t="s">
        <v>4707</v>
      </c>
      <c r="D762" s="10">
        <v>7</v>
      </c>
      <c r="E762" s="10">
        <v>0</v>
      </c>
      <c r="F762" s="24">
        <v>6361.47</v>
      </c>
      <c r="G762" s="10" t="s">
        <v>4695</v>
      </c>
      <c r="H762" s="10" t="s">
        <v>4696</v>
      </c>
      <c r="I762" s="10" t="s">
        <v>4726</v>
      </c>
      <c r="J762" s="17">
        <f t="shared" si="4"/>
        <v>35253</v>
      </c>
      <c r="K762" s="10">
        <f t="shared" ca="1" si="5"/>
        <v>29</v>
      </c>
      <c r="L762" s="6"/>
      <c r="M762" s="6"/>
      <c r="N762" s="6"/>
      <c r="O762" s="6"/>
      <c r="P762" s="6"/>
      <c r="Q762" s="6"/>
      <c r="R762" s="6"/>
      <c r="S762" s="6"/>
      <c r="T762" s="6"/>
      <c r="U762" s="6"/>
      <c r="V762" s="6"/>
      <c r="W762" s="6"/>
      <c r="X762" s="6"/>
      <c r="Y762" s="6"/>
      <c r="Z762" s="6"/>
    </row>
    <row r="763" spans="1:26" ht="15.75" customHeight="1" x14ac:dyDescent="0.3">
      <c r="A763" s="10" t="s">
        <v>3156</v>
      </c>
      <c r="B763" s="10">
        <v>1970</v>
      </c>
      <c r="C763" s="10" t="s">
        <v>4709</v>
      </c>
      <c r="D763" s="10">
        <v>9</v>
      </c>
      <c r="E763" s="10">
        <v>0</v>
      </c>
      <c r="F763" s="24">
        <v>6367.31</v>
      </c>
      <c r="G763" s="10" t="s">
        <v>4695</v>
      </c>
      <c r="H763" s="10" t="s">
        <v>4694</v>
      </c>
      <c r="I763" s="10" t="s">
        <v>4708</v>
      </c>
      <c r="J763" s="17">
        <f t="shared" si="4"/>
        <v>25881</v>
      </c>
      <c r="K763" s="10">
        <f t="shared" ca="1" si="5"/>
        <v>55</v>
      </c>
      <c r="L763" s="6"/>
      <c r="M763" s="6"/>
      <c r="N763" s="6"/>
      <c r="O763" s="6"/>
      <c r="P763" s="6"/>
      <c r="Q763" s="6"/>
      <c r="R763" s="6"/>
      <c r="S763" s="6"/>
      <c r="T763" s="6"/>
      <c r="U763" s="6"/>
      <c r="V763" s="6"/>
      <c r="W763" s="6"/>
      <c r="X763" s="6"/>
      <c r="Y763" s="6"/>
      <c r="Z763" s="6"/>
    </row>
    <row r="764" spans="1:26" ht="15.75" customHeight="1" x14ac:dyDescent="0.3">
      <c r="A764" s="10" t="s">
        <v>3154</v>
      </c>
      <c r="B764" s="10">
        <v>1984</v>
      </c>
      <c r="C764" s="10" t="s">
        <v>4714</v>
      </c>
      <c r="D764" s="10">
        <v>13</v>
      </c>
      <c r="E764" s="10">
        <v>1</v>
      </c>
      <c r="F764" s="24">
        <v>6373.56</v>
      </c>
      <c r="G764" s="10" t="s">
        <v>4695</v>
      </c>
      <c r="H764" s="10" t="s">
        <v>4694</v>
      </c>
      <c r="I764" s="10" t="s">
        <v>4712</v>
      </c>
      <c r="J764" s="17">
        <f t="shared" si="4"/>
        <v>30907</v>
      </c>
      <c r="K764" s="10">
        <f t="shared" ca="1" si="5"/>
        <v>41</v>
      </c>
      <c r="L764" s="6"/>
      <c r="M764" s="6"/>
      <c r="N764" s="6"/>
      <c r="O764" s="6"/>
      <c r="P764" s="6"/>
      <c r="Q764" s="6"/>
      <c r="R764" s="6"/>
      <c r="S764" s="6"/>
      <c r="T764" s="6"/>
      <c r="U764" s="6"/>
      <c r="V764" s="6"/>
      <c r="W764" s="6"/>
      <c r="X764" s="6"/>
      <c r="Y764" s="6"/>
      <c r="Z764" s="6"/>
    </row>
    <row r="765" spans="1:26" ht="15.75" customHeight="1" x14ac:dyDescent="0.3">
      <c r="A765" s="10" t="s">
        <v>3152</v>
      </c>
      <c r="B765" s="10">
        <v>1976</v>
      </c>
      <c r="C765" s="10" t="s">
        <v>4709</v>
      </c>
      <c r="D765" s="10">
        <v>18</v>
      </c>
      <c r="E765" s="10">
        <v>2</v>
      </c>
      <c r="F765" s="24">
        <v>6374.16</v>
      </c>
      <c r="G765" s="10" t="s">
        <v>4695</v>
      </c>
      <c r="H765" s="10" t="s">
        <v>4695</v>
      </c>
      <c r="I765" s="10" t="s">
        <v>4708</v>
      </c>
      <c r="J765" s="17">
        <f t="shared" si="4"/>
        <v>28082</v>
      </c>
      <c r="K765" s="10">
        <f t="shared" ca="1" si="5"/>
        <v>49</v>
      </c>
      <c r="L765" s="6"/>
      <c r="M765" s="6"/>
      <c r="N765" s="6"/>
      <c r="O765" s="6"/>
      <c r="P765" s="6"/>
      <c r="Q765" s="6"/>
      <c r="R765" s="6"/>
      <c r="S765" s="6"/>
      <c r="T765" s="6"/>
      <c r="U765" s="6"/>
      <c r="V765" s="6"/>
      <c r="W765" s="6"/>
      <c r="X765" s="6"/>
      <c r="Y765" s="6"/>
      <c r="Z765" s="6"/>
    </row>
    <row r="766" spans="1:26" ht="15.75" customHeight="1" x14ac:dyDescent="0.3">
      <c r="A766" s="10" t="s">
        <v>3150</v>
      </c>
      <c r="B766" s="10">
        <v>1982</v>
      </c>
      <c r="C766" s="10" t="s">
        <v>4714</v>
      </c>
      <c r="D766" s="10">
        <v>6</v>
      </c>
      <c r="E766" s="10">
        <v>1</v>
      </c>
      <c r="F766" s="24">
        <v>6389.38</v>
      </c>
      <c r="G766" s="10" t="s">
        <v>4694</v>
      </c>
      <c r="H766" s="10" t="s">
        <v>4695</v>
      </c>
      <c r="I766" s="10" t="s">
        <v>4712</v>
      </c>
      <c r="J766" s="17">
        <f t="shared" si="4"/>
        <v>30169</v>
      </c>
      <c r="K766" s="10">
        <f t="shared" ca="1" si="5"/>
        <v>43</v>
      </c>
      <c r="L766" s="6"/>
      <c r="M766" s="6"/>
      <c r="N766" s="6"/>
      <c r="O766" s="6"/>
      <c r="P766" s="6"/>
      <c r="Q766" s="6"/>
      <c r="R766" s="6"/>
      <c r="S766" s="6"/>
      <c r="T766" s="6"/>
      <c r="U766" s="6"/>
      <c r="V766" s="6"/>
      <c r="W766" s="6"/>
      <c r="X766" s="6"/>
      <c r="Y766" s="6"/>
      <c r="Z766" s="6"/>
    </row>
    <row r="767" spans="1:26" ht="15.75" customHeight="1" x14ac:dyDescent="0.3">
      <c r="A767" s="10" t="s">
        <v>3148</v>
      </c>
      <c r="B767" s="10">
        <v>1997</v>
      </c>
      <c r="C767" s="10" t="s">
        <v>4714</v>
      </c>
      <c r="D767" s="10">
        <v>16</v>
      </c>
      <c r="E767" s="10">
        <v>0</v>
      </c>
      <c r="F767" s="24">
        <v>6389.53</v>
      </c>
      <c r="G767" s="10" t="s">
        <v>4695</v>
      </c>
      <c r="H767" s="10" t="s">
        <v>4695</v>
      </c>
      <c r="I767" s="10" t="s">
        <v>4726</v>
      </c>
      <c r="J767" s="17">
        <f t="shared" ref="J767:J1021" si="6">DATEVALUE(D767&amp;"-"&amp;C767&amp;" -"&amp;B767)</f>
        <v>35658</v>
      </c>
      <c r="K767" s="10">
        <f t="shared" ref="K767:K1021" ca="1" si="7">DATEDIF(J767,TODAY(),"Y")</f>
        <v>28</v>
      </c>
      <c r="L767" s="6"/>
      <c r="M767" s="6"/>
      <c r="N767" s="6"/>
      <c r="O767" s="6"/>
      <c r="P767" s="6"/>
      <c r="Q767" s="6"/>
      <c r="R767" s="6"/>
      <c r="S767" s="6"/>
      <c r="T767" s="6"/>
      <c r="U767" s="6"/>
      <c r="V767" s="6"/>
      <c r="W767" s="6"/>
      <c r="X767" s="6"/>
      <c r="Y767" s="6"/>
      <c r="Z767" s="6"/>
    </row>
    <row r="768" spans="1:26" ht="15.75" customHeight="1" x14ac:dyDescent="0.3">
      <c r="A768" s="10" t="s">
        <v>3146</v>
      </c>
      <c r="B768" s="10">
        <v>1982</v>
      </c>
      <c r="C768" s="10" t="s">
        <v>4715</v>
      </c>
      <c r="D768" s="10">
        <v>28</v>
      </c>
      <c r="E768" s="10">
        <v>1</v>
      </c>
      <c r="F768" s="24">
        <v>6393.6</v>
      </c>
      <c r="G768" s="10" t="s">
        <v>4695</v>
      </c>
      <c r="H768" s="10" t="s">
        <v>4694</v>
      </c>
      <c r="I768" s="10" t="s">
        <v>4712</v>
      </c>
      <c r="J768" s="17">
        <f t="shared" si="6"/>
        <v>30252</v>
      </c>
      <c r="K768" s="10">
        <f t="shared" ca="1" si="7"/>
        <v>43</v>
      </c>
      <c r="L768" s="6"/>
      <c r="M768" s="6"/>
      <c r="N768" s="6"/>
      <c r="O768" s="6"/>
      <c r="P768" s="6"/>
      <c r="Q768" s="6"/>
      <c r="R768" s="6"/>
      <c r="S768" s="6"/>
      <c r="T768" s="6"/>
      <c r="U768" s="6"/>
      <c r="V768" s="6"/>
      <c r="W768" s="6"/>
      <c r="X768" s="6"/>
      <c r="Y768" s="6"/>
      <c r="Z768" s="6"/>
    </row>
    <row r="769" spans="1:26" ht="15.75" customHeight="1" x14ac:dyDescent="0.3">
      <c r="A769" s="10" t="s">
        <v>3144</v>
      </c>
      <c r="B769" s="10">
        <v>1987</v>
      </c>
      <c r="C769" s="10" t="s">
        <v>4711</v>
      </c>
      <c r="D769" s="10">
        <v>9</v>
      </c>
      <c r="E769" s="10">
        <v>2</v>
      </c>
      <c r="F769" s="24">
        <v>6402.29</v>
      </c>
      <c r="G769" s="10" t="s">
        <v>4695</v>
      </c>
      <c r="H769" s="10" t="s">
        <v>4696</v>
      </c>
      <c r="I769" s="10" t="s">
        <v>4723</v>
      </c>
      <c r="J769" s="17">
        <f t="shared" si="6"/>
        <v>32029</v>
      </c>
      <c r="K769" s="10">
        <f t="shared" ca="1" si="7"/>
        <v>38</v>
      </c>
      <c r="L769" s="6"/>
      <c r="M769" s="6"/>
      <c r="N769" s="6"/>
      <c r="O769" s="6"/>
      <c r="P769" s="6"/>
      <c r="Q769" s="6"/>
      <c r="R769" s="6"/>
      <c r="S769" s="6"/>
      <c r="T769" s="6"/>
      <c r="U769" s="6"/>
      <c r="V769" s="6"/>
      <c r="W769" s="6"/>
      <c r="X769" s="6"/>
      <c r="Y769" s="6"/>
      <c r="Z769" s="6"/>
    </row>
    <row r="770" spans="1:26" ht="15.75" customHeight="1" x14ac:dyDescent="0.3">
      <c r="A770" s="10" t="s">
        <v>3142</v>
      </c>
      <c r="B770" s="10">
        <v>1985</v>
      </c>
      <c r="C770" s="10" t="s">
        <v>4713</v>
      </c>
      <c r="D770" s="10">
        <v>10</v>
      </c>
      <c r="E770" s="10">
        <v>2</v>
      </c>
      <c r="F770" s="24">
        <v>6406.41</v>
      </c>
      <c r="G770" s="10" t="s">
        <v>4694</v>
      </c>
      <c r="H770" s="10" t="s">
        <v>4696</v>
      </c>
      <c r="I770" s="10" t="s">
        <v>4725</v>
      </c>
      <c r="J770" s="17">
        <f t="shared" si="6"/>
        <v>31391</v>
      </c>
      <c r="K770" s="10">
        <f t="shared" ca="1" si="7"/>
        <v>39</v>
      </c>
      <c r="L770" s="6"/>
      <c r="M770" s="6"/>
      <c r="N770" s="6"/>
      <c r="O770" s="6"/>
      <c r="P770" s="6"/>
      <c r="Q770" s="6"/>
      <c r="R770" s="6"/>
      <c r="S770" s="6"/>
      <c r="T770" s="6"/>
      <c r="U770" s="6"/>
      <c r="V770" s="6"/>
      <c r="W770" s="6"/>
      <c r="X770" s="6"/>
      <c r="Y770" s="6"/>
      <c r="Z770" s="6"/>
    </row>
    <row r="771" spans="1:26" ht="15.75" customHeight="1" x14ac:dyDescent="0.3">
      <c r="A771" s="10" t="s">
        <v>3140</v>
      </c>
      <c r="B771" s="10">
        <v>1970</v>
      </c>
      <c r="C771" s="10" t="s">
        <v>4714</v>
      </c>
      <c r="D771" s="10">
        <v>20</v>
      </c>
      <c r="E771" s="10">
        <v>0</v>
      </c>
      <c r="F771" s="24">
        <v>6407.05</v>
      </c>
      <c r="G771" s="10" t="s">
        <v>4695</v>
      </c>
      <c r="H771" s="10" t="s">
        <v>4694</v>
      </c>
      <c r="I771" s="10" t="s">
        <v>4708</v>
      </c>
      <c r="J771" s="17">
        <f t="shared" si="6"/>
        <v>25800</v>
      </c>
      <c r="K771" s="10">
        <f t="shared" ca="1" si="7"/>
        <v>55</v>
      </c>
      <c r="L771" s="6"/>
      <c r="M771" s="6"/>
      <c r="N771" s="6"/>
      <c r="O771" s="6"/>
      <c r="P771" s="6"/>
      <c r="Q771" s="6"/>
      <c r="R771" s="6"/>
      <c r="S771" s="6"/>
      <c r="T771" s="6"/>
      <c r="U771" s="6"/>
      <c r="V771" s="6"/>
      <c r="W771" s="6"/>
      <c r="X771" s="6"/>
      <c r="Y771" s="6"/>
      <c r="Z771" s="6"/>
    </row>
    <row r="772" spans="1:26" ht="15.75" customHeight="1" x14ac:dyDescent="0.3">
      <c r="A772" s="10" t="s">
        <v>3138</v>
      </c>
      <c r="B772" s="10">
        <v>1971</v>
      </c>
      <c r="C772" s="10" t="s">
        <v>4714</v>
      </c>
      <c r="D772" s="10">
        <v>22</v>
      </c>
      <c r="E772" s="10">
        <v>0</v>
      </c>
      <c r="F772" s="24">
        <v>6412.34</v>
      </c>
      <c r="G772" s="10" t="s">
        <v>4695</v>
      </c>
      <c r="H772" s="10" t="s">
        <v>4696</v>
      </c>
      <c r="I772" s="10" t="s">
        <v>4708</v>
      </c>
      <c r="J772" s="17">
        <f t="shared" si="6"/>
        <v>26167</v>
      </c>
      <c r="K772" s="10">
        <f t="shared" ca="1" si="7"/>
        <v>54</v>
      </c>
      <c r="L772" s="6"/>
      <c r="M772" s="6"/>
      <c r="N772" s="6"/>
      <c r="O772" s="6"/>
      <c r="P772" s="6"/>
      <c r="Q772" s="6"/>
      <c r="R772" s="6"/>
      <c r="S772" s="6"/>
      <c r="T772" s="6"/>
      <c r="U772" s="6"/>
      <c r="V772" s="6"/>
      <c r="W772" s="6"/>
      <c r="X772" s="6"/>
      <c r="Y772" s="6"/>
      <c r="Z772" s="6"/>
    </row>
    <row r="773" spans="1:26" ht="15.75" customHeight="1" x14ac:dyDescent="0.3">
      <c r="A773" s="10" t="s">
        <v>3136</v>
      </c>
      <c r="B773" s="10">
        <v>1987</v>
      </c>
      <c r="C773" s="10" t="s">
        <v>4711</v>
      </c>
      <c r="D773" s="10">
        <v>4</v>
      </c>
      <c r="E773" s="10">
        <v>3</v>
      </c>
      <c r="F773" s="24">
        <v>6414.18</v>
      </c>
      <c r="G773" s="10" t="s">
        <v>4695</v>
      </c>
      <c r="H773" s="10" t="s">
        <v>4695</v>
      </c>
      <c r="I773" s="10" t="s">
        <v>4716</v>
      </c>
      <c r="J773" s="17">
        <f t="shared" si="6"/>
        <v>32024</v>
      </c>
      <c r="K773" s="10">
        <f t="shared" ca="1" si="7"/>
        <v>38</v>
      </c>
      <c r="L773" s="6"/>
      <c r="M773" s="6"/>
      <c r="N773" s="6"/>
      <c r="O773" s="6"/>
      <c r="P773" s="6"/>
      <c r="Q773" s="6"/>
      <c r="R773" s="6"/>
      <c r="S773" s="6"/>
      <c r="T773" s="6"/>
      <c r="U773" s="6"/>
      <c r="V773" s="6"/>
      <c r="W773" s="6"/>
      <c r="X773" s="6"/>
      <c r="Y773" s="6"/>
      <c r="Z773" s="6"/>
    </row>
    <row r="774" spans="1:26" ht="15.75" customHeight="1" x14ac:dyDescent="0.3">
      <c r="A774" s="10" t="s">
        <v>3134</v>
      </c>
      <c r="B774" s="10">
        <v>1976</v>
      </c>
      <c r="C774" s="10" t="s">
        <v>4713</v>
      </c>
      <c r="D774" s="10">
        <v>30</v>
      </c>
      <c r="E774" s="10">
        <v>2</v>
      </c>
      <c r="F774" s="24">
        <v>6417.28</v>
      </c>
      <c r="G774" s="10" t="s">
        <v>4695</v>
      </c>
      <c r="H774" s="10" t="s">
        <v>4696</v>
      </c>
      <c r="I774" s="10" t="s">
        <v>4708</v>
      </c>
      <c r="J774" s="17">
        <f t="shared" si="6"/>
        <v>28124</v>
      </c>
      <c r="K774" s="10">
        <f t="shared" ca="1" si="7"/>
        <v>48</v>
      </c>
      <c r="L774" s="6"/>
      <c r="M774" s="6"/>
      <c r="N774" s="6"/>
      <c r="O774" s="6"/>
      <c r="P774" s="6"/>
      <c r="Q774" s="6"/>
      <c r="R774" s="6"/>
      <c r="S774" s="6"/>
      <c r="T774" s="6"/>
      <c r="U774" s="6"/>
      <c r="V774" s="6"/>
      <c r="W774" s="6"/>
      <c r="X774" s="6"/>
      <c r="Y774" s="6"/>
      <c r="Z774" s="6"/>
    </row>
    <row r="775" spans="1:26" ht="15.75" customHeight="1" x14ac:dyDescent="0.3">
      <c r="A775" s="10" t="s">
        <v>3132</v>
      </c>
      <c r="B775" s="10">
        <v>1975</v>
      </c>
      <c r="C775" s="10" t="s">
        <v>4714</v>
      </c>
      <c r="D775" s="10">
        <v>5</v>
      </c>
      <c r="E775" s="10">
        <v>1</v>
      </c>
      <c r="F775" s="24">
        <v>6423.48</v>
      </c>
      <c r="G775" s="10" t="s">
        <v>4695</v>
      </c>
      <c r="H775" s="10" t="s">
        <v>4696</v>
      </c>
      <c r="I775" s="10" t="s">
        <v>4708</v>
      </c>
      <c r="J775" s="17">
        <f t="shared" si="6"/>
        <v>27611</v>
      </c>
      <c r="K775" s="10">
        <f t="shared" ca="1" si="7"/>
        <v>50</v>
      </c>
      <c r="L775" s="6"/>
      <c r="M775" s="6"/>
      <c r="N775" s="6"/>
      <c r="O775" s="6"/>
      <c r="P775" s="6"/>
      <c r="Q775" s="6"/>
      <c r="R775" s="6"/>
      <c r="S775" s="6"/>
      <c r="T775" s="6"/>
      <c r="U775" s="6"/>
      <c r="V775" s="6"/>
      <c r="W775" s="6"/>
      <c r="X775" s="6"/>
      <c r="Y775" s="6"/>
      <c r="Z775" s="6"/>
    </row>
    <row r="776" spans="1:26" ht="15.75" customHeight="1" x14ac:dyDescent="0.3">
      <c r="A776" s="10" t="s">
        <v>3130</v>
      </c>
      <c r="B776" s="10">
        <v>1985</v>
      </c>
      <c r="C776" s="10" t="s">
        <v>4707</v>
      </c>
      <c r="D776" s="10">
        <v>22</v>
      </c>
      <c r="E776" s="10">
        <v>3</v>
      </c>
      <c r="F776" s="24">
        <v>6435.62</v>
      </c>
      <c r="G776" s="10" t="s">
        <v>4696</v>
      </c>
      <c r="H776" s="10" t="s">
        <v>4695</v>
      </c>
      <c r="I776" s="10" t="s">
        <v>4708</v>
      </c>
      <c r="J776" s="17">
        <f t="shared" si="6"/>
        <v>31250</v>
      </c>
      <c r="K776" s="10">
        <f t="shared" ca="1" si="7"/>
        <v>40</v>
      </c>
      <c r="L776" s="6"/>
      <c r="M776" s="6"/>
      <c r="N776" s="6"/>
      <c r="O776" s="6"/>
      <c r="P776" s="6"/>
      <c r="Q776" s="6"/>
      <c r="R776" s="6"/>
      <c r="S776" s="6"/>
      <c r="T776" s="6"/>
      <c r="U776" s="6"/>
      <c r="V776" s="6"/>
      <c r="W776" s="6"/>
      <c r="X776" s="6"/>
      <c r="Y776" s="6"/>
      <c r="Z776" s="6"/>
    </row>
    <row r="777" spans="1:26" ht="15.75" customHeight="1" x14ac:dyDescent="0.3">
      <c r="A777" s="10" t="s">
        <v>3128</v>
      </c>
      <c r="B777" s="10">
        <v>1984</v>
      </c>
      <c r="C777" s="10" t="s">
        <v>4714</v>
      </c>
      <c r="D777" s="10">
        <v>26</v>
      </c>
      <c r="E777" s="10">
        <v>2</v>
      </c>
      <c r="F777" s="24">
        <v>6455.86</v>
      </c>
      <c r="G777" s="10" t="s">
        <v>4696</v>
      </c>
      <c r="H777" s="10" t="s">
        <v>4696</v>
      </c>
      <c r="I777" s="10" t="s">
        <v>4712</v>
      </c>
      <c r="J777" s="17">
        <f t="shared" si="6"/>
        <v>30920</v>
      </c>
      <c r="K777" s="10">
        <f t="shared" ca="1" si="7"/>
        <v>41</v>
      </c>
      <c r="L777" s="6"/>
      <c r="M777" s="6"/>
      <c r="N777" s="6"/>
      <c r="O777" s="6"/>
      <c r="P777" s="6"/>
      <c r="Q777" s="6"/>
      <c r="R777" s="6"/>
      <c r="S777" s="6"/>
      <c r="T777" s="6"/>
      <c r="U777" s="6"/>
      <c r="V777" s="6"/>
      <c r="W777" s="6"/>
      <c r="X777" s="6"/>
      <c r="Y777" s="6"/>
      <c r="Z777" s="6"/>
    </row>
    <row r="778" spans="1:26" ht="15.75" customHeight="1" x14ac:dyDescent="0.3">
      <c r="A778" s="10" t="s">
        <v>3126</v>
      </c>
      <c r="B778" s="10">
        <v>1984</v>
      </c>
      <c r="C778" s="10" t="s">
        <v>4709</v>
      </c>
      <c r="D778" s="10">
        <v>1</v>
      </c>
      <c r="E778" s="10">
        <v>2</v>
      </c>
      <c r="F778" s="24">
        <v>6457.84</v>
      </c>
      <c r="G778" s="10" t="s">
        <v>4695</v>
      </c>
      <c r="H778" s="10" t="s">
        <v>4696</v>
      </c>
      <c r="I778" s="10" t="s">
        <v>4712</v>
      </c>
      <c r="J778" s="17">
        <f t="shared" si="6"/>
        <v>30987</v>
      </c>
      <c r="K778" s="10">
        <f t="shared" ca="1" si="7"/>
        <v>41</v>
      </c>
      <c r="L778" s="6"/>
      <c r="M778" s="6"/>
      <c r="N778" s="6"/>
      <c r="O778" s="6"/>
      <c r="P778" s="6"/>
      <c r="Q778" s="6"/>
      <c r="R778" s="6"/>
      <c r="S778" s="6"/>
      <c r="T778" s="6"/>
      <c r="U778" s="6"/>
      <c r="V778" s="6"/>
      <c r="W778" s="6"/>
      <c r="X778" s="6"/>
      <c r="Y778" s="6"/>
      <c r="Z778" s="6"/>
    </row>
    <row r="779" spans="1:26" ht="15.75" customHeight="1" x14ac:dyDescent="0.3">
      <c r="A779" s="10" t="s">
        <v>3124</v>
      </c>
      <c r="B779" s="10">
        <v>1981</v>
      </c>
      <c r="C779" s="10" t="s">
        <v>4707</v>
      </c>
      <c r="D779" s="10">
        <v>27</v>
      </c>
      <c r="E779" s="10">
        <v>1</v>
      </c>
      <c r="F779" s="24">
        <v>6473.15</v>
      </c>
      <c r="G779" s="10" t="s">
        <v>4695</v>
      </c>
      <c r="H779" s="10" t="s">
        <v>4695</v>
      </c>
      <c r="I779" s="10" t="s">
        <v>4708</v>
      </c>
      <c r="J779" s="17">
        <f t="shared" si="6"/>
        <v>29794</v>
      </c>
      <c r="K779" s="10">
        <f t="shared" ca="1" si="7"/>
        <v>44</v>
      </c>
      <c r="L779" s="6"/>
      <c r="M779" s="6"/>
      <c r="N779" s="6"/>
      <c r="O779" s="6"/>
      <c r="P779" s="6"/>
      <c r="Q779" s="6"/>
      <c r="R779" s="6"/>
      <c r="S779" s="6"/>
      <c r="T779" s="6"/>
      <c r="U779" s="6"/>
      <c r="V779" s="6"/>
      <c r="W779" s="6"/>
      <c r="X779" s="6"/>
      <c r="Y779" s="6"/>
      <c r="Z779" s="6"/>
    </row>
    <row r="780" spans="1:26" ht="15.75" customHeight="1" x14ac:dyDescent="0.3">
      <c r="A780" s="10" t="s">
        <v>3122</v>
      </c>
      <c r="B780" s="10">
        <v>1980</v>
      </c>
      <c r="C780" s="10" t="s">
        <v>4710</v>
      </c>
      <c r="D780" s="10">
        <v>8</v>
      </c>
      <c r="E780" s="10">
        <v>0</v>
      </c>
      <c r="F780" s="24">
        <v>6474.01</v>
      </c>
      <c r="G780" s="10" t="s">
        <v>4695</v>
      </c>
      <c r="H780" s="10" t="s">
        <v>4696</v>
      </c>
      <c r="I780" s="10" t="s">
        <v>4716</v>
      </c>
      <c r="J780" s="17">
        <f t="shared" si="6"/>
        <v>29380</v>
      </c>
      <c r="K780" s="10">
        <f t="shared" ca="1" si="7"/>
        <v>45</v>
      </c>
      <c r="L780" s="6"/>
      <c r="M780" s="6"/>
      <c r="N780" s="6"/>
      <c r="O780" s="6"/>
      <c r="P780" s="6"/>
      <c r="Q780" s="6"/>
      <c r="R780" s="6"/>
      <c r="S780" s="6"/>
      <c r="T780" s="6"/>
      <c r="U780" s="6"/>
      <c r="V780" s="6"/>
      <c r="W780" s="6"/>
      <c r="X780" s="6"/>
      <c r="Y780" s="6"/>
      <c r="Z780" s="6"/>
    </row>
    <row r="781" spans="1:26" ht="15.75" customHeight="1" x14ac:dyDescent="0.3">
      <c r="A781" s="10" t="s">
        <v>3120</v>
      </c>
      <c r="B781" s="10">
        <v>1970</v>
      </c>
      <c r="C781" s="10" t="s">
        <v>4713</v>
      </c>
      <c r="D781" s="10">
        <v>1</v>
      </c>
      <c r="E781" s="10">
        <v>0</v>
      </c>
      <c r="F781" s="24">
        <v>6481.67</v>
      </c>
      <c r="G781" s="10" t="s">
        <v>4695</v>
      </c>
      <c r="H781" s="10" t="s">
        <v>4695</v>
      </c>
      <c r="I781" s="10" t="s">
        <v>4708</v>
      </c>
      <c r="J781" s="17">
        <f t="shared" si="6"/>
        <v>25903</v>
      </c>
      <c r="K781" s="10">
        <f t="shared" ca="1" si="7"/>
        <v>54</v>
      </c>
      <c r="L781" s="6"/>
      <c r="M781" s="6"/>
      <c r="N781" s="6"/>
      <c r="O781" s="6"/>
      <c r="P781" s="6"/>
      <c r="Q781" s="6"/>
      <c r="R781" s="6"/>
      <c r="S781" s="6"/>
      <c r="T781" s="6"/>
      <c r="U781" s="6"/>
      <c r="V781" s="6"/>
      <c r="W781" s="6"/>
      <c r="X781" s="6"/>
      <c r="Y781" s="6"/>
      <c r="Z781" s="6"/>
    </row>
    <row r="782" spans="1:26" ht="15.75" customHeight="1" x14ac:dyDescent="0.3">
      <c r="A782" s="10" t="s">
        <v>3118</v>
      </c>
      <c r="B782" s="10">
        <v>1982</v>
      </c>
      <c r="C782" s="10" t="s">
        <v>4715</v>
      </c>
      <c r="D782" s="10">
        <v>9</v>
      </c>
      <c r="E782" s="10">
        <v>1</v>
      </c>
      <c r="F782" s="24">
        <v>6496.89</v>
      </c>
      <c r="G782" s="10" t="s">
        <v>4695</v>
      </c>
      <c r="H782" s="10" t="s">
        <v>4696</v>
      </c>
      <c r="I782" s="10" t="s">
        <v>4716</v>
      </c>
      <c r="J782" s="17">
        <f t="shared" si="6"/>
        <v>30233</v>
      </c>
      <c r="K782" s="10">
        <f t="shared" ca="1" si="7"/>
        <v>43</v>
      </c>
      <c r="L782" s="6"/>
      <c r="M782" s="6"/>
      <c r="N782" s="6"/>
      <c r="O782" s="6"/>
      <c r="P782" s="6"/>
      <c r="Q782" s="6"/>
      <c r="R782" s="6"/>
      <c r="S782" s="6"/>
      <c r="T782" s="6"/>
      <c r="U782" s="6"/>
      <c r="V782" s="6"/>
      <c r="W782" s="6"/>
      <c r="X782" s="6"/>
      <c r="Y782" s="6"/>
      <c r="Z782" s="6"/>
    </row>
    <row r="783" spans="1:26" ht="15.75" customHeight="1" x14ac:dyDescent="0.3">
      <c r="A783" s="10" t="s">
        <v>3116</v>
      </c>
      <c r="B783" s="10">
        <v>1982</v>
      </c>
      <c r="C783" s="10" t="s">
        <v>4714</v>
      </c>
      <c r="D783" s="10">
        <v>28</v>
      </c>
      <c r="E783" s="10">
        <v>1</v>
      </c>
      <c r="F783" s="24">
        <v>6500.24</v>
      </c>
      <c r="G783" s="10" t="s">
        <v>4695</v>
      </c>
      <c r="H783" s="10" t="s">
        <v>4695</v>
      </c>
      <c r="I783" s="10" t="s">
        <v>4708</v>
      </c>
      <c r="J783" s="17">
        <f t="shared" si="6"/>
        <v>30191</v>
      </c>
      <c r="K783" s="10">
        <f t="shared" ca="1" si="7"/>
        <v>43</v>
      </c>
      <c r="L783" s="6"/>
      <c r="M783" s="6"/>
      <c r="N783" s="6"/>
      <c r="O783" s="6"/>
      <c r="P783" s="6"/>
      <c r="Q783" s="6"/>
      <c r="R783" s="6"/>
      <c r="S783" s="6"/>
      <c r="T783" s="6"/>
      <c r="U783" s="6"/>
      <c r="V783" s="6"/>
      <c r="W783" s="6"/>
      <c r="X783" s="6"/>
      <c r="Y783" s="6"/>
      <c r="Z783" s="6"/>
    </row>
    <row r="784" spans="1:26" ht="15.75" customHeight="1" x14ac:dyDescent="0.3">
      <c r="A784" s="10" t="s">
        <v>3114</v>
      </c>
      <c r="B784" s="10">
        <v>1994</v>
      </c>
      <c r="C784" s="10" t="s">
        <v>4707</v>
      </c>
      <c r="D784" s="10">
        <v>7</v>
      </c>
      <c r="E784" s="10">
        <v>0</v>
      </c>
      <c r="F784" s="24">
        <v>6512.24</v>
      </c>
      <c r="G784" s="10" t="s">
        <v>4695</v>
      </c>
      <c r="H784" s="10" t="s">
        <v>4694</v>
      </c>
      <c r="I784" s="10" t="s">
        <v>4726</v>
      </c>
      <c r="J784" s="17">
        <f t="shared" si="6"/>
        <v>34522</v>
      </c>
      <c r="K784" s="10">
        <f t="shared" ca="1" si="7"/>
        <v>31</v>
      </c>
      <c r="L784" s="6"/>
      <c r="M784" s="6"/>
      <c r="N784" s="6"/>
      <c r="O784" s="6"/>
      <c r="P784" s="6"/>
      <c r="Q784" s="6"/>
      <c r="R784" s="6"/>
      <c r="S784" s="6"/>
      <c r="T784" s="6"/>
      <c r="U784" s="6"/>
      <c r="V784" s="6"/>
      <c r="W784" s="6"/>
      <c r="X784" s="6"/>
      <c r="Y784" s="6"/>
      <c r="Z784" s="6"/>
    </row>
    <row r="785" spans="1:26" ht="15.75" customHeight="1" x14ac:dyDescent="0.3">
      <c r="A785" s="10" t="s">
        <v>3112</v>
      </c>
      <c r="B785" s="10">
        <v>1976</v>
      </c>
      <c r="C785" s="10" t="s">
        <v>4715</v>
      </c>
      <c r="D785" s="10">
        <v>23</v>
      </c>
      <c r="E785" s="10">
        <v>2</v>
      </c>
      <c r="F785" s="24">
        <v>6529.21</v>
      </c>
      <c r="G785" s="10" t="s">
        <v>4695</v>
      </c>
      <c r="H785" s="10" t="s">
        <v>4694</v>
      </c>
      <c r="I785" s="10" t="s">
        <v>4708</v>
      </c>
      <c r="J785" s="17">
        <f t="shared" si="6"/>
        <v>28056</v>
      </c>
      <c r="K785" s="10">
        <f t="shared" ca="1" si="7"/>
        <v>49</v>
      </c>
      <c r="L785" s="6"/>
      <c r="M785" s="6"/>
      <c r="N785" s="6"/>
      <c r="O785" s="6"/>
      <c r="P785" s="6"/>
      <c r="Q785" s="6"/>
      <c r="R785" s="6"/>
      <c r="S785" s="6"/>
      <c r="T785" s="6"/>
      <c r="U785" s="6"/>
      <c r="V785" s="6"/>
      <c r="W785" s="6"/>
      <c r="X785" s="6"/>
      <c r="Y785" s="6"/>
      <c r="Z785" s="6"/>
    </row>
    <row r="786" spans="1:26" ht="15.75" customHeight="1" x14ac:dyDescent="0.3">
      <c r="A786" s="10" t="s">
        <v>3110</v>
      </c>
      <c r="B786" s="10">
        <v>1982</v>
      </c>
      <c r="C786" s="10" t="s">
        <v>4714</v>
      </c>
      <c r="D786" s="10">
        <v>12</v>
      </c>
      <c r="E786" s="10">
        <v>3</v>
      </c>
      <c r="F786" s="24">
        <v>6532.04</v>
      </c>
      <c r="G786" s="10" t="s">
        <v>4695</v>
      </c>
      <c r="H786" s="10" t="s">
        <v>4694</v>
      </c>
      <c r="I786" s="10" t="s">
        <v>4708</v>
      </c>
      <c r="J786" s="17">
        <f t="shared" si="6"/>
        <v>30175</v>
      </c>
      <c r="K786" s="10">
        <f t="shared" ca="1" si="7"/>
        <v>43</v>
      </c>
      <c r="L786" s="6"/>
      <c r="M786" s="6"/>
      <c r="N786" s="6"/>
      <c r="O786" s="6"/>
      <c r="P786" s="6"/>
      <c r="Q786" s="6"/>
      <c r="R786" s="6"/>
      <c r="S786" s="6"/>
      <c r="T786" s="6"/>
      <c r="U786" s="6"/>
      <c r="V786" s="6"/>
      <c r="W786" s="6"/>
      <c r="X786" s="6"/>
      <c r="Y786" s="6"/>
      <c r="Z786" s="6"/>
    </row>
    <row r="787" spans="1:26" ht="15.75" customHeight="1" x14ac:dyDescent="0.3">
      <c r="A787" s="10" t="s">
        <v>3108</v>
      </c>
      <c r="B787" s="10">
        <v>1982</v>
      </c>
      <c r="C787" s="10" t="s">
        <v>4715</v>
      </c>
      <c r="D787" s="10">
        <v>2</v>
      </c>
      <c r="E787" s="10">
        <v>3</v>
      </c>
      <c r="F787" s="24">
        <v>6536.68</v>
      </c>
      <c r="G787" s="10" t="s">
        <v>4695</v>
      </c>
      <c r="H787" s="10" t="s">
        <v>4695</v>
      </c>
      <c r="I787" s="10" t="s">
        <v>4712</v>
      </c>
      <c r="J787" s="17">
        <f t="shared" si="6"/>
        <v>30226</v>
      </c>
      <c r="K787" s="10">
        <f t="shared" ca="1" si="7"/>
        <v>43</v>
      </c>
      <c r="L787" s="6"/>
      <c r="M787" s="6"/>
      <c r="N787" s="6"/>
      <c r="O787" s="6"/>
      <c r="P787" s="6"/>
      <c r="Q787" s="6"/>
      <c r="R787" s="6"/>
      <c r="S787" s="6"/>
      <c r="T787" s="6"/>
      <c r="U787" s="6"/>
      <c r="V787" s="6"/>
      <c r="W787" s="6"/>
      <c r="X787" s="6"/>
      <c r="Y787" s="6"/>
      <c r="Z787" s="6"/>
    </row>
    <row r="788" spans="1:26" ht="15.75" customHeight="1" x14ac:dyDescent="0.3">
      <c r="A788" s="10" t="s">
        <v>3106</v>
      </c>
      <c r="B788" s="10">
        <v>1969</v>
      </c>
      <c r="C788" s="10" t="s">
        <v>4713</v>
      </c>
      <c r="D788" s="10">
        <v>3</v>
      </c>
      <c r="E788" s="10">
        <v>0</v>
      </c>
      <c r="F788" s="24">
        <v>6546.16</v>
      </c>
      <c r="G788" s="10" t="s">
        <v>4695</v>
      </c>
      <c r="H788" s="10" t="s">
        <v>4696</v>
      </c>
      <c r="I788" s="10" t="s">
        <v>4708</v>
      </c>
      <c r="J788" s="17">
        <f t="shared" si="6"/>
        <v>25540</v>
      </c>
      <c r="K788" s="10">
        <f t="shared" ca="1" si="7"/>
        <v>55</v>
      </c>
      <c r="L788" s="6"/>
      <c r="M788" s="6"/>
      <c r="N788" s="6"/>
      <c r="O788" s="6"/>
      <c r="P788" s="6"/>
      <c r="Q788" s="6"/>
      <c r="R788" s="6"/>
      <c r="S788" s="6"/>
      <c r="T788" s="6"/>
      <c r="U788" s="6"/>
      <c r="V788" s="6"/>
      <c r="W788" s="6"/>
      <c r="X788" s="6"/>
      <c r="Y788" s="6"/>
      <c r="Z788" s="6"/>
    </row>
    <row r="789" spans="1:26" ht="15.75" customHeight="1" x14ac:dyDescent="0.3">
      <c r="A789" s="10" t="s">
        <v>3104</v>
      </c>
      <c r="B789" s="10">
        <v>1986</v>
      </c>
      <c r="C789" s="10" t="s">
        <v>4713</v>
      </c>
      <c r="D789" s="10">
        <v>18</v>
      </c>
      <c r="E789" s="10">
        <v>3</v>
      </c>
      <c r="F789" s="24">
        <v>6548.2</v>
      </c>
      <c r="G789" s="10" t="s">
        <v>4695</v>
      </c>
      <c r="H789" s="10" t="s">
        <v>4696</v>
      </c>
      <c r="I789" s="10" t="s">
        <v>4712</v>
      </c>
      <c r="J789" s="17">
        <f t="shared" si="6"/>
        <v>31764</v>
      </c>
      <c r="K789" s="10">
        <f t="shared" ca="1" si="7"/>
        <v>38</v>
      </c>
      <c r="L789" s="6"/>
      <c r="M789" s="6"/>
      <c r="N789" s="6"/>
      <c r="O789" s="6"/>
      <c r="P789" s="6"/>
      <c r="Q789" s="6"/>
      <c r="R789" s="6"/>
      <c r="S789" s="6"/>
      <c r="T789" s="6"/>
      <c r="U789" s="6"/>
      <c r="V789" s="6"/>
      <c r="W789" s="6"/>
      <c r="X789" s="6"/>
      <c r="Y789" s="6"/>
      <c r="Z789" s="6"/>
    </row>
    <row r="790" spans="1:26" ht="15.75" customHeight="1" x14ac:dyDescent="0.3">
      <c r="A790" s="10" t="s">
        <v>3102</v>
      </c>
      <c r="B790" s="10">
        <v>1989</v>
      </c>
      <c r="C790" s="10" t="s">
        <v>4714</v>
      </c>
      <c r="D790" s="10">
        <v>6</v>
      </c>
      <c r="E790" s="10">
        <v>3</v>
      </c>
      <c r="F790" s="24">
        <v>6551.75</v>
      </c>
      <c r="G790" s="10" t="s">
        <v>4695</v>
      </c>
      <c r="H790" s="10" t="s">
        <v>4695</v>
      </c>
      <c r="I790" s="10" t="s">
        <v>4723</v>
      </c>
      <c r="J790" s="17">
        <f t="shared" si="6"/>
        <v>32726</v>
      </c>
      <c r="K790" s="10">
        <f t="shared" ca="1" si="7"/>
        <v>36</v>
      </c>
      <c r="L790" s="6"/>
      <c r="M790" s="6"/>
      <c r="N790" s="6"/>
      <c r="O790" s="6"/>
      <c r="P790" s="6"/>
      <c r="Q790" s="6"/>
      <c r="R790" s="6"/>
      <c r="S790" s="6"/>
      <c r="T790" s="6"/>
      <c r="U790" s="6"/>
      <c r="V790" s="6"/>
      <c r="W790" s="6"/>
      <c r="X790" s="6"/>
      <c r="Y790" s="6"/>
      <c r="Z790" s="6"/>
    </row>
    <row r="791" spans="1:26" ht="15.75" customHeight="1" x14ac:dyDescent="0.3">
      <c r="A791" s="10" t="s">
        <v>3100</v>
      </c>
      <c r="B791" s="10">
        <v>1968</v>
      </c>
      <c r="C791" s="10" t="s">
        <v>4713</v>
      </c>
      <c r="D791" s="10">
        <v>11</v>
      </c>
      <c r="E791" s="10">
        <v>0</v>
      </c>
      <c r="F791" s="24">
        <v>6552.01</v>
      </c>
      <c r="G791" s="10" t="s">
        <v>4696</v>
      </c>
      <c r="H791" s="10" t="s">
        <v>4695</v>
      </c>
      <c r="I791" s="10" t="s">
        <v>4708</v>
      </c>
      <c r="J791" s="17">
        <f t="shared" si="6"/>
        <v>25183</v>
      </c>
      <c r="K791" s="10">
        <f t="shared" ca="1" si="7"/>
        <v>56</v>
      </c>
      <c r="L791" s="6"/>
      <c r="M791" s="6"/>
      <c r="N791" s="6"/>
      <c r="O791" s="6"/>
      <c r="P791" s="6"/>
      <c r="Q791" s="6"/>
      <c r="R791" s="6"/>
      <c r="S791" s="6"/>
      <c r="T791" s="6"/>
      <c r="U791" s="6"/>
      <c r="V791" s="6"/>
      <c r="W791" s="6"/>
      <c r="X791" s="6"/>
      <c r="Y791" s="6"/>
      <c r="Z791" s="6"/>
    </row>
    <row r="792" spans="1:26" ht="15.75" customHeight="1" x14ac:dyDescent="0.3">
      <c r="A792" s="10" t="s">
        <v>3098</v>
      </c>
      <c r="B792" s="10">
        <v>1984</v>
      </c>
      <c r="C792" s="10" t="s">
        <v>4711</v>
      </c>
      <c r="D792" s="10">
        <v>20</v>
      </c>
      <c r="E792" s="10">
        <v>1</v>
      </c>
      <c r="F792" s="24">
        <v>6555.07</v>
      </c>
      <c r="G792" s="10" t="s">
        <v>4695</v>
      </c>
      <c r="H792" s="10" t="s">
        <v>4695</v>
      </c>
      <c r="I792" s="10" t="s">
        <v>4723</v>
      </c>
      <c r="J792" s="17">
        <f t="shared" si="6"/>
        <v>30945</v>
      </c>
      <c r="K792" s="10">
        <f t="shared" ca="1" si="7"/>
        <v>41</v>
      </c>
      <c r="L792" s="6"/>
      <c r="M792" s="6"/>
      <c r="N792" s="6"/>
      <c r="O792" s="6"/>
      <c r="P792" s="6"/>
      <c r="Q792" s="6"/>
      <c r="R792" s="6"/>
      <c r="S792" s="6"/>
      <c r="T792" s="6"/>
      <c r="U792" s="6"/>
      <c r="V792" s="6"/>
      <c r="W792" s="6"/>
      <c r="X792" s="6"/>
      <c r="Y792" s="6"/>
      <c r="Z792" s="6"/>
    </row>
    <row r="793" spans="1:26" ht="15.75" customHeight="1" x14ac:dyDescent="0.3">
      <c r="A793" s="10" t="s">
        <v>3096</v>
      </c>
      <c r="B793" s="10">
        <v>1981</v>
      </c>
      <c r="C793" s="10" t="s">
        <v>4707</v>
      </c>
      <c r="D793" s="10">
        <v>20</v>
      </c>
      <c r="E793" s="10">
        <v>0</v>
      </c>
      <c r="F793" s="24">
        <v>6571.02</v>
      </c>
      <c r="G793" s="10" t="s">
        <v>4695</v>
      </c>
      <c r="H793" s="10" t="s">
        <v>4694</v>
      </c>
      <c r="I793" s="10" t="s">
        <v>4712</v>
      </c>
      <c r="J793" s="17">
        <f t="shared" si="6"/>
        <v>29787</v>
      </c>
      <c r="K793" s="10">
        <f t="shared" ca="1" si="7"/>
        <v>44</v>
      </c>
      <c r="L793" s="6"/>
      <c r="M793" s="6"/>
      <c r="N793" s="6"/>
      <c r="O793" s="6"/>
      <c r="P793" s="6"/>
      <c r="Q793" s="6"/>
      <c r="R793" s="6"/>
      <c r="S793" s="6"/>
      <c r="T793" s="6"/>
      <c r="U793" s="6"/>
      <c r="V793" s="6"/>
      <c r="W793" s="6"/>
      <c r="X793" s="6"/>
      <c r="Y793" s="6"/>
      <c r="Z793" s="6"/>
    </row>
    <row r="794" spans="1:26" ht="15.75" customHeight="1" x14ac:dyDescent="0.3">
      <c r="A794" s="10" t="s">
        <v>3094</v>
      </c>
      <c r="B794" s="10">
        <v>1984</v>
      </c>
      <c r="C794" s="10" t="s">
        <v>4715</v>
      </c>
      <c r="D794" s="10">
        <v>5</v>
      </c>
      <c r="E794" s="10">
        <v>2</v>
      </c>
      <c r="F794" s="24">
        <v>6571.54</v>
      </c>
      <c r="G794" s="10" t="s">
        <v>4695</v>
      </c>
      <c r="H794" s="10" t="s">
        <v>4696</v>
      </c>
      <c r="I794" s="10" t="s">
        <v>4716</v>
      </c>
      <c r="J794" s="17">
        <f t="shared" si="6"/>
        <v>30960</v>
      </c>
      <c r="K794" s="10">
        <f t="shared" ca="1" si="7"/>
        <v>41</v>
      </c>
      <c r="L794" s="6"/>
      <c r="M794" s="6"/>
      <c r="N794" s="6"/>
      <c r="O794" s="6"/>
      <c r="P794" s="6"/>
      <c r="Q794" s="6"/>
      <c r="R794" s="6"/>
      <c r="S794" s="6"/>
      <c r="T794" s="6"/>
      <c r="U794" s="6"/>
      <c r="V794" s="6"/>
      <c r="W794" s="6"/>
      <c r="X794" s="6"/>
      <c r="Y794" s="6"/>
      <c r="Z794" s="6"/>
    </row>
    <row r="795" spans="1:26" ht="15.75" customHeight="1" x14ac:dyDescent="0.3">
      <c r="A795" s="10" t="s">
        <v>3092</v>
      </c>
      <c r="B795" s="10">
        <v>1982</v>
      </c>
      <c r="C795" s="10" t="s">
        <v>4709</v>
      </c>
      <c r="D795" s="10">
        <v>22</v>
      </c>
      <c r="E795" s="10">
        <v>2</v>
      </c>
      <c r="F795" s="24">
        <v>6593.51</v>
      </c>
      <c r="G795" s="10" t="s">
        <v>4695</v>
      </c>
      <c r="H795" s="10" t="s">
        <v>4694</v>
      </c>
      <c r="I795" s="10" t="s">
        <v>4708</v>
      </c>
      <c r="J795" s="17">
        <f t="shared" si="6"/>
        <v>30277</v>
      </c>
      <c r="K795" s="10">
        <f t="shared" ca="1" si="7"/>
        <v>43</v>
      </c>
      <c r="L795" s="6"/>
      <c r="M795" s="6"/>
      <c r="N795" s="6"/>
      <c r="O795" s="6"/>
      <c r="P795" s="6"/>
      <c r="Q795" s="6"/>
      <c r="R795" s="6"/>
      <c r="S795" s="6"/>
      <c r="T795" s="6"/>
      <c r="U795" s="6"/>
      <c r="V795" s="6"/>
      <c r="W795" s="6"/>
      <c r="X795" s="6"/>
      <c r="Y795" s="6"/>
      <c r="Z795" s="6"/>
    </row>
    <row r="796" spans="1:26" ht="15.75" customHeight="1" x14ac:dyDescent="0.3">
      <c r="A796" s="10" t="s">
        <v>3090</v>
      </c>
      <c r="B796" s="10">
        <v>1982</v>
      </c>
      <c r="C796" s="10" t="s">
        <v>4713</v>
      </c>
      <c r="D796" s="10">
        <v>29</v>
      </c>
      <c r="E796" s="10">
        <v>1</v>
      </c>
      <c r="F796" s="24">
        <v>6600.21</v>
      </c>
      <c r="G796" s="10" t="s">
        <v>4696</v>
      </c>
      <c r="H796" s="10" t="s">
        <v>4695</v>
      </c>
      <c r="I796" s="10" t="s">
        <v>4720</v>
      </c>
      <c r="J796" s="17">
        <f t="shared" si="6"/>
        <v>30314</v>
      </c>
      <c r="K796" s="10">
        <f t="shared" ca="1" si="7"/>
        <v>42</v>
      </c>
      <c r="L796" s="6"/>
      <c r="M796" s="6"/>
      <c r="N796" s="6"/>
      <c r="O796" s="6"/>
      <c r="P796" s="6"/>
      <c r="Q796" s="6"/>
      <c r="R796" s="6"/>
      <c r="S796" s="6"/>
      <c r="T796" s="6"/>
      <c r="U796" s="6"/>
      <c r="V796" s="6"/>
      <c r="W796" s="6"/>
      <c r="X796" s="6"/>
      <c r="Y796" s="6"/>
      <c r="Z796" s="6"/>
    </row>
    <row r="797" spans="1:26" ht="15.75" customHeight="1" x14ac:dyDescent="0.3">
      <c r="A797" s="10" t="s">
        <v>3088</v>
      </c>
      <c r="B797" s="10">
        <v>1982</v>
      </c>
      <c r="C797" s="10" t="s">
        <v>4709</v>
      </c>
      <c r="D797" s="10">
        <v>7</v>
      </c>
      <c r="E797" s="10">
        <v>2</v>
      </c>
      <c r="F797" s="24">
        <v>6600.36</v>
      </c>
      <c r="G797" s="10" t="s">
        <v>4695</v>
      </c>
      <c r="H797" s="10" t="s">
        <v>4696</v>
      </c>
      <c r="I797" s="10" t="s">
        <v>4716</v>
      </c>
      <c r="J797" s="17">
        <f t="shared" si="6"/>
        <v>30262</v>
      </c>
      <c r="K797" s="10">
        <f t="shared" ca="1" si="7"/>
        <v>43</v>
      </c>
      <c r="L797" s="6"/>
      <c r="M797" s="6"/>
      <c r="N797" s="6"/>
      <c r="O797" s="6"/>
      <c r="P797" s="6"/>
      <c r="Q797" s="6"/>
      <c r="R797" s="6"/>
      <c r="S797" s="6"/>
      <c r="T797" s="6"/>
      <c r="U797" s="6"/>
      <c r="V797" s="6"/>
      <c r="W797" s="6"/>
      <c r="X797" s="6"/>
      <c r="Y797" s="6"/>
      <c r="Z797" s="6"/>
    </row>
    <row r="798" spans="1:26" ht="15.75" customHeight="1" x14ac:dyDescent="0.3">
      <c r="A798" s="10" t="s">
        <v>3086</v>
      </c>
      <c r="B798" s="10">
        <v>1982</v>
      </c>
      <c r="C798" s="10" t="s">
        <v>4714</v>
      </c>
      <c r="D798" s="10">
        <v>28</v>
      </c>
      <c r="E798" s="10">
        <v>1</v>
      </c>
      <c r="F798" s="24">
        <v>6610.11</v>
      </c>
      <c r="G798" s="10" t="s">
        <v>4696</v>
      </c>
      <c r="H798" s="10" t="s">
        <v>4695</v>
      </c>
      <c r="I798" s="10" t="s">
        <v>4718</v>
      </c>
      <c r="J798" s="17">
        <f t="shared" si="6"/>
        <v>30191</v>
      </c>
      <c r="K798" s="10">
        <f t="shared" ca="1" si="7"/>
        <v>43</v>
      </c>
      <c r="L798" s="6"/>
      <c r="M798" s="6"/>
      <c r="N798" s="6"/>
      <c r="O798" s="6"/>
      <c r="P798" s="6"/>
      <c r="Q798" s="6"/>
      <c r="R798" s="6"/>
      <c r="S798" s="6"/>
      <c r="T798" s="6"/>
      <c r="U798" s="6"/>
      <c r="V798" s="6"/>
      <c r="W798" s="6"/>
      <c r="X798" s="6"/>
      <c r="Y798" s="6"/>
      <c r="Z798" s="6"/>
    </row>
    <row r="799" spans="1:26" ht="15.75" customHeight="1" x14ac:dyDescent="0.3">
      <c r="A799" s="10" t="s">
        <v>3084</v>
      </c>
      <c r="B799" s="10">
        <v>1973</v>
      </c>
      <c r="C799" s="10" t="s">
        <v>4714</v>
      </c>
      <c r="D799" s="10">
        <v>29</v>
      </c>
      <c r="E799" s="10">
        <v>0</v>
      </c>
      <c r="F799" s="24">
        <v>6630.31</v>
      </c>
      <c r="G799" s="10" t="s">
        <v>4695</v>
      </c>
      <c r="H799" s="10" t="s">
        <v>4694</v>
      </c>
      <c r="I799" s="10" t="s">
        <v>4708</v>
      </c>
      <c r="J799" s="17">
        <f t="shared" si="6"/>
        <v>26905</v>
      </c>
      <c r="K799" s="10">
        <f t="shared" ca="1" si="7"/>
        <v>52</v>
      </c>
      <c r="L799" s="6"/>
      <c r="M799" s="6"/>
      <c r="N799" s="6"/>
      <c r="O799" s="6"/>
      <c r="P799" s="6"/>
      <c r="Q799" s="6"/>
      <c r="R799" s="6"/>
      <c r="S799" s="6"/>
      <c r="T799" s="6"/>
      <c r="U799" s="6"/>
      <c r="V799" s="6"/>
      <c r="W799" s="6"/>
      <c r="X799" s="6"/>
      <c r="Y799" s="6"/>
      <c r="Z799" s="6"/>
    </row>
    <row r="800" spans="1:26" ht="15.75" customHeight="1" x14ac:dyDescent="0.3">
      <c r="A800" s="10" t="s">
        <v>3082</v>
      </c>
      <c r="B800" s="10">
        <v>2003</v>
      </c>
      <c r="C800" s="10" t="s">
        <v>4711</v>
      </c>
      <c r="D800" s="10">
        <v>4</v>
      </c>
      <c r="E800" s="10">
        <v>0</v>
      </c>
      <c r="F800" s="24">
        <v>6638.16</v>
      </c>
      <c r="G800" s="10" t="s">
        <v>4695</v>
      </c>
      <c r="H800" s="10" t="s">
        <v>4694</v>
      </c>
      <c r="I800" s="10" t="s">
        <v>4712</v>
      </c>
      <c r="J800" s="17">
        <f t="shared" si="6"/>
        <v>37868</v>
      </c>
      <c r="K800" s="10">
        <f t="shared" ca="1" si="7"/>
        <v>22</v>
      </c>
      <c r="L800" s="6"/>
      <c r="M800" s="6"/>
      <c r="N800" s="6"/>
      <c r="O800" s="6"/>
      <c r="P800" s="6"/>
      <c r="Q800" s="6"/>
      <c r="R800" s="6"/>
      <c r="S800" s="6"/>
      <c r="T800" s="6"/>
      <c r="U800" s="6"/>
      <c r="V800" s="6"/>
      <c r="W800" s="6"/>
      <c r="X800" s="6"/>
      <c r="Y800" s="6"/>
      <c r="Z800" s="6"/>
    </row>
    <row r="801" spans="1:26" ht="15.75" customHeight="1" x14ac:dyDescent="0.3">
      <c r="A801" s="10" t="s">
        <v>3080</v>
      </c>
      <c r="B801" s="10">
        <v>1990</v>
      </c>
      <c r="C801" s="10" t="s">
        <v>4710</v>
      </c>
      <c r="D801" s="10">
        <v>6</v>
      </c>
      <c r="E801" s="10">
        <v>3</v>
      </c>
      <c r="F801" s="24">
        <v>6639.3</v>
      </c>
      <c r="G801" s="10" t="s">
        <v>4695</v>
      </c>
      <c r="H801" s="10" t="s">
        <v>4695</v>
      </c>
      <c r="I801" s="10" t="s">
        <v>4726</v>
      </c>
      <c r="J801" s="17">
        <f t="shared" si="6"/>
        <v>33030</v>
      </c>
      <c r="K801" s="10">
        <f t="shared" ca="1" si="7"/>
        <v>35</v>
      </c>
      <c r="L801" s="6"/>
      <c r="M801" s="6"/>
      <c r="N801" s="6"/>
      <c r="O801" s="6"/>
      <c r="P801" s="6"/>
      <c r="Q801" s="6"/>
      <c r="R801" s="6"/>
      <c r="S801" s="6"/>
      <c r="T801" s="6"/>
      <c r="U801" s="6"/>
      <c r="V801" s="6"/>
      <c r="W801" s="6"/>
      <c r="X801" s="6"/>
      <c r="Y801" s="6"/>
      <c r="Z801" s="6"/>
    </row>
    <row r="802" spans="1:26" ht="15.75" customHeight="1" x14ac:dyDescent="0.3">
      <c r="A802" s="10" t="s">
        <v>3078</v>
      </c>
      <c r="B802" s="10">
        <v>1984</v>
      </c>
      <c r="C802" s="10" t="s">
        <v>4713</v>
      </c>
      <c r="D802" s="10">
        <v>8</v>
      </c>
      <c r="E802" s="10">
        <v>2</v>
      </c>
      <c r="F802" s="24">
        <v>6640.54</v>
      </c>
      <c r="G802" s="10" t="s">
        <v>4695</v>
      </c>
      <c r="H802" s="10" t="s">
        <v>4696</v>
      </c>
      <c r="I802" s="10" t="s">
        <v>4719</v>
      </c>
      <c r="J802" s="17">
        <f t="shared" si="6"/>
        <v>31024</v>
      </c>
      <c r="K802" s="10">
        <f t="shared" ca="1" si="7"/>
        <v>40</v>
      </c>
      <c r="L802" s="6"/>
      <c r="M802" s="6"/>
      <c r="N802" s="6"/>
      <c r="O802" s="6"/>
      <c r="P802" s="6"/>
      <c r="Q802" s="6"/>
      <c r="R802" s="6"/>
      <c r="S802" s="6"/>
      <c r="T802" s="6"/>
      <c r="U802" s="6"/>
      <c r="V802" s="6"/>
      <c r="W802" s="6"/>
      <c r="X802" s="6"/>
      <c r="Y802" s="6"/>
      <c r="Z802" s="6"/>
    </row>
    <row r="803" spans="1:26" ht="15.75" customHeight="1" x14ac:dyDescent="0.3">
      <c r="A803" s="10" t="s">
        <v>3076</v>
      </c>
      <c r="B803" s="10">
        <v>1970</v>
      </c>
      <c r="C803" s="10" t="s">
        <v>4709</v>
      </c>
      <c r="D803" s="10">
        <v>8</v>
      </c>
      <c r="E803" s="10">
        <v>0</v>
      </c>
      <c r="F803" s="24">
        <v>6651.26</v>
      </c>
      <c r="G803" s="10" t="s">
        <v>4695</v>
      </c>
      <c r="H803" s="10" t="s">
        <v>4696</v>
      </c>
      <c r="I803" s="10" t="s">
        <v>4708</v>
      </c>
      <c r="J803" s="17">
        <f t="shared" si="6"/>
        <v>25880</v>
      </c>
      <c r="K803" s="10">
        <f t="shared" ca="1" si="7"/>
        <v>55</v>
      </c>
      <c r="L803" s="6"/>
      <c r="M803" s="6"/>
      <c r="N803" s="6"/>
      <c r="O803" s="6"/>
      <c r="P803" s="6"/>
      <c r="Q803" s="6"/>
      <c r="R803" s="6"/>
      <c r="S803" s="6"/>
      <c r="T803" s="6"/>
      <c r="U803" s="6"/>
      <c r="V803" s="6"/>
      <c r="W803" s="6"/>
      <c r="X803" s="6"/>
      <c r="Y803" s="6"/>
      <c r="Z803" s="6"/>
    </row>
    <row r="804" spans="1:26" ht="15.75" customHeight="1" x14ac:dyDescent="0.3">
      <c r="A804" s="10" t="s">
        <v>3074</v>
      </c>
      <c r="B804" s="10">
        <v>1984</v>
      </c>
      <c r="C804" s="10" t="s">
        <v>4707</v>
      </c>
      <c r="D804" s="10">
        <v>1</v>
      </c>
      <c r="E804" s="10">
        <v>3</v>
      </c>
      <c r="F804" s="24">
        <v>6652.53</v>
      </c>
      <c r="G804" s="10" t="s">
        <v>4696</v>
      </c>
      <c r="H804" s="10" t="s">
        <v>4695</v>
      </c>
      <c r="I804" s="10" t="s">
        <v>4708</v>
      </c>
      <c r="J804" s="17">
        <f t="shared" si="6"/>
        <v>30864</v>
      </c>
      <c r="K804" s="10">
        <f t="shared" ca="1" si="7"/>
        <v>41</v>
      </c>
      <c r="L804" s="6"/>
      <c r="M804" s="6"/>
      <c r="N804" s="6"/>
      <c r="O804" s="6"/>
      <c r="P804" s="6"/>
      <c r="Q804" s="6"/>
      <c r="R804" s="6"/>
      <c r="S804" s="6"/>
      <c r="T804" s="6"/>
      <c r="U804" s="6"/>
      <c r="V804" s="6"/>
      <c r="W804" s="6"/>
      <c r="X804" s="6"/>
      <c r="Y804" s="6"/>
      <c r="Z804" s="6"/>
    </row>
    <row r="805" spans="1:26" ht="15.75" customHeight="1" x14ac:dyDescent="0.3">
      <c r="A805" s="10" t="s">
        <v>3072</v>
      </c>
      <c r="B805" s="10">
        <v>1989</v>
      </c>
      <c r="C805" s="10" t="s">
        <v>4709</v>
      </c>
      <c r="D805" s="10">
        <v>19</v>
      </c>
      <c r="E805" s="10">
        <v>5</v>
      </c>
      <c r="F805" s="24">
        <v>6653.79</v>
      </c>
      <c r="G805" s="10" t="s">
        <v>4695</v>
      </c>
      <c r="H805" s="10" t="s">
        <v>4694</v>
      </c>
      <c r="I805" s="10" t="s">
        <v>4708</v>
      </c>
      <c r="J805" s="17">
        <f t="shared" si="6"/>
        <v>32831</v>
      </c>
      <c r="K805" s="10">
        <f t="shared" ca="1" si="7"/>
        <v>36</v>
      </c>
      <c r="L805" s="6"/>
      <c r="M805" s="6"/>
      <c r="N805" s="6"/>
      <c r="O805" s="6"/>
      <c r="P805" s="6"/>
      <c r="Q805" s="6"/>
      <c r="R805" s="6"/>
      <c r="S805" s="6"/>
      <c r="T805" s="6"/>
      <c r="U805" s="6"/>
      <c r="V805" s="6"/>
      <c r="W805" s="6"/>
      <c r="X805" s="6"/>
      <c r="Y805" s="6"/>
      <c r="Z805" s="6"/>
    </row>
    <row r="806" spans="1:26" ht="15.75" customHeight="1" x14ac:dyDescent="0.3">
      <c r="A806" s="10" t="s">
        <v>3070</v>
      </c>
      <c r="B806" s="10">
        <v>1982</v>
      </c>
      <c r="C806" s="10" t="s">
        <v>4711</v>
      </c>
      <c r="D806" s="10">
        <v>27</v>
      </c>
      <c r="E806" s="10">
        <v>3</v>
      </c>
      <c r="F806" s="24">
        <v>6664.32</v>
      </c>
      <c r="G806" s="10" t="s">
        <v>4695</v>
      </c>
      <c r="H806" s="10" t="s">
        <v>4695</v>
      </c>
      <c r="I806" s="10" t="s">
        <v>4708</v>
      </c>
      <c r="J806" s="17">
        <f t="shared" si="6"/>
        <v>30221</v>
      </c>
      <c r="K806" s="10">
        <f t="shared" ca="1" si="7"/>
        <v>43</v>
      </c>
      <c r="L806" s="6"/>
      <c r="M806" s="6"/>
      <c r="N806" s="6"/>
      <c r="O806" s="6"/>
      <c r="P806" s="6"/>
      <c r="Q806" s="6"/>
      <c r="R806" s="6"/>
      <c r="S806" s="6"/>
      <c r="T806" s="6"/>
      <c r="U806" s="6"/>
      <c r="V806" s="6"/>
      <c r="W806" s="6"/>
      <c r="X806" s="6"/>
      <c r="Y806" s="6"/>
      <c r="Z806" s="6"/>
    </row>
    <row r="807" spans="1:26" ht="15.75" customHeight="1" x14ac:dyDescent="0.3">
      <c r="A807" s="10" t="s">
        <v>3068</v>
      </c>
      <c r="B807" s="10">
        <v>1981</v>
      </c>
      <c r="C807" s="10" t="s">
        <v>4711</v>
      </c>
      <c r="D807" s="10">
        <v>17</v>
      </c>
      <c r="E807" s="10">
        <v>1</v>
      </c>
      <c r="F807" s="24">
        <v>6664.69</v>
      </c>
      <c r="G807" s="10" t="s">
        <v>4696</v>
      </c>
      <c r="H807" s="10" t="s">
        <v>4694</v>
      </c>
      <c r="I807" s="10" t="s">
        <v>4712</v>
      </c>
      <c r="J807" s="17">
        <f t="shared" si="6"/>
        <v>29846</v>
      </c>
      <c r="K807" s="10">
        <f t="shared" ca="1" si="7"/>
        <v>44</v>
      </c>
      <c r="L807" s="6"/>
      <c r="M807" s="6"/>
      <c r="N807" s="6"/>
      <c r="O807" s="6"/>
      <c r="P807" s="6"/>
      <c r="Q807" s="6"/>
      <c r="R807" s="6"/>
      <c r="S807" s="6"/>
      <c r="T807" s="6"/>
      <c r="U807" s="6"/>
      <c r="V807" s="6"/>
      <c r="W807" s="6"/>
      <c r="X807" s="6"/>
      <c r="Y807" s="6"/>
      <c r="Z807" s="6"/>
    </row>
    <row r="808" spans="1:26" ht="15.75" customHeight="1" x14ac:dyDescent="0.3">
      <c r="A808" s="10" t="s">
        <v>3066</v>
      </c>
      <c r="B808" s="10">
        <v>1989</v>
      </c>
      <c r="C808" s="10" t="s">
        <v>4715</v>
      </c>
      <c r="D808" s="10">
        <v>20</v>
      </c>
      <c r="E808" s="10">
        <v>5</v>
      </c>
      <c r="F808" s="24">
        <v>6666.24</v>
      </c>
      <c r="G808" s="10" t="s">
        <v>4696</v>
      </c>
      <c r="H808" s="10" t="s">
        <v>4694</v>
      </c>
      <c r="I808" s="10" t="s">
        <v>4716</v>
      </c>
      <c r="J808" s="17">
        <f t="shared" si="6"/>
        <v>32801</v>
      </c>
      <c r="K808" s="10">
        <f t="shared" ca="1" si="7"/>
        <v>36</v>
      </c>
      <c r="L808" s="6"/>
      <c r="M808" s="6"/>
      <c r="N808" s="6"/>
      <c r="O808" s="6"/>
      <c r="P808" s="6"/>
      <c r="Q808" s="6"/>
      <c r="R808" s="6"/>
      <c r="S808" s="6"/>
      <c r="T808" s="6"/>
      <c r="U808" s="6"/>
      <c r="V808" s="6"/>
      <c r="W808" s="6"/>
      <c r="X808" s="6"/>
      <c r="Y808" s="6"/>
      <c r="Z808" s="6"/>
    </row>
    <row r="809" spans="1:26" ht="15.75" customHeight="1" x14ac:dyDescent="0.3">
      <c r="A809" s="10" t="s">
        <v>3064</v>
      </c>
      <c r="B809" s="10">
        <v>1985</v>
      </c>
      <c r="C809" s="10" t="s">
        <v>4707</v>
      </c>
      <c r="D809" s="10">
        <v>9</v>
      </c>
      <c r="E809" s="10">
        <v>2</v>
      </c>
      <c r="F809" s="24">
        <v>6686.43</v>
      </c>
      <c r="G809" s="10" t="s">
        <v>4695</v>
      </c>
      <c r="H809" s="10" t="s">
        <v>4696</v>
      </c>
      <c r="I809" s="10" t="s">
        <v>4712</v>
      </c>
      <c r="J809" s="17">
        <f t="shared" si="6"/>
        <v>31237</v>
      </c>
      <c r="K809" s="10">
        <f t="shared" ca="1" si="7"/>
        <v>40</v>
      </c>
      <c r="L809" s="6"/>
      <c r="M809" s="6"/>
      <c r="N809" s="6"/>
      <c r="O809" s="6"/>
      <c r="P809" s="6"/>
      <c r="Q809" s="6"/>
      <c r="R809" s="6"/>
      <c r="S809" s="6"/>
      <c r="T809" s="6"/>
      <c r="U809" s="6"/>
      <c r="V809" s="6"/>
      <c r="W809" s="6"/>
      <c r="X809" s="6"/>
      <c r="Y809" s="6"/>
      <c r="Z809" s="6"/>
    </row>
    <row r="810" spans="1:26" ht="15.75" customHeight="1" x14ac:dyDescent="0.3">
      <c r="A810" s="10" t="s">
        <v>3062</v>
      </c>
      <c r="B810" s="10">
        <v>1968</v>
      </c>
      <c r="C810" s="10" t="s">
        <v>4707</v>
      </c>
      <c r="D810" s="10">
        <v>13</v>
      </c>
      <c r="E810" s="10">
        <v>0</v>
      </c>
      <c r="F810" s="24">
        <v>6700.56</v>
      </c>
      <c r="G810" s="10" t="s">
        <v>4696</v>
      </c>
      <c r="H810" s="10" t="s">
        <v>4694</v>
      </c>
      <c r="I810" s="10" t="s">
        <v>4712</v>
      </c>
      <c r="J810" s="17">
        <f t="shared" si="6"/>
        <v>25032</v>
      </c>
      <c r="K810" s="10">
        <f t="shared" ca="1" si="7"/>
        <v>57</v>
      </c>
      <c r="L810" s="6"/>
      <c r="M810" s="6"/>
      <c r="N810" s="6"/>
      <c r="O810" s="6"/>
      <c r="P810" s="6"/>
      <c r="Q810" s="6"/>
      <c r="R810" s="6"/>
      <c r="S810" s="6"/>
      <c r="T810" s="6"/>
      <c r="U810" s="6"/>
      <c r="V810" s="6"/>
      <c r="W810" s="6"/>
      <c r="X810" s="6"/>
      <c r="Y810" s="6"/>
      <c r="Z810" s="6"/>
    </row>
    <row r="811" spans="1:26" ht="15.75" customHeight="1" x14ac:dyDescent="0.3">
      <c r="A811" s="10" t="s">
        <v>3060</v>
      </c>
      <c r="B811" s="10">
        <v>1971</v>
      </c>
      <c r="C811" s="10" t="s">
        <v>4713</v>
      </c>
      <c r="D811" s="10">
        <v>12</v>
      </c>
      <c r="E811" s="10">
        <v>0</v>
      </c>
      <c r="F811" s="24">
        <v>6706.47</v>
      </c>
      <c r="G811" s="10" t="s">
        <v>4695</v>
      </c>
      <c r="H811" s="10" t="s">
        <v>4694</v>
      </c>
      <c r="I811" s="10" t="s">
        <v>4708</v>
      </c>
      <c r="J811" s="17">
        <f t="shared" si="6"/>
        <v>26279</v>
      </c>
      <c r="K811" s="10">
        <f t="shared" ca="1" si="7"/>
        <v>53</v>
      </c>
      <c r="L811" s="6"/>
      <c r="M811" s="6"/>
      <c r="N811" s="6"/>
      <c r="O811" s="6"/>
      <c r="P811" s="6"/>
      <c r="Q811" s="6"/>
      <c r="R811" s="6"/>
      <c r="S811" s="6"/>
      <c r="T811" s="6"/>
      <c r="U811" s="6"/>
      <c r="V811" s="6"/>
      <c r="W811" s="6"/>
      <c r="X811" s="6"/>
      <c r="Y811" s="6"/>
      <c r="Z811" s="6"/>
    </row>
    <row r="812" spans="1:26" ht="15.75" customHeight="1" x14ac:dyDescent="0.3">
      <c r="A812" s="10" t="s">
        <v>3058</v>
      </c>
      <c r="B812" s="10">
        <v>1983</v>
      </c>
      <c r="C812" s="10" t="s">
        <v>4710</v>
      </c>
      <c r="D812" s="10">
        <v>12</v>
      </c>
      <c r="E812" s="10">
        <v>2</v>
      </c>
      <c r="F812" s="24">
        <v>6710.19</v>
      </c>
      <c r="G812" s="10" t="s">
        <v>4696</v>
      </c>
      <c r="H812" s="10" t="s">
        <v>4696</v>
      </c>
      <c r="I812" s="10" t="s">
        <v>4712</v>
      </c>
      <c r="J812" s="17">
        <f t="shared" si="6"/>
        <v>30479</v>
      </c>
      <c r="K812" s="10">
        <f t="shared" ca="1" si="7"/>
        <v>42</v>
      </c>
      <c r="L812" s="6"/>
      <c r="M812" s="6"/>
      <c r="N812" s="6"/>
      <c r="O812" s="6"/>
      <c r="P812" s="6"/>
      <c r="Q812" s="6"/>
      <c r="R812" s="6"/>
      <c r="S812" s="6"/>
      <c r="T812" s="6"/>
      <c r="U812" s="6"/>
      <c r="V812" s="6"/>
      <c r="W812" s="6"/>
      <c r="X812" s="6"/>
      <c r="Y812" s="6"/>
      <c r="Z812" s="6"/>
    </row>
    <row r="813" spans="1:26" ht="15.75" customHeight="1" x14ac:dyDescent="0.3">
      <c r="A813" s="10" t="s">
        <v>3056</v>
      </c>
      <c r="B813" s="10">
        <v>1994</v>
      </c>
      <c r="C813" s="10" t="s">
        <v>4710</v>
      </c>
      <c r="D813" s="10">
        <v>13</v>
      </c>
      <c r="E813" s="10">
        <v>0</v>
      </c>
      <c r="F813" s="24">
        <v>6721.37</v>
      </c>
      <c r="G813" s="10" t="s">
        <v>4695</v>
      </c>
      <c r="H813" s="10" t="s">
        <v>4694</v>
      </c>
      <c r="I813" s="10" t="s">
        <v>4712</v>
      </c>
      <c r="J813" s="17">
        <f t="shared" si="6"/>
        <v>34498</v>
      </c>
      <c r="K813" s="10">
        <f t="shared" ca="1" si="7"/>
        <v>31</v>
      </c>
      <c r="L813" s="6"/>
      <c r="M813" s="6"/>
      <c r="N813" s="6"/>
      <c r="O813" s="6"/>
      <c r="P813" s="6"/>
      <c r="Q813" s="6"/>
      <c r="R813" s="6"/>
      <c r="S813" s="6"/>
      <c r="T813" s="6"/>
      <c r="U813" s="6"/>
      <c r="V813" s="6"/>
      <c r="W813" s="6"/>
      <c r="X813" s="6"/>
      <c r="Y813" s="6"/>
      <c r="Z813" s="6"/>
    </row>
    <row r="814" spans="1:26" ht="15.75" customHeight="1" x14ac:dyDescent="0.3">
      <c r="A814" s="10" t="s">
        <v>3054</v>
      </c>
      <c r="B814" s="10">
        <v>1978</v>
      </c>
      <c r="C814" s="10" t="s">
        <v>4715</v>
      </c>
      <c r="D814" s="10">
        <v>21</v>
      </c>
      <c r="E814" s="10">
        <v>2</v>
      </c>
      <c r="F814" s="24">
        <v>6737.98</v>
      </c>
      <c r="G814" s="10" t="s">
        <v>4695</v>
      </c>
      <c r="H814" s="10" t="s">
        <v>4696</v>
      </c>
      <c r="I814" s="10" t="s">
        <v>4708</v>
      </c>
      <c r="J814" s="17">
        <f t="shared" si="6"/>
        <v>28784</v>
      </c>
      <c r="K814" s="10">
        <f t="shared" ca="1" si="7"/>
        <v>47</v>
      </c>
      <c r="L814" s="6"/>
      <c r="M814" s="6"/>
      <c r="N814" s="6"/>
      <c r="O814" s="6"/>
      <c r="P814" s="6"/>
      <c r="Q814" s="6"/>
      <c r="R814" s="6"/>
      <c r="S814" s="6"/>
      <c r="T814" s="6"/>
      <c r="U814" s="6"/>
      <c r="V814" s="6"/>
      <c r="W814" s="6"/>
      <c r="X814" s="6"/>
      <c r="Y814" s="6"/>
      <c r="Z814" s="6"/>
    </row>
    <row r="815" spans="1:26" ht="15.75" customHeight="1" x14ac:dyDescent="0.3">
      <c r="A815" s="10" t="s">
        <v>3052</v>
      </c>
      <c r="B815" s="10">
        <v>1968</v>
      </c>
      <c r="C815" s="10" t="s">
        <v>4707</v>
      </c>
      <c r="D815" s="10">
        <v>18</v>
      </c>
      <c r="E815" s="10">
        <v>0</v>
      </c>
      <c r="F815" s="24">
        <v>6738.84</v>
      </c>
      <c r="G815" s="10" t="s">
        <v>4696</v>
      </c>
      <c r="H815" s="10" t="s">
        <v>4694</v>
      </c>
      <c r="I815" s="10" t="s">
        <v>4712</v>
      </c>
      <c r="J815" s="17">
        <f t="shared" si="6"/>
        <v>25037</v>
      </c>
      <c r="K815" s="10">
        <f t="shared" ca="1" si="7"/>
        <v>57</v>
      </c>
      <c r="L815" s="6"/>
      <c r="M815" s="6"/>
      <c r="N815" s="6"/>
      <c r="O815" s="6"/>
      <c r="P815" s="6"/>
      <c r="Q815" s="6"/>
      <c r="R815" s="6"/>
      <c r="S815" s="6"/>
      <c r="T815" s="6"/>
      <c r="U815" s="6"/>
      <c r="V815" s="6"/>
      <c r="W815" s="6"/>
      <c r="X815" s="6"/>
      <c r="Y815" s="6"/>
      <c r="Z815" s="6"/>
    </row>
    <row r="816" spans="1:26" ht="15.75" customHeight="1" x14ac:dyDescent="0.3">
      <c r="A816" s="10" t="s">
        <v>3050</v>
      </c>
      <c r="B816" s="10">
        <v>1986</v>
      </c>
      <c r="C816" s="10" t="s">
        <v>4714</v>
      </c>
      <c r="D816" s="10">
        <v>7</v>
      </c>
      <c r="E816" s="10">
        <v>3</v>
      </c>
      <c r="F816" s="24">
        <v>6746.74</v>
      </c>
      <c r="G816" s="10" t="s">
        <v>4696</v>
      </c>
      <c r="H816" s="10" t="s">
        <v>4695</v>
      </c>
      <c r="I816" s="10" t="s">
        <v>4720</v>
      </c>
      <c r="J816" s="17">
        <f t="shared" si="6"/>
        <v>31631</v>
      </c>
      <c r="K816" s="10">
        <f t="shared" ca="1" si="7"/>
        <v>39</v>
      </c>
      <c r="L816" s="6"/>
      <c r="M816" s="6"/>
      <c r="N816" s="6"/>
      <c r="O816" s="6"/>
      <c r="P816" s="6"/>
      <c r="Q816" s="6"/>
      <c r="R816" s="6"/>
      <c r="S816" s="6"/>
      <c r="T816" s="6"/>
      <c r="U816" s="6"/>
      <c r="V816" s="6"/>
      <c r="W816" s="6"/>
      <c r="X816" s="6"/>
      <c r="Y816" s="6"/>
      <c r="Z816" s="6"/>
    </row>
    <row r="817" spans="1:26" ht="15.75" customHeight="1" x14ac:dyDescent="0.3">
      <c r="A817" s="10" t="s">
        <v>3048</v>
      </c>
      <c r="B817" s="10">
        <v>1986</v>
      </c>
      <c r="C817" s="10" t="s">
        <v>4710</v>
      </c>
      <c r="D817" s="10">
        <v>5</v>
      </c>
      <c r="E817" s="10">
        <v>3</v>
      </c>
      <c r="F817" s="24">
        <v>6748.59</v>
      </c>
      <c r="G817" s="10" t="s">
        <v>4696</v>
      </c>
      <c r="H817" s="10" t="s">
        <v>4694</v>
      </c>
      <c r="I817" s="10" t="s">
        <v>4720</v>
      </c>
      <c r="J817" s="17">
        <f t="shared" si="6"/>
        <v>31568</v>
      </c>
      <c r="K817" s="10">
        <f t="shared" ca="1" si="7"/>
        <v>39</v>
      </c>
      <c r="L817" s="6"/>
      <c r="M817" s="6"/>
      <c r="N817" s="6"/>
      <c r="O817" s="6"/>
      <c r="P817" s="6"/>
      <c r="Q817" s="6"/>
      <c r="R817" s="6"/>
      <c r="S817" s="6"/>
      <c r="T817" s="6"/>
      <c r="U817" s="6"/>
      <c r="V817" s="6"/>
      <c r="W817" s="6"/>
      <c r="X817" s="6"/>
      <c r="Y817" s="6"/>
      <c r="Z817" s="6"/>
    </row>
    <row r="818" spans="1:26" ht="15.75" customHeight="1" x14ac:dyDescent="0.3">
      <c r="A818" s="10" t="s">
        <v>3046</v>
      </c>
      <c r="B818" s="10">
        <v>1970</v>
      </c>
      <c r="C818" s="10" t="s">
        <v>4710</v>
      </c>
      <c r="D818" s="10">
        <v>17</v>
      </c>
      <c r="E818" s="10">
        <v>0</v>
      </c>
      <c r="F818" s="24">
        <v>6749.63</v>
      </c>
      <c r="G818" s="10" t="s">
        <v>4695</v>
      </c>
      <c r="H818" s="10" t="s">
        <v>4694</v>
      </c>
      <c r="I818" s="10" t="s">
        <v>4708</v>
      </c>
      <c r="J818" s="17">
        <f t="shared" si="6"/>
        <v>25736</v>
      </c>
      <c r="K818" s="10">
        <f t="shared" ca="1" si="7"/>
        <v>55</v>
      </c>
      <c r="L818" s="6"/>
      <c r="M818" s="6"/>
      <c r="N818" s="6"/>
      <c r="O818" s="6"/>
      <c r="P818" s="6"/>
      <c r="Q818" s="6"/>
      <c r="R818" s="6"/>
      <c r="S818" s="6"/>
      <c r="T818" s="6"/>
      <c r="U818" s="6"/>
      <c r="V818" s="6"/>
      <c r="W818" s="6"/>
      <c r="X818" s="6"/>
      <c r="Y818" s="6"/>
      <c r="Z818" s="6"/>
    </row>
    <row r="819" spans="1:26" ht="15.75" customHeight="1" x14ac:dyDescent="0.3">
      <c r="A819" s="10" t="s">
        <v>3044</v>
      </c>
      <c r="B819" s="10">
        <v>1966</v>
      </c>
      <c r="C819" s="10" t="s">
        <v>4713</v>
      </c>
      <c r="D819" s="10">
        <v>9</v>
      </c>
      <c r="E819" s="10">
        <v>0</v>
      </c>
      <c r="F819" s="24">
        <v>6750.27</v>
      </c>
      <c r="G819" s="10" t="s">
        <v>4696</v>
      </c>
      <c r="H819" s="10" t="s">
        <v>4695</v>
      </c>
      <c r="I819" s="10" t="s">
        <v>4708</v>
      </c>
      <c r="J819" s="17">
        <f t="shared" si="6"/>
        <v>24450</v>
      </c>
      <c r="K819" s="10">
        <f t="shared" ca="1" si="7"/>
        <v>58</v>
      </c>
      <c r="L819" s="6"/>
      <c r="M819" s="6"/>
      <c r="N819" s="6"/>
      <c r="O819" s="6"/>
      <c r="P819" s="6"/>
      <c r="Q819" s="6"/>
      <c r="R819" s="6"/>
      <c r="S819" s="6"/>
      <c r="T819" s="6"/>
      <c r="U819" s="6"/>
      <c r="V819" s="6"/>
      <c r="W819" s="6"/>
      <c r="X819" s="6"/>
      <c r="Y819" s="6"/>
      <c r="Z819" s="6"/>
    </row>
    <row r="820" spans="1:26" ht="15.75" customHeight="1" x14ac:dyDescent="0.3">
      <c r="A820" s="10" t="s">
        <v>3042</v>
      </c>
      <c r="B820" s="10">
        <v>1988</v>
      </c>
      <c r="C820" s="10" t="s">
        <v>4715</v>
      </c>
      <c r="D820" s="10">
        <v>10</v>
      </c>
      <c r="E820" s="10">
        <v>3</v>
      </c>
      <c r="F820" s="24">
        <v>6753.04</v>
      </c>
      <c r="G820" s="10" t="s">
        <v>4695</v>
      </c>
      <c r="H820" s="10" t="s">
        <v>4695</v>
      </c>
      <c r="I820" s="10" t="s">
        <v>4723</v>
      </c>
      <c r="J820" s="17">
        <f t="shared" si="6"/>
        <v>32426</v>
      </c>
      <c r="K820" s="10">
        <f t="shared" ca="1" si="7"/>
        <v>37</v>
      </c>
      <c r="L820" s="6"/>
      <c r="M820" s="6"/>
      <c r="N820" s="6"/>
      <c r="O820" s="6"/>
      <c r="P820" s="6"/>
      <c r="Q820" s="6"/>
      <c r="R820" s="6"/>
      <c r="S820" s="6"/>
      <c r="T820" s="6"/>
      <c r="U820" s="6"/>
      <c r="V820" s="6"/>
      <c r="W820" s="6"/>
      <c r="X820" s="6"/>
      <c r="Y820" s="6"/>
      <c r="Z820" s="6"/>
    </row>
    <row r="821" spans="1:26" ht="15.75" customHeight="1" x14ac:dyDescent="0.3">
      <c r="A821" s="10" t="s">
        <v>3040</v>
      </c>
      <c r="B821" s="10">
        <v>1981</v>
      </c>
      <c r="C821" s="10" t="s">
        <v>4711</v>
      </c>
      <c r="D821" s="10">
        <v>21</v>
      </c>
      <c r="E821" s="10">
        <v>1</v>
      </c>
      <c r="F821" s="24">
        <v>6770.19</v>
      </c>
      <c r="G821" s="10" t="s">
        <v>4695</v>
      </c>
      <c r="H821" s="10" t="s">
        <v>4696</v>
      </c>
      <c r="I821" s="10" t="s">
        <v>4708</v>
      </c>
      <c r="J821" s="17">
        <f t="shared" si="6"/>
        <v>29850</v>
      </c>
      <c r="K821" s="10">
        <f t="shared" ca="1" si="7"/>
        <v>44</v>
      </c>
      <c r="L821" s="6"/>
      <c r="M821" s="6"/>
      <c r="N821" s="6"/>
      <c r="O821" s="6"/>
      <c r="P821" s="6"/>
      <c r="Q821" s="6"/>
      <c r="R821" s="6"/>
      <c r="S821" s="6"/>
      <c r="T821" s="6"/>
      <c r="U821" s="6"/>
      <c r="V821" s="6"/>
      <c r="W821" s="6"/>
      <c r="X821" s="6"/>
      <c r="Y821" s="6"/>
      <c r="Z821" s="6"/>
    </row>
    <row r="822" spans="1:26" ht="15.75" customHeight="1" x14ac:dyDescent="0.3">
      <c r="A822" s="10" t="s">
        <v>3038</v>
      </c>
      <c r="B822" s="10">
        <v>1981</v>
      </c>
      <c r="C822" s="10" t="s">
        <v>4711</v>
      </c>
      <c r="D822" s="10">
        <v>3</v>
      </c>
      <c r="E822" s="10">
        <v>1</v>
      </c>
      <c r="F822" s="24">
        <v>6775.96</v>
      </c>
      <c r="G822" s="10" t="s">
        <v>4695</v>
      </c>
      <c r="H822" s="10" t="s">
        <v>4696</v>
      </c>
      <c r="I822" s="10" t="s">
        <v>4716</v>
      </c>
      <c r="J822" s="17">
        <f t="shared" si="6"/>
        <v>29832</v>
      </c>
      <c r="K822" s="10">
        <f t="shared" ca="1" si="7"/>
        <v>44</v>
      </c>
      <c r="L822" s="6"/>
      <c r="M822" s="6"/>
      <c r="N822" s="6"/>
      <c r="O822" s="6"/>
      <c r="P822" s="6"/>
      <c r="Q822" s="6"/>
      <c r="R822" s="6"/>
      <c r="S822" s="6"/>
      <c r="T822" s="6"/>
      <c r="U822" s="6"/>
      <c r="V822" s="6"/>
      <c r="W822" s="6"/>
      <c r="X822" s="6"/>
      <c r="Y822" s="6"/>
      <c r="Z822" s="6"/>
    </row>
    <row r="823" spans="1:26" ht="15.75" customHeight="1" x14ac:dyDescent="0.3">
      <c r="A823" s="10" t="s">
        <v>3036</v>
      </c>
      <c r="B823" s="10">
        <v>1981</v>
      </c>
      <c r="C823" s="10" t="s">
        <v>4715</v>
      </c>
      <c r="D823" s="10">
        <v>8</v>
      </c>
      <c r="E823" s="10">
        <v>1</v>
      </c>
      <c r="F823" s="24">
        <v>6781.35</v>
      </c>
      <c r="G823" s="10" t="s">
        <v>4695</v>
      </c>
      <c r="H823" s="10" t="s">
        <v>4694</v>
      </c>
      <c r="I823" s="10" t="s">
        <v>4708</v>
      </c>
      <c r="J823" s="17">
        <f t="shared" si="6"/>
        <v>29867</v>
      </c>
      <c r="K823" s="10">
        <f t="shared" ca="1" si="7"/>
        <v>44</v>
      </c>
      <c r="L823" s="6"/>
      <c r="M823" s="6"/>
      <c r="N823" s="6"/>
      <c r="O823" s="6"/>
      <c r="P823" s="6"/>
      <c r="Q823" s="6"/>
      <c r="R823" s="6"/>
      <c r="S823" s="6"/>
      <c r="T823" s="6"/>
      <c r="U823" s="6"/>
      <c r="V823" s="6"/>
      <c r="W823" s="6"/>
      <c r="X823" s="6"/>
      <c r="Y823" s="6"/>
      <c r="Z823" s="6"/>
    </row>
    <row r="824" spans="1:26" ht="15.75" customHeight="1" x14ac:dyDescent="0.3">
      <c r="A824" s="10" t="s">
        <v>3034</v>
      </c>
      <c r="B824" s="10">
        <v>1980</v>
      </c>
      <c r="C824" s="10" t="s">
        <v>4709</v>
      </c>
      <c r="D824" s="10">
        <v>23</v>
      </c>
      <c r="E824" s="10">
        <v>2</v>
      </c>
      <c r="F824" s="24">
        <v>6781.52</v>
      </c>
      <c r="G824" s="10" t="s">
        <v>4695</v>
      </c>
      <c r="H824" s="10" t="s">
        <v>4695</v>
      </c>
      <c r="I824" s="10" t="s">
        <v>4708</v>
      </c>
      <c r="J824" s="17">
        <f t="shared" si="6"/>
        <v>29548</v>
      </c>
      <c r="K824" s="10">
        <f t="shared" ca="1" si="7"/>
        <v>45</v>
      </c>
      <c r="L824" s="6"/>
      <c r="M824" s="6"/>
      <c r="N824" s="6"/>
      <c r="O824" s="6"/>
      <c r="P824" s="6"/>
      <c r="Q824" s="6"/>
      <c r="R824" s="6"/>
      <c r="S824" s="6"/>
      <c r="T824" s="6"/>
      <c r="U824" s="6"/>
      <c r="V824" s="6"/>
      <c r="W824" s="6"/>
      <c r="X824" s="6"/>
      <c r="Y824" s="6"/>
      <c r="Z824" s="6"/>
    </row>
    <row r="825" spans="1:26" ht="15.75" customHeight="1" x14ac:dyDescent="0.3">
      <c r="A825" s="10" t="s">
        <v>3032</v>
      </c>
      <c r="B825" s="10">
        <v>1985</v>
      </c>
      <c r="C825" s="10" t="s">
        <v>4713</v>
      </c>
      <c r="D825" s="10">
        <v>24</v>
      </c>
      <c r="E825" s="10">
        <v>3</v>
      </c>
      <c r="F825" s="24">
        <v>6796.86</v>
      </c>
      <c r="G825" s="10" t="s">
        <v>4696</v>
      </c>
      <c r="H825" s="10" t="s">
        <v>4696</v>
      </c>
      <c r="I825" s="10" t="s">
        <v>4712</v>
      </c>
      <c r="J825" s="17">
        <f t="shared" si="6"/>
        <v>31405</v>
      </c>
      <c r="K825" s="10">
        <f t="shared" ca="1" si="7"/>
        <v>39</v>
      </c>
      <c r="L825" s="6"/>
      <c r="M825" s="6"/>
      <c r="N825" s="6"/>
      <c r="O825" s="6"/>
      <c r="P825" s="6"/>
      <c r="Q825" s="6"/>
      <c r="R825" s="6"/>
      <c r="S825" s="6"/>
      <c r="T825" s="6"/>
      <c r="U825" s="6"/>
      <c r="V825" s="6"/>
      <c r="W825" s="6"/>
      <c r="X825" s="6"/>
      <c r="Y825" s="6"/>
      <c r="Z825" s="6"/>
    </row>
    <row r="826" spans="1:26" ht="15.75" customHeight="1" x14ac:dyDescent="0.3">
      <c r="A826" s="10" t="s">
        <v>3030</v>
      </c>
      <c r="B826" s="10">
        <v>1991</v>
      </c>
      <c r="C826" s="10" t="s">
        <v>4710</v>
      </c>
      <c r="D826" s="10">
        <v>29</v>
      </c>
      <c r="E826" s="10">
        <v>5</v>
      </c>
      <c r="F826" s="24">
        <v>6799.46</v>
      </c>
      <c r="G826" s="10" t="s">
        <v>4694</v>
      </c>
      <c r="H826" s="10" t="s">
        <v>4695</v>
      </c>
      <c r="I826" s="10" t="s">
        <v>4725</v>
      </c>
      <c r="J826" s="17">
        <f t="shared" si="6"/>
        <v>33418</v>
      </c>
      <c r="K826" s="10">
        <f t="shared" ca="1" si="7"/>
        <v>34</v>
      </c>
      <c r="L826" s="6"/>
      <c r="M826" s="6"/>
      <c r="N826" s="6"/>
      <c r="O826" s="6"/>
      <c r="P826" s="6"/>
      <c r="Q826" s="6"/>
      <c r="R826" s="6"/>
      <c r="S826" s="6"/>
      <c r="T826" s="6"/>
      <c r="U826" s="6"/>
      <c r="V826" s="6"/>
      <c r="W826" s="6"/>
      <c r="X826" s="6"/>
      <c r="Y826" s="6"/>
      <c r="Z826" s="6"/>
    </row>
    <row r="827" spans="1:26" ht="15.75" customHeight="1" x14ac:dyDescent="0.3">
      <c r="A827" s="10" t="s">
        <v>3028</v>
      </c>
      <c r="B827" s="10">
        <v>1975</v>
      </c>
      <c r="C827" s="10" t="s">
        <v>4714</v>
      </c>
      <c r="D827" s="10">
        <v>17</v>
      </c>
      <c r="E827" s="10">
        <v>1</v>
      </c>
      <c r="F827" s="24">
        <v>6809.46</v>
      </c>
      <c r="G827" s="10" t="s">
        <v>4695</v>
      </c>
      <c r="H827" s="10" t="s">
        <v>4694</v>
      </c>
      <c r="I827" s="10" t="s">
        <v>4712</v>
      </c>
      <c r="J827" s="17">
        <f t="shared" si="6"/>
        <v>27623</v>
      </c>
      <c r="K827" s="10">
        <f t="shared" ca="1" si="7"/>
        <v>50</v>
      </c>
      <c r="L827" s="6"/>
      <c r="M827" s="6"/>
      <c r="N827" s="6"/>
      <c r="O827" s="6"/>
      <c r="P827" s="6"/>
      <c r="Q827" s="6"/>
      <c r="R827" s="6"/>
      <c r="S827" s="6"/>
      <c r="T827" s="6"/>
      <c r="U827" s="6"/>
      <c r="V827" s="6"/>
      <c r="W827" s="6"/>
      <c r="X827" s="6"/>
      <c r="Y827" s="6"/>
      <c r="Z827" s="6"/>
    </row>
    <row r="828" spans="1:26" ht="15.75" customHeight="1" x14ac:dyDescent="0.3">
      <c r="A828" s="10" t="s">
        <v>3026</v>
      </c>
      <c r="B828" s="10">
        <v>1994</v>
      </c>
      <c r="C828" s="10" t="s">
        <v>4707</v>
      </c>
      <c r="D828" s="10">
        <v>8</v>
      </c>
      <c r="E828" s="10">
        <v>0</v>
      </c>
      <c r="F828" s="24">
        <v>6827.69</v>
      </c>
      <c r="G828" s="10" t="s">
        <v>4695</v>
      </c>
      <c r="H828" s="10" t="s">
        <v>4695</v>
      </c>
      <c r="I828" s="10" t="s">
        <v>4726</v>
      </c>
      <c r="J828" s="17">
        <f t="shared" si="6"/>
        <v>34523</v>
      </c>
      <c r="K828" s="10">
        <f t="shared" ca="1" si="7"/>
        <v>31</v>
      </c>
      <c r="L828" s="6"/>
      <c r="M828" s="6"/>
      <c r="N828" s="6"/>
      <c r="O828" s="6"/>
      <c r="P828" s="6"/>
      <c r="Q828" s="6"/>
      <c r="R828" s="6"/>
      <c r="S828" s="6"/>
      <c r="T828" s="6"/>
      <c r="U828" s="6"/>
      <c r="V828" s="6"/>
      <c r="W828" s="6"/>
      <c r="X828" s="6"/>
      <c r="Y828" s="6"/>
      <c r="Z828" s="6"/>
    </row>
    <row r="829" spans="1:26" ht="15.75" customHeight="1" x14ac:dyDescent="0.3">
      <c r="A829" s="10" t="s">
        <v>3024</v>
      </c>
      <c r="B829" s="10">
        <v>1979</v>
      </c>
      <c r="C829" s="10" t="s">
        <v>4707</v>
      </c>
      <c r="D829" s="10">
        <v>15</v>
      </c>
      <c r="E829" s="10">
        <v>0</v>
      </c>
      <c r="F829" s="24">
        <v>6837.37</v>
      </c>
      <c r="G829" s="10" t="s">
        <v>4696</v>
      </c>
      <c r="H829" s="10" t="s">
        <v>4694</v>
      </c>
      <c r="I829" s="10" t="s">
        <v>4720</v>
      </c>
      <c r="J829" s="17">
        <f t="shared" si="6"/>
        <v>29051</v>
      </c>
      <c r="K829" s="10">
        <f t="shared" ca="1" si="7"/>
        <v>46</v>
      </c>
      <c r="L829" s="6"/>
      <c r="M829" s="6"/>
      <c r="N829" s="6"/>
      <c r="O829" s="6"/>
      <c r="P829" s="6"/>
      <c r="Q829" s="6"/>
      <c r="R829" s="6"/>
      <c r="S829" s="6"/>
      <c r="T829" s="6"/>
      <c r="U829" s="6"/>
      <c r="V829" s="6"/>
      <c r="W829" s="6"/>
      <c r="X829" s="6"/>
      <c r="Y829" s="6"/>
      <c r="Z829" s="6"/>
    </row>
    <row r="830" spans="1:26" ht="15.75" customHeight="1" x14ac:dyDescent="0.3">
      <c r="A830" s="10" t="s">
        <v>3022</v>
      </c>
      <c r="B830" s="10">
        <v>2000</v>
      </c>
      <c r="C830" s="10" t="s">
        <v>4709</v>
      </c>
      <c r="D830" s="10">
        <v>30</v>
      </c>
      <c r="E830" s="10">
        <v>0</v>
      </c>
      <c r="F830" s="24">
        <v>6842.28</v>
      </c>
      <c r="G830" s="10" t="s">
        <v>4695</v>
      </c>
      <c r="H830" s="10" t="s">
        <v>4694</v>
      </c>
      <c r="I830" s="10" t="s">
        <v>4712</v>
      </c>
      <c r="J830" s="17">
        <f t="shared" si="6"/>
        <v>36860</v>
      </c>
      <c r="K830" s="10">
        <f t="shared" ca="1" si="7"/>
        <v>24</v>
      </c>
      <c r="L830" s="6"/>
      <c r="M830" s="6"/>
      <c r="N830" s="6"/>
      <c r="O830" s="6"/>
      <c r="P830" s="6"/>
      <c r="Q830" s="6"/>
      <c r="R830" s="6"/>
      <c r="S830" s="6"/>
      <c r="T830" s="6"/>
      <c r="U830" s="6"/>
      <c r="V830" s="6"/>
      <c r="W830" s="6"/>
      <c r="X830" s="6"/>
      <c r="Y830" s="6"/>
      <c r="Z830" s="6"/>
    </row>
    <row r="831" spans="1:26" ht="15.75" customHeight="1" x14ac:dyDescent="0.3">
      <c r="A831" s="10" t="s">
        <v>3020</v>
      </c>
      <c r="B831" s="10">
        <v>1977</v>
      </c>
      <c r="C831" s="10" t="s">
        <v>4710</v>
      </c>
      <c r="D831" s="10">
        <v>15</v>
      </c>
      <c r="E831" s="10">
        <v>2</v>
      </c>
      <c r="F831" s="24">
        <v>6843.17</v>
      </c>
      <c r="G831" s="10" t="s">
        <v>4695</v>
      </c>
      <c r="H831" s="10" t="s">
        <v>4694</v>
      </c>
      <c r="I831" s="10" t="s">
        <v>4708</v>
      </c>
      <c r="J831" s="17">
        <f t="shared" si="6"/>
        <v>28291</v>
      </c>
      <c r="K831" s="10">
        <f t="shared" ca="1" si="7"/>
        <v>48</v>
      </c>
      <c r="L831" s="6"/>
      <c r="M831" s="6"/>
      <c r="N831" s="6"/>
      <c r="O831" s="6"/>
      <c r="P831" s="6"/>
      <c r="Q831" s="6"/>
      <c r="R831" s="6"/>
      <c r="S831" s="6"/>
      <c r="T831" s="6"/>
      <c r="U831" s="6"/>
      <c r="V831" s="6"/>
      <c r="W831" s="6"/>
      <c r="X831" s="6"/>
      <c r="Y831" s="6"/>
      <c r="Z831" s="6"/>
    </row>
    <row r="832" spans="1:26" ht="15.75" customHeight="1" x14ac:dyDescent="0.3">
      <c r="A832" s="10" t="s">
        <v>3018</v>
      </c>
      <c r="B832" s="10">
        <v>1979</v>
      </c>
      <c r="C832" s="10" t="s">
        <v>4709</v>
      </c>
      <c r="D832" s="10">
        <v>4</v>
      </c>
      <c r="E832" s="10">
        <v>1</v>
      </c>
      <c r="F832" s="24">
        <v>6849.03</v>
      </c>
      <c r="G832" s="10" t="s">
        <v>4695</v>
      </c>
      <c r="H832" s="10" t="s">
        <v>4695</v>
      </c>
      <c r="I832" s="10" t="s">
        <v>4716</v>
      </c>
      <c r="J832" s="17">
        <f t="shared" si="6"/>
        <v>29163</v>
      </c>
      <c r="K832" s="10">
        <f t="shared" ca="1" si="7"/>
        <v>46</v>
      </c>
      <c r="L832" s="6"/>
      <c r="M832" s="6"/>
      <c r="N832" s="6"/>
      <c r="O832" s="6"/>
      <c r="P832" s="6"/>
      <c r="Q832" s="6"/>
      <c r="R832" s="6"/>
      <c r="S832" s="6"/>
      <c r="T832" s="6"/>
      <c r="U832" s="6"/>
      <c r="V832" s="6"/>
      <c r="W832" s="6"/>
      <c r="X832" s="6"/>
      <c r="Y832" s="6"/>
      <c r="Z832" s="6"/>
    </row>
    <row r="833" spans="1:26" ht="15.75" customHeight="1" x14ac:dyDescent="0.3">
      <c r="A833" s="10" t="s">
        <v>3016</v>
      </c>
      <c r="B833" s="10">
        <v>1981</v>
      </c>
      <c r="C833" s="10" t="s">
        <v>4710</v>
      </c>
      <c r="D833" s="10">
        <v>19</v>
      </c>
      <c r="E833" s="10">
        <v>1</v>
      </c>
      <c r="F833" s="24">
        <v>6858.48</v>
      </c>
      <c r="G833" s="10" t="s">
        <v>4695</v>
      </c>
      <c r="H833" s="10" t="s">
        <v>4695</v>
      </c>
      <c r="I833" s="10" t="s">
        <v>4719</v>
      </c>
      <c r="J833" s="17">
        <f t="shared" si="6"/>
        <v>29756</v>
      </c>
      <c r="K833" s="10">
        <f t="shared" ca="1" si="7"/>
        <v>44</v>
      </c>
      <c r="L833" s="6"/>
      <c r="M833" s="6"/>
      <c r="N833" s="6"/>
      <c r="O833" s="6"/>
      <c r="P833" s="6"/>
      <c r="Q833" s="6"/>
      <c r="R833" s="6"/>
      <c r="S833" s="6"/>
      <c r="T833" s="6"/>
      <c r="U833" s="6"/>
      <c r="V833" s="6"/>
      <c r="W833" s="6"/>
      <c r="X833" s="6"/>
      <c r="Y833" s="6"/>
      <c r="Z833" s="6"/>
    </row>
    <row r="834" spans="1:26" ht="15.75" customHeight="1" x14ac:dyDescent="0.3">
      <c r="A834" s="10" t="s">
        <v>3014</v>
      </c>
      <c r="B834" s="10">
        <v>1978</v>
      </c>
      <c r="C834" s="10" t="s">
        <v>4714</v>
      </c>
      <c r="D834" s="10">
        <v>5</v>
      </c>
      <c r="E834" s="10">
        <v>2</v>
      </c>
      <c r="F834" s="24">
        <v>6863.49</v>
      </c>
      <c r="G834" s="10" t="s">
        <v>4695</v>
      </c>
      <c r="H834" s="10" t="s">
        <v>4694</v>
      </c>
      <c r="I834" s="10" t="s">
        <v>4708</v>
      </c>
      <c r="J834" s="17">
        <f t="shared" si="6"/>
        <v>28707</v>
      </c>
      <c r="K834" s="10">
        <f t="shared" ca="1" si="7"/>
        <v>47</v>
      </c>
      <c r="L834" s="6"/>
      <c r="M834" s="6"/>
      <c r="N834" s="6"/>
      <c r="O834" s="6"/>
      <c r="P834" s="6"/>
      <c r="Q834" s="6"/>
      <c r="R834" s="6"/>
      <c r="S834" s="6"/>
      <c r="T834" s="6"/>
      <c r="U834" s="6"/>
      <c r="V834" s="6"/>
      <c r="W834" s="6"/>
      <c r="X834" s="6"/>
      <c r="Y834" s="6"/>
      <c r="Z834" s="6"/>
    </row>
    <row r="835" spans="1:26" ht="15.75" customHeight="1" x14ac:dyDescent="0.3">
      <c r="A835" s="10" t="s">
        <v>3012</v>
      </c>
      <c r="B835" s="10">
        <v>1969</v>
      </c>
      <c r="C835" s="10" t="s">
        <v>4715</v>
      </c>
      <c r="D835" s="10">
        <v>23</v>
      </c>
      <c r="E835" s="10">
        <v>0</v>
      </c>
      <c r="F835" s="24">
        <v>6868.39</v>
      </c>
      <c r="G835" s="10" t="s">
        <v>4695</v>
      </c>
      <c r="H835" s="10" t="s">
        <v>4695</v>
      </c>
      <c r="I835" s="10" t="s">
        <v>4708</v>
      </c>
      <c r="J835" s="17">
        <f t="shared" si="6"/>
        <v>25499</v>
      </c>
      <c r="K835" s="10">
        <f t="shared" ca="1" si="7"/>
        <v>56</v>
      </c>
      <c r="L835" s="6"/>
      <c r="M835" s="6"/>
      <c r="N835" s="6"/>
      <c r="O835" s="6"/>
      <c r="P835" s="6"/>
      <c r="Q835" s="6"/>
      <c r="R835" s="6"/>
      <c r="S835" s="6"/>
      <c r="T835" s="6"/>
      <c r="U835" s="6"/>
      <c r="V835" s="6"/>
      <c r="W835" s="6"/>
      <c r="X835" s="6"/>
      <c r="Y835" s="6"/>
      <c r="Z835" s="6"/>
    </row>
    <row r="836" spans="1:26" ht="15.75" customHeight="1" x14ac:dyDescent="0.3">
      <c r="A836" s="10" t="s">
        <v>3010</v>
      </c>
      <c r="B836" s="10">
        <v>1981</v>
      </c>
      <c r="C836" s="10" t="s">
        <v>4710</v>
      </c>
      <c r="D836" s="10">
        <v>23</v>
      </c>
      <c r="E836" s="10">
        <v>2</v>
      </c>
      <c r="F836" s="24">
        <v>6875.96</v>
      </c>
      <c r="G836" s="10" t="s">
        <v>4695</v>
      </c>
      <c r="H836" s="10" t="s">
        <v>4695</v>
      </c>
      <c r="I836" s="10" t="s">
        <v>4716</v>
      </c>
      <c r="J836" s="17">
        <f t="shared" si="6"/>
        <v>29760</v>
      </c>
      <c r="K836" s="10">
        <f t="shared" ca="1" si="7"/>
        <v>44</v>
      </c>
      <c r="L836" s="6"/>
      <c r="M836" s="6"/>
      <c r="N836" s="6"/>
      <c r="O836" s="6"/>
      <c r="P836" s="6"/>
      <c r="Q836" s="6"/>
      <c r="R836" s="6"/>
      <c r="S836" s="6"/>
      <c r="T836" s="6"/>
      <c r="U836" s="6"/>
      <c r="V836" s="6"/>
      <c r="W836" s="6"/>
      <c r="X836" s="6"/>
      <c r="Y836" s="6"/>
      <c r="Z836" s="6"/>
    </row>
    <row r="837" spans="1:26" ht="15.75" customHeight="1" x14ac:dyDescent="0.3">
      <c r="A837" s="10" t="s">
        <v>3008</v>
      </c>
      <c r="B837" s="10">
        <v>2004</v>
      </c>
      <c r="C837" s="10" t="s">
        <v>4713</v>
      </c>
      <c r="D837" s="10">
        <v>24</v>
      </c>
      <c r="E837" s="10">
        <v>0</v>
      </c>
      <c r="F837" s="24">
        <v>6876.53</v>
      </c>
      <c r="G837" s="10" t="s">
        <v>4695</v>
      </c>
      <c r="H837" s="10" t="s">
        <v>4694</v>
      </c>
      <c r="I837" s="10" t="s">
        <v>4712</v>
      </c>
      <c r="J837" s="17">
        <f t="shared" si="6"/>
        <v>38345</v>
      </c>
      <c r="K837" s="10">
        <f t="shared" ca="1" si="7"/>
        <v>20</v>
      </c>
      <c r="L837" s="6"/>
      <c r="M837" s="6"/>
      <c r="N837" s="6"/>
      <c r="O837" s="6"/>
      <c r="P837" s="6"/>
      <c r="Q837" s="6"/>
      <c r="R837" s="6"/>
      <c r="S837" s="6"/>
      <c r="T837" s="6"/>
      <c r="U837" s="6"/>
      <c r="V837" s="6"/>
      <c r="W837" s="6"/>
      <c r="X837" s="6"/>
      <c r="Y837" s="6"/>
      <c r="Z837" s="6"/>
    </row>
    <row r="838" spans="1:26" ht="15.75" customHeight="1" x14ac:dyDescent="0.3">
      <c r="A838" s="10" t="s">
        <v>3006</v>
      </c>
      <c r="B838" s="10">
        <v>1985</v>
      </c>
      <c r="C838" s="10" t="s">
        <v>4711</v>
      </c>
      <c r="D838" s="10">
        <v>10</v>
      </c>
      <c r="E838" s="10">
        <v>2</v>
      </c>
      <c r="F838" s="24">
        <v>6877.98</v>
      </c>
      <c r="G838" s="10" t="s">
        <v>4695</v>
      </c>
      <c r="H838" s="10" t="s">
        <v>4694</v>
      </c>
      <c r="I838" s="10" t="s">
        <v>4723</v>
      </c>
      <c r="J838" s="17">
        <f t="shared" si="6"/>
        <v>31300</v>
      </c>
      <c r="K838" s="10">
        <f t="shared" ca="1" si="7"/>
        <v>40</v>
      </c>
      <c r="L838" s="6"/>
      <c r="M838" s="6"/>
      <c r="N838" s="6"/>
      <c r="O838" s="6"/>
      <c r="P838" s="6"/>
      <c r="Q838" s="6"/>
      <c r="R838" s="6"/>
      <c r="S838" s="6"/>
      <c r="T838" s="6"/>
      <c r="U838" s="6"/>
      <c r="V838" s="6"/>
      <c r="W838" s="6"/>
      <c r="X838" s="6"/>
      <c r="Y838" s="6"/>
      <c r="Z838" s="6"/>
    </row>
    <row r="839" spans="1:26" ht="15.75" customHeight="1" x14ac:dyDescent="0.3">
      <c r="A839" s="10" t="s">
        <v>3004</v>
      </c>
      <c r="B839" s="10">
        <v>1989</v>
      </c>
      <c r="C839" s="10" t="s">
        <v>4713</v>
      </c>
      <c r="D839" s="10">
        <v>21</v>
      </c>
      <c r="E839" s="10">
        <v>3</v>
      </c>
      <c r="F839" s="24">
        <v>6895.19</v>
      </c>
      <c r="G839" s="10" t="s">
        <v>4695</v>
      </c>
      <c r="H839" s="10" t="s">
        <v>4696</v>
      </c>
      <c r="I839" s="10" t="s">
        <v>4723</v>
      </c>
      <c r="J839" s="17">
        <f t="shared" si="6"/>
        <v>32863</v>
      </c>
      <c r="K839" s="10">
        <f t="shared" ca="1" si="7"/>
        <v>35</v>
      </c>
      <c r="L839" s="6"/>
      <c r="M839" s="6"/>
      <c r="N839" s="6"/>
      <c r="O839" s="6"/>
      <c r="P839" s="6"/>
      <c r="Q839" s="6"/>
      <c r="R839" s="6"/>
      <c r="S839" s="6"/>
      <c r="T839" s="6"/>
      <c r="U839" s="6"/>
      <c r="V839" s="6"/>
      <c r="W839" s="6"/>
      <c r="X839" s="6"/>
      <c r="Y839" s="6"/>
      <c r="Z839" s="6"/>
    </row>
    <row r="840" spans="1:26" ht="15.75" customHeight="1" x14ac:dyDescent="0.3">
      <c r="A840" s="10" t="s">
        <v>3002</v>
      </c>
      <c r="B840" s="10">
        <v>1984</v>
      </c>
      <c r="C840" s="10" t="s">
        <v>4711</v>
      </c>
      <c r="D840" s="10">
        <v>5</v>
      </c>
      <c r="E840" s="10">
        <v>2</v>
      </c>
      <c r="F840" s="24">
        <v>6933.24</v>
      </c>
      <c r="G840" s="10" t="s">
        <v>4695</v>
      </c>
      <c r="H840" s="10" t="s">
        <v>4696</v>
      </c>
      <c r="I840" s="10" t="s">
        <v>4712</v>
      </c>
      <c r="J840" s="17">
        <f t="shared" si="6"/>
        <v>30930</v>
      </c>
      <c r="K840" s="10">
        <f t="shared" ca="1" si="7"/>
        <v>41</v>
      </c>
      <c r="L840" s="6"/>
      <c r="M840" s="6"/>
      <c r="N840" s="6"/>
      <c r="O840" s="6"/>
      <c r="P840" s="6"/>
      <c r="Q840" s="6"/>
      <c r="R840" s="6"/>
      <c r="S840" s="6"/>
      <c r="T840" s="6"/>
      <c r="U840" s="6"/>
      <c r="V840" s="6"/>
      <c r="W840" s="6"/>
      <c r="X840" s="6"/>
      <c r="Y840" s="6"/>
      <c r="Z840" s="6"/>
    </row>
    <row r="841" spans="1:26" ht="15.75" customHeight="1" x14ac:dyDescent="0.3">
      <c r="A841" s="10" t="s">
        <v>3000</v>
      </c>
      <c r="B841" s="10">
        <v>1978</v>
      </c>
      <c r="C841" s="10" t="s">
        <v>4709</v>
      </c>
      <c r="D841" s="10">
        <v>29</v>
      </c>
      <c r="E841" s="10">
        <v>2</v>
      </c>
      <c r="F841" s="24">
        <v>6938.11</v>
      </c>
      <c r="G841" s="10" t="s">
        <v>4695</v>
      </c>
      <c r="H841" s="10" t="s">
        <v>4695</v>
      </c>
      <c r="I841" s="10" t="s">
        <v>4708</v>
      </c>
      <c r="J841" s="17">
        <f t="shared" si="6"/>
        <v>28823</v>
      </c>
      <c r="K841" s="10">
        <f t="shared" ca="1" si="7"/>
        <v>47</v>
      </c>
      <c r="L841" s="6"/>
      <c r="M841" s="6"/>
      <c r="N841" s="6"/>
      <c r="O841" s="6"/>
      <c r="P841" s="6"/>
      <c r="Q841" s="6"/>
      <c r="R841" s="6"/>
      <c r="S841" s="6"/>
      <c r="T841" s="6"/>
      <c r="U841" s="6"/>
      <c r="V841" s="6"/>
      <c r="W841" s="6"/>
      <c r="X841" s="6"/>
      <c r="Y841" s="6"/>
      <c r="Z841" s="6"/>
    </row>
    <row r="842" spans="1:26" ht="15.75" customHeight="1" x14ac:dyDescent="0.3">
      <c r="A842" s="10" t="s">
        <v>2998</v>
      </c>
      <c r="B842" s="10">
        <v>1980</v>
      </c>
      <c r="C842" s="10" t="s">
        <v>4714</v>
      </c>
      <c r="D842" s="10">
        <v>30</v>
      </c>
      <c r="E842" s="10">
        <v>1</v>
      </c>
      <c r="F842" s="24">
        <v>6940.91</v>
      </c>
      <c r="G842" s="10" t="s">
        <v>4695</v>
      </c>
      <c r="H842" s="10" t="s">
        <v>4695</v>
      </c>
      <c r="I842" s="10" t="s">
        <v>4712</v>
      </c>
      <c r="J842" s="17">
        <f t="shared" si="6"/>
        <v>29463</v>
      </c>
      <c r="K842" s="10">
        <f t="shared" ca="1" si="7"/>
        <v>45</v>
      </c>
      <c r="L842" s="6"/>
      <c r="M842" s="6"/>
      <c r="N842" s="6"/>
      <c r="O842" s="6"/>
      <c r="P842" s="6"/>
      <c r="Q842" s="6"/>
      <c r="R842" s="6"/>
      <c r="S842" s="6"/>
      <c r="T842" s="6"/>
      <c r="U842" s="6"/>
      <c r="V842" s="6"/>
      <c r="W842" s="6"/>
      <c r="X842" s="6"/>
      <c r="Y842" s="6"/>
      <c r="Z842" s="6"/>
    </row>
    <row r="843" spans="1:26" ht="15.75" customHeight="1" x14ac:dyDescent="0.3">
      <c r="A843" s="10" t="s">
        <v>2996</v>
      </c>
      <c r="B843" s="10">
        <v>1980</v>
      </c>
      <c r="C843" s="10" t="s">
        <v>4715</v>
      </c>
      <c r="D843" s="10">
        <v>5</v>
      </c>
      <c r="E843" s="10">
        <v>2</v>
      </c>
      <c r="F843" s="24">
        <v>6940.94</v>
      </c>
      <c r="G843" s="10" t="s">
        <v>4695</v>
      </c>
      <c r="H843" s="10" t="s">
        <v>4696</v>
      </c>
      <c r="I843" s="10" t="s">
        <v>4708</v>
      </c>
      <c r="J843" s="17">
        <f t="shared" si="6"/>
        <v>29499</v>
      </c>
      <c r="K843" s="10">
        <f t="shared" ca="1" si="7"/>
        <v>45</v>
      </c>
      <c r="L843" s="6"/>
      <c r="M843" s="6"/>
      <c r="N843" s="6"/>
      <c r="O843" s="6"/>
      <c r="P843" s="6"/>
      <c r="Q843" s="6"/>
      <c r="R843" s="6"/>
      <c r="S843" s="6"/>
      <c r="T843" s="6"/>
      <c r="U843" s="6"/>
      <c r="V843" s="6"/>
      <c r="W843" s="6"/>
      <c r="X843" s="6"/>
      <c r="Y843" s="6"/>
      <c r="Z843" s="6"/>
    </row>
    <row r="844" spans="1:26" ht="15.75" customHeight="1" x14ac:dyDescent="0.3">
      <c r="A844" s="10" t="s">
        <v>2994</v>
      </c>
      <c r="B844" s="10">
        <v>1978</v>
      </c>
      <c r="C844" s="10" t="s">
        <v>4713</v>
      </c>
      <c r="D844" s="10">
        <v>15</v>
      </c>
      <c r="E844" s="10">
        <v>0</v>
      </c>
      <c r="F844" s="24">
        <v>6948.7</v>
      </c>
      <c r="G844" s="10" t="s">
        <v>4694</v>
      </c>
      <c r="H844" s="10" t="s">
        <v>4695</v>
      </c>
      <c r="I844" s="10" t="s">
        <v>4712</v>
      </c>
      <c r="J844" s="17">
        <f t="shared" si="6"/>
        <v>28839</v>
      </c>
      <c r="K844" s="10">
        <f t="shared" ca="1" si="7"/>
        <v>46</v>
      </c>
      <c r="L844" s="6"/>
      <c r="M844" s="6"/>
      <c r="N844" s="6"/>
      <c r="O844" s="6"/>
      <c r="P844" s="6"/>
      <c r="Q844" s="6"/>
      <c r="R844" s="6"/>
      <c r="S844" s="6"/>
      <c r="T844" s="6"/>
      <c r="U844" s="6"/>
      <c r="V844" s="6"/>
      <c r="W844" s="6"/>
      <c r="X844" s="6"/>
      <c r="Y844" s="6"/>
      <c r="Z844" s="6"/>
    </row>
    <row r="845" spans="1:26" ht="15.75" customHeight="1" x14ac:dyDescent="0.3">
      <c r="A845" s="10" t="s">
        <v>2992</v>
      </c>
      <c r="B845" s="10">
        <v>1980</v>
      </c>
      <c r="C845" s="10" t="s">
        <v>4714</v>
      </c>
      <c r="D845" s="10">
        <v>18</v>
      </c>
      <c r="E845" s="10">
        <v>2</v>
      </c>
      <c r="F845" s="24">
        <v>6951.12</v>
      </c>
      <c r="G845" s="10" t="s">
        <v>4695</v>
      </c>
      <c r="H845" s="10" t="s">
        <v>4695</v>
      </c>
      <c r="I845" s="10" t="s">
        <v>4708</v>
      </c>
      <c r="J845" s="17">
        <f t="shared" si="6"/>
        <v>29451</v>
      </c>
      <c r="K845" s="10">
        <f t="shared" ca="1" si="7"/>
        <v>45</v>
      </c>
      <c r="L845" s="6"/>
      <c r="M845" s="6"/>
      <c r="N845" s="6"/>
      <c r="O845" s="6"/>
      <c r="P845" s="6"/>
      <c r="Q845" s="6"/>
      <c r="R845" s="6"/>
      <c r="S845" s="6"/>
      <c r="T845" s="6"/>
      <c r="U845" s="6"/>
      <c r="V845" s="6"/>
      <c r="W845" s="6"/>
      <c r="X845" s="6"/>
      <c r="Y845" s="6"/>
      <c r="Z845" s="6"/>
    </row>
    <row r="846" spans="1:26" ht="15.75" customHeight="1" x14ac:dyDescent="0.3">
      <c r="A846" s="10" t="s">
        <v>2990</v>
      </c>
      <c r="B846" s="10">
        <v>1975</v>
      </c>
      <c r="C846" s="10" t="s">
        <v>4710</v>
      </c>
      <c r="D846" s="10">
        <v>3</v>
      </c>
      <c r="E846" s="10">
        <v>1</v>
      </c>
      <c r="F846" s="24">
        <v>6965.21</v>
      </c>
      <c r="G846" s="10" t="s">
        <v>4695</v>
      </c>
      <c r="H846" s="10" t="s">
        <v>4696</v>
      </c>
      <c r="I846" s="10" t="s">
        <v>4708</v>
      </c>
      <c r="J846" s="17">
        <f t="shared" si="6"/>
        <v>27548</v>
      </c>
      <c r="K846" s="10">
        <f t="shared" ca="1" si="7"/>
        <v>50</v>
      </c>
      <c r="L846" s="6"/>
      <c r="M846" s="6"/>
      <c r="N846" s="6"/>
      <c r="O846" s="6"/>
      <c r="P846" s="6"/>
      <c r="Q846" s="6"/>
      <c r="R846" s="6"/>
      <c r="S846" s="6"/>
      <c r="T846" s="6"/>
      <c r="U846" s="6"/>
      <c r="V846" s="6"/>
      <c r="W846" s="6"/>
      <c r="X846" s="6"/>
      <c r="Y846" s="6"/>
      <c r="Z846" s="6"/>
    </row>
    <row r="847" spans="1:26" ht="15.75" customHeight="1" x14ac:dyDescent="0.3">
      <c r="A847" s="10" t="s">
        <v>2988</v>
      </c>
      <c r="B847" s="10">
        <v>1985</v>
      </c>
      <c r="C847" s="10" t="s">
        <v>4713</v>
      </c>
      <c r="D847" s="10">
        <v>10</v>
      </c>
      <c r="E847" s="10">
        <v>3</v>
      </c>
      <c r="F847" s="24">
        <v>6985.51</v>
      </c>
      <c r="G847" s="10" t="s">
        <v>4695</v>
      </c>
      <c r="H847" s="10" t="s">
        <v>4695</v>
      </c>
      <c r="I847" s="10" t="s">
        <v>4719</v>
      </c>
      <c r="J847" s="17">
        <f t="shared" si="6"/>
        <v>31391</v>
      </c>
      <c r="K847" s="10">
        <f t="shared" ca="1" si="7"/>
        <v>39</v>
      </c>
      <c r="L847" s="6"/>
      <c r="M847" s="6"/>
      <c r="N847" s="6"/>
      <c r="O847" s="6"/>
      <c r="P847" s="6"/>
      <c r="Q847" s="6"/>
      <c r="R847" s="6"/>
      <c r="S847" s="6"/>
      <c r="T847" s="6"/>
      <c r="U847" s="6"/>
      <c r="V847" s="6"/>
      <c r="W847" s="6"/>
      <c r="X847" s="6"/>
      <c r="Y847" s="6"/>
      <c r="Z847" s="6"/>
    </row>
    <row r="848" spans="1:26" ht="15.75" customHeight="1" x14ac:dyDescent="0.3">
      <c r="A848" s="10" t="s">
        <v>2986</v>
      </c>
      <c r="B848" s="10">
        <v>1982</v>
      </c>
      <c r="C848" s="10" t="s">
        <v>4715</v>
      </c>
      <c r="D848" s="10">
        <v>18</v>
      </c>
      <c r="E848" s="10">
        <v>2</v>
      </c>
      <c r="F848" s="24">
        <v>6986.7</v>
      </c>
      <c r="G848" s="10" t="s">
        <v>4696</v>
      </c>
      <c r="H848" s="10" t="s">
        <v>4694</v>
      </c>
      <c r="I848" s="10" t="s">
        <v>4712</v>
      </c>
      <c r="J848" s="17">
        <f t="shared" si="6"/>
        <v>30242</v>
      </c>
      <c r="K848" s="10">
        <f t="shared" ca="1" si="7"/>
        <v>43</v>
      </c>
      <c r="L848" s="6"/>
      <c r="M848" s="6"/>
      <c r="N848" s="6"/>
      <c r="O848" s="6"/>
      <c r="P848" s="6"/>
      <c r="Q848" s="6"/>
      <c r="R848" s="6"/>
      <c r="S848" s="6"/>
      <c r="T848" s="6"/>
      <c r="U848" s="6"/>
      <c r="V848" s="6"/>
      <c r="W848" s="6"/>
      <c r="X848" s="6"/>
      <c r="Y848" s="6"/>
      <c r="Z848" s="6"/>
    </row>
    <row r="849" spans="1:26" ht="15.75" customHeight="1" x14ac:dyDescent="0.3">
      <c r="A849" s="10" t="s">
        <v>2984</v>
      </c>
      <c r="B849" s="10">
        <v>1982</v>
      </c>
      <c r="C849" s="10" t="s">
        <v>4711</v>
      </c>
      <c r="D849" s="10">
        <v>1</v>
      </c>
      <c r="E849" s="10">
        <v>3</v>
      </c>
      <c r="F849" s="24">
        <v>6989.95</v>
      </c>
      <c r="G849" s="10" t="s">
        <v>4695</v>
      </c>
      <c r="H849" s="10" t="s">
        <v>4694</v>
      </c>
      <c r="I849" s="10" t="s">
        <v>4708</v>
      </c>
      <c r="J849" s="17">
        <f t="shared" si="6"/>
        <v>30195</v>
      </c>
      <c r="K849" s="10">
        <f t="shared" ca="1" si="7"/>
        <v>43</v>
      </c>
      <c r="L849" s="6"/>
      <c r="M849" s="6"/>
      <c r="N849" s="6"/>
      <c r="O849" s="6"/>
      <c r="P849" s="6"/>
      <c r="Q849" s="6"/>
      <c r="R849" s="6"/>
      <c r="S849" s="6"/>
      <c r="T849" s="6"/>
      <c r="U849" s="6"/>
      <c r="V849" s="6"/>
      <c r="W849" s="6"/>
      <c r="X849" s="6"/>
      <c r="Y849" s="6"/>
      <c r="Z849" s="6"/>
    </row>
    <row r="850" spans="1:26" ht="15.75" customHeight="1" x14ac:dyDescent="0.3">
      <c r="A850" s="10" t="s">
        <v>2982</v>
      </c>
      <c r="B850" s="10">
        <v>1969</v>
      </c>
      <c r="C850" s="10" t="s">
        <v>4707</v>
      </c>
      <c r="D850" s="10">
        <v>6</v>
      </c>
      <c r="E850" s="10">
        <v>0</v>
      </c>
      <c r="F850" s="24">
        <v>7003.1</v>
      </c>
      <c r="G850" s="10" t="s">
        <v>4695</v>
      </c>
      <c r="H850" s="10" t="s">
        <v>4696</v>
      </c>
      <c r="I850" s="10" t="s">
        <v>4708</v>
      </c>
      <c r="J850" s="17">
        <f t="shared" si="6"/>
        <v>25390</v>
      </c>
      <c r="K850" s="10">
        <f t="shared" ca="1" si="7"/>
        <v>56</v>
      </c>
      <c r="L850" s="6"/>
      <c r="M850" s="6"/>
      <c r="N850" s="6"/>
      <c r="O850" s="6"/>
      <c r="P850" s="6"/>
      <c r="Q850" s="6"/>
      <c r="R850" s="6"/>
      <c r="S850" s="6"/>
      <c r="T850" s="6"/>
      <c r="U850" s="6"/>
      <c r="V850" s="6"/>
      <c r="W850" s="6"/>
      <c r="X850" s="6"/>
      <c r="Y850" s="6"/>
      <c r="Z850" s="6"/>
    </row>
    <row r="851" spans="1:26" ht="15.75" customHeight="1" x14ac:dyDescent="0.3">
      <c r="A851" s="10" t="s">
        <v>2980</v>
      </c>
      <c r="B851" s="10">
        <v>1978</v>
      </c>
      <c r="C851" s="10" t="s">
        <v>4710</v>
      </c>
      <c r="D851" s="10">
        <v>2</v>
      </c>
      <c r="E851" s="10">
        <v>2</v>
      </c>
      <c r="F851" s="24">
        <v>7033.08</v>
      </c>
      <c r="G851" s="10" t="s">
        <v>4695</v>
      </c>
      <c r="H851" s="10" t="s">
        <v>4695</v>
      </c>
      <c r="I851" s="10" t="s">
        <v>4708</v>
      </c>
      <c r="J851" s="17">
        <f t="shared" si="6"/>
        <v>28643</v>
      </c>
      <c r="K851" s="10">
        <f t="shared" ca="1" si="7"/>
        <v>47</v>
      </c>
      <c r="L851" s="6"/>
      <c r="M851" s="6"/>
      <c r="N851" s="6"/>
      <c r="O851" s="6"/>
      <c r="P851" s="6"/>
      <c r="Q851" s="6"/>
      <c r="R851" s="6"/>
      <c r="S851" s="6"/>
      <c r="T851" s="6"/>
      <c r="U851" s="6"/>
      <c r="V851" s="6"/>
      <c r="W851" s="6"/>
      <c r="X851" s="6"/>
      <c r="Y851" s="6"/>
      <c r="Z851" s="6"/>
    </row>
    <row r="852" spans="1:26" ht="15.75" customHeight="1" x14ac:dyDescent="0.3">
      <c r="A852" s="10" t="s">
        <v>2978</v>
      </c>
      <c r="B852" s="10">
        <v>1995</v>
      </c>
      <c r="C852" s="10" t="s">
        <v>4715</v>
      </c>
      <c r="D852" s="10">
        <v>29</v>
      </c>
      <c r="E852" s="10">
        <v>0</v>
      </c>
      <c r="F852" s="24">
        <v>7042.11</v>
      </c>
      <c r="G852" s="10" t="s">
        <v>4695</v>
      </c>
      <c r="H852" s="10" t="s">
        <v>4696</v>
      </c>
      <c r="I852" s="10" t="s">
        <v>4712</v>
      </c>
      <c r="J852" s="17">
        <f t="shared" si="6"/>
        <v>35001</v>
      </c>
      <c r="K852" s="10">
        <f t="shared" ca="1" si="7"/>
        <v>30</v>
      </c>
      <c r="L852" s="6"/>
      <c r="M852" s="6"/>
      <c r="N852" s="6"/>
      <c r="O852" s="6"/>
      <c r="P852" s="6"/>
      <c r="Q852" s="6"/>
      <c r="R852" s="6"/>
      <c r="S852" s="6"/>
      <c r="T852" s="6"/>
      <c r="U852" s="6"/>
      <c r="V852" s="6"/>
      <c r="W852" s="6"/>
      <c r="X852" s="6"/>
      <c r="Y852" s="6"/>
      <c r="Z852" s="6"/>
    </row>
    <row r="853" spans="1:26" ht="15.75" customHeight="1" x14ac:dyDescent="0.3">
      <c r="A853" s="10" t="s">
        <v>2976</v>
      </c>
      <c r="B853" s="10">
        <v>1980</v>
      </c>
      <c r="C853" s="10" t="s">
        <v>4707</v>
      </c>
      <c r="D853" s="10">
        <v>26</v>
      </c>
      <c r="E853" s="10">
        <v>1</v>
      </c>
      <c r="F853" s="24">
        <v>7045.5</v>
      </c>
      <c r="G853" s="10" t="s">
        <v>4695</v>
      </c>
      <c r="H853" s="10" t="s">
        <v>4694</v>
      </c>
      <c r="I853" s="10" t="s">
        <v>4716</v>
      </c>
      <c r="J853" s="17">
        <f t="shared" si="6"/>
        <v>29428</v>
      </c>
      <c r="K853" s="10">
        <f t="shared" ca="1" si="7"/>
        <v>45</v>
      </c>
      <c r="L853" s="6"/>
      <c r="M853" s="6"/>
      <c r="N853" s="6"/>
      <c r="O853" s="6"/>
      <c r="P853" s="6"/>
      <c r="Q853" s="6"/>
      <c r="R853" s="6"/>
      <c r="S853" s="6"/>
      <c r="T853" s="6"/>
      <c r="U853" s="6"/>
      <c r="V853" s="6"/>
      <c r="W853" s="6"/>
      <c r="X853" s="6"/>
      <c r="Y853" s="6"/>
      <c r="Z853" s="6"/>
    </row>
    <row r="854" spans="1:26" ht="15.75" customHeight="1" x14ac:dyDescent="0.3">
      <c r="A854" s="10" t="s">
        <v>2974</v>
      </c>
      <c r="B854" s="10">
        <v>1980</v>
      </c>
      <c r="C854" s="10" t="s">
        <v>4715</v>
      </c>
      <c r="D854" s="10">
        <v>22</v>
      </c>
      <c r="E854" s="10">
        <v>1</v>
      </c>
      <c r="F854" s="24">
        <v>7046.72</v>
      </c>
      <c r="G854" s="10" t="s">
        <v>4695</v>
      </c>
      <c r="H854" s="10" t="s">
        <v>4696</v>
      </c>
      <c r="I854" s="10" t="s">
        <v>4708</v>
      </c>
      <c r="J854" s="17">
        <f t="shared" si="6"/>
        <v>29516</v>
      </c>
      <c r="K854" s="10">
        <f t="shared" ca="1" si="7"/>
        <v>45</v>
      </c>
      <c r="L854" s="6"/>
      <c r="M854" s="6"/>
      <c r="N854" s="6"/>
      <c r="O854" s="6"/>
      <c r="P854" s="6"/>
      <c r="Q854" s="6"/>
      <c r="R854" s="6"/>
      <c r="S854" s="6"/>
      <c r="T854" s="6"/>
      <c r="U854" s="6"/>
      <c r="V854" s="6"/>
      <c r="W854" s="6"/>
      <c r="X854" s="6"/>
      <c r="Y854" s="6"/>
      <c r="Z854" s="6"/>
    </row>
    <row r="855" spans="1:26" ht="15.75" customHeight="1" x14ac:dyDescent="0.3">
      <c r="A855" s="10" t="s">
        <v>2972</v>
      </c>
      <c r="B855" s="10">
        <v>1980</v>
      </c>
      <c r="C855" s="10" t="s">
        <v>4707</v>
      </c>
      <c r="D855" s="10">
        <v>21</v>
      </c>
      <c r="E855" s="10">
        <v>0</v>
      </c>
      <c r="F855" s="24">
        <v>7050.02</v>
      </c>
      <c r="G855" s="10" t="s">
        <v>4695</v>
      </c>
      <c r="H855" s="10" t="s">
        <v>4694</v>
      </c>
      <c r="I855" s="10" t="s">
        <v>4723</v>
      </c>
      <c r="J855" s="17">
        <f t="shared" si="6"/>
        <v>29423</v>
      </c>
      <c r="K855" s="10">
        <f t="shared" ca="1" si="7"/>
        <v>45</v>
      </c>
      <c r="L855" s="6"/>
      <c r="M855" s="6"/>
      <c r="N855" s="6"/>
      <c r="O855" s="6"/>
      <c r="P855" s="6"/>
      <c r="Q855" s="6"/>
      <c r="R855" s="6"/>
      <c r="S855" s="6"/>
      <c r="T855" s="6"/>
      <c r="U855" s="6"/>
      <c r="V855" s="6"/>
      <c r="W855" s="6"/>
      <c r="X855" s="6"/>
      <c r="Y855" s="6"/>
      <c r="Z855" s="6"/>
    </row>
    <row r="856" spans="1:26" ht="15.75" customHeight="1" x14ac:dyDescent="0.3">
      <c r="A856" s="10" t="s">
        <v>2970</v>
      </c>
      <c r="B856" s="10">
        <v>1980</v>
      </c>
      <c r="C856" s="10" t="s">
        <v>4710</v>
      </c>
      <c r="D856" s="10">
        <v>28</v>
      </c>
      <c r="E856" s="10">
        <v>1</v>
      </c>
      <c r="F856" s="24">
        <v>7050.64</v>
      </c>
      <c r="G856" s="10" t="s">
        <v>4695</v>
      </c>
      <c r="H856" s="10" t="s">
        <v>4696</v>
      </c>
      <c r="I856" s="10" t="s">
        <v>4716</v>
      </c>
      <c r="J856" s="17">
        <f t="shared" si="6"/>
        <v>29400</v>
      </c>
      <c r="K856" s="10">
        <f t="shared" ca="1" si="7"/>
        <v>45</v>
      </c>
      <c r="L856" s="6"/>
      <c r="M856" s="6"/>
      <c r="N856" s="6"/>
      <c r="O856" s="6"/>
      <c r="P856" s="6"/>
      <c r="Q856" s="6"/>
      <c r="R856" s="6"/>
      <c r="S856" s="6"/>
      <c r="T856" s="6"/>
      <c r="U856" s="6"/>
      <c r="V856" s="6"/>
      <c r="W856" s="6"/>
      <c r="X856" s="6"/>
      <c r="Y856" s="6"/>
      <c r="Z856" s="6"/>
    </row>
    <row r="857" spans="1:26" ht="15.75" customHeight="1" x14ac:dyDescent="0.3">
      <c r="A857" s="10" t="s">
        <v>2968</v>
      </c>
      <c r="B857" s="10">
        <v>1978</v>
      </c>
      <c r="C857" s="10" t="s">
        <v>4710</v>
      </c>
      <c r="D857" s="10">
        <v>24</v>
      </c>
      <c r="E857" s="10">
        <v>2</v>
      </c>
      <c r="F857" s="24">
        <v>7054.41</v>
      </c>
      <c r="G857" s="10" t="s">
        <v>4695</v>
      </c>
      <c r="H857" s="10" t="s">
        <v>4695</v>
      </c>
      <c r="I857" s="10" t="s">
        <v>4708</v>
      </c>
      <c r="J857" s="17">
        <f t="shared" si="6"/>
        <v>28665</v>
      </c>
      <c r="K857" s="10">
        <f t="shared" ca="1" si="7"/>
        <v>47</v>
      </c>
      <c r="L857" s="6"/>
      <c r="M857" s="6"/>
      <c r="N857" s="6"/>
      <c r="O857" s="6"/>
      <c r="P857" s="6"/>
      <c r="Q857" s="6"/>
      <c r="R857" s="6"/>
      <c r="S857" s="6"/>
      <c r="T857" s="6"/>
      <c r="U857" s="6"/>
      <c r="V857" s="6"/>
      <c r="W857" s="6"/>
      <c r="X857" s="6"/>
      <c r="Y857" s="6"/>
      <c r="Z857" s="6"/>
    </row>
    <row r="858" spans="1:26" ht="15.75" customHeight="1" x14ac:dyDescent="0.3">
      <c r="A858" s="10" t="s">
        <v>2966</v>
      </c>
      <c r="B858" s="10">
        <v>1982</v>
      </c>
      <c r="C858" s="10" t="s">
        <v>4715</v>
      </c>
      <c r="D858" s="10">
        <v>6</v>
      </c>
      <c r="E858" s="10">
        <v>1</v>
      </c>
      <c r="F858" s="24">
        <v>7077.19</v>
      </c>
      <c r="G858" s="10" t="s">
        <v>4695</v>
      </c>
      <c r="H858" s="10" t="s">
        <v>4696</v>
      </c>
      <c r="I858" s="10" t="s">
        <v>4723</v>
      </c>
      <c r="J858" s="17">
        <f t="shared" si="6"/>
        <v>30230</v>
      </c>
      <c r="K858" s="10">
        <f t="shared" ca="1" si="7"/>
        <v>43</v>
      </c>
      <c r="L858" s="6"/>
      <c r="M858" s="6"/>
      <c r="N858" s="6"/>
      <c r="O858" s="6"/>
      <c r="P858" s="6"/>
      <c r="Q858" s="6"/>
      <c r="R858" s="6"/>
      <c r="S858" s="6"/>
      <c r="T858" s="6"/>
      <c r="U858" s="6"/>
      <c r="V858" s="6"/>
      <c r="W858" s="6"/>
      <c r="X858" s="6"/>
      <c r="Y858" s="6"/>
      <c r="Z858" s="6"/>
    </row>
    <row r="859" spans="1:26" ht="15.75" customHeight="1" x14ac:dyDescent="0.3">
      <c r="A859" s="10" t="s">
        <v>2964</v>
      </c>
      <c r="B859" s="10">
        <v>1992</v>
      </c>
      <c r="C859" s="10" t="s">
        <v>4710</v>
      </c>
      <c r="D859" s="10">
        <v>18</v>
      </c>
      <c r="E859" s="10">
        <v>0</v>
      </c>
      <c r="F859" s="24">
        <v>7096.98</v>
      </c>
      <c r="G859" s="10" t="s">
        <v>4695</v>
      </c>
      <c r="H859" s="10" t="s">
        <v>4695</v>
      </c>
      <c r="I859" s="10" t="s">
        <v>4712</v>
      </c>
      <c r="J859" s="17">
        <f t="shared" si="6"/>
        <v>33773</v>
      </c>
      <c r="K859" s="10">
        <f t="shared" ca="1" si="7"/>
        <v>33</v>
      </c>
      <c r="L859" s="6"/>
      <c r="M859" s="6"/>
      <c r="N859" s="6"/>
      <c r="O859" s="6"/>
      <c r="P859" s="6"/>
      <c r="Q859" s="6"/>
      <c r="R859" s="6"/>
      <c r="S859" s="6"/>
      <c r="T859" s="6"/>
      <c r="U859" s="6"/>
      <c r="V859" s="6"/>
      <c r="W859" s="6"/>
      <c r="X859" s="6"/>
      <c r="Y859" s="6"/>
      <c r="Z859" s="6"/>
    </row>
    <row r="860" spans="1:26" ht="15.75" customHeight="1" x14ac:dyDescent="0.3">
      <c r="A860" s="10" t="s">
        <v>2962</v>
      </c>
      <c r="B860" s="10">
        <v>1987</v>
      </c>
      <c r="C860" s="10" t="s">
        <v>4714</v>
      </c>
      <c r="D860" s="10">
        <v>11</v>
      </c>
      <c r="E860" s="10">
        <v>3</v>
      </c>
      <c r="F860" s="24">
        <v>7106.81</v>
      </c>
      <c r="G860" s="10" t="s">
        <v>4695</v>
      </c>
      <c r="H860" s="10" t="s">
        <v>4694</v>
      </c>
      <c r="I860" s="10" t="s">
        <v>4712</v>
      </c>
      <c r="J860" s="17">
        <f t="shared" si="6"/>
        <v>32000</v>
      </c>
      <c r="K860" s="10">
        <f t="shared" ca="1" si="7"/>
        <v>38</v>
      </c>
      <c r="L860" s="6"/>
      <c r="M860" s="6"/>
      <c r="N860" s="6"/>
      <c r="O860" s="6"/>
      <c r="P860" s="6"/>
      <c r="Q860" s="6"/>
      <c r="R860" s="6"/>
      <c r="S860" s="6"/>
      <c r="T860" s="6"/>
      <c r="U860" s="6"/>
      <c r="V860" s="6"/>
      <c r="W860" s="6"/>
      <c r="X860" s="6"/>
      <c r="Y860" s="6"/>
      <c r="Z860" s="6"/>
    </row>
    <row r="861" spans="1:26" ht="15.75" customHeight="1" x14ac:dyDescent="0.3">
      <c r="A861" s="10" t="s">
        <v>2960</v>
      </c>
      <c r="B861" s="10">
        <v>1968</v>
      </c>
      <c r="C861" s="10" t="s">
        <v>4710</v>
      </c>
      <c r="D861" s="10">
        <v>29</v>
      </c>
      <c r="E861" s="10">
        <v>0</v>
      </c>
      <c r="F861" s="24">
        <v>7125.25</v>
      </c>
      <c r="G861" s="10" t="s">
        <v>4696</v>
      </c>
      <c r="H861" s="10" t="s">
        <v>4695</v>
      </c>
      <c r="I861" s="10" t="s">
        <v>4708</v>
      </c>
      <c r="J861" s="17">
        <f t="shared" si="6"/>
        <v>25018</v>
      </c>
      <c r="K861" s="10">
        <f t="shared" ca="1" si="7"/>
        <v>57</v>
      </c>
      <c r="L861" s="6"/>
      <c r="M861" s="6"/>
      <c r="N861" s="6"/>
      <c r="O861" s="6"/>
      <c r="P861" s="6"/>
      <c r="Q861" s="6"/>
      <c r="R861" s="6"/>
      <c r="S861" s="6"/>
      <c r="T861" s="6"/>
      <c r="U861" s="6"/>
      <c r="V861" s="6"/>
      <c r="W861" s="6"/>
      <c r="X861" s="6"/>
      <c r="Y861" s="6"/>
      <c r="Z861" s="6"/>
    </row>
    <row r="862" spans="1:26" ht="15.75" customHeight="1" x14ac:dyDescent="0.3">
      <c r="A862" s="10" t="s">
        <v>2958</v>
      </c>
      <c r="B862" s="10">
        <v>1993</v>
      </c>
      <c r="C862" s="10" t="s">
        <v>4714</v>
      </c>
      <c r="D862" s="10">
        <v>1</v>
      </c>
      <c r="E862" s="10">
        <v>0</v>
      </c>
      <c r="F862" s="24">
        <v>7128.64</v>
      </c>
      <c r="G862" s="10" t="s">
        <v>4695</v>
      </c>
      <c r="H862" s="10" t="s">
        <v>4695</v>
      </c>
      <c r="I862" s="10" t="s">
        <v>4726</v>
      </c>
      <c r="J862" s="17">
        <f t="shared" si="6"/>
        <v>34182</v>
      </c>
      <c r="K862" s="10">
        <f t="shared" ca="1" si="7"/>
        <v>32</v>
      </c>
      <c r="L862" s="6"/>
      <c r="M862" s="6"/>
      <c r="N862" s="6"/>
      <c r="O862" s="6"/>
      <c r="P862" s="6"/>
      <c r="Q862" s="6"/>
      <c r="R862" s="6"/>
      <c r="S862" s="6"/>
      <c r="T862" s="6"/>
      <c r="U862" s="6"/>
      <c r="V862" s="6"/>
      <c r="W862" s="6"/>
      <c r="X862" s="6"/>
      <c r="Y862" s="6"/>
      <c r="Z862" s="6"/>
    </row>
    <row r="863" spans="1:26" ht="15.75" customHeight="1" x14ac:dyDescent="0.3">
      <c r="A863" s="10" t="s">
        <v>2956</v>
      </c>
      <c r="B863" s="10">
        <v>1984</v>
      </c>
      <c r="C863" s="10" t="s">
        <v>4707</v>
      </c>
      <c r="D863" s="10">
        <v>7</v>
      </c>
      <c r="E863" s="10">
        <v>2</v>
      </c>
      <c r="F863" s="24">
        <v>7133.9</v>
      </c>
      <c r="G863" s="10" t="s">
        <v>4695</v>
      </c>
      <c r="H863" s="10" t="s">
        <v>4694</v>
      </c>
      <c r="I863" s="10" t="s">
        <v>4723</v>
      </c>
      <c r="J863" s="17">
        <f t="shared" si="6"/>
        <v>30870</v>
      </c>
      <c r="K863" s="10">
        <f t="shared" ca="1" si="7"/>
        <v>41</v>
      </c>
      <c r="L863" s="6"/>
      <c r="M863" s="6"/>
      <c r="N863" s="6"/>
      <c r="O863" s="6"/>
      <c r="P863" s="6"/>
      <c r="Q863" s="6"/>
      <c r="R863" s="6"/>
      <c r="S863" s="6"/>
      <c r="T863" s="6"/>
      <c r="U863" s="6"/>
      <c r="V863" s="6"/>
      <c r="W863" s="6"/>
      <c r="X863" s="6"/>
      <c r="Y863" s="6"/>
      <c r="Z863" s="6"/>
    </row>
    <row r="864" spans="1:26" ht="15.75" customHeight="1" x14ac:dyDescent="0.3">
      <c r="A864" s="10" t="s">
        <v>2954</v>
      </c>
      <c r="B864" s="10">
        <v>1999</v>
      </c>
      <c r="C864" s="10" t="s">
        <v>4714</v>
      </c>
      <c r="D864" s="10">
        <v>8</v>
      </c>
      <c r="E864" s="10">
        <v>0</v>
      </c>
      <c r="F864" s="24">
        <v>7144.4</v>
      </c>
      <c r="G864" s="10" t="s">
        <v>4695</v>
      </c>
      <c r="H864" s="10" t="s">
        <v>4694</v>
      </c>
      <c r="I864" s="10" t="s">
        <v>4730</v>
      </c>
      <c r="J864" s="17">
        <f t="shared" si="6"/>
        <v>36380</v>
      </c>
      <c r="K864" s="10">
        <f t="shared" ca="1" si="7"/>
        <v>26</v>
      </c>
      <c r="L864" s="6"/>
      <c r="M864" s="6"/>
      <c r="N864" s="6"/>
      <c r="O864" s="6"/>
      <c r="P864" s="6"/>
      <c r="Q864" s="6"/>
      <c r="R864" s="6"/>
      <c r="S864" s="6"/>
      <c r="T864" s="6"/>
      <c r="U864" s="6"/>
      <c r="V864" s="6"/>
      <c r="W864" s="6"/>
      <c r="X864" s="6"/>
      <c r="Y864" s="6"/>
      <c r="Z864" s="6"/>
    </row>
    <row r="865" spans="1:26" ht="15.75" customHeight="1" x14ac:dyDescent="0.3">
      <c r="A865" s="10" t="s">
        <v>2952</v>
      </c>
      <c r="B865" s="10">
        <v>1984</v>
      </c>
      <c r="C865" s="10" t="s">
        <v>4709</v>
      </c>
      <c r="D865" s="10">
        <v>21</v>
      </c>
      <c r="E865" s="10">
        <v>2</v>
      </c>
      <c r="F865" s="24">
        <v>7144.86</v>
      </c>
      <c r="G865" s="10" t="s">
        <v>4695</v>
      </c>
      <c r="H865" s="10" t="s">
        <v>4695</v>
      </c>
      <c r="I865" s="10" t="s">
        <v>4723</v>
      </c>
      <c r="J865" s="17">
        <f t="shared" si="6"/>
        <v>31007</v>
      </c>
      <c r="K865" s="10">
        <f t="shared" ca="1" si="7"/>
        <v>41</v>
      </c>
      <c r="L865" s="6"/>
      <c r="M865" s="6"/>
      <c r="N865" s="6"/>
      <c r="O865" s="6"/>
      <c r="P865" s="6"/>
      <c r="Q865" s="6"/>
      <c r="R865" s="6"/>
      <c r="S865" s="6"/>
      <c r="T865" s="6"/>
      <c r="U865" s="6"/>
      <c r="V865" s="6"/>
      <c r="W865" s="6"/>
      <c r="X865" s="6"/>
      <c r="Y865" s="6"/>
      <c r="Z865" s="6"/>
    </row>
    <row r="866" spans="1:26" ht="15.75" customHeight="1" x14ac:dyDescent="0.3">
      <c r="A866" s="10" t="s">
        <v>2950</v>
      </c>
      <c r="B866" s="10">
        <v>1976</v>
      </c>
      <c r="C866" s="10" t="s">
        <v>4710</v>
      </c>
      <c r="D866" s="10">
        <v>24</v>
      </c>
      <c r="E866" s="10">
        <v>0</v>
      </c>
      <c r="F866" s="24">
        <v>7147.11</v>
      </c>
      <c r="G866" s="10" t="s">
        <v>4696</v>
      </c>
      <c r="H866" s="10" t="s">
        <v>4695</v>
      </c>
      <c r="I866" s="10" t="s">
        <v>4716</v>
      </c>
      <c r="J866" s="17">
        <f t="shared" si="6"/>
        <v>27935</v>
      </c>
      <c r="K866" s="10">
        <f t="shared" ca="1" si="7"/>
        <v>49</v>
      </c>
      <c r="L866" s="6"/>
      <c r="M866" s="6"/>
      <c r="N866" s="6"/>
      <c r="O866" s="6"/>
      <c r="P866" s="6"/>
      <c r="Q866" s="6"/>
      <c r="R866" s="6"/>
      <c r="S866" s="6"/>
      <c r="T866" s="6"/>
      <c r="U866" s="6"/>
      <c r="V866" s="6"/>
      <c r="W866" s="6"/>
      <c r="X866" s="6"/>
      <c r="Y866" s="6"/>
      <c r="Z866" s="6"/>
    </row>
    <row r="867" spans="1:26" ht="15.75" customHeight="1" x14ac:dyDescent="0.3">
      <c r="A867" s="10" t="s">
        <v>2948</v>
      </c>
      <c r="B867" s="10">
        <v>1978</v>
      </c>
      <c r="C867" s="10" t="s">
        <v>4707</v>
      </c>
      <c r="D867" s="10">
        <v>30</v>
      </c>
      <c r="E867" s="10">
        <v>1</v>
      </c>
      <c r="F867" s="24">
        <v>7147.47</v>
      </c>
      <c r="G867" s="10" t="s">
        <v>4695</v>
      </c>
      <c r="H867" s="10" t="s">
        <v>4696</v>
      </c>
      <c r="I867" s="10" t="s">
        <v>4708</v>
      </c>
      <c r="J867" s="17">
        <f t="shared" si="6"/>
        <v>28701</v>
      </c>
      <c r="K867" s="10">
        <f t="shared" ca="1" si="7"/>
        <v>47</v>
      </c>
      <c r="L867" s="6"/>
      <c r="M867" s="6"/>
      <c r="N867" s="6"/>
      <c r="O867" s="6"/>
      <c r="P867" s="6"/>
      <c r="Q867" s="6"/>
      <c r="R867" s="6"/>
      <c r="S867" s="6"/>
      <c r="T867" s="6"/>
      <c r="U867" s="6"/>
      <c r="V867" s="6"/>
      <c r="W867" s="6"/>
      <c r="X867" s="6"/>
      <c r="Y867" s="6"/>
      <c r="Z867" s="6"/>
    </row>
    <row r="868" spans="1:26" ht="15.75" customHeight="1" x14ac:dyDescent="0.3">
      <c r="A868" s="10" t="s">
        <v>2946</v>
      </c>
      <c r="B868" s="10">
        <v>1984</v>
      </c>
      <c r="C868" s="10" t="s">
        <v>4710</v>
      </c>
      <c r="D868" s="10">
        <v>29</v>
      </c>
      <c r="E868" s="10">
        <v>3</v>
      </c>
      <c r="F868" s="24">
        <v>7151.09</v>
      </c>
      <c r="G868" s="10" t="s">
        <v>4695</v>
      </c>
      <c r="H868" s="10" t="s">
        <v>4695</v>
      </c>
      <c r="I868" s="10" t="s">
        <v>4716</v>
      </c>
      <c r="J868" s="17">
        <f t="shared" si="6"/>
        <v>30862</v>
      </c>
      <c r="K868" s="10">
        <f t="shared" ca="1" si="7"/>
        <v>41</v>
      </c>
      <c r="L868" s="6"/>
      <c r="M868" s="6"/>
      <c r="N868" s="6"/>
      <c r="O868" s="6"/>
      <c r="P868" s="6"/>
      <c r="Q868" s="6"/>
      <c r="R868" s="6"/>
      <c r="S868" s="6"/>
      <c r="T868" s="6"/>
      <c r="U868" s="6"/>
      <c r="V868" s="6"/>
      <c r="W868" s="6"/>
      <c r="X868" s="6"/>
      <c r="Y868" s="6"/>
      <c r="Z868" s="6"/>
    </row>
    <row r="869" spans="1:26" ht="15.75" customHeight="1" x14ac:dyDescent="0.3">
      <c r="A869" s="10" t="s">
        <v>2944</v>
      </c>
      <c r="B869" s="10">
        <v>1978</v>
      </c>
      <c r="C869" s="10" t="s">
        <v>4711</v>
      </c>
      <c r="D869" s="10">
        <v>6</v>
      </c>
      <c r="E869" s="10">
        <v>1</v>
      </c>
      <c r="F869" s="24">
        <v>7152.67</v>
      </c>
      <c r="G869" s="10" t="s">
        <v>4696</v>
      </c>
      <c r="H869" s="10" t="s">
        <v>4695</v>
      </c>
      <c r="I869" s="10" t="s">
        <v>4708</v>
      </c>
      <c r="J869" s="17">
        <f t="shared" si="6"/>
        <v>28739</v>
      </c>
      <c r="K869" s="10">
        <f t="shared" ca="1" si="7"/>
        <v>47</v>
      </c>
      <c r="L869" s="6"/>
      <c r="M869" s="6"/>
      <c r="N869" s="6"/>
      <c r="O869" s="6"/>
      <c r="P869" s="6"/>
      <c r="Q869" s="6"/>
      <c r="R869" s="6"/>
      <c r="S869" s="6"/>
      <c r="T869" s="6"/>
      <c r="U869" s="6"/>
      <c r="V869" s="6"/>
      <c r="W869" s="6"/>
      <c r="X869" s="6"/>
      <c r="Y869" s="6"/>
      <c r="Z869" s="6"/>
    </row>
    <row r="870" spans="1:26" ht="15.75" customHeight="1" x14ac:dyDescent="0.3">
      <c r="A870" s="10" t="s">
        <v>2942</v>
      </c>
      <c r="B870" s="10">
        <v>1981</v>
      </c>
      <c r="C870" s="10" t="s">
        <v>4707</v>
      </c>
      <c r="D870" s="10">
        <v>17</v>
      </c>
      <c r="E870" s="10">
        <v>1</v>
      </c>
      <c r="F870" s="24">
        <v>7153.55</v>
      </c>
      <c r="G870" s="10" t="s">
        <v>4695</v>
      </c>
      <c r="H870" s="10" t="s">
        <v>4694</v>
      </c>
      <c r="I870" s="10" t="s">
        <v>4712</v>
      </c>
      <c r="J870" s="17">
        <f t="shared" si="6"/>
        <v>29784</v>
      </c>
      <c r="K870" s="10">
        <f t="shared" ca="1" si="7"/>
        <v>44</v>
      </c>
      <c r="L870" s="6"/>
      <c r="M870" s="6"/>
      <c r="N870" s="6"/>
      <c r="O870" s="6"/>
      <c r="P870" s="6"/>
      <c r="Q870" s="6"/>
      <c r="R870" s="6"/>
      <c r="S870" s="6"/>
      <c r="T870" s="6"/>
      <c r="U870" s="6"/>
      <c r="V870" s="6"/>
      <c r="W870" s="6"/>
      <c r="X870" s="6"/>
      <c r="Y870" s="6"/>
      <c r="Z870" s="6"/>
    </row>
    <row r="871" spans="1:26" ht="15.75" customHeight="1" x14ac:dyDescent="0.3">
      <c r="A871" s="10" t="s">
        <v>2940</v>
      </c>
      <c r="B871" s="10">
        <v>1980</v>
      </c>
      <c r="C871" s="10" t="s">
        <v>4710</v>
      </c>
      <c r="D871" s="10">
        <v>22</v>
      </c>
      <c r="E871" s="10">
        <v>2</v>
      </c>
      <c r="F871" s="24">
        <v>7160.09</v>
      </c>
      <c r="G871" s="10" t="s">
        <v>4695</v>
      </c>
      <c r="H871" s="10" t="s">
        <v>4695</v>
      </c>
      <c r="I871" s="10" t="s">
        <v>4716</v>
      </c>
      <c r="J871" s="17">
        <f t="shared" si="6"/>
        <v>29394</v>
      </c>
      <c r="K871" s="10">
        <f t="shared" ca="1" si="7"/>
        <v>45</v>
      </c>
      <c r="L871" s="6"/>
      <c r="M871" s="6"/>
      <c r="N871" s="6"/>
      <c r="O871" s="6"/>
      <c r="P871" s="6"/>
      <c r="Q871" s="6"/>
      <c r="R871" s="6"/>
      <c r="S871" s="6"/>
      <c r="T871" s="6"/>
      <c r="U871" s="6"/>
      <c r="V871" s="6"/>
      <c r="W871" s="6"/>
      <c r="X871" s="6"/>
      <c r="Y871" s="6"/>
      <c r="Z871" s="6"/>
    </row>
    <row r="872" spans="1:26" ht="15.75" customHeight="1" x14ac:dyDescent="0.3">
      <c r="A872" s="10" t="s">
        <v>2938</v>
      </c>
      <c r="B872" s="10">
        <v>1980</v>
      </c>
      <c r="C872" s="10" t="s">
        <v>4715</v>
      </c>
      <c r="D872" s="10">
        <v>7</v>
      </c>
      <c r="E872" s="10">
        <v>2</v>
      </c>
      <c r="F872" s="24">
        <v>7160.33</v>
      </c>
      <c r="G872" s="10" t="s">
        <v>4695</v>
      </c>
      <c r="H872" s="10" t="s">
        <v>4694</v>
      </c>
      <c r="I872" s="10" t="s">
        <v>4708</v>
      </c>
      <c r="J872" s="17">
        <f t="shared" si="6"/>
        <v>29501</v>
      </c>
      <c r="K872" s="10">
        <f t="shared" ca="1" si="7"/>
        <v>45</v>
      </c>
      <c r="L872" s="6"/>
      <c r="M872" s="6"/>
      <c r="N872" s="6"/>
      <c r="O872" s="6"/>
      <c r="P872" s="6"/>
      <c r="Q872" s="6"/>
      <c r="R872" s="6"/>
      <c r="S872" s="6"/>
      <c r="T872" s="6"/>
      <c r="U872" s="6"/>
      <c r="V872" s="6"/>
      <c r="W872" s="6"/>
      <c r="X872" s="6"/>
      <c r="Y872" s="6"/>
      <c r="Z872" s="6"/>
    </row>
    <row r="873" spans="1:26" ht="15.75" customHeight="1" x14ac:dyDescent="0.3">
      <c r="A873" s="10" t="s">
        <v>2936</v>
      </c>
      <c r="B873" s="10">
        <v>1980</v>
      </c>
      <c r="C873" s="10" t="s">
        <v>4711</v>
      </c>
      <c r="D873" s="10">
        <v>30</v>
      </c>
      <c r="E873" s="10">
        <v>2</v>
      </c>
      <c r="F873" s="24">
        <v>7162.01</v>
      </c>
      <c r="G873" s="10" t="s">
        <v>4695</v>
      </c>
      <c r="H873" s="10" t="s">
        <v>4696</v>
      </c>
      <c r="I873" s="10" t="s">
        <v>4708</v>
      </c>
      <c r="J873" s="17">
        <f t="shared" si="6"/>
        <v>29494</v>
      </c>
      <c r="K873" s="10">
        <f t="shared" ca="1" si="7"/>
        <v>45</v>
      </c>
      <c r="L873" s="6"/>
      <c r="M873" s="6"/>
      <c r="N873" s="6"/>
      <c r="O873" s="6"/>
      <c r="P873" s="6"/>
      <c r="Q873" s="6"/>
      <c r="R873" s="6"/>
      <c r="S873" s="6"/>
      <c r="T873" s="6"/>
      <c r="U873" s="6"/>
      <c r="V873" s="6"/>
      <c r="W873" s="6"/>
      <c r="X873" s="6"/>
      <c r="Y873" s="6"/>
      <c r="Z873" s="6"/>
    </row>
    <row r="874" spans="1:26" ht="15.75" customHeight="1" x14ac:dyDescent="0.3">
      <c r="A874" s="10" t="s">
        <v>2934</v>
      </c>
      <c r="B874" s="10">
        <v>1982</v>
      </c>
      <c r="C874" s="10" t="s">
        <v>4714</v>
      </c>
      <c r="D874" s="10">
        <v>16</v>
      </c>
      <c r="E874" s="10">
        <v>2</v>
      </c>
      <c r="F874" s="24">
        <v>7173.36</v>
      </c>
      <c r="G874" s="10" t="s">
        <v>4696</v>
      </c>
      <c r="H874" s="10" t="s">
        <v>4695</v>
      </c>
      <c r="I874" s="10" t="s">
        <v>4720</v>
      </c>
      <c r="J874" s="17">
        <f t="shared" si="6"/>
        <v>30179</v>
      </c>
      <c r="K874" s="10">
        <f t="shared" ca="1" si="7"/>
        <v>43</v>
      </c>
      <c r="L874" s="6"/>
      <c r="M874" s="6"/>
      <c r="N874" s="6"/>
      <c r="O874" s="6"/>
      <c r="P874" s="6"/>
      <c r="Q874" s="6"/>
      <c r="R874" s="6"/>
      <c r="S874" s="6"/>
      <c r="T874" s="6"/>
      <c r="U874" s="6"/>
      <c r="V874" s="6"/>
      <c r="W874" s="6"/>
      <c r="X874" s="6"/>
      <c r="Y874" s="6"/>
      <c r="Z874" s="6"/>
    </row>
    <row r="875" spans="1:26" ht="15.75" customHeight="1" x14ac:dyDescent="0.3">
      <c r="A875" s="10" t="s">
        <v>2932</v>
      </c>
      <c r="B875" s="10">
        <v>1975</v>
      </c>
      <c r="C875" s="10" t="s">
        <v>4707</v>
      </c>
      <c r="D875" s="10">
        <v>19</v>
      </c>
      <c r="E875" s="10">
        <v>1</v>
      </c>
      <c r="F875" s="24">
        <v>7175.51</v>
      </c>
      <c r="G875" s="10" t="s">
        <v>4695</v>
      </c>
      <c r="H875" s="10" t="s">
        <v>4696</v>
      </c>
      <c r="I875" s="10" t="s">
        <v>4708</v>
      </c>
      <c r="J875" s="17">
        <f t="shared" si="6"/>
        <v>27594</v>
      </c>
      <c r="K875" s="10">
        <f t="shared" ca="1" si="7"/>
        <v>50</v>
      </c>
      <c r="L875" s="6"/>
      <c r="M875" s="6"/>
      <c r="N875" s="6"/>
      <c r="O875" s="6"/>
      <c r="P875" s="6"/>
      <c r="Q875" s="6"/>
      <c r="R875" s="6"/>
      <c r="S875" s="6"/>
      <c r="T875" s="6"/>
      <c r="U875" s="6"/>
      <c r="V875" s="6"/>
      <c r="W875" s="6"/>
      <c r="X875" s="6"/>
      <c r="Y875" s="6"/>
      <c r="Z875" s="6"/>
    </row>
    <row r="876" spans="1:26" ht="15.75" customHeight="1" x14ac:dyDescent="0.3">
      <c r="A876" s="10" t="s">
        <v>2930</v>
      </c>
      <c r="B876" s="10">
        <v>1968</v>
      </c>
      <c r="C876" s="10" t="s">
        <v>4714</v>
      </c>
      <c r="D876" s="10">
        <v>26</v>
      </c>
      <c r="E876" s="10">
        <v>0</v>
      </c>
      <c r="F876" s="24">
        <v>7179.52</v>
      </c>
      <c r="G876" s="10" t="s">
        <v>4696</v>
      </c>
      <c r="H876" s="10" t="s">
        <v>4696</v>
      </c>
      <c r="I876" s="10" t="s">
        <v>4708</v>
      </c>
      <c r="J876" s="17">
        <f t="shared" si="6"/>
        <v>25076</v>
      </c>
      <c r="K876" s="10">
        <f t="shared" ca="1" si="7"/>
        <v>57</v>
      </c>
      <c r="L876" s="6"/>
      <c r="M876" s="6"/>
      <c r="N876" s="6"/>
      <c r="O876" s="6"/>
      <c r="P876" s="6"/>
      <c r="Q876" s="6"/>
      <c r="R876" s="6"/>
      <c r="S876" s="6"/>
      <c r="T876" s="6"/>
      <c r="U876" s="6"/>
      <c r="V876" s="6"/>
      <c r="W876" s="6"/>
      <c r="X876" s="6"/>
      <c r="Y876" s="6"/>
      <c r="Z876" s="6"/>
    </row>
    <row r="877" spans="1:26" ht="15.75" customHeight="1" x14ac:dyDescent="0.3">
      <c r="A877" s="10" t="s">
        <v>2928</v>
      </c>
      <c r="B877" s="10">
        <v>1982</v>
      </c>
      <c r="C877" s="10" t="s">
        <v>4711</v>
      </c>
      <c r="D877" s="10">
        <v>14</v>
      </c>
      <c r="E877" s="10">
        <v>3</v>
      </c>
      <c r="F877" s="24">
        <v>7196.87</v>
      </c>
      <c r="G877" s="10" t="s">
        <v>4696</v>
      </c>
      <c r="H877" s="10" t="s">
        <v>4695</v>
      </c>
      <c r="I877" s="10" t="s">
        <v>4716</v>
      </c>
      <c r="J877" s="17">
        <f t="shared" si="6"/>
        <v>30208</v>
      </c>
      <c r="K877" s="10">
        <f t="shared" ca="1" si="7"/>
        <v>43</v>
      </c>
      <c r="L877" s="6"/>
      <c r="M877" s="6"/>
      <c r="N877" s="6"/>
      <c r="O877" s="6"/>
      <c r="P877" s="6"/>
      <c r="Q877" s="6"/>
      <c r="R877" s="6"/>
      <c r="S877" s="6"/>
      <c r="T877" s="6"/>
      <c r="U877" s="6"/>
      <c r="V877" s="6"/>
      <c r="W877" s="6"/>
      <c r="X877" s="6"/>
      <c r="Y877" s="6"/>
      <c r="Z877" s="6"/>
    </row>
    <row r="878" spans="1:26" ht="15.75" customHeight="1" x14ac:dyDescent="0.3">
      <c r="A878" s="10" t="s">
        <v>2926</v>
      </c>
      <c r="B878" s="10">
        <v>1983</v>
      </c>
      <c r="C878" s="10" t="s">
        <v>4714</v>
      </c>
      <c r="D878" s="10">
        <v>11</v>
      </c>
      <c r="E878" s="10">
        <v>2</v>
      </c>
      <c r="F878" s="24">
        <v>7201.7</v>
      </c>
      <c r="G878" s="10" t="s">
        <v>4695</v>
      </c>
      <c r="H878" s="10" t="s">
        <v>4696</v>
      </c>
      <c r="I878" s="10" t="s">
        <v>4712</v>
      </c>
      <c r="J878" s="17">
        <f t="shared" si="6"/>
        <v>30539</v>
      </c>
      <c r="K878" s="10">
        <f t="shared" ca="1" si="7"/>
        <v>42</v>
      </c>
      <c r="L878" s="6"/>
      <c r="M878" s="6"/>
      <c r="N878" s="6"/>
      <c r="O878" s="6"/>
      <c r="P878" s="6"/>
      <c r="Q878" s="6"/>
      <c r="R878" s="6"/>
      <c r="S878" s="6"/>
      <c r="T878" s="6"/>
      <c r="U878" s="6"/>
      <c r="V878" s="6"/>
      <c r="W878" s="6"/>
      <c r="X878" s="6"/>
      <c r="Y878" s="6"/>
      <c r="Z878" s="6"/>
    </row>
    <row r="879" spans="1:26" ht="15.75" customHeight="1" x14ac:dyDescent="0.3">
      <c r="A879" s="10" t="s">
        <v>2924</v>
      </c>
      <c r="B879" s="10">
        <v>1983</v>
      </c>
      <c r="C879" s="10" t="s">
        <v>4709</v>
      </c>
      <c r="D879" s="10">
        <v>21</v>
      </c>
      <c r="E879" s="10">
        <v>2</v>
      </c>
      <c r="F879" s="24">
        <v>7209.49</v>
      </c>
      <c r="G879" s="10" t="s">
        <v>4695</v>
      </c>
      <c r="H879" s="10" t="s">
        <v>4696</v>
      </c>
      <c r="I879" s="10" t="s">
        <v>4712</v>
      </c>
      <c r="J879" s="17">
        <f t="shared" si="6"/>
        <v>30641</v>
      </c>
      <c r="K879" s="10">
        <f t="shared" ca="1" si="7"/>
        <v>42</v>
      </c>
      <c r="L879" s="6"/>
      <c r="M879" s="6"/>
      <c r="N879" s="6"/>
      <c r="O879" s="6"/>
      <c r="P879" s="6"/>
      <c r="Q879" s="6"/>
      <c r="R879" s="6"/>
      <c r="S879" s="6"/>
      <c r="T879" s="6"/>
      <c r="U879" s="6"/>
      <c r="V879" s="6"/>
      <c r="W879" s="6"/>
      <c r="X879" s="6"/>
      <c r="Y879" s="6"/>
      <c r="Z879" s="6"/>
    </row>
    <row r="880" spans="1:26" ht="15.75" customHeight="1" x14ac:dyDescent="0.3">
      <c r="A880" s="10" t="s">
        <v>2922</v>
      </c>
      <c r="B880" s="10">
        <v>1991</v>
      </c>
      <c r="C880" s="10" t="s">
        <v>4710</v>
      </c>
      <c r="D880" s="10">
        <v>28</v>
      </c>
      <c r="E880" s="10">
        <v>3</v>
      </c>
      <c r="F880" s="24">
        <v>7220.25</v>
      </c>
      <c r="G880" s="10" t="s">
        <v>4695</v>
      </c>
      <c r="H880" s="10" t="s">
        <v>4695</v>
      </c>
      <c r="I880" s="10" t="s">
        <v>4726</v>
      </c>
      <c r="J880" s="17">
        <f t="shared" si="6"/>
        <v>33417</v>
      </c>
      <c r="K880" s="10">
        <f t="shared" ca="1" si="7"/>
        <v>34</v>
      </c>
      <c r="L880" s="6"/>
      <c r="M880" s="6"/>
      <c r="N880" s="6"/>
      <c r="O880" s="6"/>
      <c r="P880" s="6"/>
      <c r="Q880" s="6"/>
      <c r="R880" s="6"/>
      <c r="S880" s="6"/>
      <c r="T880" s="6"/>
      <c r="U880" s="6"/>
      <c r="V880" s="6"/>
      <c r="W880" s="6"/>
      <c r="X880" s="6"/>
      <c r="Y880" s="6"/>
      <c r="Z880" s="6"/>
    </row>
    <row r="881" spans="1:26" ht="15.75" customHeight="1" x14ac:dyDescent="0.3">
      <c r="A881" s="10" t="s">
        <v>2920</v>
      </c>
      <c r="B881" s="10">
        <v>1977</v>
      </c>
      <c r="C881" s="10" t="s">
        <v>4711</v>
      </c>
      <c r="D881" s="10">
        <v>15</v>
      </c>
      <c r="E881" s="10">
        <v>0</v>
      </c>
      <c r="F881" s="24">
        <v>7222.79</v>
      </c>
      <c r="G881" s="10" t="s">
        <v>4696</v>
      </c>
      <c r="H881" s="10" t="s">
        <v>4696</v>
      </c>
      <c r="I881" s="10" t="s">
        <v>4712</v>
      </c>
      <c r="J881" s="17">
        <f t="shared" si="6"/>
        <v>28383</v>
      </c>
      <c r="K881" s="10">
        <f t="shared" ca="1" si="7"/>
        <v>48</v>
      </c>
      <c r="L881" s="6"/>
      <c r="M881" s="6"/>
      <c r="N881" s="6"/>
      <c r="O881" s="6"/>
      <c r="P881" s="6"/>
      <c r="Q881" s="6"/>
      <c r="R881" s="6"/>
      <c r="S881" s="6"/>
      <c r="T881" s="6"/>
      <c r="U881" s="6"/>
      <c r="V881" s="6"/>
      <c r="W881" s="6"/>
      <c r="X881" s="6"/>
      <c r="Y881" s="6"/>
      <c r="Z881" s="6"/>
    </row>
    <row r="882" spans="1:26" ht="15.75" customHeight="1" x14ac:dyDescent="0.3">
      <c r="A882" s="10" t="s">
        <v>2918</v>
      </c>
      <c r="B882" s="10">
        <v>1986</v>
      </c>
      <c r="C882" s="10" t="s">
        <v>4707</v>
      </c>
      <c r="D882" s="10">
        <v>13</v>
      </c>
      <c r="E882" s="10">
        <v>3</v>
      </c>
      <c r="F882" s="24">
        <v>7228.22</v>
      </c>
      <c r="G882" s="10" t="s">
        <v>4695</v>
      </c>
      <c r="H882" s="10" t="s">
        <v>4694</v>
      </c>
      <c r="I882" s="10" t="s">
        <v>4723</v>
      </c>
      <c r="J882" s="17">
        <f t="shared" si="6"/>
        <v>31606</v>
      </c>
      <c r="K882" s="10">
        <f t="shared" ca="1" si="7"/>
        <v>39</v>
      </c>
      <c r="L882" s="6"/>
      <c r="M882" s="6"/>
      <c r="N882" s="6"/>
      <c r="O882" s="6"/>
      <c r="P882" s="6"/>
      <c r="Q882" s="6"/>
      <c r="R882" s="6"/>
      <c r="S882" s="6"/>
      <c r="T882" s="6"/>
      <c r="U882" s="6"/>
      <c r="V882" s="6"/>
      <c r="W882" s="6"/>
      <c r="X882" s="6"/>
      <c r="Y882" s="6"/>
      <c r="Z882" s="6"/>
    </row>
    <row r="883" spans="1:26" ht="15.75" customHeight="1" x14ac:dyDescent="0.3">
      <c r="A883" s="10" t="s">
        <v>2916</v>
      </c>
      <c r="B883" s="10">
        <v>1986</v>
      </c>
      <c r="C883" s="10" t="s">
        <v>4711</v>
      </c>
      <c r="D883" s="10">
        <v>2</v>
      </c>
      <c r="E883" s="10">
        <v>4</v>
      </c>
      <c r="F883" s="24">
        <v>7243.81</v>
      </c>
      <c r="G883" s="10" t="s">
        <v>4695</v>
      </c>
      <c r="H883" s="10" t="s">
        <v>4696</v>
      </c>
      <c r="I883" s="10" t="s">
        <v>4708</v>
      </c>
      <c r="J883" s="17">
        <f t="shared" si="6"/>
        <v>31657</v>
      </c>
      <c r="K883" s="10">
        <f t="shared" ca="1" si="7"/>
        <v>39</v>
      </c>
      <c r="L883" s="6"/>
      <c r="M883" s="6"/>
      <c r="N883" s="6"/>
      <c r="O883" s="6"/>
      <c r="P883" s="6"/>
      <c r="Q883" s="6"/>
      <c r="R883" s="6"/>
      <c r="S883" s="6"/>
      <c r="T883" s="6"/>
      <c r="U883" s="6"/>
      <c r="V883" s="6"/>
      <c r="W883" s="6"/>
      <c r="X883" s="6"/>
      <c r="Y883" s="6"/>
      <c r="Z883" s="6"/>
    </row>
    <row r="884" spans="1:26" ht="15.75" customHeight="1" x14ac:dyDescent="0.3">
      <c r="A884" s="10" t="s">
        <v>2914</v>
      </c>
      <c r="B884" s="10">
        <v>1982</v>
      </c>
      <c r="C884" s="10" t="s">
        <v>4707</v>
      </c>
      <c r="D884" s="10">
        <v>24</v>
      </c>
      <c r="E884" s="10">
        <v>3</v>
      </c>
      <c r="F884" s="24">
        <v>7248.71</v>
      </c>
      <c r="G884" s="10" t="s">
        <v>4695</v>
      </c>
      <c r="H884" s="10" t="s">
        <v>4694</v>
      </c>
      <c r="I884" s="10" t="s">
        <v>4708</v>
      </c>
      <c r="J884" s="17">
        <f t="shared" si="6"/>
        <v>30156</v>
      </c>
      <c r="K884" s="10">
        <f t="shared" ca="1" si="7"/>
        <v>43</v>
      </c>
      <c r="L884" s="6"/>
      <c r="M884" s="6"/>
      <c r="N884" s="6"/>
      <c r="O884" s="6"/>
      <c r="P884" s="6"/>
      <c r="Q884" s="6"/>
      <c r="R884" s="6"/>
      <c r="S884" s="6"/>
      <c r="T884" s="6"/>
      <c r="U884" s="6"/>
      <c r="V884" s="6"/>
      <c r="W884" s="6"/>
      <c r="X884" s="6"/>
      <c r="Y884" s="6"/>
      <c r="Z884" s="6"/>
    </row>
    <row r="885" spans="1:26" ht="15.75" customHeight="1" x14ac:dyDescent="0.3">
      <c r="A885" s="10" t="s">
        <v>2912</v>
      </c>
      <c r="B885" s="10">
        <v>1981</v>
      </c>
      <c r="C885" s="10" t="s">
        <v>4714</v>
      </c>
      <c r="D885" s="10">
        <v>14</v>
      </c>
      <c r="E885" s="10">
        <v>2</v>
      </c>
      <c r="F885" s="24">
        <v>7256.72</v>
      </c>
      <c r="G885" s="10" t="s">
        <v>4696</v>
      </c>
      <c r="H885" s="10" t="s">
        <v>4695</v>
      </c>
      <c r="I885" s="10" t="s">
        <v>4712</v>
      </c>
      <c r="J885" s="17">
        <f t="shared" si="6"/>
        <v>29812</v>
      </c>
      <c r="K885" s="10">
        <f t="shared" ca="1" si="7"/>
        <v>44</v>
      </c>
      <c r="L885" s="6"/>
      <c r="M885" s="6"/>
      <c r="N885" s="6"/>
      <c r="O885" s="6"/>
      <c r="P885" s="6"/>
      <c r="Q885" s="6"/>
      <c r="R885" s="6"/>
      <c r="S885" s="6"/>
      <c r="T885" s="6"/>
      <c r="U885" s="6"/>
      <c r="V885" s="6"/>
      <c r="W885" s="6"/>
      <c r="X885" s="6"/>
      <c r="Y885" s="6"/>
      <c r="Z885" s="6"/>
    </row>
    <row r="886" spans="1:26" ht="15.75" customHeight="1" x14ac:dyDescent="0.3">
      <c r="A886" s="10" t="s">
        <v>2910</v>
      </c>
      <c r="B886" s="10">
        <v>1981</v>
      </c>
      <c r="C886" s="10" t="s">
        <v>4710</v>
      </c>
      <c r="D886" s="10">
        <v>13</v>
      </c>
      <c r="E886" s="10">
        <v>2</v>
      </c>
      <c r="F886" s="24">
        <v>7261.74</v>
      </c>
      <c r="G886" s="10" t="s">
        <v>4696</v>
      </c>
      <c r="H886" s="10" t="s">
        <v>4696</v>
      </c>
      <c r="I886" s="10" t="s">
        <v>4712</v>
      </c>
      <c r="J886" s="17">
        <f t="shared" si="6"/>
        <v>29750</v>
      </c>
      <c r="K886" s="10">
        <f t="shared" ca="1" si="7"/>
        <v>44</v>
      </c>
      <c r="L886" s="6"/>
      <c r="M886" s="6"/>
      <c r="N886" s="6"/>
      <c r="O886" s="6"/>
      <c r="P886" s="6"/>
      <c r="Q886" s="6"/>
      <c r="R886" s="6"/>
      <c r="S886" s="6"/>
      <c r="T886" s="6"/>
      <c r="U886" s="6"/>
      <c r="V886" s="6"/>
      <c r="W886" s="6"/>
      <c r="X886" s="6"/>
      <c r="Y886" s="6"/>
      <c r="Z886" s="6"/>
    </row>
    <row r="887" spans="1:26" ht="15.75" customHeight="1" x14ac:dyDescent="0.3">
      <c r="A887" s="10" t="s">
        <v>2908</v>
      </c>
      <c r="B887" s="10">
        <v>1973</v>
      </c>
      <c r="C887" s="10" t="s">
        <v>4715</v>
      </c>
      <c r="D887" s="10">
        <v>25</v>
      </c>
      <c r="E887" s="10">
        <v>0</v>
      </c>
      <c r="F887" s="24">
        <v>7265.58</v>
      </c>
      <c r="G887" s="10" t="s">
        <v>4695</v>
      </c>
      <c r="H887" s="10" t="s">
        <v>4695</v>
      </c>
      <c r="I887" s="10" t="s">
        <v>4708</v>
      </c>
      <c r="J887" s="17">
        <f t="shared" si="6"/>
        <v>26962</v>
      </c>
      <c r="K887" s="10">
        <f t="shared" ca="1" si="7"/>
        <v>52</v>
      </c>
      <c r="L887" s="6"/>
      <c r="M887" s="6"/>
      <c r="N887" s="6"/>
      <c r="O887" s="6"/>
      <c r="P887" s="6"/>
      <c r="Q887" s="6"/>
      <c r="R887" s="6"/>
      <c r="S887" s="6"/>
      <c r="T887" s="6"/>
      <c r="U887" s="6"/>
      <c r="V887" s="6"/>
      <c r="W887" s="6"/>
      <c r="X887" s="6"/>
      <c r="Y887" s="6"/>
      <c r="Z887" s="6"/>
    </row>
    <row r="888" spans="1:26" ht="15.75" customHeight="1" x14ac:dyDescent="0.3">
      <c r="A888" s="10" t="s">
        <v>2906</v>
      </c>
      <c r="B888" s="10">
        <v>1981</v>
      </c>
      <c r="C888" s="10" t="s">
        <v>4714</v>
      </c>
      <c r="D888" s="10">
        <v>4</v>
      </c>
      <c r="E888" s="10">
        <v>2</v>
      </c>
      <c r="F888" s="24">
        <v>7265.7</v>
      </c>
      <c r="G888" s="10" t="s">
        <v>4696</v>
      </c>
      <c r="H888" s="10" t="s">
        <v>4696</v>
      </c>
      <c r="I888" s="10" t="s">
        <v>4712</v>
      </c>
      <c r="J888" s="17">
        <f t="shared" si="6"/>
        <v>29802</v>
      </c>
      <c r="K888" s="10">
        <f t="shared" ca="1" si="7"/>
        <v>44</v>
      </c>
      <c r="L888" s="6"/>
      <c r="M888" s="6"/>
      <c r="N888" s="6"/>
      <c r="O888" s="6"/>
      <c r="P888" s="6"/>
      <c r="Q888" s="6"/>
      <c r="R888" s="6"/>
      <c r="S888" s="6"/>
      <c r="T888" s="6"/>
      <c r="U888" s="6"/>
      <c r="V888" s="6"/>
      <c r="W888" s="6"/>
      <c r="X888" s="6"/>
      <c r="Y888" s="6"/>
      <c r="Z888" s="6"/>
    </row>
    <row r="889" spans="1:26" ht="15.75" customHeight="1" x14ac:dyDescent="0.3">
      <c r="A889" s="10" t="s">
        <v>2904</v>
      </c>
      <c r="B889" s="10">
        <v>1976</v>
      </c>
      <c r="C889" s="10" t="s">
        <v>4713</v>
      </c>
      <c r="D889" s="10">
        <v>18</v>
      </c>
      <c r="E889" s="10">
        <v>2</v>
      </c>
      <c r="F889" s="24">
        <v>7273.02</v>
      </c>
      <c r="G889" s="10" t="s">
        <v>4695</v>
      </c>
      <c r="H889" s="10" t="s">
        <v>4694</v>
      </c>
      <c r="I889" s="10" t="s">
        <v>4708</v>
      </c>
      <c r="J889" s="17">
        <f t="shared" si="6"/>
        <v>28112</v>
      </c>
      <c r="K889" s="10">
        <f t="shared" ca="1" si="7"/>
        <v>48</v>
      </c>
      <c r="L889" s="6"/>
      <c r="M889" s="6"/>
      <c r="N889" s="6"/>
      <c r="O889" s="6"/>
      <c r="P889" s="6"/>
      <c r="Q889" s="6"/>
      <c r="R889" s="6"/>
      <c r="S889" s="6"/>
      <c r="T889" s="6"/>
      <c r="U889" s="6"/>
      <c r="V889" s="6"/>
      <c r="W889" s="6"/>
      <c r="X889" s="6"/>
      <c r="Y889" s="6"/>
      <c r="Z889" s="6"/>
    </row>
    <row r="890" spans="1:26" ht="15.75" customHeight="1" x14ac:dyDescent="0.3">
      <c r="A890" s="10" t="s">
        <v>2902</v>
      </c>
      <c r="B890" s="10">
        <v>1985</v>
      </c>
      <c r="C890" s="10" t="s">
        <v>4709</v>
      </c>
      <c r="D890" s="10">
        <v>2</v>
      </c>
      <c r="E890" s="10">
        <v>3</v>
      </c>
      <c r="F890" s="24">
        <v>7281.51</v>
      </c>
      <c r="G890" s="10" t="s">
        <v>4695</v>
      </c>
      <c r="H890" s="10" t="s">
        <v>4694</v>
      </c>
      <c r="I890" s="10" t="s">
        <v>4712</v>
      </c>
      <c r="J890" s="17">
        <f t="shared" si="6"/>
        <v>31353</v>
      </c>
      <c r="K890" s="10">
        <f t="shared" ca="1" si="7"/>
        <v>40</v>
      </c>
      <c r="L890" s="6"/>
      <c r="M890" s="6"/>
      <c r="N890" s="6"/>
      <c r="O890" s="6"/>
      <c r="P890" s="6"/>
      <c r="Q890" s="6"/>
      <c r="R890" s="6"/>
      <c r="S890" s="6"/>
      <c r="T890" s="6"/>
      <c r="U890" s="6"/>
      <c r="V890" s="6"/>
      <c r="W890" s="6"/>
      <c r="X890" s="6"/>
      <c r="Y890" s="6"/>
      <c r="Z890" s="6"/>
    </row>
    <row r="891" spans="1:26" ht="15.75" customHeight="1" x14ac:dyDescent="0.3">
      <c r="A891" s="10" t="s">
        <v>2900</v>
      </c>
      <c r="B891" s="10">
        <v>1966</v>
      </c>
      <c r="C891" s="10" t="s">
        <v>4713</v>
      </c>
      <c r="D891" s="10">
        <v>26</v>
      </c>
      <c r="E891" s="10">
        <v>0</v>
      </c>
      <c r="F891" s="24">
        <v>7302.46</v>
      </c>
      <c r="G891" s="10" t="s">
        <v>4696</v>
      </c>
      <c r="H891" s="10" t="s">
        <v>4694</v>
      </c>
      <c r="I891" s="10" t="s">
        <v>4712</v>
      </c>
      <c r="J891" s="17">
        <f t="shared" si="6"/>
        <v>24467</v>
      </c>
      <c r="K891" s="10">
        <f t="shared" ca="1" si="7"/>
        <v>58</v>
      </c>
      <c r="L891" s="6"/>
      <c r="M891" s="6"/>
      <c r="N891" s="6"/>
      <c r="O891" s="6"/>
      <c r="P891" s="6"/>
      <c r="Q891" s="6"/>
      <c r="R891" s="6"/>
      <c r="S891" s="6"/>
      <c r="T891" s="6"/>
      <c r="U891" s="6"/>
      <c r="V891" s="6"/>
      <c r="W891" s="6"/>
      <c r="X891" s="6"/>
      <c r="Y891" s="6"/>
      <c r="Z891" s="6"/>
    </row>
    <row r="892" spans="1:26" ht="15.75" customHeight="1" x14ac:dyDescent="0.3">
      <c r="A892" s="10" t="s">
        <v>2898</v>
      </c>
      <c r="B892" s="10">
        <v>1965</v>
      </c>
      <c r="C892" s="10" t="s">
        <v>4710</v>
      </c>
      <c r="D892" s="10">
        <v>6</v>
      </c>
      <c r="E892" s="10">
        <v>0</v>
      </c>
      <c r="F892" s="24">
        <v>7304.65</v>
      </c>
      <c r="G892" s="10" t="s">
        <v>4696</v>
      </c>
      <c r="H892" s="10" t="s">
        <v>4696</v>
      </c>
      <c r="I892" s="10" t="s">
        <v>4708</v>
      </c>
      <c r="J892" s="17">
        <f t="shared" si="6"/>
        <v>23899</v>
      </c>
      <c r="K892" s="10">
        <f t="shared" ca="1" si="7"/>
        <v>60</v>
      </c>
      <c r="L892" s="6"/>
      <c r="M892" s="6"/>
      <c r="N892" s="6"/>
      <c r="O892" s="6"/>
      <c r="P892" s="6"/>
      <c r="Q892" s="6"/>
      <c r="R892" s="6"/>
      <c r="S892" s="6"/>
      <c r="T892" s="6"/>
      <c r="U892" s="6"/>
      <c r="V892" s="6"/>
      <c r="W892" s="6"/>
      <c r="X892" s="6"/>
      <c r="Y892" s="6"/>
      <c r="Z892" s="6"/>
    </row>
    <row r="893" spans="1:26" ht="15.75" customHeight="1" x14ac:dyDescent="0.3">
      <c r="A893" s="10" t="s">
        <v>2896</v>
      </c>
      <c r="B893" s="10">
        <v>1965</v>
      </c>
      <c r="C893" s="10" t="s">
        <v>4710</v>
      </c>
      <c r="D893" s="10">
        <v>25</v>
      </c>
      <c r="E893" s="10">
        <v>0</v>
      </c>
      <c r="F893" s="24">
        <v>7318.21</v>
      </c>
      <c r="G893" s="10" t="s">
        <v>4696</v>
      </c>
      <c r="H893" s="10" t="s">
        <v>4694</v>
      </c>
      <c r="I893" s="10" t="s">
        <v>4708</v>
      </c>
      <c r="J893" s="17">
        <f t="shared" si="6"/>
        <v>23918</v>
      </c>
      <c r="K893" s="10">
        <f t="shared" ca="1" si="7"/>
        <v>60</v>
      </c>
      <c r="L893" s="6"/>
      <c r="M893" s="6"/>
      <c r="N893" s="6"/>
      <c r="O893" s="6"/>
      <c r="P893" s="6"/>
      <c r="Q893" s="6"/>
      <c r="R893" s="6"/>
      <c r="S893" s="6"/>
      <c r="T893" s="6"/>
      <c r="U893" s="6"/>
      <c r="V893" s="6"/>
      <c r="W893" s="6"/>
      <c r="X893" s="6"/>
      <c r="Y893" s="6"/>
      <c r="Z893" s="6"/>
    </row>
    <row r="894" spans="1:26" ht="15.75" customHeight="1" x14ac:dyDescent="0.3">
      <c r="A894" s="10" t="s">
        <v>2894</v>
      </c>
      <c r="B894" s="10">
        <v>1972</v>
      </c>
      <c r="C894" s="10" t="s">
        <v>4714</v>
      </c>
      <c r="D894" s="10">
        <v>11</v>
      </c>
      <c r="E894" s="10">
        <v>0</v>
      </c>
      <c r="F894" s="24">
        <v>7318.22</v>
      </c>
      <c r="G894" s="10" t="s">
        <v>4695</v>
      </c>
      <c r="H894" s="10" t="s">
        <v>4696</v>
      </c>
      <c r="I894" s="10" t="s">
        <v>4712</v>
      </c>
      <c r="J894" s="17">
        <f t="shared" si="6"/>
        <v>26522</v>
      </c>
      <c r="K894" s="10">
        <f t="shared" ca="1" si="7"/>
        <v>53</v>
      </c>
      <c r="L894" s="6"/>
      <c r="M894" s="6"/>
      <c r="N894" s="6"/>
      <c r="O894" s="6"/>
      <c r="P894" s="6"/>
      <c r="Q894" s="6"/>
      <c r="R894" s="6"/>
      <c r="S894" s="6"/>
      <c r="T894" s="6"/>
      <c r="U894" s="6"/>
      <c r="V894" s="6"/>
      <c r="W894" s="6"/>
      <c r="X894" s="6"/>
      <c r="Y894" s="6"/>
      <c r="Z894" s="6"/>
    </row>
    <row r="895" spans="1:26" ht="15.75" customHeight="1" x14ac:dyDescent="0.3">
      <c r="A895" s="10" t="s">
        <v>2892</v>
      </c>
      <c r="B895" s="10">
        <v>1965</v>
      </c>
      <c r="C895" s="10" t="s">
        <v>4707</v>
      </c>
      <c r="D895" s="10">
        <v>11</v>
      </c>
      <c r="E895" s="10">
        <v>0</v>
      </c>
      <c r="F895" s="24">
        <v>7322.86</v>
      </c>
      <c r="G895" s="10" t="s">
        <v>4696</v>
      </c>
      <c r="H895" s="10" t="s">
        <v>4696</v>
      </c>
      <c r="I895" s="10" t="s">
        <v>4712</v>
      </c>
      <c r="J895" s="17">
        <f t="shared" si="6"/>
        <v>23934</v>
      </c>
      <c r="K895" s="10">
        <f t="shared" ca="1" si="7"/>
        <v>60</v>
      </c>
      <c r="L895" s="6"/>
      <c r="M895" s="6"/>
      <c r="N895" s="6"/>
      <c r="O895" s="6"/>
      <c r="P895" s="6"/>
      <c r="Q895" s="6"/>
      <c r="R895" s="6"/>
      <c r="S895" s="6"/>
      <c r="T895" s="6"/>
      <c r="U895" s="6"/>
      <c r="V895" s="6"/>
      <c r="W895" s="6"/>
      <c r="X895" s="6"/>
      <c r="Y895" s="6"/>
      <c r="Z895" s="6"/>
    </row>
    <row r="896" spans="1:26" ht="15.75" customHeight="1" x14ac:dyDescent="0.3">
      <c r="A896" s="10" t="s">
        <v>2890</v>
      </c>
      <c r="B896" s="10">
        <v>2004</v>
      </c>
      <c r="C896" s="10" t="s">
        <v>4709</v>
      </c>
      <c r="D896" s="10">
        <v>15</v>
      </c>
      <c r="E896" s="10">
        <v>0</v>
      </c>
      <c r="F896" s="24">
        <v>7323.73</v>
      </c>
      <c r="G896" s="10" t="s">
        <v>4695</v>
      </c>
      <c r="H896" s="10" t="s">
        <v>4695</v>
      </c>
      <c r="I896" s="10" t="s">
        <v>4723</v>
      </c>
      <c r="J896" s="17">
        <f t="shared" si="6"/>
        <v>38306</v>
      </c>
      <c r="K896" s="10">
        <f t="shared" ca="1" si="7"/>
        <v>21</v>
      </c>
      <c r="L896" s="6"/>
      <c r="M896" s="6"/>
      <c r="N896" s="6"/>
      <c r="O896" s="6"/>
      <c r="P896" s="6"/>
      <c r="Q896" s="6"/>
      <c r="R896" s="6"/>
      <c r="S896" s="6"/>
      <c r="T896" s="6"/>
      <c r="U896" s="6"/>
      <c r="V896" s="6"/>
      <c r="W896" s="6"/>
      <c r="X896" s="6"/>
      <c r="Y896" s="6"/>
      <c r="Z896" s="6"/>
    </row>
    <row r="897" spans="1:26" ht="15.75" customHeight="1" x14ac:dyDescent="0.3">
      <c r="A897" s="10" t="s">
        <v>2888</v>
      </c>
      <c r="B897" s="10">
        <v>1979</v>
      </c>
      <c r="C897" s="10" t="s">
        <v>4710</v>
      </c>
      <c r="D897" s="10">
        <v>19</v>
      </c>
      <c r="E897" s="10">
        <v>0</v>
      </c>
      <c r="F897" s="24">
        <v>7325.05</v>
      </c>
      <c r="G897" s="10" t="s">
        <v>4695</v>
      </c>
      <c r="H897" s="10" t="s">
        <v>4696</v>
      </c>
      <c r="I897" s="10" t="s">
        <v>4723</v>
      </c>
      <c r="J897" s="17">
        <f t="shared" si="6"/>
        <v>29025</v>
      </c>
      <c r="K897" s="10">
        <f t="shared" ca="1" si="7"/>
        <v>46</v>
      </c>
      <c r="L897" s="6"/>
      <c r="M897" s="6"/>
      <c r="N897" s="6"/>
      <c r="O897" s="6"/>
      <c r="P897" s="6"/>
      <c r="Q897" s="6"/>
      <c r="R897" s="6"/>
      <c r="S897" s="6"/>
      <c r="T897" s="6"/>
      <c r="U897" s="6"/>
      <c r="V897" s="6"/>
      <c r="W897" s="6"/>
      <c r="X897" s="6"/>
      <c r="Y897" s="6"/>
      <c r="Z897" s="6"/>
    </row>
    <row r="898" spans="1:26" ht="15.75" customHeight="1" x14ac:dyDescent="0.3">
      <c r="A898" s="10" t="s">
        <v>2886</v>
      </c>
      <c r="B898" s="10">
        <v>1984</v>
      </c>
      <c r="C898" s="10" t="s">
        <v>4707</v>
      </c>
      <c r="D898" s="10">
        <v>25</v>
      </c>
      <c r="E898" s="10">
        <v>3</v>
      </c>
      <c r="F898" s="24">
        <v>7325.47</v>
      </c>
      <c r="G898" s="10" t="s">
        <v>4695</v>
      </c>
      <c r="H898" s="10" t="s">
        <v>4694</v>
      </c>
      <c r="I898" s="10" t="s">
        <v>4712</v>
      </c>
      <c r="J898" s="17">
        <f t="shared" si="6"/>
        <v>30888</v>
      </c>
      <c r="K898" s="10">
        <f t="shared" ca="1" si="7"/>
        <v>41</v>
      </c>
      <c r="L898" s="6"/>
      <c r="M898" s="6"/>
      <c r="N898" s="6"/>
      <c r="O898" s="6"/>
      <c r="P898" s="6"/>
      <c r="Q898" s="6"/>
      <c r="R898" s="6"/>
      <c r="S898" s="6"/>
      <c r="T898" s="6"/>
      <c r="U898" s="6"/>
      <c r="V898" s="6"/>
      <c r="W898" s="6"/>
      <c r="X898" s="6"/>
      <c r="Y898" s="6"/>
      <c r="Z898" s="6"/>
    </row>
    <row r="899" spans="1:26" ht="15.75" customHeight="1" x14ac:dyDescent="0.3">
      <c r="A899" s="10" t="s">
        <v>2884</v>
      </c>
      <c r="B899" s="10">
        <v>1979</v>
      </c>
      <c r="C899" s="10" t="s">
        <v>4711</v>
      </c>
      <c r="D899" s="10">
        <v>19</v>
      </c>
      <c r="E899" s="10">
        <v>1</v>
      </c>
      <c r="F899" s="24">
        <v>7337.75</v>
      </c>
      <c r="G899" s="10" t="s">
        <v>4695</v>
      </c>
      <c r="H899" s="10" t="s">
        <v>4696</v>
      </c>
      <c r="I899" s="10" t="s">
        <v>4716</v>
      </c>
      <c r="J899" s="17">
        <f t="shared" si="6"/>
        <v>29117</v>
      </c>
      <c r="K899" s="10">
        <f t="shared" ca="1" si="7"/>
        <v>46</v>
      </c>
      <c r="L899" s="6"/>
      <c r="M899" s="6"/>
      <c r="N899" s="6"/>
      <c r="O899" s="6"/>
      <c r="P899" s="6"/>
      <c r="Q899" s="6"/>
      <c r="R899" s="6"/>
      <c r="S899" s="6"/>
      <c r="T899" s="6"/>
      <c r="U899" s="6"/>
      <c r="V899" s="6"/>
      <c r="W899" s="6"/>
      <c r="X899" s="6"/>
      <c r="Y899" s="6"/>
      <c r="Z899" s="6"/>
    </row>
    <row r="900" spans="1:26" ht="15.75" customHeight="1" x14ac:dyDescent="0.3">
      <c r="A900" s="10" t="s">
        <v>2882</v>
      </c>
      <c r="B900" s="10">
        <v>1986</v>
      </c>
      <c r="C900" s="10" t="s">
        <v>4710</v>
      </c>
      <c r="D900" s="10">
        <v>15</v>
      </c>
      <c r="E900" s="10">
        <v>3</v>
      </c>
      <c r="F900" s="24">
        <v>7339.93</v>
      </c>
      <c r="G900" s="10" t="s">
        <v>4695</v>
      </c>
      <c r="H900" s="10" t="s">
        <v>4695</v>
      </c>
      <c r="I900" s="10" t="s">
        <v>4712</v>
      </c>
      <c r="J900" s="17">
        <f t="shared" si="6"/>
        <v>31578</v>
      </c>
      <c r="K900" s="10">
        <f t="shared" ca="1" si="7"/>
        <v>39</v>
      </c>
      <c r="L900" s="6"/>
      <c r="M900" s="6"/>
      <c r="N900" s="6"/>
      <c r="O900" s="6"/>
      <c r="P900" s="6"/>
      <c r="Q900" s="6"/>
      <c r="R900" s="6"/>
      <c r="S900" s="6"/>
      <c r="T900" s="6"/>
      <c r="U900" s="6"/>
      <c r="V900" s="6"/>
      <c r="W900" s="6"/>
      <c r="X900" s="6"/>
      <c r="Y900" s="6"/>
      <c r="Z900" s="6"/>
    </row>
    <row r="901" spans="1:26" ht="15.75" customHeight="1" x14ac:dyDescent="0.3">
      <c r="A901" s="10" t="s">
        <v>2880</v>
      </c>
      <c r="B901" s="10">
        <v>1977</v>
      </c>
      <c r="C901" s="10" t="s">
        <v>4713</v>
      </c>
      <c r="D901" s="10">
        <v>18</v>
      </c>
      <c r="E901" s="10">
        <v>0</v>
      </c>
      <c r="F901" s="24">
        <v>7345.08</v>
      </c>
      <c r="G901" s="10" t="s">
        <v>4695</v>
      </c>
      <c r="H901" s="10" t="s">
        <v>4694</v>
      </c>
      <c r="I901" s="10" t="s">
        <v>4716</v>
      </c>
      <c r="J901" s="17">
        <f t="shared" si="6"/>
        <v>28477</v>
      </c>
      <c r="K901" s="10">
        <f t="shared" ca="1" si="7"/>
        <v>47</v>
      </c>
      <c r="L901" s="6"/>
      <c r="M901" s="6"/>
      <c r="N901" s="6"/>
      <c r="O901" s="6"/>
      <c r="P901" s="6"/>
      <c r="Q901" s="6"/>
      <c r="R901" s="6"/>
      <c r="S901" s="6"/>
      <c r="T901" s="6"/>
      <c r="U901" s="6"/>
      <c r="V901" s="6"/>
      <c r="W901" s="6"/>
      <c r="X901" s="6"/>
      <c r="Y901" s="6"/>
      <c r="Z901" s="6"/>
    </row>
    <row r="902" spans="1:26" ht="15.75" customHeight="1" x14ac:dyDescent="0.3">
      <c r="A902" s="10" t="s">
        <v>2878</v>
      </c>
      <c r="B902" s="10">
        <v>1979</v>
      </c>
      <c r="C902" s="10" t="s">
        <v>4710</v>
      </c>
      <c r="D902" s="10">
        <v>26</v>
      </c>
      <c r="E902" s="10">
        <v>1</v>
      </c>
      <c r="F902" s="24">
        <v>7345.73</v>
      </c>
      <c r="G902" s="10" t="s">
        <v>4695</v>
      </c>
      <c r="H902" s="10" t="s">
        <v>4694</v>
      </c>
      <c r="I902" s="10" t="s">
        <v>4708</v>
      </c>
      <c r="J902" s="17">
        <f t="shared" si="6"/>
        <v>29032</v>
      </c>
      <c r="K902" s="10">
        <f t="shared" ca="1" si="7"/>
        <v>46</v>
      </c>
      <c r="L902" s="6"/>
      <c r="M902" s="6"/>
      <c r="N902" s="6"/>
      <c r="O902" s="6"/>
      <c r="P902" s="6"/>
      <c r="Q902" s="6"/>
      <c r="R902" s="6"/>
      <c r="S902" s="6"/>
      <c r="T902" s="6"/>
      <c r="U902" s="6"/>
      <c r="V902" s="6"/>
      <c r="W902" s="6"/>
      <c r="X902" s="6"/>
      <c r="Y902" s="6"/>
      <c r="Z902" s="6"/>
    </row>
    <row r="903" spans="1:26" ht="15.75" customHeight="1" x14ac:dyDescent="0.3">
      <c r="A903" s="10" t="s">
        <v>2876</v>
      </c>
      <c r="B903" s="10">
        <v>1977</v>
      </c>
      <c r="C903" s="10" t="s">
        <v>4713</v>
      </c>
      <c r="D903" s="10">
        <v>1</v>
      </c>
      <c r="E903" s="10">
        <v>0</v>
      </c>
      <c r="F903" s="24">
        <v>7348.14</v>
      </c>
      <c r="G903" s="10" t="s">
        <v>4695</v>
      </c>
      <c r="H903" s="10" t="s">
        <v>4694</v>
      </c>
      <c r="I903" s="10" t="s">
        <v>4716</v>
      </c>
      <c r="J903" s="17">
        <f t="shared" si="6"/>
        <v>28460</v>
      </c>
      <c r="K903" s="10">
        <f t="shared" ca="1" si="7"/>
        <v>47</v>
      </c>
      <c r="L903" s="6"/>
      <c r="M903" s="6"/>
      <c r="N903" s="6"/>
      <c r="O903" s="6"/>
      <c r="P903" s="6"/>
      <c r="Q903" s="6"/>
      <c r="R903" s="6"/>
      <c r="S903" s="6"/>
      <c r="T903" s="6"/>
      <c r="U903" s="6"/>
      <c r="V903" s="6"/>
      <c r="W903" s="6"/>
      <c r="X903" s="6"/>
      <c r="Y903" s="6"/>
      <c r="Z903" s="6"/>
    </row>
    <row r="904" spans="1:26" ht="15.75" customHeight="1" x14ac:dyDescent="0.3">
      <c r="A904" s="10" t="s">
        <v>2874</v>
      </c>
      <c r="B904" s="10">
        <v>1993</v>
      </c>
      <c r="C904" s="10" t="s">
        <v>4715</v>
      </c>
      <c r="D904" s="10">
        <v>5</v>
      </c>
      <c r="E904" s="10">
        <v>0</v>
      </c>
      <c r="F904" s="24">
        <v>7349.12</v>
      </c>
      <c r="G904" s="10" t="s">
        <v>4695</v>
      </c>
      <c r="H904" s="10" t="s">
        <v>4695</v>
      </c>
      <c r="I904" s="10" t="s">
        <v>4726</v>
      </c>
      <c r="J904" s="17">
        <f t="shared" si="6"/>
        <v>34247</v>
      </c>
      <c r="K904" s="10">
        <f t="shared" ca="1" si="7"/>
        <v>32</v>
      </c>
      <c r="L904" s="6"/>
      <c r="M904" s="6"/>
      <c r="N904" s="6"/>
      <c r="O904" s="6"/>
      <c r="P904" s="6"/>
      <c r="Q904" s="6"/>
      <c r="R904" s="6"/>
      <c r="S904" s="6"/>
      <c r="T904" s="6"/>
      <c r="U904" s="6"/>
      <c r="V904" s="6"/>
      <c r="W904" s="6"/>
      <c r="X904" s="6"/>
      <c r="Y904" s="6"/>
      <c r="Z904" s="6"/>
    </row>
    <row r="905" spans="1:26" ht="15.75" customHeight="1" x14ac:dyDescent="0.3">
      <c r="A905" s="10" t="s">
        <v>2872</v>
      </c>
      <c r="B905" s="10">
        <v>1983</v>
      </c>
      <c r="C905" s="10" t="s">
        <v>4710</v>
      </c>
      <c r="D905" s="10">
        <v>21</v>
      </c>
      <c r="E905" s="10">
        <v>3</v>
      </c>
      <c r="F905" s="24">
        <v>7357.49</v>
      </c>
      <c r="G905" s="10" t="s">
        <v>4695</v>
      </c>
      <c r="H905" s="10" t="s">
        <v>4695</v>
      </c>
      <c r="I905" s="10" t="s">
        <v>4712</v>
      </c>
      <c r="J905" s="17">
        <f t="shared" si="6"/>
        <v>30488</v>
      </c>
      <c r="K905" s="10">
        <f t="shared" ca="1" si="7"/>
        <v>42</v>
      </c>
      <c r="L905" s="6"/>
      <c r="M905" s="6"/>
      <c r="N905" s="6"/>
      <c r="O905" s="6"/>
      <c r="P905" s="6"/>
      <c r="Q905" s="6"/>
      <c r="R905" s="6"/>
      <c r="S905" s="6"/>
      <c r="T905" s="6"/>
      <c r="U905" s="6"/>
      <c r="V905" s="6"/>
      <c r="W905" s="6"/>
      <c r="X905" s="6"/>
      <c r="Y905" s="6"/>
      <c r="Z905" s="6"/>
    </row>
    <row r="906" spans="1:26" ht="15.75" customHeight="1" x14ac:dyDescent="0.3">
      <c r="A906" s="10" t="s">
        <v>2870</v>
      </c>
      <c r="B906" s="10">
        <v>1981</v>
      </c>
      <c r="C906" s="10" t="s">
        <v>4707</v>
      </c>
      <c r="D906" s="10">
        <v>16</v>
      </c>
      <c r="E906" s="10">
        <v>1</v>
      </c>
      <c r="F906" s="24">
        <v>7358.18</v>
      </c>
      <c r="G906" s="10" t="s">
        <v>4695</v>
      </c>
      <c r="H906" s="10" t="s">
        <v>4696</v>
      </c>
      <c r="I906" s="10" t="s">
        <v>4723</v>
      </c>
      <c r="J906" s="17">
        <f t="shared" si="6"/>
        <v>29783</v>
      </c>
      <c r="K906" s="10">
        <f t="shared" ca="1" si="7"/>
        <v>44</v>
      </c>
      <c r="L906" s="6"/>
      <c r="M906" s="6"/>
      <c r="N906" s="6"/>
      <c r="O906" s="6"/>
      <c r="P906" s="6"/>
      <c r="Q906" s="6"/>
      <c r="R906" s="6"/>
      <c r="S906" s="6"/>
      <c r="T906" s="6"/>
      <c r="U906" s="6"/>
      <c r="V906" s="6"/>
      <c r="W906" s="6"/>
      <c r="X906" s="6"/>
      <c r="Y906" s="6"/>
      <c r="Z906" s="6"/>
    </row>
    <row r="907" spans="1:26" ht="15.75" customHeight="1" x14ac:dyDescent="0.3">
      <c r="A907" s="10" t="s">
        <v>2868</v>
      </c>
      <c r="B907" s="10">
        <v>1965</v>
      </c>
      <c r="C907" s="10" t="s">
        <v>4713</v>
      </c>
      <c r="D907" s="10">
        <v>9</v>
      </c>
      <c r="E907" s="10">
        <v>0</v>
      </c>
      <c r="F907" s="24">
        <v>7362.31</v>
      </c>
      <c r="G907" s="10" t="s">
        <v>4696</v>
      </c>
      <c r="H907" s="10" t="s">
        <v>4696</v>
      </c>
      <c r="I907" s="10" t="s">
        <v>4708</v>
      </c>
      <c r="J907" s="17">
        <f t="shared" si="6"/>
        <v>24085</v>
      </c>
      <c r="K907" s="10">
        <f t="shared" ca="1" si="7"/>
        <v>59</v>
      </c>
      <c r="L907" s="6"/>
      <c r="M907" s="6"/>
      <c r="N907" s="6"/>
      <c r="O907" s="6"/>
      <c r="P907" s="6"/>
      <c r="Q907" s="6"/>
      <c r="R907" s="6"/>
      <c r="S907" s="6"/>
      <c r="T907" s="6"/>
      <c r="U907" s="6"/>
      <c r="V907" s="6"/>
      <c r="W907" s="6"/>
      <c r="X907" s="6"/>
      <c r="Y907" s="6"/>
      <c r="Z907" s="6"/>
    </row>
    <row r="908" spans="1:26" ht="15.75" customHeight="1" x14ac:dyDescent="0.3">
      <c r="A908" s="10" t="s">
        <v>2866</v>
      </c>
      <c r="B908" s="10">
        <v>1981</v>
      </c>
      <c r="C908" s="10" t="s">
        <v>4709</v>
      </c>
      <c r="D908" s="10">
        <v>24</v>
      </c>
      <c r="E908" s="10">
        <v>2</v>
      </c>
      <c r="F908" s="24">
        <v>7371.77</v>
      </c>
      <c r="G908" s="10" t="s">
        <v>4695</v>
      </c>
      <c r="H908" s="10" t="s">
        <v>4694</v>
      </c>
      <c r="I908" s="10" t="s">
        <v>4716</v>
      </c>
      <c r="J908" s="17">
        <f t="shared" si="6"/>
        <v>29914</v>
      </c>
      <c r="K908" s="10">
        <f t="shared" ca="1" si="7"/>
        <v>44</v>
      </c>
      <c r="L908" s="6"/>
      <c r="M908" s="6"/>
      <c r="N908" s="6"/>
      <c r="O908" s="6"/>
      <c r="P908" s="6"/>
      <c r="Q908" s="6"/>
      <c r="R908" s="6"/>
      <c r="S908" s="6"/>
      <c r="T908" s="6"/>
      <c r="U908" s="6"/>
      <c r="V908" s="6"/>
      <c r="W908" s="6"/>
      <c r="X908" s="6"/>
      <c r="Y908" s="6"/>
      <c r="Z908" s="6"/>
    </row>
    <row r="909" spans="1:26" ht="15.75" customHeight="1" x14ac:dyDescent="0.3">
      <c r="A909" s="10" t="s">
        <v>2864</v>
      </c>
      <c r="B909" s="10">
        <v>1993</v>
      </c>
      <c r="C909" s="10" t="s">
        <v>4707</v>
      </c>
      <c r="D909" s="10">
        <v>22</v>
      </c>
      <c r="E909" s="10">
        <v>0</v>
      </c>
      <c r="F909" s="24">
        <v>7388.85</v>
      </c>
      <c r="G909" s="10" t="s">
        <v>4695</v>
      </c>
      <c r="H909" s="10" t="s">
        <v>4695</v>
      </c>
      <c r="I909" s="10" t="s">
        <v>4729</v>
      </c>
      <c r="J909" s="17">
        <f t="shared" si="6"/>
        <v>34172</v>
      </c>
      <c r="K909" s="10">
        <f t="shared" ca="1" si="7"/>
        <v>32</v>
      </c>
      <c r="L909" s="6"/>
      <c r="M909" s="6"/>
      <c r="N909" s="6"/>
      <c r="O909" s="6"/>
      <c r="P909" s="6"/>
      <c r="Q909" s="6"/>
      <c r="R909" s="6"/>
      <c r="S909" s="6"/>
      <c r="T909" s="6"/>
      <c r="U909" s="6"/>
      <c r="V909" s="6"/>
      <c r="W909" s="6"/>
      <c r="X909" s="6"/>
      <c r="Y909" s="6"/>
      <c r="Z909" s="6"/>
    </row>
    <row r="910" spans="1:26" ht="15.75" customHeight="1" x14ac:dyDescent="0.3">
      <c r="A910" s="10" t="s">
        <v>2862</v>
      </c>
      <c r="B910" s="10">
        <v>1965</v>
      </c>
      <c r="C910" s="10" t="s">
        <v>4713</v>
      </c>
      <c r="D910" s="10">
        <v>5</v>
      </c>
      <c r="E910" s="10">
        <v>0</v>
      </c>
      <c r="F910" s="24">
        <v>7403.98</v>
      </c>
      <c r="G910" s="10" t="s">
        <v>4696</v>
      </c>
      <c r="H910" s="10" t="s">
        <v>4695</v>
      </c>
      <c r="I910" s="10" t="s">
        <v>4708</v>
      </c>
      <c r="J910" s="17">
        <f t="shared" si="6"/>
        <v>24081</v>
      </c>
      <c r="K910" s="10">
        <f t="shared" ca="1" si="7"/>
        <v>59</v>
      </c>
      <c r="L910" s="6"/>
      <c r="M910" s="6"/>
      <c r="N910" s="6"/>
      <c r="O910" s="6"/>
      <c r="P910" s="6"/>
      <c r="Q910" s="6"/>
      <c r="R910" s="6"/>
      <c r="S910" s="6"/>
      <c r="T910" s="6"/>
      <c r="U910" s="6"/>
      <c r="V910" s="6"/>
      <c r="W910" s="6"/>
      <c r="X910" s="6"/>
      <c r="Y910" s="6"/>
      <c r="Z910" s="6"/>
    </row>
    <row r="911" spans="1:26" ht="15.75" customHeight="1" x14ac:dyDescent="0.3">
      <c r="A911" s="10" t="s">
        <v>2860</v>
      </c>
      <c r="B911" s="10">
        <v>1983</v>
      </c>
      <c r="C911" s="10" t="s">
        <v>4711</v>
      </c>
      <c r="D911" s="10">
        <v>19</v>
      </c>
      <c r="E911" s="10">
        <v>3</v>
      </c>
      <c r="F911" s="24">
        <v>7418.52</v>
      </c>
      <c r="G911" s="10" t="s">
        <v>4695</v>
      </c>
      <c r="H911" s="10" t="s">
        <v>4695</v>
      </c>
      <c r="I911" s="10" t="s">
        <v>4716</v>
      </c>
      <c r="J911" s="17">
        <f t="shared" si="6"/>
        <v>30578</v>
      </c>
      <c r="K911" s="10">
        <f t="shared" ca="1" si="7"/>
        <v>42</v>
      </c>
      <c r="L911" s="6"/>
      <c r="M911" s="6"/>
      <c r="N911" s="6"/>
      <c r="O911" s="6"/>
      <c r="P911" s="6"/>
      <c r="Q911" s="6"/>
      <c r="R911" s="6"/>
      <c r="S911" s="6"/>
      <c r="T911" s="6"/>
      <c r="U911" s="6"/>
      <c r="V911" s="6"/>
      <c r="W911" s="6"/>
      <c r="X911" s="6"/>
      <c r="Y911" s="6"/>
      <c r="Z911" s="6"/>
    </row>
    <row r="912" spans="1:26" ht="15.75" customHeight="1" x14ac:dyDescent="0.3">
      <c r="A912" s="10" t="s">
        <v>2858</v>
      </c>
      <c r="B912" s="10">
        <v>1978</v>
      </c>
      <c r="C912" s="10" t="s">
        <v>4709</v>
      </c>
      <c r="D912" s="10">
        <v>12</v>
      </c>
      <c r="E912" s="10">
        <v>0</v>
      </c>
      <c r="F912" s="24">
        <v>7419.48</v>
      </c>
      <c r="G912" s="10" t="s">
        <v>4695</v>
      </c>
      <c r="H912" s="10" t="s">
        <v>4695</v>
      </c>
      <c r="I912" s="10" t="s">
        <v>4712</v>
      </c>
      <c r="J912" s="17">
        <f t="shared" si="6"/>
        <v>28806</v>
      </c>
      <c r="K912" s="10">
        <f t="shared" ca="1" si="7"/>
        <v>47</v>
      </c>
      <c r="L912" s="6"/>
      <c r="M912" s="6"/>
      <c r="N912" s="6"/>
      <c r="O912" s="6"/>
      <c r="P912" s="6"/>
      <c r="Q912" s="6"/>
      <c r="R912" s="6"/>
      <c r="S912" s="6"/>
      <c r="T912" s="6"/>
      <c r="U912" s="6"/>
      <c r="V912" s="6"/>
      <c r="W912" s="6"/>
      <c r="X912" s="6"/>
      <c r="Y912" s="6"/>
      <c r="Z912" s="6"/>
    </row>
    <row r="913" spans="1:26" ht="15.75" customHeight="1" x14ac:dyDescent="0.3">
      <c r="A913" s="10" t="s">
        <v>2856</v>
      </c>
      <c r="B913" s="10">
        <v>1978</v>
      </c>
      <c r="C913" s="10" t="s">
        <v>4713</v>
      </c>
      <c r="D913" s="10">
        <v>2</v>
      </c>
      <c r="E913" s="10">
        <v>0</v>
      </c>
      <c r="F913" s="24">
        <v>7421.19</v>
      </c>
      <c r="G913" s="10" t="s">
        <v>4695</v>
      </c>
      <c r="H913" s="10" t="s">
        <v>4696</v>
      </c>
      <c r="I913" s="10" t="s">
        <v>4712</v>
      </c>
      <c r="J913" s="17">
        <f t="shared" si="6"/>
        <v>28826</v>
      </c>
      <c r="K913" s="10">
        <f t="shared" ca="1" si="7"/>
        <v>46</v>
      </c>
      <c r="L913" s="6"/>
      <c r="M913" s="6"/>
      <c r="N913" s="6"/>
      <c r="O913" s="6"/>
      <c r="P913" s="6"/>
      <c r="Q913" s="6"/>
      <c r="R913" s="6"/>
      <c r="S913" s="6"/>
      <c r="T913" s="6"/>
      <c r="U913" s="6"/>
      <c r="V913" s="6"/>
      <c r="W913" s="6"/>
      <c r="X913" s="6"/>
      <c r="Y913" s="6"/>
      <c r="Z913" s="6"/>
    </row>
    <row r="914" spans="1:26" ht="15.75" customHeight="1" x14ac:dyDescent="0.3">
      <c r="A914" s="10" t="s">
        <v>2854</v>
      </c>
      <c r="B914" s="10">
        <v>1977</v>
      </c>
      <c r="C914" s="10" t="s">
        <v>4714</v>
      </c>
      <c r="D914" s="10">
        <v>25</v>
      </c>
      <c r="E914" s="10">
        <v>1</v>
      </c>
      <c r="F914" s="24">
        <v>7441.05</v>
      </c>
      <c r="G914" s="10" t="s">
        <v>4696</v>
      </c>
      <c r="H914" s="10" t="s">
        <v>4695</v>
      </c>
      <c r="I914" s="10" t="s">
        <v>4716</v>
      </c>
      <c r="J914" s="17">
        <f t="shared" si="6"/>
        <v>28362</v>
      </c>
      <c r="K914" s="10">
        <f t="shared" ca="1" si="7"/>
        <v>48</v>
      </c>
      <c r="L914" s="6"/>
      <c r="M914" s="6"/>
      <c r="N914" s="6"/>
      <c r="O914" s="6"/>
      <c r="P914" s="6"/>
      <c r="Q914" s="6"/>
      <c r="R914" s="6"/>
      <c r="S914" s="6"/>
      <c r="T914" s="6"/>
      <c r="U914" s="6"/>
      <c r="V914" s="6"/>
      <c r="W914" s="6"/>
      <c r="X914" s="6"/>
      <c r="Y914" s="6"/>
      <c r="Z914" s="6"/>
    </row>
    <row r="915" spans="1:26" ht="15.75" customHeight="1" x14ac:dyDescent="0.3">
      <c r="A915" s="10" t="s">
        <v>2852</v>
      </c>
      <c r="B915" s="10">
        <v>1979</v>
      </c>
      <c r="C915" s="10" t="s">
        <v>4711</v>
      </c>
      <c r="D915" s="10">
        <v>1</v>
      </c>
      <c r="E915" s="10">
        <v>2</v>
      </c>
      <c r="F915" s="24">
        <v>7441.5</v>
      </c>
      <c r="G915" s="10" t="s">
        <v>4696</v>
      </c>
      <c r="H915" s="10" t="s">
        <v>4695</v>
      </c>
      <c r="I915" s="10" t="s">
        <v>4716</v>
      </c>
      <c r="J915" s="17">
        <f t="shared" si="6"/>
        <v>29099</v>
      </c>
      <c r="K915" s="10">
        <f t="shared" ca="1" si="7"/>
        <v>46</v>
      </c>
      <c r="L915" s="6"/>
      <c r="M915" s="6"/>
      <c r="N915" s="6"/>
      <c r="O915" s="6"/>
      <c r="P915" s="6"/>
      <c r="Q915" s="6"/>
      <c r="R915" s="6"/>
      <c r="S915" s="6"/>
      <c r="T915" s="6"/>
      <c r="U915" s="6"/>
      <c r="V915" s="6"/>
      <c r="W915" s="6"/>
      <c r="X915" s="6"/>
      <c r="Y915" s="6"/>
      <c r="Z915" s="6"/>
    </row>
    <row r="916" spans="1:26" ht="15.75" customHeight="1" x14ac:dyDescent="0.3">
      <c r="A916" s="10" t="s">
        <v>2850</v>
      </c>
      <c r="B916" s="10">
        <v>1980</v>
      </c>
      <c r="C916" s="10" t="s">
        <v>4707</v>
      </c>
      <c r="D916" s="10">
        <v>7</v>
      </c>
      <c r="E916" s="10">
        <v>1</v>
      </c>
      <c r="F916" s="24">
        <v>7443.64</v>
      </c>
      <c r="G916" s="10" t="s">
        <v>4695</v>
      </c>
      <c r="H916" s="10" t="s">
        <v>4696</v>
      </c>
      <c r="I916" s="10" t="s">
        <v>4712</v>
      </c>
      <c r="J916" s="17">
        <f t="shared" si="6"/>
        <v>29409</v>
      </c>
      <c r="K916" s="10">
        <f t="shared" ca="1" si="7"/>
        <v>45</v>
      </c>
      <c r="L916" s="6"/>
      <c r="M916" s="6"/>
      <c r="N916" s="6"/>
      <c r="O916" s="6"/>
      <c r="P916" s="6"/>
      <c r="Q916" s="6"/>
      <c r="R916" s="6"/>
      <c r="S916" s="6"/>
      <c r="T916" s="6"/>
      <c r="U916" s="6"/>
      <c r="V916" s="6"/>
      <c r="W916" s="6"/>
      <c r="X916" s="6"/>
      <c r="Y916" s="6"/>
      <c r="Z916" s="6"/>
    </row>
    <row r="917" spans="1:26" ht="15.75" customHeight="1" x14ac:dyDescent="0.3">
      <c r="A917" s="10" t="s">
        <v>2848</v>
      </c>
      <c r="B917" s="10">
        <v>1977</v>
      </c>
      <c r="C917" s="10" t="s">
        <v>4711</v>
      </c>
      <c r="D917" s="10">
        <v>25</v>
      </c>
      <c r="E917" s="10">
        <v>1</v>
      </c>
      <c r="F917" s="24">
        <v>7445.92</v>
      </c>
      <c r="G917" s="10" t="s">
        <v>4696</v>
      </c>
      <c r="H917" s="10" t="s">
        <v>4694</v>
      </c>
      <c r="I917" s="10" t="s">
        <v>4716</v>
      </c>
      <c r="J917" s="17">
        <f t="shared" si="6"/>
        <v>28393</v>
      </c>
      <c r="K917" s="10">
        <f t="shared" ca="1" si="7"/>
        <v>48</v>
      </c>
      <c r="L917" s="6"/>
      <c r="M917" s="6"/>
      <c r="N917" s="6"/>
      <c r="O917" s="6"/>
      <c r="P917" s="6"/>
      <c r="Q917" s="6"/>
      <c r="R917" s="6"/>
      <c r="S917" s="6"/>
      <c r="T917" s="6"/>
      <c r="U917" s="6"/>
      <c r="V917" s="6"/>
      <c r="W917" s="6"/>
      <c r="X917" s="6"/>
      <c r="Y917" s="6"/>
      <c r="Z917" s="6"/>
    </row>
    <row r="918" spans="1:26" ht="15.75" customHeight="1" x14ac:dyDescent="0.3">
      <c r="A918" s="10" t="s">
        <v>2846</v>
      </c>
      <c r="B918" s="10">
        <v>1977</v>
      </c>
      <c r="C918" s="10" t="s">
        <v>4711</v>
      </c>
      <c r="D918" s="10">
        <v>30</v>
      </c>
      <c r="E918" s="10">
        <v>0</v>
      </c>
      <c r="F918" s="24">
        <v>7448.4</v>
      </c>
      <c r="G918" s="10" t="s">
        <v>4696</v>
      </c>
      <c r="H918" s="10" t="s">
        <v>4696</v>
      </c>
      <c r="I918" s="10" t="s">
        <v>4727</v>
      </c>
      <c r="J918" s="17">
        <f t="shared" si="6"/>
        <v>28398</v>
      </c>
      <c r="K918" s="10">
        <f t="shared" ca="1" si="7"/>
        <v>48</v>
      </c>
      <c r="L918" s="6"/>
      <c r="M918" s="6"/>
      <c r="N918" s="6"/>
      <c r="O918" s="6"/>
      <c r="P918" s="6"/>
      <c r="Q918" s="6"/>
      <c r="R918" s="6"/>
      <c r="S918" s="6"/>
      <c r="T918" s="6"/>
      <c r="U918" s="6"/>
      <c r="V918" s="6"/>
      <c r="W918" s="6"/>
      <c r="X918" s="6"/>
      <c r="Y918" s="6"/>
      <c r="Z918" s="6"/>
    </row>
    <row r="919" spans="1:26" ht="15.75" customHeight="1" x14ac:dyDescent="0.3">
      <c r="A919" s="10" t="s">
        <v>2844</v>
      </c>
      <c r="B919" s="10">
        <v>2001</v>
      </c>
      <c r="C919" s="10" t="s">
        <v>4710</v>
      </c>
      <c r="D919" s="10">
        <v>1</v>
      </c>
      <c r="E919" s="10">
        <v>0</v>
      </c>
      <c r="F919" s="24">
        <v>7450.36</v>
      </c>
      <c r="G919" s="10" t="s">
        <v>4695</v>
      </c>
      <c r="H919" s="10" t="s">
        <v>4695</v>
      </c>
      <c r="I919" s="10" t="s">
        <v>4712</v>
      </c>
      <c r="J919" s="17">
        <f t="shared" si="6"/>
        <v>37043</v>
      </c>
      <c r="K919" s="10">
        <f t="shared" ca="1" si="7"/>
        <v>24</v>
      </c>
      <c r="L919" s="6"/>
      <c r="M919" s="6"/>
      <c r="N919" s="6"/>
      <c r="O919" s="6"/>
      <c r="P919" s="6"/>
      <c r="Q919" s="6"/>
      <c r="R919" s="6"/>
      <c r="S919" s="6"/>
      <c r="T919" s="6"/>
      <c r="U919" s="6"/>
      <c r="V919" s="6"/>
      <c r="W919" s="6"/>
      <c r="X919" s="6"/>
      <c r="Y919" s="6"/>
      <c r="Z919" s="6"/>
    </row>
    <row r="920" spans="1:26" ht="15.75" customHeight="1" x14ac:dyDescent="0.3">
      <c r="A920" s="10" t="s">
        <v>2842</v>
      </c>
      <c r="B920" s="10">
        <v>1967</v>
      </c>
      <c r="C920" s="10" t="s">
        <v>4714</v>
      </c>
      <c r="D920" s="10">
        <v>4</v>
      </c>
      <c r="E920" s="10">
        <v>0</v>
      </c>
      <c r="F920" s="24">
        <v>7463.51</v>
      </c>
      <c r="G920" s="10" t="s">
        <v>4696</v>
      </c>
      <c r="H920" s="10" t="s">
        <v>4696</v>
      </c>
      <c r="I920" s="10" t="s">
        <v>4708</v>
      </c>
      <c r="J920" s="17">
        <f t="shared" si="6"/>
        <v>24688</v>
      </c>
      <c r="K920" s="10">
        <f t="shared" ca="1" si="7"/>
        <v>58</v>
      </c>
      <c r="L920" s="6"/>
      <c r="M920" s="6"/>
      <c r="N920" s="6"/>
      <c r="O920" s="6"/>
      <c r="P920" s="6"/>
      <c r="Q920" s="6"/>
      <c r="R920" s="6"/>
      <c r="S920" s="6"/>
      <c r="T920" s="6"/>
      <c r="U920" s="6"/>
      <c r="V920" s="6"/>
      <c r="W920" s="6"/>
      <c r="X920" s="6"/>
      <c r="Y920" s="6"/>
      <c r="Z920" s="6"/>
    </row>
    <row r="921" spans="1:26" ht="15.75" customHeight="1" x14ac:dyDescent="0.3">
      <c r="A921" s="10" t="s">
        <v>2840</v>
      </c>
      <c r="B921" s="10">
        <v>1996</v>
      </c>
      <c r="C921" s="10" t="s">
        <v>4710</v>
      </c>
      <c r="D921" s="10">
        <v>14</v>
      </c>
      <c r="E921" s="10">
        <v>0</v>
      </c>
      <c r="F921" s="24">
        <v>7487.38</v>
      </c>
      <c r="G921" s="10" t="s">
        <v>4695</v>
      </c>
      <c r="H921" s="10" t="s">
        <v>4696</v>
      </c>
      <c r="I921" s="10" t="s">
        <v>4712</v>
      </c>
      <c r="J921" s="17">
        <f t="shared" si="6"/>
        <v>35230</v>
      </c>
      <c r="K921" s="10">
        <f t="shared" ca="1" si="7"/>
        <v>29</v>
      </c>
      <c r="L921" s="6"/>
      <c r="M921" s="6"/>
      <c r="N921" s="6"/>
      <c r="O921" s="6"/>
      <c r="P921" s="6"/>
      <c r="Q921" s="6"/>
      <c r="R921" s="6"/>
      <c r="S921" s="6"/>
      <c r="T921" s="6"/>
      <c r="U921" s="6"/>
      <c r="V921" s="6"/>
      <c r="W921" s="6"/>
      <c r="X921" s="6"/>
      <c r="Y921" s="6"/>
      <c r="Z921" s="6"/>
    </row>
    <row r="922" spans="1:26" ht="15.75" customHeight="1" x14ac:dyDescent="0.3">
      <c r="A922" s="10" t="s">
        <v>2838</v>
      </c>
      <c r="B922" s="10">
        <v>1988</v>
      </c>
      <c r="C922" s="10" t="s">
        <v>4713</v>
      </c>
      <c r="D922" s="10">
        <v>15</v>
      </c>
      <c r="E922" s="10">
        <v>3</v>
      </c>
      <c r="F922" s="24">
        <v>7494.63</v>
      </c>
      <c r="G922" s="10" t="s">
        <v>4695</v>
      </c>
      <c r="H922" s="10" t="s">
        <v>4696</v>
      </c>
      <c r="I922" s="10" t="s">
        <v>4722</v>
      </c>
      <c r="J922" s="17">
        <f t="shared" si="6"/>
        <v>32492</v>
      </c>
      <c r="K922" s="10">
        <f t="shared" ca="1" si="7"/>
        <v>36</v>
      </c>
      <c r="L922" s="6"/>
      <c r="M922" s="6"/>
      <c r="N922" s="6"/>
      <c r="O922" s="6"/>
      <c r="P922" s="6"/>
      <c r="Q922" s="6"/>
      <c r="R922" s="6"/>
      <c r="S922" s="6"/>
      <c r="T922" s="6"/>
      <c r="U922" s="6"/>
      <c r="V922" s="6"/>
      <c r="W922" s="6"/>
      <c r="X922" s="6"/>
      <c r="Y922" s="6"/>
      <c r="Z922" s="6"/>
    </row>
    <row r="923" spans="1:26" ht="15.75" customHeight="1" x14ac:dyDescent="0.3">
      <c r="A923" s="10" t="s">
        <v>2836</v>
      </c>
      <c r="B923" s="10">
        <v>1997</v>
      </c>
      <c r="C923" s="10" t="s">
        <v>4715</v>
      </c>
      <c r="D923" s="10">
        <v>28</v>
      </c>
      <c r="E923" s="10">
        <v>0</v>
      </c>
      <c r="F923" s="24">
        <v>7504.3</v>
      </c>
      <c r="G923" s="10" t="s">
        <v>4695</v>
      </c>
      <c r="H923" s="10" t="s">
        <v>4694</v>
      </c>
      <c r="I923" s="10" t="s">
        <v>4712</v>
      </c>
      <c r="J923" s="17">
        <f t="shared" si="6"/>
        <v>35731</v>
      </c>
      <c r="K923" s="10">
        <f t="shared" ca="1" si="7"/>
        <v>28</v>
      </c>
      <c r="L923" s="6"/>
      <c r="M923" s="6"/>
      <c r="N923" s="6"/>
      <c r="O923" s="6"/>
      <c r="P923" s="6"/>
      <c r="Q923" s="6"/>
      <c r="R923" s="6"/>
      <c r="S923" s="6"/>
      <c r="T923" s="6"/>
      <c r="U923" s="6"/>
      <c r="V923" s="6"/>
      <c r="W923" s="6"/>
      <c r="X923" s="6"/>
      <c r="Y923" s="6"/>
      <c r="Z923" s="6"/>
    </row>
    <row r="924" spans="1:26" ht="15.75" customHeight="1" x14ac:dyDescent="0.3">
      <c r="A924" s="10" t="s">
        <v>2834</v>
      </c>
      <c r="B924" s="10">
        <v>1983</v>
      </c>
      <c r="C924" s="10" t="s">
        <v>4707</v>
      </c>
      <c r="D924" s="10">
        <v>10</v>
      </c>
      <c r="E924" s="10">
        <v>4</v>
      </c>
      <c r="F924" s="24">
        <v>7512.27</v>
      </c>
      <c r="G924" s="10" t="s">
        <v>4696</v>
      </c>
      <c r="H924" s="10" t="s">
        <v>4695</v>
      </c>
      <c r="I924" s="10" t="s">
        <v>4716</v>
      </c>
      <c r="J924" s="17">
        <f t="shared" si="6"/>
        <v>30507</v>
      </c>
      <c r="K924" s="10">
        <f t="shared" ca="1" si="7"/>
        <v>42</v>
      </c>
      <c r="L924" s="6"/>
      <c r="M924" s="6"/>
      <c r="N924" s="6"/>
      <c r="O924" s="6"/>
      <c r="P924" s="6"/>
      <c r="Q924" s="6"/>
      <c r="R924" s="6"/>
      <c r="S924" s="6"/>
      <c r="T924" s="6"/>
      <c r="U924" s="6"/>
      <c r="V924" s="6"/>
      <c r="W924" s="6"/>
      <c r="X924" s="6"/>
      <c r="Y924" s="6"/>
      <c r="Z924" s="6"/>
    </row>
    <row r="925" spans="1:26" ht="15.75" customHeight="1" x14ac:dyDescent="0.3">
      <c r="A925" s="10" t="s">
        <v>2832</v>
      </c>
      <c r="B925" s="10">
        <v>1978</v>
      </c>
      <c r="C925" s="10" t="s">
        <v>4715</v>
      </c>
      <c r="D925" s="10">
        <v>18</v>
      </c>
      <c r="E925" s="10">
        <v>1</v>
      </c>
      <c r="F925" s="24">
        <v>7518.03</v>
      </c>
      <c r="G925" s="10" t="s">
        <v>4695</v>
      </c>
      <c r="H925" s="10" t="s">
        <v>4696</v>
      </c>
      <c r="I925" s="10" t="s">
        <v>4712</v>
      </c>
      <c r="J925" s="17">
        <f t="shared" si="6"/>
        <v>28781</v>
      </c>
      <c r="K925" s="10">
        <f t="shared" ca="1" si="7"/>
        <v>47</v>
      </c>
      <c r="L925" s="6"/>
      <c r="M925" s="6"/>
      <c r="N925" s="6"/>
      <c r="O925" s="6"/>
      <c r="P925" s="6"/>
      <c r="Q925" s="6"/>
      <c r="R925" s="6"/>
      <c r="S925" s="6"/>
      <c r="T925" s="6"/>
      <c r="U925" s="6"/>
      <c r="V925" s="6"/>
      <c r="W925" s="6"/>
      <c r="X925" s="6"/>
      <c r="Y925" s="6"/>
      <c r="Z925" s="6"/>
    </row>
    <row r="926" spans="1:26" ht="15.75" customHeight="1" x14ac:dyDescent="0.3">
      <c r="A926" s="10" t="s">
        <v>2830</v>
      </c>
      <c r="B926" s="10">
        <v>1976</v>
      </c>
      <c r="C926" s="10" t="s">
        <v>4715</v>
      </c>
      <c r="D926" s="10">
        <v>10</v>
      </c>
      <c r="E926" s="10">
        <v>0</v>
      </c>
      <c r="F926" s="24">
        <v>7526.71</v>
      </c>
      <c r="G926" s="10" t="s">
        <v>4696</v>
      </c>
      <c r="H926" s="10" t="s">
        <v>4694</v>
      </c>
      <c r="I926" s="10" t="s">
        <v>4712</v>
      </c>
      <c r="J926" s="17">
        <f t="shared" si="6"/>
        <v>28043</v>
      </c>
      <c r="K926" s="10">
        <f t="shared" ca="1" si="7"/>
        <v>49</v>
      </c>
      <c r="L926" s="6"/>
      <c r="M926" s="6"/>
      <c r="N926" s="6"/>
      <c r="O926" s="6"/>
      <c r="P926" s="6"/>
      <c r="Q926" s="6"/>
      <c r="R926" s="6"/>
      <c r="S926" s="6"/>
      <c r="T926" s="6"/>
      <c r="U926" s="6"/>
      <c r="V926" s="6"/>
      <c r="W926" s="6"/>
      <c r="X926" s="6"/>
      <c r="Y926" s="6"/>
      <c r="Z926" s="6"/>
    </row>
    <row r="927" spans="1:26" ht="15.75" customHeight="1" x14ac:dyDescent="0.3">
      <c r="A927" s="10" t="s">
        <v>2828</v>
      </c>
      <c r="B927" s="10">
        <v>1978</v>
      </c>
      <c r="C927" s="10" t="s">
        <v>4713</v>
      </c>
      <c r="D927" s="10">
        <v>14</v>
      </c>
      <c r="E927" s="10">
        <v>2</v>
      </c>
      <c r="F927" s="24">
        <v>7531.7</v>
      </c>
      <c r="G927" s="10" t="s">
        <v>4695</v>
      </c>
      <c r="H927" s="10" t="s">
        <v>4694</v>
      </c>
      <c r="I927" s="10" t="s">
        <v>4708</v>
      </c>
      <c r="J927" s="17">
        <f t="shared" si="6"/>
        <v>28838</v>
      </c>
      <c r="K927" s="10">
        <f t="shared" ca="1" si="7"/>
        <v>46</v>
      </c>
      <c r="L927" s="6"/>
      <c r="M927" s="6"/>
      <c r="N927" s="6"/>
      <c r="O927" s="6"/>
      <c r="P927" s="6"/>
      <c r="Q927" s="6"/>
      <c r="R927" s="6"/>
      <c r="S927" s="6"/>
      <c r="T927" s="6"/>
      <c r="U927" s="6"/>
      <c r="V927" s="6"/>
      <c r="W927" s="6"/>
      <c r="X927" s="6"/>
      <c r="Y927" s="6"/>
      <c r="Z927" s="6"/>
    </row>
    <row r="928" spans="1:26" ht="15.75" customHeight="1" x14ac:dyDescent="0.3">
      <c r="A928" s="10" t="s">
        <v>2826</v>
      </c>
      <c r="B928" s="10">
        <v>1984</v>
      </c>
      <c r="C928" s="10" t="s">
        <v>4714</v>
      </c>
      <c r="D928" s="10">
        <v>22</v>
      </c>
      <c r="E928" s="10">
        <v>3</v>
      </c>
      <c r="F928" s="24">
        <v>7537.16</v>
      </c>
      <c r="G928" s="10" t="s">
        <v>4695</v>
      </c>
      <c r="H928" s="10" t="s">
        <v>4695</v>
      </c>
      <c r="I928" s="10" t="s">
        <v>4712</v>
      </c>
      <c r="J928" s="17">
        <f t="shared" si="6"/>
        <v>30916</v>
      </c>
      <c r="K928" s="10">
        <f t="shared" ca="1" si="7"/>
        <v>41</v>
      </c>
      <c r="L928" s="6"/>
      <c r="M928" s="6"/>
      <c r="N928" s="6"/>
      <c r="O928" s="6"/>
      <c r="P928" s="6"/>
      <c r="Q928" s="6"/>
      <c r="R928" s="6"/>
      <c r="S928" s="6"/>
      <c r="T928" s="6"/>
      <c r="U928" s="6"/>
      <c r="V928" s="6"/>
      <c r="W928" s="6"/>
      <c r="X928" s="6"/>
      <c r="Y928" s="6"/>
      <c r="Z928" s="6"/>
    </row>
    <row r="929" spans="1:26" ht="15.75" customHeight="1" x14ac:dyDescent="0.3">
      <c r="A929" s="10" t="s">
        <v>2824</v>
      </c>
      <c r="B929" s="10">
        <v>1988</v>
      </c>
      <c r="C929" s="10" t="s">
        <v>4713</v>
      </c>
      <c r="D929" s="10">
        <v>15</v>
      </c>
      <c r="E929" s="10">
        <v>3</v>
      </c>
      <c r="F929" s="24">
        <v>7538.52</v>
      </c>
      <c r="G929" s="10" t="s">
        <v>4695</v>
      </c>
      <c r="H929" s="10" t="s">
        <v>4695</v>
      </c>
      <c r="I929" s="10" t="s">
        <v>4712</v>
      </c>
      <c r="J929" s="17">
        <f t="shared" si="6"/>
        <v>32492</v>
      </c>
      <c r="K929" s="10">
        <f t="shared" ca="1" si="7"/>
        <v>36</v>
      </c>
      <c r="L929" s="6"/>
      <c r="M929" s="6"/>
      <c r="N929" s="6"/>
      <c r="O929" s="6"/>
      <c r="P929" s="6"/>
      <c r="Q929" s="6"/>
      <c r="R929" s="6"/>
      <c r="S929" s="6"/>
      <c r="T929" s="6"/>
      <c r="U929" s="6"/>
      <c r="V929" s="6"/>
      <c r="W929" s="6"/>
      <c r="X929" s="6"/>
      <c r="Y929" s="6"/>
      <c r="Z929" s="6"/>
    </row>
    <row r="930" spans="1:26" ht="15.75" customHeight="1" x14ac:dyDescent="0.3">
      <c r="A930" s="10" t="s">
        <v>2822</v>
      </c>
      <c r="B930" s="10">
        <v>1994</v>
      </c>
      <c r="C930" s="10" t="s">
        <v>4714</v>
      </c>
      <c r="D930" s="10">
        <v>14</v>
      </c>
      <c r="E930" s="10">
        <v>0</v>
      </c>
      <c r="F930" s="24">
        <v>7567.13</v>
      </c>
      <c r="G930" s="10" t="s">
        <v>4695</v>
      </c>
      <c r="H930" s="10" t="s">
        <v>4695</v>
      </c>
      <c r="I930" s="10" t="s">
        <v>4726</v>
      </c>
      <c r="J930" s="17">
        <f t="shared" si="6"/>
        <v>34560</v>
      </c>
      <c r="K930" s="10">
        <f t="shared" ca="1" si="7"/>
        <v>31</v>
      </c>
      <c r="L930" s="6"/>
      <c r="M930" s="6"/>
      <c r="N930" s="6"/>
      <c r="O930" s="6"/>
      <c r="P930" s="6"/>
      <c r="Q930" s="6"/>
      <c r="R930" s="6"/>
      <c r="S930" s="6"/>
      <c r="T930" s="6"/>
      <c r="U930" s="6"/>
      <c r="V930" s="6"/>
      <c r="W930" s="6"/>
      <c r="X930" s="6"/>
      <c r="Y930" s="6"/>
      <c r="Z930" s="6"/>
    </row>
    <row r="931" spans="1:26" ht="15.75" customHeight="1" x14ac:dyDescent="0.3">
      <c r="A931" s="10" t="s">
        <v>2820</v>
      </c>
      <c r="B931" s="10">
        <v>1967</v>
      </c>
      <c r="C931" s="10" t="s">
        <v>4707</v>
      </c>
      <c r="D931" s="10">
        <v>17</v>
      </c>
      <c r="E931" s="10">
        <v>0</v>
      </c>
      <c r="F931" s="24">
        <v>7585.62</v>
      </c>
      <c r="G931" s="10" t="s">
        <v>4696</v>
      </c>
      <c r="H931" s="10" t="s">
        <v>4695</v>
      </c>
      <c r="I931" s="10" t="s">
        <v>4708</v>
      </c>
      <c r="J931" s="17">
        <f t="shared" si="6"/>
        <v>24670</v>
      </c>
      <c r="K931" s="10">
        <f t="shared" ca="1" si="7"/>
        <v>58</v>
      </c>
      <c r="L931" s="6"/>
      <c r="M931" s="6"/>
      <c r="N931" s="6"/>
      <c r="O931" s="6"/>
      <c r="P931" s="6"/>
      <c r="Q931" s="6"/>
      <c r="R931" s="6"/>
      <c r="S931" s="6"/>
      <c r="T931" s="6"/>
      <c r="U931" s="6"/>
      <c r="V931" s="6"/>
      <c r="W931" s="6"/>
      <c r="X931" s="6"/>
      <c r="Y931" s="6"/>
      <c r="Z931" s="6"/>
    </row>
    <row r="932" spans="1:26" ht="15.75" customHeight="1" x14ac:dyDescent="0.3">
      <c r="A932" s="10" t="s">
        <v>2818</v>
      </c>
      <c r="B932" s="10">
        <v>1997</v>
      </c>
      <c r="C932" s="10" t="s">
        <v>4711</v>
      </c>
      <c r="D932" s="10">
        <v>30</v>
      </c>
      <c r="E932" s="10">
        <v>0</v>
      </c>
      <c r="F932" s="24">
        <v>7607.03</v>
      </c>
      <c r="G932" s="10" t="s">
        <v>4695</v>
      </c>
      <c r="H932" s="10" t="s">
        <v>4695</v>
      </c>
      <c r="I932" s="10" t="s">
        <v>4712</v>
      </c>
      <c r="J932" s="17">
        <f t="shared" si="6"/>
        <v>35703</v>
      </c>
      <c r="K932" s="10">
        <f t="shared" ca="1" si="7"/>
        <v>28</v>
      </c>
      <c r="L932" s="6"/>
      <c r="M932" s="6"/>
      <c r="N932" s="6"/>
      <c r="O932" s="6"/>
      <c r="P932" s="6"/>
      <c r="Q932" s="6"/>
      <c r="R932" s="6"/>
      <c r="S932" s="6"/>
      <c r="T932" s="6"/>
      <c r="U932" s="6"/>
      <c r="V932" s="6"/>
      <c r="W932" s="6"/>
      <c r="X932" s="6"/>
      <c r="Y932" s="6"/>
      <c r="Z932" s="6"/>
    </row>
    <row r="933" spans="1:26" ht="15.75" customHeight="1" x14ac:dyDescent="0.3">
      <c r="A933" s="10" t="s">
        <v>2816</v>
      </c>
      <c r="B933" s="10">
        <v>1968</v>
      </c>
      <c r="C933" s="10" t="s">
        <v>4707</v>
      </c>
      <c r="D933" s="10">
        <v>3</v>
      </c>
      <c r="E933" s="10">
        <v>0</v>
      </c>
      <c r="F933" s="24">
        <v>7609.6</v>
      </c>
      <c r="G933" s="10" t="s">
        <v>4696</v>
      </c>
      <c r="H933" s="10" t="s">
        <v>4695</v>
      </c>
      <c r="I933" s="10" t="s">
        <v>4712</v>
      </c>
      <c r="J933" s="17">
        <f t="shared" si="6"/>
        <v>25022</v>
      </c>
      <c r="K933" s="10">
        <f t="shared" ca="1" si="7"/>
        <v>57</v>
      </c>
      <c r="L933" s="6"/>
      <c r="M933" s="6"/>
      <c r="N933" s="6"/>
      <c r="O933" s="6"/>
      <c r="P933" s="6"/>
      <c r="Q933" s="6"/>
      <c r="R933" s="6"/>
      <c r="S933" s="6"/>
      <c r="T933" s="6"/>
      <c r="U933" s="6"/>
      <c r="V933" s="6"/>
      <c r="W933" s="6"/>
      <c r="X933" s="6"/>
      <c r="Y933" s="6"/>
      <c r="Z933" s="6"/>
    </row>
    <row r="934" spans="1:26" ht="15.75" customHeight="1" x14ac:dyDescent="0.3">
      <c r="A934" s="10" t="s">
        <v>2814</v>
      </c>
      <c r="B934" s="10">
        <v>1996</v>
      </c>
      <c r="C934" s="10" t="s">
        <v>4711</v>
      </c>
      <c r="D934" s="10">
        <v>17</v>
      </c>
      <c r="E934" s="10">
        <v>0</v>
      </c>
      <c r="F934" s="24">
        <v>7623.13</v>
      </c>
      <c r="G934" s="10" t="s">
        <v>4695</v>
      </c>
      <c r="H934" s="10" t="s">
        <v>4696</v>
      </c>
      <c r="I934" s="10" t="s">
        <v>4716</v>
      </c>
      <c r="J934" s="17">
        <f t="shared" si="6"/>
        <v>35325</v>
      </c>
      <c r="K934" s="10">
        <f t="shared" ca="1" si="7"/>
        <v>29</v>
      </c>
      <c r="L934" s="6"/>
      <c r="M934" s="6"/>
      <c r="N934" s="6"/>
      <c r="O934" s="6"/>
      <c r="P934" s="6"/>
      <c r="Q934" s="6"/>
      <c r="R934" s="6"/>
      <c r="S934" s="6"/>
      <c r="T934" s="6"/>
      <c r="U934" s="6"/>
      <c r="V934" s="6"/>
      <c r="W934" s="6"/>
      <c r="X934" s="6"/>
      <c r="Y934" s="6"/>
      <c r="Z934" s="6"/>
    </row>
    <row r="935" spans="1:26" ht="15.75" customHeight="1" x14ac:dyDescent="0.3">
      <c r="A935" s="10" t="s">
        <v>2812</v>
      </c>
      <c r="B935" s="10">
        <v>1978</v>
      </c>
      <c r="C935" s="10" t="s">
        <v>4709</v>
      </c>
      <c r="D935" s="10">
        <v>28</v>
      </c>
      <c r="E935" s="10">
        <v>1</v>
      </c>
      <c r="F935" s="24">
        <v>7623.52</v>
      </c>
      <c r="G935" s="10" t="s">
        <v>4695</v>
      </c>
      <c r="H935" s="10" t="s">
        <v>4694</v>
      </c>
      <c r="I935" s="10" t="s">
        <v>4716</v>
      </c>
      <c r="J935" s="17">
        <f t="shared" si="6"/>
        <v>28822</v>
      </c>
      <c r="K935" s="10">
        <f t="shared" ca="1" si="7"/>
        <v>47</v>
      </c>
      <c r="L935" s="6"/>
      <c r="M935" s="6"/>
      <c r="N935" s="6"/>
      <c r="O935" s="6"/>
      <c r="P935" s="6"/>
      <c r="Q935" s="6"/>
      <c r="R935" s="6"/>
      <c r="S935" s="6"/>
      <c r="T935" s="6"/>
      <c r="U935" s="6"/>
      <c r="V935" s="6"/>
      <c r="W935" s="6"/>
      <c r="X935" s="6"/>
      <c r="Y935" s="6"/>
      <c r="Z935" s="6"/>
    </row>
    <row r="936" spans="1:26" ht="15.75" customHeight="1" x14ac:dyDescent="0.3">
      <c r="A936" s="10" t="s">
        <v>2810</v>
      </c>
      <c r="B936" s="10">
        <v>1978</v>
      </c>
      <c r="C936" s="10" t="s">
        <v>4709</v>
      </c>
      <c r="D936" s="10">
        <v>6</v>
      </c>
      <c r="E936" s="10">
        <v>1</v>
      </c>
      <c r="F936" s="24">
        <v>7624.63</v>
      </c>
      <c r="G936" s="10" t="s">
        <v>4695</v>
      </c>
      <c r="H936" s="10" t="s">
        <v>4694</v>
      </c>
      <c r="I936" s="10" t="s">
        <v>4716</v>
      </c>
      <c r="J936" s="17">
        <f t="shared" si="6"/>
        <v>28800</v>
      </c>
      <c r="K936" s="10">
        <f t="shared" ca="1" si="7"/>
        <v>47</v>
      </c>
      <c r="L936" s="6"/>
      <c r="M936" s="6"/>
      <c r="N936" s="6"/>
      <c r="O936" s="6"/>
      <c r="P936" s="6"/>
      <c r="Q936" s="6"/>
      <c r="R936" s="6"/>
      <c r="S936" s="6"/>
      <c r="T936" s="6"/>
      <c r="U936" s="6"/>
      <c r="V936" s="6"/>
      <c r="W936" s="6"/>
      <c r="X936" s="6"/>
      <c r="Y936" s="6"/>
      <c r="Z936" s="6"/>
    </row>
    <row r="937" spans="1:26" ht="15.75" customHeight="1" x14ac:dyDescent="0.3">
      <c r="A937" s="10" t="s">
        <v>2808</v>
      </c>
      <c r="B937" s="10">
        <v>1978</v>
      </c>
      <c r="C937" s="10" t="s">
        <v>4709</v>
      </c>
      <c r="D937" s="10">
        <v>29</v>
      </c>
      <c r="E937" s="10">
        <v>1</v>
      </c>
      <c r="F937" s="24">
        <v>7626.99</v>
      </c>
      <c r="G937" s="10" t="s">
        <v>4695</v>
      </c>
      <c r="H937" s="10" t="s">
        <v>4695</v>
      </c>
      <c r="I937" s="10" t="s">
        <v>4716</v>
      </c>
      <c r="J937" s="17">
        <f t="shared" si="6"/>
        <v>28823</v>
      </c>
      <c r="K937" s="10">
        <f t="shared" ca="1" si="7"/>
        <v>47</v>
      </c>
      <c r="L937" s="6"/>
      <c r="M937" s="6"/>
      <c r="N937" s="6"/>
      <c r="O937" s="6"/>
      <c r="P937" s="6"/>
      <c r="Q937" s="6"/>
      <c r="R937" s="6"/>
      <c r="S937" s="6"/>
      <c r="T937" s="6"/>
      <c r="U937" s="6"/>
      <c r="V937" s="6"/>
      <c r="W937" s="6"/>
      <c r="X937" s="6"/>
      <c r="Y937" s="6"/>
      <c r="Z937" s="6"/>
    </row>
    <row r="938" spans="1:26" ht="15.75" customHeight="1" x14ac:dyDescent="0.3">
      <c r="A938" s="10" t="s">
        <v>2806</v>
      </c>
      <c r="B938" s="10">
        <v>1978</v>
      </c>
      <c r="C938" s="10" t="s">
        <v>4714</v>
      </c>
      <c r="D938" s="10">
        <v>24</v>
      </c>
      <c r="E938" s="10">
        <v>1</v>
      </c>
      <c r="F938" s="24">
        <v>7633.72</v>
      </c>
      <c r="G938" s="10" t="s">
        <v>4695</v>
      </c>
      <c r="H938" s="10" t="s">
        <v>4694</v>
      </c>
      <c r="I938" s="10" t="s">
        <v>4708</v>
      </c>
      <c r="J938" s="17">
        <f t="shared" si="6"/>
        <v>28726</v>
      </c>
      <c r="K938" s="10">
        <f t="shared" ca="1" si="7"/>
        <v>47</v>
      </c>
      <c r="L938" s="6"/>
      <c r="M938" s="6"/>
      <c r="N938" s="6"/>
      <c r="O938" s="6"/>
      <c r="P938" s="6"/>
      <c r="Q938" s="6"/>
      <c r="R938" s="6"/>
      <c r="S938" s="6"/>
      <c r="T938" s="6"/>
      <c r="U938" s="6"/>
      <c r="V938" s="6"/>
      <c r="W938" s="6"/>
      <c r="X938" s="6"/>
      <c r="Y938" s="6"/>
      <c r="Z938" s="6"/>
    </row>
    <row r="939" spans="1:26" ht="15.75" customHeight="1" x14ac:dyDescent="0.3">
      <c r="A939" s="10" t="s">
        <v>2804</v>
      </c>
      <c r="B939" s="10">
        <v>2001</v>
      </c>
      <c r="C939" s="10" t="s">
        <v>4713</v>
      </c>
      <c r="D939" s="10">
        <v>13</v>
      </c>
      <c r="E939" s="10">
        <v>0</v>
      </c>
      <c r="F939" s="24">
        <v>7636.92</v>
      </c>
      <c r="G939" s="10" t="s">
        <v>4695</v>
      </c>
      <c r="H939" s="10" t="s">
        <v>4696</v>
      </c>
      <c r="I939" s="10" t="s">
        <v>4712</v>
      </c>
      <c r="J939" s="17">
        <f t="shared" si="6"/>
        <v>37238</v>
      </c>
      <c r="K939" s="10">
        <f t="shared" ca="1" si="7"/>
        <v>23</v>
      </c>
      <c r="L939" s="6"/>
      <c r="M939" s="6"/>
      <c r="N939" s="6"/>
      <c r="O939" s="6"/>
      <c r="P939" s="6"/>
      <c r="Q939" s="6"/>
      <c r="R939" s="6"/>
      <c r="S939" s="6"/>
      <c r="T939" s="6"/>
      <c r="U939" s="6"/>
      <c r="V939" s="6"/>
      <c r="W939" s="6"/>
      <c r="X939" s="6"/>
      <c r="Y939" s="6"/>
      <c r="Z939" s="6"/>
    </row>
    <row r="940" spans="1:26" ht="15.75" customHeight="1" x14ac:dyDescent="0.3">
      <c r="A940" s="10" t="s">
        <v>2802</v>
      </c>
      <c r="B940" s="10">
        <v>1980</v>
      </c>
      <c r="C940" s="10" t="s">
        <v>4710</v>
      </c>
      <c r="D940" s="10">
        <v>20</v>
      </c>
      <c r="E940" s="10">
        <v>1</v>
      </c>
      <c r="F940" s="24">
        <v>7639.42</v>
      </c>
      <c r="G940" s="10" t="s">
        <v>4695</v>
      </c>
      <c r="H940" s="10" t="s">
        <v>4695</v>
      </c>
      <c r="I940" s="10" t="s">
        <v>4723</v>
      </c>
      <c r="J940" s="17">
        <f t="shared" si="6"/>
        <v>29392</v>
      </c>
      <c r="K940" s="10">
        <f t="shared" ca="1" si="7"/>
        <v>45</v>
      </c>
      <c r="L940" s="6"/>
      <c r="M940" s="6"/>
      <c r="N940" s="6"/>
      <c r="O940" s="6"/>
      <c r="P940" s="6"/>
      <c r="Q940" s="6"/>
      <c r="R940" s="6"/>
      <c r="S940" s="6"/>
      <c r="T940" s="6"/>
      <c r="U940" s="6"/>
      <c r="V940" s="6"/>
      <c r="W940" s="6"/>
      <c r="X940" s="6"/>
      <c r="Y940" s="6"/>
      <c r="Z940" s="6"/>
    </row>
    <row r="941" spans="1:26" ht="15.75" customHeight="1" x14ac:dyDescent="0.3">
      <c r="A941" s="10" t="s">
        <v>2800</v>
      </c>
      <c r="B941" s="10">
        <v>1980</v>
      </c>
      <c r="C941" s="10" t="s">
        <v>4707</v>
      </c>
      <c r="D941" s="10">
        <v>24</v>
      </c>
      <c r="E941" s="10">
        <v>2</v>
      </c>
      <c r="F941" s="24">
        <v>7640.31</v>
      </c>
      <c r="G941" s="10" t="s">
        <v>4695</v>
      </c>
      <c r="H941" s="10" t="s">
        <v>4694</v>
      </c>
      <c r="I941" s="10" t="s">
        <v>4708</v>
      </c>
      <c r="J941" s="17">
        <f t="shared" si="6"/>
        <v>29426</v>
      </c>
      <c r="K941" s="10">
        <f t="shared" ca="1" si="7"/>
        <v>45</v>
      </c>
      <c r="L941" s="6"/>
      <c r="M941" s="6"/>
      <c r="N941" s="6"/>
      <c r="O941" s="6"/>
      <c r="P941" s="6"/>
      <c r="Q941" s="6"/>
      <c r="R941" s="6"/>
      <c r="S941" s="6"/>
      <c r="T941" s="6"/>
      <c r="U941" s="6"/>
      <c r="V941" s="6"/>
      <c r="W941" s="6"/>
      <c r="X941" s="6"/>
      <c r="Y941" s="6"/>
      <c r="Z941" s="6"/>
    </row>
    <row r="942" spans="1:26" ht="15.75" customHeight="1" x14ac:dyDescent="0.3">
      <c r="A942" s="10" t="s">
        <v>2798</v>
      </c>
      <c r="B942" s="10">
        <v>1999</v>
      </c>
      <c r="C942" s="10" t="s">
        <v>4710</v>
      </c>
      <c r="D942" s="10">
        <v>15</v>
      </c>
      <c r="E942" s="10">
        <v>0</v>
      </c>
      <c r="F942" s="24">
        <v>7642.05</v>
      </c>
      <c r="G942" s="10" t="s">
        <v>4695</v>
      </c>
      <c r="H942" s="10" t="s">
        <v>4695</v>
      </c>
      <c r="I942" s="10" t="s">
        <v>4729</v>
      </c>
      <c r="J942" s="17">
        <f t="shared" si="6"/>
        <v>36326</v>
      </c>
      <c r="K942" s="10">
        <f t="shared" ca="1" si="7"/>
        <v>26</v>
      </c>
      <c r="L942" s="6"/>
      <c r="M942" s="6"/>
      <c r="N942" s="6"/>
      <c r="O942" s="6"/>
      <c r="P942" s="6"/>
      <c r="Q942" s="6"/>
      <c r="R942" s="6"/>
      <c r="S942" s="6"/>
      <c r="T942" s="6"/>
      <c r="U942" s="6"/>
      <c r="V942" s="6"/>
      <c r="W942" s="6"/>
      <c r="X942" s="6"/>
      <c r="Y942" s="6"/>
      <c r="Z942" s="6"/>
    </row>
    <row r="943" spans="1:26" ht="15.75" customHeight="1" x14ac:dyDescent="0.3">
      <c r="A943" s="10" t="s">
        <v>2796</v>
      </c>
      <c r="B943" s="10">
        <v>1980</v>
      </c>
      <c r="C943" s="10" t="s">
        <v>4715</v>
      </c>
      <c r="D943" s="10">
        <v>16</v>
      </c>
      <c r="E943" s="10">
        <v>1</v>
      </c>
      <c r="F943" s="24">
        <v>7650.77</v>
      </c>
      <c r="G943" s="10" t="s">
        <v>4695</v>
      </c>
      <c r="H943" s="10" t="s">
        <v>4695</v>
      </c>
      <c r="I943" s="10" t="s">
        <v>4723</v>
      </c>
      <c r="J943" s="17">
        <f t="shared" si="6"/>
        <v>29510</v>
      </c>
      <c r="K943" s="10">
        <f t="shared" ca="1" si="7"/>
        <v>45</v>
      </c>
      <c r="L943" s="6"/>
      <c r="M943" s="6"/>
      <c r="N943" s="6"/>
      <c r="O943" s="6"/>
      <c r="P943" s="6"/>
      <c r="Q943" s="6"/>
      <c r="R943" s="6"/>
      <c r="S943" s="6"/>
      <c r="T943" s="6"/>
      <c r="U943" s="6"/>
      <c r="V943" s="6"/>
      <c r="W943" s="6"/>
      <c r="X943" s="6"/>
      <c r="Y943" s="6"/>
      <c r="Z943" s="6"/>
    </row>
    <row r="944" spans="1:26" ht="15.75" customHeight="1" x14ac:dyDescent="0.3">
      <c r="A944" s="10" t="s">
        <v>2794</v>
      </c>
      <c r="B944" s="10">
        <v>1993</v>
      </c>
      <c r="C944" s="10" t="s">
        <v>4714</v>
      </c>
      <c r="D944" s="10">
        <v>10</v>
      </c>
      <c r="E944" s="10">
        <v>0</v>
      </c>
      <c r="F944" s="24">
        <v>7650.8</v>
      </c>
      <c r="G944" s="10" t="s">
        <v>4695</v>
      </c>
      <c r="H944" s="10" t="s">
        <v>4695</v>
      </c>
      <c r="I944" s="10" t="s">
        <v>4712</v>
      </c>
      <c r="J944" s="17">
        <f t="shared" si="6"/>
        <v>34191</v>
      </c>
      <c r="K944" s="10">
        <f t="shared" ca="1" si="7"/>
        <v>32</v>
      </c>
      <c r="L944" s="6"/>
      <c r="M944" s="6"/>
      <c r="N944" s="6"/>
      <c r="O944" s="6"/>
      <c r="P944" s="6"/>
      <c r="Q944" s="6"/>
      <c r="R944" s="6"/>
      <c r="S944" s="6"/>
      <c r="T944" s="6"/>
      <c r="U944" s="6"/>
      <c r="V944" s="6"/>
      <c r="W944" s="6"/>
      <c r="X944" s="6"/>
      <c r="Y944" s="6"/>
      <c r="Z944" s="6"/>
    </row>
    <row r="945" spans="1:26" ht="15.75" customHeight="1" x14ac:dyDescent="0.3">
      <c r="A945" s="10" t="s">
        <v>2792</v>
      </c>
      <c r="B945" s="10">
        <v>1998</v>
      </c>
      <c r="C945" s="10" t="s">
        <v>4711</v>
      </c>
      <c r="D945" s="10">
        <v>30</v>
      </c>
      <c r="E945" s="10">
        <v>0</v>
      </c>
      <c r="F945" s="24">
        <v>7652.26</v>
      </c>
      <c r="G945" s="10" t="s">
        <v>4695</v>
      </c>
      <c r="H945" s="10" t="s">
        <v>4696</v>
      </c>
      <c r="I945" s="10" t="s">
        <v>4724</v>
      </c>
      <c r="J945" s="17">
        <f t="shared" si="6"/>
        <v>36068</v>
      </c>
      <c r="K945" s="10">
        <f t="shared" ca="1" si="7"/>
        <v>27</v>
      </c>
      <c r="L945" s="6"/>
      <c r="M945" s="6"/>
      <c r="N945" s="6"/>
      <c r="O945" s="6"/>
      <c r="P945" s="6"/>
      <c r="Q945" s="6"/>
      <c r="R945" s="6"/>
      <c r="S945" s="6"/>
      <c r="T945" s="6"/>
      <c r="U945" s="6"/>
      <c r="V945" s="6"/>
      <c r="W945" s="6"/>
      <c r="X945" s="6"/>
      <c r="Y945" s="6"/>
      <c r="Z945" s="6"/>
    </row>
    <row r="946" spans="1:26" ht="15.75" customHeight="1" x14ac:dyDescent="0.3">
      <c r="A946" s="10" t="s">
        <v>2790</v>
      </c>
      <c r="B946" s="10">
        <v>1965</v>
      </c>
      <c r="C946" s="10" t="s">
        <v>4713</v>
      </c>
      <c r="D946" s="10">
        <v>27</v>
      </c>
      <c r="E946" s="10">
        <v>0</v>
      </c>
      <c r="F946" s="24">
        <v>7657.69</v>
      </c>
      <c r="G946" s="10" t="s">
        <v>4696</v>
      </c>
      <c r="H946" s="10" t="s">
        <v>4696</v>
      </c>
      <c r="I946" s="10" t="s">
        <v>4712</v>
      </c>
      <c r="J946" s="17">
        <f t="shared" si="6"/>
        <v>24103</v>
      </c>
      <c r="K946" s="10">
        <f t="shared" ca="1" si="7"/>
        <v>59</v>
      </c>
      <c r="L946" s="6"/>
      <c r="M946" s="6"/>
      <c r="N946" s="6"/>
      <c r="O946" s="6"/>
      <c r="P946" s="6"/>
      <c r="Q946" s="6"/>
      <c r="R946" s="6"/>
      <c r="S946" s="6"/>
      <c r="T946" s="6"/>
      <c r="U946" s="6"/>
      <c r="V946" s="6"/>
      <c r="W946" s="6"/>
      <c r="X946" s="6"/>
      <c r="Y946" s="6"/>
      <c r="Z946" s="6"/>
    </row>
    <row r="947" spans="1:26" ht="15.75" customHeight="1" x14ac:dyDescent="0.3">
      <c r="A947" s="10" t="s">
        <v>2788</v>
      </c>
      <c r="B947" s="10">
        <v>1976</v>
      </c>
      <c r="C947" s="10" t="s">
        <v>4715</v>
      </c>
      <c r="D947" s="10">
        <v>9</v>
      </c>
      <c r="E947" s="10">
        <v>2</v>
      </c>
      <c r="F947" s="24">
        <v>7662.47</v>
      </c>
      <c r="G947" s="10" t="s">
        <v>4695</v>
      </c>
      <c r="H947" s="10" t="s">
        <v>4694</v>
      </c>
      <c r="I947" s="10" t="s">
        <v>4716</v>
      </c>
      <c r="J947" s="17">
        <f t="shared" si="6"/>
        <v>28042</v>
      </c>
      <c r="K947" s="10">
        <f t="shared" ca="1" si="7"/>
        <v>49</v>
      </c>
      <c r="L947" s="6"/>
      <c r="M947" s="6"/>
      <c r="N947" s="6"/>
      <c r="O947" s="6"/>
      <c r="P947" s="6"/>
      <c r="Q947" s="6"/>
      <c r="R947" s="6"/>
      <c r="S947" s="6"/>
      <c r="T947" s="6"/>
      <c r="U947" s="6"/>
      <c r="V947" s="6"/>
      <c r="W947" s="6"/>
      <c r="X947" s="6"/>
      <c r="Y947" s="6"/>
      <c r="Z947" s="6"/>
    </row>
    <row r="948" spans="1:26" ht="15.75" customHeight="1" x14ac:dyDescent="0.3">
      <c r="A948" s="10" t="s">
        <v>2786</v>
      </c>
      <c r="B948" s="10">
        <v>1996</v>
      </c>
      <c r="C948" s="10" t="s">
        <v>4709</v>
      </c>
      <c r="D948" s="10">
        <v>24</v>
      </c>
      <c r="E948" s="10">
        <v>0</v>
      </c>
      <c r="F948" s="24">
        <v>7670.75</v>
      </c>
      <c r="G948" s="10" t="s">
        <v>4695</v>
      </c>
      <c r="H948" s="10" t="s">
        <v>4695</v>
      </c>
      <c r="I948" s="10" t="s">
        <v>4730</v>
      </c>
      <c r="J948" s="17">
        <f t="shared" si="6"/>
        <v>35393</v>
      </c>
      <c r="K948" s="10">
        <f t="shared" ca="1" si="7"/>
        <v>29</v>
      </c>
      <c r="L948" s="6"/>
      <c r="M948" s="6"/>
      <c r="N948" s="6"/>
      <c r="O948" s="6"/>
      <c r="P948" s="6"/>
      <c r="Q948" s="6"/>
      <c r="R948" s="6"/>
      <c r="S948" s="6"/>
      <c r="T948" s="6"/>
      <c r="U948" s="6"/>
      <c r="V948" s="6"/>
      <c r="W948" s="6"/>
      <c r="X948" s="6"/>
      <c r="Y948" s="6"/>
      <c r="Z948" s="6"/>
    </row>
    <row r="949" spans="1:26" ht="15.75" customHeight="1" x14ac:dyDescent="0.3">
      <c r="A949" s="10" t="s">
        <v>2784</v>
      </c>
      <c r="B949" s="10">
        <v>1995</v>
      </c>
      <c r="C949" s="10" t="s">
        <v>4711</v>
      </c>
      <c r="D949" s="10">
        <v>13</v>
      </c>
      <c r="E949" s="10">
        <v>0</v>
      </c>
      <c r="F949" s="24">
        <v>7676.4</v>
      </c>
      <c r="G949" s="10" t="s">
        <v>4695</v>
      </c>
      <c r="H949" s="10" t="s">
        <v>4694</v>
      </c>
      <c r="I949" s="10" t="s">
        <v>4712</v>
      </c>
      <c r="J949" s="17">
        <f t="shared" si="6"/>
        <v>34955</v>
      </c>
      <c r="K949" s="10">
        <f t="shared" ca="1" si="7"/>
        <v>30</v>
      </c>
      <c r="L949" s="6"/>
      <c r="M949" s="6"/>
      <c r="N949" s="6"/>
      <c r="O949" s="6"/>
      <c r="P949" s="6"/>
      <c r="Q949" s="6"/>
      <c r="R949" s="6"/>
      <c r="S949" s="6"/>
      <c r="T949" s="6"/>
      <c r="U949" s="6"/>
      <c r="V949" s="6"/>
      <c r="W949" s="6"/>
      <c r="X949" s="6"/>
      <c r="Y949" s="6"/>
      <c r="Z949" s="6"/>
    </row>
    <row r="950" spans="1:26" ht="15.75" customHeight="1" x14ac:dyDescent="0.3">
      <c r="A950" s="10" t="s">
        <v>2782</v>
      </c>
      <c r="B950" s="10">
        <v>1971</v>
      </c>
      <c r="C950" s="10" t="s">
        <v>4715</v>
      </c>
      <c r="D950" s="10">
        <v>11</v>
      </c>
      <c r="E950" s="10">
        <v>0</v>
      </c>
      <c r="F950" s="24">
        <v>7680.92</v>
      </c>
      <c r="G950" s="10" t="s">
        <v>4695</v>
      </c>
      <c r="H950" s="10" t="s">
        <v>4694</v>
      </c>
      <c r="I950" s="10" t="s">
        <v>4708</v>
      </c>
      <c r="J950" s="17">
        <f t="shared" si="6"/>
        <v>26217</v>
      </c>
      <c r="K950" s="10">
        <f t="shared" ca="1" si="7"/>
        <v>54</v>
      </c>
      <c r="L950" s="6"/>
      <c r="M950" s="6"/>
      <c r="N950" s="6"/>
      <c r="O950" s="6"/>
      <c r="P950" s="6"/>
      <c r="Q950" s="6"/>
      <c r="R950" s="6"/>
      <c r="S950" s="6"/>
      <c r="T950" s="6"/>
      <c r="U950" s="6"/>
      <c r="V950" s="6"/>
      <c r="W950" s="6"/>
      <c r="X950" s="6"/>
      <c r="Y950" s="6"/>
      <c r="Z950" s="6"/>
    </row>
    <row r="951" spans="1:26" ht="15.75" customHeight="1" x14ac:dyDescent="0.3">
      <c r="A951" s="10" t="s">
        <v>2780</v>
      </c>
      <c r="B951" s="10">
        <v>1981</v>
      </c>
      <c r="C951" s="10" t="s">
        <v>4713</v>
      </c>
      <c r="D951" s="10">
        <v>19</v>
      </c>
      <c r="E951" s="10">
        <v>1</v>
      </c>
      <c r="F951" s="24">
        <v>7681.17</v>
      </c>
      <c r="G951" s="10" t="s">
        <v>4695</v>
      </c>
      <c r="H951" s="10" t="s">
        <v>4695</v>
      </c>
      <c r="I951" s="10" t="s">
        <v>4728</v>
      </c>
      <c r="J951" s="17">
        <f t="shared" si="6"/>
        <v>29939</v>
      </c>
      <c r="K951" s="10">
        <f t="shared" ca="1" si="7"/>
        <v>43</v>
      </c>
      <c r="L951" s="6"/>
      <c r="M951" s="6"/>
      <c r="N951" s="6"/>
      <c r="O951" s="6"/>
      <c r="P951" s="6"/>
      <c r="Q951" s="6"/>
      <c r="R951" s="6"/>
      <c r="S951" s="6"/>
      <c r="T951" s="6"/>
      <c r="U951" s="6"/>
      <c r="V951" s="6"/>
      <c r="W951" s="6"/>
      <c r="X951" s="6"/>
      <c r="Y951" s="6"/>
      <c r="Z951" s="6"/>
    </row>
    <row r="952" spans="1:26" ht="15.75" customHeight="1" x14ac:dyDescent="0.3">
      <c r="A952" s="10" t="s">
        <v>2778</v>
      </c>
      <c r="B952" s="10">
        <v>1982</v>
      </c>
      <c r="C952" s="10" t="s">
        <v>4713</v>
      </c>
      <c r="D952" s="10">
        <v>18</v>
      </c>
      <c r="E952" s="10">
        <v>3</v>
      </c>
      <c r="F952" s="24">
        <v>7682.67</v>
      </c>
      <c r="G952" s="10" t="s">
        <v>4695</v>
      </c>
      <c r="H952" s="10" t="s">
        <v>4694</v>
      </c>
      <c r="I952" s="10" t="s">
        <v>4708</v>
      </c>
      <c r="J952" s="17">
        <f t="shared" si="6"/>
        <v>30303</v>
      </c>
      <c r="K952" s="10">
        <f t="shared" ca="1" si="7"/>
        <v>42</v>
      </c>
      <c r="L952" s="6"/>
      <c r="M952" s="6"/>
      <c r="N952" s="6"/>
      <c r="O952" s="6"/>
      <c r="P952" s="6"/>
      <c r="Q952" s="6"/>
      <c r="R952" s="6"/>
      <c r="S952" s="6"/>
      <c r="T952" s="6"/>
      <c r="U952" s="6"/>
      <c r="V952" s="6"/>
      <c r="W952" s="6"/>
      <c r="X952" s="6"/>
      <c r="Y952" s="6"/>
      <c r="Z952" s="6"/>
    </row>
    <row r="953" spans="1:26" ht="15.75" customHeight="1" x14ac:dyDescent="0.3">
      <c r="A953" s="10" t="s">
        <v>2776</v>
      </c>
      <c r="B953" s="10">
        <v>1987</v>
      </c>
      <c r="C953" s="10" t="s">
        <v>4707</v>
      </c>
      <c r="D953" s="10">
        <v>12</v>
      </c>
      <c r="E953" s="10">
        <v>3</v>
      </c>
      <c r="F953" s="24">
        <v>7684.62</v>
      </c>
      <c r="G953" s="10" t="s">
        <v>4695</v>
      </c>
      <c r="H953" s="10" t="s">
        <v>4696</v>
      </c>
      <c r="I953" s="10" t="s">
        <v>4726</v>
      </c>
      <c r="J953" s="17">
        <f t="shared" si="6"/>
        <v>31970</v>
      </c>
      <c r="K953" s="10">
        <f t="shared" ca="1" si="7"/>
        <v>38</v>
      </c>
      <c r="L953" s="6"/>
      <c r="M953" s="6"/>
      <c r="N953" s="6"/>
      <c r="O953" s="6"/>
      <c r="P953" s="6"/>
      <c r="Q953" s="6"/>
      <c r="R953" s="6"/>
      <c r="S953" s="6"/>
      <c r="T953" s="6"/>
      <c r="U953" s="6"/>
      <c r="V953" s="6"/>
      <c r="W953" s="6"/>
      <c r="X953" s="6"/>
      <c r="Y953" s="6"/>
      <c r="Z953" s="6"/>
    </row>
    <row r="954" spans="1:26" ht="15.75" customHeight="1" x14ac:dyDescent="0.3">
      <c r="A954" s="10" t="s">
        <v>2774</v>
      </c>
      <c r="B954" s="10">
        <v>1978</v>
      </c>
      <c r="C954" s="10" t="s">
        <v>4713</v>
      </c>
      <c r="D954" s="10">
        <v>29</v>
      </c>
      <c r="E954" s="10">
        <v>2</v>
      </c>
      <c r="F954" s="24">
        <v>7726.85</v>
      </c>
      <c r="G954" s="10" t="s">
        <v>4694</v>
      </c>
      <c r="H954" s="10" t="s">
        <v>4695</v>
      </c>
      <c r="I954" s="10" t="s">
        <v>4716</v>
      </c>
      <c r="J954" s="17">
        <f t="shared" si="6"/>
        <v>28853</v>
      </c>
      <c r="K954" s="10">
        <f t="shared" ca="1" si="7"/>
        <v>46</v>
      </c>
      <c r="L954" s="6"/>
      <c r="M954" s="6"/>
      <c r="N954" s="6"/>
      <c r="O954" s="6"/>
      <c r="P954" s="6"/>
      <c r="Q954" s="6"/>
      <c r="R954" s="6"/>
      <c r="S954" s="6"/>
      <c r="T954" s="6"/>
      <c r="U954" s="6"/>
      <c r="V954" s="6"/>
      <c r="W954" s="6"/>
      <c r="X954" s="6"/>
      <c r="Y954" s="6"/>
      <c r="Z954" s="6"/>
    </row>
    <row r="955" spans="1:26" ht="15.75" customHeight="1" x14ac:dyDescent="0.3">
      <c r="A955" s="10" t="s">
        <v>2772</v>
      </c>
      <c r="B955" s="10">
        <v>1979</v>
      </c>
      <c r="C955" s="10" t="s">
        <v>4710</v>
      </c>
      <c r="D955" s="10">
        <v>2</v>
      </c>
      <c r="E955" s="10">
        <v>1</v>
      </c>
      <c r="F955" s="24">
        <v>7727.25</v>
      </c>
      <c r="G955" s="10" t="s">
        <v>4695</v>
      </c>
      <c r="H955" s="10" t="s">
        <v>4696</v>
      </c>
      <c r="I955" s="10" t="s">
        <v>4712</v>
      </c>
      <c r="J955" s="17">
        <f t="shared" si="6"/>
        <v>29008</v>
      </c>
      <c r="K955" s="10">
        <f t="shared" ca="1" si="7"/>
        <v>46</v>
      </c>
      <c r="L955" s="6"/>
      <c r="M955" s="6"/>
      <c r="N955" s="6"/>
      <c r="O955" s="6"/>
      <c r="P955" s="6"/>
      <c r="Q955" s="6"/>
      <c r="R955" s="6"/>
      <c r="S955" s="6"/>
      <c r="T955" s="6"/>
      <c r="U955" s="6"/>
      <c r="V955" s="6"/>
      <c r="W955" s="6"/>
      <c r="X955" s="6"/>
      <c r="Y955" s="6"/>
      <c r="Z955" s="6"/>
    </row>
    <row r="956" spans="1:26" ht="15.75" customHeight="1" x14ac:dyDescent="0.3">
      <c r="A956" s="10" t="s">
        <v>2770</v>
      </c>
      <c r="B956" s="10">
        <v>1980</v>
      </c>
      <c r="C956" s="10" t="s">
        <v>4711</v>
      </c>
      <c r="D956" s="10">
        <v>10</v>
      </c>
      <c r="E956" s="10">
        <v>2</v>
      </c>
      <c r="F956" s="24">
        <v>7729.65</v>
      </c>
      <c r="G956" s="10" t="s">
        <v>4696</v>
      </c>
      <c r="H956" s="10" t="s">
        <v>4694</v>
      </c>
      <c r="I956" s="10" t="s">
        <v>4720</v>
      </c>
      <c r="J956" s="17">
        <f t="shared" si="6"/>
        <v>29474</v>
      </c>
      <c r="K956" s="10">
        <f t="shared" ca="1" si="7"/>
        <v>45</v>
      </c>
      <c r="L956" s="6"/>
      <c r="M956" s="6"/>
      <c r="N956" s="6"/>
      <c r="O956" s="6"/>
      <c r="P956" s="6"/>
      <c r="Q956" s="6"/>
      <c r="R956" s="6"/>
      <c r="S956" s="6"/>
      <c r="T956" s="6"/>
      <c r="U956" s="6"/>
      <c r="V956" s="6"/>
      <c r="W956" s="6"/>
      <c r="X956" s="6"/>
      <c r="Y956" s="6"/>
      <c r="Z956" s="6"/>
    </row>
    <row r="957" spans="1:26" ht="15.75" customHeight="1" x14ac:dyDescent="0.3">
      <c r="A957" s="10" t="s">
        <v>2768</v>
      </c>
      <c r="B957" s="10">
        <v>1978</v>
      </c>
      <c r="C957" s="10" t="s">
        <v>4713</v>
      </c>
      <c r="D957" s="10">
        <v>4</v>
      </c>
      <c r="E957" s="10">
        <v>2</v>
      </c>
      <c r="F957" s="24">
        <v>7731.43</v>
      </c>
      <c r="G957" s="10" t="s">
        <v>4696</v>
      </c>
      <c r="H957" s="10" t="s">
        <v>4695</v>
      </c>
      <c r="I957" s="10" t="s">
        <v>4708</v>
      </c>
      <c r="J957" s="17">
        <f t="shared" si="6"/>
        <v>28828</v>
      </c>
      <c r="K957" s="10">
        <f t="shared" ca="1" si="7"/>
        <v>46</v>
      </c>
      <c r="L957" s="6"/>
      <c r="M957" s="6"/>
      <c r="N957" s="6"/>
      <c r="O957" s="6"/>
      <c r="P957" s="6"/>
      <c r="Q957" s="6"/>
      <c r="R957" s="6"/>
      <c r="S957" s="6"/>
      <c r="T957" s="6"/>
      <c r="U957" s="6"/>
      <c r="V957" s="6"/>
      <c r="W957" s="6"/>
      <c r="X957" s="6"/>
      <c r="Y957" s="6"/>
      <c r="Z957" s="6"/>
    </row>
    <row r="958" spans="1:26" ht="15.75" customHeight="1" x14ac:dyDescent="0.3">
      <c r="A958" s="10" t="s">
        <v>2766</v>
      </c>
      <c r="B958" s="10">
        <v>1977</v>
      </c>
      <c r="C958" s="10" t="s">
        <v>4714</v>
      </c>
      <c r="D958" s="10">
        <v>29</v>
      </c>
      <c r="E958" s="10">
        <v>0</v>
      </c>
      <c r="F958" s="24">
        <v>7731.86</v>
      </c>
      <c r="G958" s="10" t="s">
        <v>4695</v>
      </c>
      <c r="H958" s="10" t="s">
        <v>4696</v>
      </c>
      <c r="I958" s="10" t="s">
        <v>4712</v>
      </c>
      <c r="J958" s="17">
        <f t="shared" si="6"/>
        <v>28366</v>
      </c>
      <c r="K958" s="10">
        <f t="shared" ca="1" si="7"/>
        <v>48</v>
      </c>
      <c r="L958" s="6"/>
      <c r="M958" s="6"/>
      <c r="N958" s="6"/>
      <c r="O958" s="6"/>
      <c r="P958" s="6"/>
      <c r="Q958" s="6"/>
      <c r="R958" s="6"/>
      <c r="S958" s="6"/>
      <c r="T958" s="6"/>
      <c r="U958" s="6"/>
      <c r="V958" s="6"/>
      <c r="W958" s="6"/>
      <c r="X958" s="6"/>
      <c r="Y958" s="6"/>
      <c r="Z958" s="6"/>
    </row>
    <row r="959" spans="1:26" ht="15.75" customHeight="1" x14ac:dyDescent="0.3">
      <c r="A959" s="10" t="s">
        <v>2764</v>
      </c>
      <c r="B959" s="10">
        <v>1965</v>
      </c>
      <c r="C959" s="10" t="s">
        <v>4707</v>
      </c>
      <c r="D959" s="10">
        <v>18</v>
      </c>
      <c r="E959" s="10">
        <v>0</v>
      </c>
      <c r="F959" s="24">
        <v>7736.39</v>
      </c>
      <c r="G959" s="10" t="s">
        <v>4696</v>
      </c>
      <c r="H959" s="10" t="s">
        <v>4695</v>
      </c>
      <c r="I959" s="10" t="s">
        <v>4708</v>
      </c>
      <c r="J959" s="17">
        <f t="shared" si="6"/>
        <v>23941</v>
      </c>
      <c r="K959" s="10">
        <f t="shared" ca="1" si="7"/>
        <v>60</v>
      </c>
      <c r="L959" s="6"/>
      <c r="M959" s="6"/>
      <c r="N959" s="6"/>
      <c r="O959" s="6"/>
      <c r="P959" s="6"/>
      <c r="Q959" s="6"/>
      <c r="R959" s="6"/>
      <c r="S959" s="6"/>
      <c r="T959" s="6"/>
      <c r="U959" s="6"/>
      <c r="V959" s="6"/>
      <c r="W959" s="6"/>
      <c r="X959" s="6"/>
      <c r="Y959" s="6"/>
      <c r="Z959" s="6"/>
    </row>
    <row r="960" spans="1:26" ht="15.75" customHeight="1" x14ac:dyDescent="0.3">
      <c r="A960" s="10" t="s">
        <v>2762</v>
      </c>
      <c r="B960" s="10">
        <v>1978</v>
      </c>
      <c r="C960" s="10" t="s">
        <v>4711</v>
      </c>
      <c r="D960" s="10">
        <v>4</v>
      </c>
      <c r="E960" s="10">
        <v>2</v>
      </c>
      <c r="F960" s="24">
        <v>7740.34</v>
      </c>
      <c r="G960" s="10" t="s">
        <v>4694</v>
      </c>
      <c r="H960" s="10" t="s">
        <v>4694</v>
      </c>
      <c r="I960" s="10" t="s">
        <v>4716</v>
      </c>
      <c r="J960" s="17">
        <f t="shared" si="6"/>
        <v>28737</v>
      </c>
      <c r="K960" s="10">
        <f t="shared" ca="1" si="7"/>
        <v>47</v>
      </c>
      <c r="L960" s="6"/>
      <c r="M960" s="6"/>
      <c r="N960" s="6"/>
      <c r="O960" s="6"/>
      <c r="P960" s="6"/>
      <c r="Q960" s="6"/>
      <c r="R960" s="6"/>
      <c r="S960" s="6"/>
      <c r="T960" s="6"/>
      <c r="U960" s="6"/>
      <c r="V960" s="6"/>
      <c r="W960" s="6"/>
      <c r="X960" s="6"/>
      <c r="Y960" s="6"/>
      <c r="Z960" s="6"/>
    </row>
    <row r="961" spans="1:26" ht="15.75" customHeight="1" x14ac:dyDescent="0.3">
      <c r="A961" s="10" t="s">
        <v>2760</v>
      </c>
      <c r="B961" s="10">
        <v>1976</v>
      </c>
      <c r="C961" s="10" t="s">
        <v>4713</v>
      </c>
      <c r="D961" s="10">
        <v>12</v>
      </c>
      <c r="E961" s="10">
        <v>1</v>
      </c>
      <c r="F961" s="24">
        <v>7742.11</v>
      </c>
      <c r="G961" s="10" t="s">
        <v>4696</v>
      </c>
      <c r="H961" s="10" t="s">
        <v>4695</v>
      </c>
      <c r="I961" s="10" t="s">
        <v>4708</v>
      </c>
      <c r="J961" s="17">
        <f t="shared" si="6"/>
        <v>28106</v>
      </c>
      <c r="K961" s="10">
        <f t="shared" ca="1" si="7"/>
        <v>48</v>
      </c>
      <c r="L961" s="6"/>
      <c r="M961" s="6"/>
      <c r="N961" s="6"/>
      <c r="O961" s="6"/>
      <c r="P961" s="6"/>
      <c r="Q961" s="6"/>
      <c r="R961" s="6"/>
      <c r="S961" s="6"/>
      <c r="T961" s="6"/>
      <c r="U961" s="6"/>
      <c r="V961" s="6"/>
      <c r="W961" s="6"/>
      <c r="X961" s="6"/>
      <c r="Y961" s="6"/>
      <c r="Z961" s="6"/>
    </row>
    <row r="962" spans="1:26" ht="15.75" customHeight="1" x14ac:dyDescent="0.3">
      <c r="A962" s="10" t="s">
        <v>2758</v>
      </c>
      <c r="B962" s="10">
        <v>1981</v>
      </c>
      <c r="C962" s="10" t="s">
        <v>4710</v>
      </c>
      <c r="D962" s="10">
        <v>30</v>
      </c>
      <c r="E962" s="10">
        <v>2</v>
      </c>
      <c r="F962" s="24">
        <v>7749.16</v>
      </c>
      <c r="G962" s="10" t="s">
        <v>4695</v>
      </c>
      <c r="H962" s="10" t="s">
        <v>4694</v>
      </c>
      <c r="I962" s="10" t="s">
        <v>4712</v>
      </c>
      <c r="J962" s="17">
        <f t="shared" si="6"/>
        <v>29767</v>
      </c>
      <c r="K962" s="10">
        <f t="shared" ca="1" si="7"/>
        <v>44</v>
      </c>
      <c r="L962" s="6"/>
      <c r="M962" s="6"/>
      <c r="N962" s="6"/>
      <c r="O962" s="6"/>
      <c r="P962" s="6"/>
      <c r="Q962" s="6"/>
      <c r="R962" s="6"/>
      <c r="S962" s="6"/>
      <c r="T962" s="6"/>
      <c r="U962" s="6"/>
      <c r="V962" s="6"/>
      <c r="W962" s="6"/>
      <c r="X962" s="6"/>
      <c r="Y962" s="6"/>
      <c r="Z962" s="6"/>
    </row>
    <row r="963" spans="1:26" ht="15.75" customHeight="1" x14ac:dyDescent="0.3">
      <c r="A963" s="10" t="s">
        <v>2756</v>
      </c>
      <c r="B963" s="10">
        <v>1997</v>
      </c>
      <c r="C963" s="10" t="s">
        <v>4713</v>
      </c>
      <c r="D963" s="10">
        <v>21</v>
      </c>
      <c r="E963" s="10">
        <v>0</v>
      </c>
      <c r="F963" s="24">
        <v>7763.06</v>
      </c>
      <c r="G963" s="10" t="s">
        <v>4695</v>
      </c>
      <c r="H963" s="10" t="s">
        <v>4694</v>
      </c>
      <c r="I963" s="10" t="s">
        <v>4712</v>
      </c>
      <c r="J963" s="17">
        <f t="shared" si="6"/>
        <v>35785</v>
      </c>
      <c r="K963" s="10">
        <f t="shared" ca="1" si="7"/>
        <v>27</v>
      </c>
      <c r="L963" s="6"/>
      <c r="M963" s="6"/>
      <c r="N963" s="6"/>
      <c r="O963" s="6"/>
      <c r="P963" s="6"/>
      <c r="Q963" s="6"/>
      <c r="R963" s="6"/>
      <c r="S963" s="6"/>
      <c r="T963" s="6"/>
      <c r="U963" s="6"/>
      <c r="V963" s="6"/>
      <c r="W963" s="6"/>
      <c r="X963" s="6"/>
      <c r="Y963" s="6"/>
      <c r="Z963" s="6"/>
    </row>
    <row r="964" spans="1:26" ht="15.75" customHeight="1" x14ac:dyDescent="0.3">
      <c r="A964" s="10" t="s">
        <v>2754</v>
      </c>
      <c r="B964" s="10">
        <v>1974</v>
      </c>
      <c r="C964" s="10" t="s">
        <v>4713</v>
      </c>
      <c r="D964" s="10">
        <v>6</v>
      </c>
      <c r="E964" s="10">
        <v>0</v>
      </c>
      <c r="F964" s="24">
        <v>7789.64</v>
      </c>
      <c r="G964" s="10" t="s">
        <v>4694</v>
      </c>
      <c r="H964" s="10" t="s">
        <v>4696</v>
      </c>
      <c r="I964" s="10" t="s">
        <v>4708</v>
      </c>
      <c r="J964" s="17">
        <f t="shared" si="6"/>
        <v>27369</v>
      </c>
      <c r="K964" s="10">
        <f t="shared" ca="1" si="7"/>
        <v>50</v>
      </c>
      <c r="L964" s="6"/>
      <c r="M964" s="6"/>
      <c r="N964" s="6"/>
      <c r="O964" s="6"/>
      <c r="P964" s="6"/>
      <c r="Q964" s="6"/>
      <c r="R964" s="6"/>
      <c r="S964" s="6"/>
      <c r="T964" s="6"/>
      <c r="U964" s="6"/>
      <c r="V964" s="6"/>
      <c r="W964" s="6"/>
      <c r="X964" s="6"/>
      <c r="Y964" s="6"/>
      <c r="Z964" s="6"/>
    </row>
    <row r="965" spans="1:26" ht="15.75" customHeight="1" x14ac:dyDescent="0.3">
      <c r="A965" s="10" t="s">
        <v>2752</v>
      </c>
      <c r="B965" s="10">
        <v>1999</v>
      </c>
      <c r="C965" s="10" t="s">
        <v>4713</v>
      </c>
      <c r="D965" s="10">
        <v>25</v>
      </c>
      <c r="E965" s="10">
        <v>0</v>
      </c>
      <c r="F965" s="24">
        <v>7794.68</v>
      </c>
      <c r="G965" s="10" t="s">
        <v>4695</v>
      </c>
      <c r="H965" s="10" t="s">
        <v>4695</v>
      </c>
      <c r="I965" s="10" t="s">
        <v>4729</v>
      </c>
      <c r="J965" s="17">
        <f t="shared" si="6"/>
        <v>36519</v>
      </c>
      <c r="K965" s="10">
        <f t="shared" ca="1" si="7"/>
        <v>25</v>
      </c>
      <c r="L965" s="6"/>
      <c r="M965" s="6"/>
      <c r="N965" s="6"/>
      <c r="O965" s="6"/>
      <c r="P965" s="6"/>
      <c r="Q965" s="6"/>
      <c r="R965" s="6"/>
      <c r="S965" s="6"/>
      <c r="T965" s="6"/>
      <c r="U965" s="6"/>
      <c r="V965" s="6"/>
      <c r="W965" s="6"/>
      <c r="X965" s="6"/>
      <c r="Y965" s="6"/>
      <c r="Z965" s="6"/>
    </row>
    <row r="966" spans="1:26" ht="15.75" customHeight="1" x14ac:dyDescent="0.3">
      <c r="A966" s="10" t="s">
        <v>2750</v>
      </c>
      <c r="B966" s="10">
        <v>1997</v>
      </c>
      <c r="C966" s="10" t="s">
        <v>4713</v>
      </c>
      <c r="D966" s="10">
        <v>2</v>
      </c>
      <c r="E966" s="10">
        <v>0</v>
      </c>
      <c r="F966" s="24">
        <v>7803.77</v>
      </c>
      <c r="G966" s="10" t="s">
        <v>4695</v>
      </c>
      <c r="H966" s="10" t="s">
        <v>4696</v>
      </c>
      <c r="I966" s="10" t="s">
        <v>4712</v>
      </c>
      <c r="J966" s="17">
        <f t="shared" si="6"/>
        <v>35766</v>
      </c>
      <c r="K966" s="10">
        <f t="shared" ca="1" si="7"/>
        <v>27</v>
      </c>
      <c r="L966" s="6"/>
      <c r="M966" s="6"/>
      <c r="N966" s="6"/>
      <c r="O966" s="6"/>
      <c r="P966" s="6"/>
      <c r="Q966" s="6"/>
      <c r="R966" s="6"/>
      <c r="S966" s="6"/>
      <c r="T966" s="6"/>
      <c r="U966" s="6"/>
      <c r="V966" s="6"/>
      <c r="W966" s="6"/>
      <c r="X966" s="6"/>
      <c r="Y966" s="6"/>
      <c r="Z966" s="6"/>
    </row>
    <row r="967" spans="1:26" ht="15.75" customHeight="1" x14ac:dyDescent="0.3">
      <c r="A967" s="10" t="s">
        <v>2748</v>
      </c>
      <c r="B967" s="10">
        <v>1974</v>
      </c>
      <c r="C967" s="10" t="s">
        <v>4709</v>
      </c>
      <c r="D967" s="10">
        <v>9</v>
      </c>
      <c r="E967" s="10">
        <v>0</v>
      </c>
      <c r="F967" s="24">
        <v>7804.16</v>
      </c>
      <c r="G967" s="10" t="s">
        <v>4695</v>
      </c>
      <c r="H967" s="10" t="s">
        <v>4696</v>
      </c>
      <c r="I967" s="10" t="s">
        <v>4708</v>
      </c>
      <c r="J967" s="17">
        <f t="shared" si="6"/>
        <v>27342</v>
      </c>
      <c r="K967" s="10">
        <f t="shared" ca="1" si="7"/>
        <v>51</v>
      </c>
      <c r="L967" s="6"/>
      <c r="M967" s="6"/>
      <c r="N967" s="6"/>
      <c r="O967" s="6"/>
      <c r="P967" s="6"/>
      <c r="Q967" s="6"/>
      <c r="R967" s="6"/>
      <c r="S967" s="6"/>
      <c r="T967" s="6"/>
      <c r="U967" s="6"/>
      <c r="V967" s="6"/>
      <c r="W967" s="6"/>
      <c r="X967" s="6"/>
      <c r="Y967" s="6"/>
      <c r="Z967" s="6"/>
    </row>
    <row r="968" spans="1:26" ht="15.75" customHeight="1" x14ac:dyDescent="0.3">
      <c r="A968" s="10" t="s">
        <v>2746</v>
      </c>
      <c r="B968" s="10">
        <v>1991</v>
      </c>
      <c r="C968" s="10" t="s">
        <v>4713</v>
      </c>
      <c r="D968" s="10">
        <v>21</v>
      </c>
      <c r="E968" s="10">
        <v>3</v>
      </c>
      <c r="F968" s="24">
        <v>7812.67</v>
      </c>
      <c r="G968" s="10" t="s">
        <v>4695</v>
      </c>
      <c r="H968" s="10" t="s">
        <v>4694</v>
      </c>
      <c r="I968" s="10" t="s">
        <v>4712</v>
      </c>
      <c r="J968" s="17">
        <f t="shared" si="6"/>
        <v>33593</v>
      </c>
      <c r="K968" s="10">
        <f t="shared" ca="1" si="7"/>
        <v>33</v>
      </c>
      <c r="L968" s="6"/>
      <c r="M968" s="6"/>
      <c r="N968" s="6"/>
      <c r="O968" s="6"/>
      <c r="P968" s="6"/>
      <c r="Q968" s="6"/>
      <c r="R968" s="6"/>
      <c r="S968" s="6"/>
      <c r="T968" s="6"/>
      <c r="U968" s="6"/>
      <c r="V968" s="6"/>
      <c r="W968" s="6"/>
      <c r="X968" s="6"/>
      <c r="Y968" s="6"/>
      <c r="Z968" s="6"/>
    </row>
    <row r="969" spans="1:26" ht="15.75" customHeight="1" x14ac:dyDescent="0.3">
      <c r="A969" s="10" t="s">
        <v>2744</v>
      </c>
      <c r="B969" s="10">
        <v>1989</v>
      </c>
      <c r="C969" s="10" t="s">
        <v>4715</v>
      </c>
      <c r="D969" s="10">
        <v>12</v>
      </c>
      <c r="E969" s="10">
        <v>3</v>
      </c>
      <c r="F969" s="24">
        <v>7824.37</v>
      </c>
      <c r="G969" s="10" t="s">
        <v>4695</v>
      </c>
      <c r="H969" s="10" t="s">
        <v>4695</v>
      </c>
      <c r="I969" s="10" t="s">
        <v>4712</v>
      </c>
      <c r="J969" s="17">
        <f t="shared" si="6"/>
        <v>32793</v>
      </c>
      <c r="K969" s="10">
        <f t="shared" ca="1" si="7"/>
        <v>36</v>
      </c>
      <c r="L969" s="6"/>
      <c r="M969" s="6"/>
      <c r="N969" s="6"/>
      <c r="O969" s="6"/>
      <c r="P969" s="6"/>
      <c r="Q969" s="6"/>
      <c r="R969" s="6"/>
      <c r="S969" s="6"/>
      <c r="T969" s="6"/>
      <c r="U969" s="6"/>
      <c r="V969" s="6"/>
      <c r="W969" s="6"/>
      <c r="X969" s="6"/>
      <c r="Y969" s="6"/>
      <c r="Z969" s="6"/>
    </row>
    <row r="970" spans="1:26" ht="15.75" customHeight="1" x14ac:dyDescent="0.3">
      <c r="A970" s="10" t="s">
        <v>2742</v>
      </c>
      <c r="B970" s="10">
        <v>2001</v>
      </c>
      <c r="C970" s="10" t="s">
        <v>4715</v>
      </c>
      <c r="D970" s="10">
        <v>5</v>
      </c>
      <c r="E970" s="10">
        <v>0</v>
      </c>
      <c r="F970" s="24">
        <v>7844.8</v>
      </c>
      <c r="G970" s="10" t="s">
        <v>4695</v>
      </c>
      <c r="H970" s="10" t="s">
        <v>4695</v>
      </c>
      <c r="I970" s="10" t="s">
        <v>4712</v>
      </c>
      <c r="J970" s="17">
        <f t="shared" si="6"/>
        <v>37169</v>
      </c>
      <c r="K970" s="10">
        <f t="shared" ca="1" si="7"/>
        <v>24</v>
      </c>
      <c r="L970" s="6"/>
      <c r="M970" s="6"/>
      <c r="N970" s="6"/>
      <c r="O970" s="6"/>
      <c r="P970" s="6"/>
      <c r="Q970" s="6"/>
      <c r="R970" s="6"/>
      <c r="S970" s="6"/>
      <c r="T970" s="6"/>
      <c r="U970" s="6"/>
      <c r="V970" s="6"/>
      <c r="W970" s="6"/>
      <c r="X970" s="6"/>
      <c r="Y970" s="6"/>
      <c r="Z970" s="6"/>
    </row>
    <row r="971" spans="1:26" ht="15.75" customHeight="1" x14ac:dyDescent="0.3">
      <c r="A971" s="10" t="s">
        <v>2740</v>
      </c>
      <c r="B971" s="10">
        <v>1994</v>
      </c>
      <c r="C971" s="10" t="s">
        <v>4709</v>
      </c>
      <c r="D971" s="10">
        <v>17</v>
      </c>
      <c r="E971" s="10">
        <v>0</v>
      </c>
      <c r="F971" s="24">
        <v>7851.85</v>
      </c>
      <c r="G971" s="10" t="s">
        <v>4695</v>
      </c>
      <c r="H971" s="10" t="s">
        <v>4696</v>
      </c>
      <c r="I971" s="10" t="s">
        <v>4712</v>
      </c>
      <c r="J971" s="17">
        <f t="shared" si="6"/>
        <v>34655</v>
      </c>
      <c r="K971" s="10">
        <f t="shared" ca="1" si="7"/>
        <v>31</v>
      </c>
      <c r="L971" s="6"/>
      <c r="M971" s="6"/>
      <c r="N971" s="6"/>
      <c r="O971" s="6"/>
      <c r="P971" s="6"/>
      <c r="Q971" s="6"/>
      <c r="R971" s="6"/>
      <c r="S971" s="6"/>
      <c r="T971" s="6"/>
      <c r="U971" s="6"/>
      <c r="V971" s="6"/>
      <c r="W971" s="6"/>
      <c r="X971" s="6"/>
      <c r="Y971" s="6"/>
      <c r="Z971" s="6"/>
    </row>
    <row r="972" spans="1:26" ht="15.75" customHeight="1" x14ac:dyDescent="0.3">
      <c r="A972" s="10" t="s">
        <v>2738</v>
      </c>
      <c r="B972" s="10">
        <v>1962</v>
      </c>
      <c r="C972" s="10" t="s">
        <v>4715</v>
      </c>
      <c r="D972" s="10">
        <v>10</v>
      </c>
      <c r="E972" s="10">
        <v>0</v>
      </c>
      <c r="F972" s="24">
        <v>7896.41</v>
      </c>
      <c r="G972" s="10" t="s">
        <v>4696</v>
      </c>
      <c r="H972" s="10" t="s">
        <v>4695</v>
      </c>
      <c r="I972" s="10" t="s">
        <v>4708</v>
      </c>
      <c r="J972" s="17">
        <f t="shared" si="6"/>
        <v>22929</v>
      </c>
      <c r="K972" s="10">
        <f t="shared" ca="1" si="7"/>
        <v>63</v>
      </c>
      <c r="L972" s="6"/>
      <c r="M972" s="6"/>
      <c r="N972" s="6"/>
      <c r="O972" s="6"/>
      <c r="P972" s="6"/>
      <c r="Q972" s="6"/>
      <c r="R972" s="6"/>
      <c r="S972" s="6"/>
      <c r="T972" s="6"/>
      <c r="U972" s="6"/>
      <c r="V972" s="6"/>
      <c r="W972" s="6"/>
      <c r="X972" s="6"/>
      <c r="Y972" s="6"/>
      <c r="Z972" s="6"/>
    </row>
    <row r="973" spans="1:26" ht="15.75" customHeight="1" x14ac:dyDescent="0.3">
      <c r="A973" s="10" t="s">
        <v>2736</v>
      </c>
      <c r="B973" s="10">
        <v>1977</v>
      </c>
      <c r="C973" s="10" t="s">
        <v>4707</v>
      </c>
      <c r="D973" s="10">
        <v>20</v>
      </c>
      <c r="E973" s="10">
        <v>0</v>
      </c>
      <c r="F973" s="24">
        <v>7935.29</v>
      </c>
      <c r="G973" s="10" t="s">
        <v>4695</v>
      </c>
      <c r="H973" s="10" t="s">
        <v>4694</v>
      </c>
      <c r="I973" s="10" t="s">
        <v>4723</v>
      </c>
      <c r="J973" s="17">
        <f t="shared" si="6"/>
        <v>28326</v>
      </c>
      <c r="K973" s="10">
        <f t="shared" ca="1" si="7"/>
        <v>48</v>
      </c>
      <c r="L973" s="6"/>
      <c r="M973" s="6"/>
      <c r="N973" s="6"/>
      <c r="O973" s="6"/>
      <c r="P973" s="6"/>
      <c r="Q973" s="6"/>
      <c r="R973" s="6"/>
      <c r="S973" s="6"/>
      <c r="T973" s="6"/>
      <c r="U973" s="6"/>
      <c r="V973" s="6"/>
      <c r="W973" s="6"/>
      <c r="X973" s="6"/>
      <c r="Y973" s="6"/>
      <c r="Z973" s="6"/>
    </row>
    <row r="974" spans="1:26" ht="15.75" customHeight="1" x14ac:dyDescent="0.3">
      <c r="A974" s="10" t="s">
        <v>2734</v>
      </c>
      <c r="B974" s="10">
        <v>1987</v>
      </c>
      <c r="C974" s="10" t="s">
        <v>4715</v>
      </c>
      <c r="D974" s="10">
        <v>29</v>
      </c>
      <c r="E974" s="10">
        <v>3</v>
      </c>
      <c r="F974" s="24">
        <v>7948.22</v>
      </c>
      <c r="G974" s="10" t="s">
        <v>4695</v>
      </c>
      <c r="H974" s="10" t="s">
        <v>4696</v>
      </c>
      <c r="I974" s="10" t="s">
        <v>4722</v>
      </c>
      <c r="J974" s="17">
        <f t="shared" si="6"/>
        <v>32079</v>
      </c>
      <c r="K974" s="10">
        <f t="shared" ca="1" si="7"/>
        <v>38</v>
      </c>
      <c r="L974" s="6"/>
      <c r="M974" s="6"/>
      <c r="N974" s="6"/>
      <c r="O974" s="6"/>
      <c r="P974" s="6"/>
      <c r="Q974" s="6"/>
      <c r="R974" s="6"/>
      <c r="S974" s="6"/>
      <c r="T974" s="6"/>
      <c r="U974" s="6"/>
      <c r="V974" s="6"/>
      <c r="W974" s="6"/>
      <c r="X974" s="6"/>
      <c r="Y974" s="6"/>
      <c r="Z974" s="6"/>
    </row>
    <row r="975" spans="1:26" ht="15.75" customHeight="1" x14ac:dyDescent="0.3">
      <c r="A975" s="10" t="s">
        <v>2732</v>
      </c>
      <c r="B975" s="10">
        <v>1966</v>
      </c>
      <c r="C975" s="10" t="s">
        <v>4707</v>
      </c>
      <c r="D975" s="10">
        <v>9</v>
      </c>
      <c r="E975" s="10">
        <v>0</v>
      </c>
      <c r="F975" s="24">
        <v>7953.72</v>
      </c>
      <c r="G975" s="10" t="s">
        <v>4696</v>
      </c>
      <c r="H975" s="10" t="s">
        <v>4696</v>
      </c>
      <c r="I975" s="10" t="s">
        <v>4712</v>
      </c>
      <c r="J975" s="17">
        <f t="shared" si="6"/>
        <v>24297</v>
      </c>
      <c r="K975" s="10">
        <f t="shared" ca="1" si="7"/>
        <v>59</v>
      </c>
      <c r="L975" s="6"/>
      <c r="M975" s="6"/>
      <c r="N975" s="6"/>
      <c r="O975" s="6"/>
      <c r="P975" s="6"/>
      <c r="Q975" s="6"/>
      <c r="R975" s="6"/>
      <c r="S975" s="6"/>
      <c r="T975" s="6"/>
      <c r="U975" s="6"/>
      <c r="V975" s="6"/>
      <c r="W975" s="6"/>
      <c r="X975" s="6"/>
      <c r="Y975" s="6"/>
      <c r="Z975" s="6"/>
    </row>
    <row r="976" spans="1:26" ht="15.75" customHeight="1" x14ac:dyDescent="0.3">
      <c r="A976" s="10" t="s">
        <v>2730</v>
      </c>
      <c r="B976" s="10">
        <v>1981</v>
      </c>
      <c r="C976" s="10" t="s">
        <v>4713</v>
      </c>
      <c r="D976" s="10">
        <v>28</v>
      </c>
      <c r="E976" s="10">
        <v>3</v>
      </c>
      <c r="F976" s="24">
        <v>7954.52</v>
      </c>
      <c r="G976" s="10" t="s">
        <v>4695</v>
      </c>
      <c r="H976" s="10" t="s">
        <v>4695</v>
      </c>
      <c r="I976" s="10" t="s">
        <v>4716</v>
      </c>
      <c r="J976" s="17">
        <f t="shared" si="6"/>
        <v>29948</v>
      </c>
      <c r="K976" s="10">
        <f t="shared" ca="1" si="7"/>
        <v>43</v>
      </c>
      <c r="L976" s="6"/>
      <c r="M976" s="6"/>
      <c r="N976" s="6"/>
      <c r="O976" s="6"/>
      <c r="P976" s="6"/>
      <c r="Q976" s="6"/>
      <c r="R976" s="6"/>
      <c r="S976" s="6"/>
      <c r="T976" s="6"/>
      <c r="U976" s="6"/>
      <c r="V976" s="6"/>
      <c r="W976" s="6"/>
      <c r="X976" s="6"/>
      <c r="Y976" s="6"/>
      <c r="Z976" s="6"/>
    </row>
    <row r="977" spans="1:26" ht="15.75" customHeight="1" x14ac:dyDescent="0.3">
      <c r="A977" s="10" t="s">
        <v>2728</v>
      </c>
      <c r="B977" s="10">
        <v>1970</v>
      </c>
      <c r="C977" s="10" t="s">
        <v>4710</v>
      </c>
      <c r="D977" s="10">
        <v>19</v>
      </c>
      <c r="E977" s="10">
        <v>0</v>
      </c>
      <c r="F977" s="24">
        <v>7958.13</v>
      </c>
      <c r="G977" s="10" t="s">
        <v>4695</v>
      </c>
      <c r="H977" s="10" t="s">
        <v>4695</v>
      </c>
      <c r="I977" s="10" t="s">
        <v>4708</v>
      </c>
      <c r="J977" s="17">
        <f t="shared" si="6"/>
        <v>25738</v>
      </c>
      <c r="K977" s="10">
        <f t="shared" ca="1" si="7"/>
        <v>55</v>
      </c>
      <c r="L977" s="6"/>
      <c r="M977" s="6"/>
      <c r="N977" s="6"/>
      <c r="O977" s="6"/>
      <c r="P977" s="6"/>
      <c r="Q977" s="6"/>
      <c r="R977" s="6"/>
      <c r="S977" s="6"/>
      <c r="T977" s="6"/>
      <c r="U977" s="6"/>
      <c r="V977" s="6"/>
      <c r="W977" s="6"/>
      <c r="X977" s="6"/>
      <c r="Y977" s="6"/>
      <c r="Z977" s="6"/>
    </row>
    <row r="978" spans="1:26" ht="15.75" customHeight="1" x14ac:dyDescent="0.3">
      <c r="A978" s="10" t="s">
        <v>2726</v>
      </c>
      <c r="B978" s="10">
        <v>1975</v>
      </c>
      <c r="C978" s="10" t="s">
        <v>4714</v>
      </c>
      <c r="D978" s="10">
        <v>10</v>
      </c>
      <c r="E978" s="10">
        <v>1</v>
      </c>
      <c r="F978" s="24">
        <v>7966.81</v>
      </c>
      <c r="G978" s="10" t="s">
        <v>4695</v>
      </c>
      <c r="H978" s="10" t="s">
        <v>4695</v>
      </c>
      <c r="I978" s="10" t="s">
        <v>4708</v>
      </c>
      <c r="J978" s="17">
        <f t="shared" si="6"/>
        <v>27616</v>
      </c>
      <c r="K978" s="10">
        <f t="shared" ca="1" si="7"/>
        <v>50</v>
      </c>
      <c r="L978" s="6"/>
      <c r="M978" s="6"/>
      <c r="N978" s="6"/>
      <c r="O978" s="6"/>
      <c r="P978" s="6"/>
      <c r="Q978" s="6"/>
      <c r="R978" s="6"/>
      <c r="S978" s="6"/>
      <c r="T978" s="6"/>
      <c r="U978" s="6"/>
      <c r="V978" s="6"/>
      <c r="W978" s="6"/>
      <c r="X978" s="6"/>
      <c r="Y978" s="6"/>
      <c r="Z978" s="6"/>
    </row>
    <row r="979" spans="1:26" ht="15.75" customHeight="1" x14ac:dyDescent="0.3">
      <c r="A979" s="10" t="s">
        <v>2724</v>
      </c>
      <c r="B979" s="10">
        <v>1972</v>
      </c>
      <c r="C979" s="10" t="s">
        <v>4709</v>
      </c>
      <c r="D979" s="10">
        <v>23</v>
      </c>
      <c r="E979" s="10">
        <v>0</v>
      </c>
      <c r="F979" s="24">
        <v>7980.34</v>
      </c>
      <c r="G979" s="10" t="s">
        <v>4695</v>
      </c>
      <c r="H979" s="10" t="s">
        <v>4695</v>
      </c>
      <c r="I979" s="10" t="s">
        <v>4708</v>
      </c>
      <c r="J979" s="17">
        <f t="shared" si="6"/>
        <v>26626</v>
      </c>
      <c r="K979" s="10">
        <f t="shared" ca="1" si="7"/>
        <v>53</v>
      </c>
      <c r="L979" s="6"/>
      <c r="M979" s="6"/>
      <c r="N979" s="6"/>
      <c r="O979" s="6"/>
      <c r="P979" s="6"/>
      <c r="Q979" s="6"/>
      <c r="R979" s="6"/>
      <c r="S979" s="6"/>
      <c r="T979" s="6"/>
      <c r="U979" s="6"/>
      <c r="V979" s="6"/>
      <c r="W979" s="6"/>
      <c r="X979" s="6"/>
      <c r="Y979" s="6"/>
      <c r="Z979" s="6"/>
    </row>
    <row r="980" spans="1:26" ht="15.75" customHeight="1" x14ac:dyDescent="0.3">
      <c r="A980" s="10" t="s">
        <v>2722</v>
      </c>
      <c r="B980" s="10">
        <v>1983</v>
      </c>
      <c r="C980" s="10" t="s">
        <v>4714</v>
      </c>
      <c r="D980" s="10">
        <v>28</v>
      </c>
      <c r="E980" s="10">
        <v>3</v>
      </c>
      <c r="F980" s="24">
        <v>7985.82</v>
      </c>
      <c r="G980" s="10" t="s">
        <v>4695</v>
      </c>
      <c r="H980" s="10" t="s">
        <v>4694</v>
      </c>
      <c r="I980" s="10" t="s">
        <v>4723</v>
      </c>
      <c r="J980" s="17">
        <f t="shared" si="6"/>
        <v>30556</v>
      </c>
      <c r="K980" s="10">
        <f t="shared" ca="1" si="7"/>
        <v>42</v>
      </c>
      <c r="L980" s="6"/>
      <c r="M980" s="6"/>
      <c r="N980" s="6"/>
      <c r="O980" s="6"/>
      <c r="P980" s="6"/>
      <c r="Q980" s="6"/>
      <c r="R980" s="6"/>
      <c r="S980" s="6"/>
      <c r="T980" s="6"/>
      <c r="U980" s="6"/>
      <c r="V980" s="6"/>
      <c r="W980" s="6"/>
      <c r="X980" s="6"/>
      <c r="Y980" s="6"/>
      <c r="Z980" s="6"/>
    </row>
    <row r="981" spans="1:26" ht="15.75" customHeight="1" x14ac:dyDescent="0.3">
      <c r="A981" s="10" t="s">
        <v>2720</v>
      </c>
      <c r="B981" s="10">
        <v>1983</v>
      </c>
      <c r="C981" s="10" t="s">
        <v>4714</v>
      </c>
      <c r="D981" s="10">
        <v>20</v>
      </c>
      <c r="E981" s="10">
        <v>3</v>
      </c>
      <c r="F981" s="24">
        <v>7986.48</v>
      </c>
      <c r="G981" s="10" t="s">
        <v>4695</v>
      </c>
      <c r="H981" s="10" t="s">
        <v>4696</v>
      </c>
      <c r="I981" s="10" t="s">
        <v>4723</v>
      </c>
      <c r="J981" s="17">
        <f t="shared" si="6"/>
        <v>30548</v>
      </c>
      <c r="K981" s="10">
        <f t="shared" ca="1" si="7"/>
        <v>42</v>
      </c>
      <c r="L981" s="6"/>
      <c r="M981" s="6"/>
      <c r="N981" s="6"/>
      <c r="O981" s="6"/>
      <c r="P981" s="6"/>
      <c r="Q981" s="6"/>
      <c r="R981" s="6"/>
      <c r="S981" s="6"/>
      <c r="T981" s="6"/>
      <c r="U981" s="6"/>
      <c r="V981" s="6"/>
      <c r="W981" s="6"/>
      <c r="X981" s="6"/>
      <c r="Y981" s="6"/>
      <c r="Z981" s="6"/>
    </row>
    <row r="982" spans="1:26" ht="15.75" customHeight="1" x14ac:dyDescent="0.3">
      <c r="A982" s="10" t="s">
        <v>2718</v>
      </c>
      <c r="B982" s="10">
        <v>1962</v>
      </c>
      <c r="C982" s="10" t="s">
        <v>4714</v>
      </c>
      <c r="D982" s="10">
        <v>22</v>
      </c>
      <c r="E982" s="10">
        <v>0</v>
      </c>
      <c r="F982" s="24">
        <v>8004.96</v>
      </c>
      <c r="G982" s="10" t="s">
        <v>4696</v>
      </c>
      <c r="H982" s="10" t="s">
        <v>4694</v>
      </c>
      <c r="I982" s="10" t="s">
        <v>4708</v>
      </c>
      <c r="J982" s="17">
        <f t="shared" si="6"/>
        <v>22880</v>
      </c>
      <c r="K982" s="10">
        <f t="shared" ca="1" si="7"/>
        <v>63</v>
      </c>
      <c r="L982" s="6"/>
      <c r="M982" s="6"/>
      <c r="N982" s="6"/>
      <c r="O982" s="6"/>
      <c r="P982" s="6"/>
      <c r="Q982" s="6"/>
      <c r="R982" s="6"/>
      <c r="S982" s="6"/>
      <c r="T982" s="6"/>
      <c r="U982" s="6"/>
      <c r="V982" s="6"/>
      <c r="W982" s="6"/>
      <c r="X982" s="6"/>
      <c r="Y982" s="6"/>
      <c r="Z982" s="6"/>
    </row>
    <row r="983" spans="1:26" ht="15.75" customHeight="1" x14ac:dyDescent="0.3">
      <c r="A983" s="10" t="s">
        <v>2716</v>
      </c>
      <c r="B983" s="10">
        <v>1995</v>
      </c>
      <c r="C983" s="10" t="s">
        <v>4711</v>
      </c>
      <c r="D983" s="10">
        <v>18</v>
      </c>
      <c r="E983" s="10">
        <v>0</v>
      </c>
      <c r="F983" s="24">
        <v>8014.62</v>
      </c>
      <c r="G983" s="10" t="s">
        <v>4695</v>
      </c>
      <c r="H983" s="10" t="s">
        <v>4696</v>
      </c>
      <c r="I983" s="10" t="s">
        <v>4712</v>
      </c>
      <c r="J983" s="17">
        <f t="shared" si="6"/>
        <v>34960</v>
      </c>
      <c r="K983" s="10">
        <f t="shared" ca="1" si="7"/>
        <v>30</v>
      </c>
      <c r="L983" s="6"/>
      <c r="M983" s="6"/>
      <c r="N983" s="6"/>
      <c r="O983" s="6"/>
      <c r="P983" s="6"/>
      <c r="Q983" s="6"/>
      <c r="R983" s="6"/>
      <c r="S983" s="6"/>
      <c r="T983" s="6"/>
      <c r="U983" s="6"/>
      <c r="V983" s="6"/>
      <c r="W983" s="6"/>
      <c r="X983" s="6"/>
      <c r="Y983" s="6"/>
      <c r="Z983" s="6"/>
    </row>
    <row r="984" spans="1:26" ht="15.75" customHeight="1" x14ac:dyDescent="0.3">
      <c r="A984" s="10" t="s">
        <v>2714</v>
      </c>
      <c r="B984" s="10">
        <v>1980</v>
      </c>
      <c r="C984" s="10" t="s">
        <v>4709</v>
      </c>
      <c r="D984" s="10">
        <v>8</v>
      </c>
      <c r="E984" s="10">
        <v>2</v>
      </c>
      <c r="F984" s="24">
        <v>8017.06</v>
      </c>
      <c r="G984" s="10" t="s">
        <v>4695</v>
      </c>
      <c r="H984" s="10" t="s">
        <v>4695</v>
      </c>
      <c r="I984" s="10" t="s">
        <v>4712</v>
      </c>
      <c r="J984" s="17">
        <f t="shared" si="6"/>
        <v>29533</v>
      </c>
      <c r="K984" s="10">
        <f t="shared" ca="1" si="7"/>
        <v>45</v>
      </c>
      <c r="L984" s="6"/>
      <c r="M984" s="6"/>
      <c r="N984" s="6"/>
      <c r="O984" s="6"/>
      <c r="P984" s="6"/>
      <c r="Q984" s="6"/>
      <c r="R984" s="6"/>
      <c r="S984" s="6"/>
      <c r="T984" s="6"/>
      <c r="U984" s="6"/>
      <c r="V984" s="6"/>
      <c r="W984" s="6"/>
      <c r="X984" s="6"/>
      <c r="Y984" s="6"/>
      <c r="Z984" s="6"/>
    </row>
    <row r="985" spans="1:26" ht="15.75" customHeight="1" x14ac:dyDescent="0.3">
      <c r="A985" s="10" t="s">
        <v>2712</v>
      </c>
      <c r="B985" s="10">
        <v>1989</v>
      </c>
      <c r="C985" s="10" t="s">
        <v>4709</v>
      </c>
      <c r="D985" s="10">
        <v>3</v>
      </c>
      <c r="E985" s="10">
        <v>3</v>
      </c>
      <c r="F985" s="24">
        <v>8021.11</v>
      </c>
      <c r="G985" s="10" t="s">
        <v>4695</v>
      </c>
      <c r="H985" s="10" t="s">
        <v>4694</v>
      </c>
      <c r="I985" s="10" t="s">
        <v>4712</v>
      </c>
      <c r="J985" s="17">
        <f t="shared" si="6"/>
        <v>32815</v>
      </c>
      <c r="K985" s="10">
        <f t="shared" ca="1" si="7"/>
        <v>36</v>
      </c>
      <c r="L985" s="6"/>
      <c r="M985" s="6"/>
      <c r="N985" s="6"/>
      <c r="O985" s="6"/>
      <c r="P985" s="6"/>
      <c r="Q985" s="6"/>
      <c r="R985" s="6"/>
      <c r="S985" s="6"/>
      <c r="T985" s="6"/>
      <c r="U985" s="6"/>
      <c r="V985" s="6"/>
      <c r="W985" s="6"/>
      <c r="X985" s="6"/>
      <c r="Y985" s="6"/>
      <c r="Z985" s="6"/>
    </row>
    <row r="986" spans="1:26" ht="15.75" customHeight="1" x14ac:dyDescent="0.3">
      <c r="A986" s="10" t="s">
        <v>2710</v>
      </c>
      <c r="B986" s="10">
        <v>1978</v>
      </c>
      <c r="C986" s="10" t="s">
        <v>4707</v>
      </c>
      <c r="D986" s="10">
        <v>17</v>
      </c>
      <c r="E986" s="10">
        <v>1</v>
      </c>
      <c r="F986" s="24">
        <v>8023.14</v>
      </c>
      <c r="G986" s="10" t="s">
        <v>4695</v>
      </c>
      <c r="H986" s="10" t="s">
        <v>4696</v>
      </c>
      <c r="I986" s="10" t="s">
        <v>4712</v>
      </c>
      <c r="J986" s="17">
        <f t="shared" si="6"/>
        <v>28688</v>
      </c>
      <c r="K986" s="10">
        <f t="shared" ca="1" si="7"/>
        <v>47</v>
      </c>
      <c r="L986" s="6"/>
      <c r="M986" s="6"/>
      <c r="N986" s="6"/>
      <c r="O986" s="6"/>
      <c r="P986" s="6"/>
      <c r="Q986" s="6"/>
      <c r="R986" s="6"/>
      <c r="S986" s="6"/>
      <c r="T986" s="6"/>
      <c r="U986" s="6"/>
      <c r="V986" s="6"/>
      <c r="W986" s="6"/>
      <c r="X986" s="6"/>
      <c r="Y986" s="6"/>
      <c r="Z986" s="6"/>
    </row>
    <row r="987" spans="1:26" ht="15.75" customHeight="1" x14ac:dyDescent="0.3">
      <c r="A987" s="10" t="s">
        <v>2708</v>
      </c>
      <c r="B987" s="10">
        <v>1976</v>
      </c>
      <c r="C987" s="10" t="s">
        <v>4713</v>
      </c>
      <c r="D987" s="10">
        <v>20</v>
      </c>
      <c r="E987" s="10">
        <v>0</v>
      </c>
      <c r="F987" s="24">
        <v>8026.67</v>
      </c>
      <c r="G987" s="10" t="s">
        <v>4695</v>
      </c>
      <c r="H987" s="10" t="s">
        <v>4695</v>
      </c>
      <c r="I987" s="10" t="s">
        <v>4712</v>
      </c>
      <c r="J987" s="17">
        <f t="shared" si="6"/>
        <v>28114</v>
      </c>
      <c r="K987" s="10">
        <f t="shared" ca="1" si="7"/>
        <v>48</v>
      </c>
      <c r="L987" s="6"/>
      <c r="M987" s="6"/>
      <c r="N987" s="6"/>
      <c r="O987" s="6"/>
      <c r="P987" s="6"/>
      <c r="Q987" s="6"/>
      <c r="R987" s="6"/>
      <c r="S987" s="6"/>
      <c r="T987" s="6"/>
      <c r="U987" s="6"/>
      <c r="V987" s="6"/>
      <c r="W987" s="6"/>
      <c r="X987" s="6"/>
      <c r="Y987" s="6"/>
      <c r="Z987" s="6"/>
    </row>
    <row r="988" spans="1:26" ht="15.75" customHeight="1" x14ac:dyDescent="0.3">
      <c r="A988" s="10" t="s">
        <v>2706</v>
      </c>
      <c r="B988" s="10">
        <v>1977</v>
      </c>
      <c r="C988" s="10" t="s">
        <v>4709</v>
      </c>
      <c r="D988" s="10">
        <v>6</v>
      </c>
      <c r="E988" s="10">
        <v>2</v>
      </c>
      <c r="F988" s="24">
        <v>8027.97</v>
      </c>
      <c r="G988" s="10" t="s">
        <v>4696</v>
      </c>
      <c r="H988" s="10" t="s">
        <v>4695</v>
      </c>
      <c r="I988" s="10" t="s">
        <v>4716</v>
      </c>
      <c r="J988" s="17">
        <f t="shared" si="6"/>
        <v>28435</v>
      </c>
      <c r="K988" s="10">
        <f t="shared" ca="1" si="7"/>
        <v>48</v>
      </c>
      <c r="L988" s="6"/>
      <c r="M988" s="6"/>
      <c r="N988" s="6"/>
      <c r="O988" s="6"/>
      <c r="P988" s="6"/>
      <c r="Q988" s="6"/>
      <c r="R988" s="6"/>
      <c r="S988" s="6"/>
      <c r="T988" s="6"/>
      <c r="U988" s="6"/>
      <c r="V988" s="6"/>
      <c r="W988" s="6"/>
      <c r="X988" s="6"/>
      <c r="Y988" s="6"/>
      <c r="Z988" s="6"/>
    </row>
    <row r="989" spans="1:26" ht="15.75" customHeight="1" x14ac:dyDescent="0.3">
      <c r="A989" s="10" t="s">
        <v>2704</v>
      </c>
      <c r="B989" s="10">
        <v>2003</v>
      </c>
      <c r="C989" s="10" t="s">
        <v>4713</v>
      </c>
      <c r="D989" s="10">
        <v>12</v>
      </c>
      <c r="E989" s="10">
        <v>0</v>
      </c>
      <c r="F989" s="24">
        <v>8035.64</v>
      </c>
      <c r="G989" s="10" t="s">
        <v>4695</v>
      </c>
      <c r="H989" s="10" t="s">
        <v>4695</v>
      </c>
      <c r="I989" s="10" t="s">
        <v>4712</v>
      </c>
      <c r="J989" s="17">
        <f t="shared" si="6"/>
        <v>37967</v>
      </c>
      <c r="K989" s="10">
        <f t="shared" ca="1" si="7"/>
        <v>21</v>
      </c>
      <c r="L989" s="6"/>
      <c r="M989" s="6"/>
      <c r="N989" s="6"/>
      <c r="O989" s="6"/>
      <c r="P989" s="6"/>
      <c r="Q989" s="6"/>
      <c r="R989" s="6"/>
      <c r="S989" s="6"/>
      <c r="T989" s="6"/>
      <c r="U989" s="6"/>
      <c r="V989" s="6"/>
      <c r="W989" s="6"/>
      <c r="X989" s="6"/>
      <c r="Y989" s="6"/>
      <c r="Z989" s="6"/>
    </row>
    <row r="990" spans="1:26" ht="15.75" customHeight="1" x14ac:dyDescent="0.3">
      <c r="A990" s="10" t="s">
        <v>2702</v>
      </c>
      <c r="B990" s="10">
        <v>1985</v>
      </c>
      <c r="C990" s="10" t="s">
        <v>4709</v>
      </c>
      <c r="D990" s="10">
        <v>28</v>
      </c>
      <c r="E990" s="10">
        <v>3</v>
      </c>
      <c r="F990" s="24">
        <v>8059.06</v>
      </c>
      <c r="G990" s="10" t="s">
        <v>4695</v>
      </c>
      <c r="H990" s="10" t="s">
        <v>4696</v>
      </c>
      <c r="I990" s="10" t="s">
        <v>4712</v>
      </c>
      <c r="J990" s="17">
        <f t="shared" si="6"/>
        <v>31379</v>
      </c>
      <c r="K990" s="10">
        <f t="shared" ca="1" si="7"/>
        <v>40</v>
      </c>
      <c r="L990" s="6"/>
      <c r="M990" s="6"/>
      <c r="N990" s="6"/>
      <c r="O990" s="6"/>
      <c r="P990" s="6"/>
      <c r="Q990" s="6"/>
      <c r="R990" s="6"/>
      <c r="S990" s="6"/>
      <c r="T990" s="6"/>
      <c r="U990" s="6"/>
      <c r="V990" s="6"/>
      <c r="W990" s="6"/>
      <c r="X990" s="6"/>
      <c r="Y990" s="6"/>
      <c r="Z990" s="6"/>
    </row>
    <row r="991" spans="1:26" ht="15.75" customHeight="1" x14ac:dyDescent="0.3">
      <c r="A991" s="10" t="s">
        <v>2700</v>
      </c>
      <c r="B991" s="10">
        <v>1982</v>
      </c>
      <c r="C991" s="10" t="s">
        <v>4713</v>
      </c>
      <c r="D991" s="10">
        <v>27</v>
      </c>
      <c r="E991" s="10">
        <v>3</v>
      </c>
      <c r="F991" s="24">
        <v>8059.68</v>
      </c>
      <c r="G991" s="10" t="s">
        <v>4695</v>
      </c>
      <c r="H991" s="10" t="s">
        <v>4696</v>
      </c>
      <c r="I991" s="10" t="s">
        <v>4712</v>
      </c>
      <c r="J991" s="17">
        <f t="shared" si="6"/>
        <v>30312</v>
      </c>
      <c r="K991" s="10">
        <f t="shared" ca="1" si="7"/>
        <v>42</v>
      </c>
      <c r="L991" s="6"/>
      <c r="M991" s="6"/>
      <c r="N991" s="6"/>
      <c r="O991" s="6"/>
      <c r="P991" s="6"/>
      <c r="Q991" s="6"/>
      <c r="R991" s="6"/>
      <c r="S991" s="6"/>
      <c r="T991" s="6"/>
      <c r="U991" s="6"/>
      <c r="V991" s="6"/>
      <c r="W991" s="6"/>
      <c r="X991" s="6"/>
      <c r="Y991" s="6"/>
      <c r="Z991" s="6"/>
    </row>
    <row r="992" spans="1:26" ht="15.75" customHeight="1" x14ac:dyDescent="0.3">
      <c r="A992" s="10" t="s">
        <v>2698</v>
      </c>
      <c r="B992" s="10">
        <v>1970</v>
      </c>
      <c r="C992" s="10" t="s">
        <v>4713</v>
      </c>
      <c r="D992" s="10">
        <v>12</v>
      </c>
      <c r="E992" s="10">
        <v>0</v>
      </c>
      <c r="F992" s="24">
        <v>8062.31</v>
      </c>
      <c r="G992" s="10" t="s">
        <v>4695</v>
      </c>
      <c r="H992" s="10" t="s">
        <v>4694</v>
      </c>
      <c r="I992" s="10" t="s">
        <v>4708</v>
      </c>
      <c r="J992" s="17">
        <f t="shared" si="6"/>
        <v>25914</v>
      </c>
      <c r="K992" s="10">
        <f t="shared" ca="1" si="7"/>
        <v>54</v>
      </c>
      <c r="L992" s="6"/>
      <c r="M992" s="6"/>
      <c r="N992" s="6"/>
      <c r="O992" s="6"/>
      <c r="P992" s="6"/>
      <c r="Q992" s="6"/>
      <c r="R992" s="6"/>
      <c r="S992" s="6"/>
      <c r="T992" s="6"/>
      <c r="U992" s="6"/>
      <c r="V992" s="6"/>
      <c r="W992" s="6"/>
      <c r="X992" s="6"/>
      <c r="Y992" s="6"/>
      <c r="Z992" s="6"/>
    </row>
    <row r="993" spans="1:26" ht="15.75" customHeight="1" x14ac:dyDescent="0.3">
      <c r="A993" s="10" t="s">
        <v>2696</v>
      </c>
      <c r="B993" s="10">
        <v>1975</v>
      </c>
      <c r="C993" s="10" t="s">
        <v>4710</v>
      </c>
      <c r="D993" s="10">
        <v>28</v>
      </c>
      <c r="E993" s="10">
        <v>1</v>
      </c>
      <c r="F993" s="24">
        <v>8062.76</v>
      </c>
      <c r="G993" s="10" t="s">
        <v>4696</v>
      </c>
      <c r="H993" s="10" t="s">
        <v>4696</v>
      </c>
      <c r="I993" s="10" t="s">
        <v>4716</v>
      </c>
      <c r="J993" s="17">
        <f t="shared" si="6"/>
        <v>27573</v>
      </c>
      <c r="K993" s="10">
        <f t="shared" ca="1" si="7"/>
        <v>50</v>
      </c>
      <c r="L993" s="6"/>
      <c r="M993" s="6"/>
      <c r="N993" s="6"/>
      <c r="O993" s="6"/>
      <c r="P993" s="6"/>
      <c r="Q993" s="6"/>
      <c r="R993" s="6"/>
      <c r="S993" s="6"/>
      <c r="T993" s="6"/>
      <c r="U993" s="6"/>
      <c r="V993" s="6"/>
      <c r="W993" s="6"/>
      <c r="X993" s="6"/>
      <c r="Y993" s="6"/>
      <c r="Z993" s="6"/>
    </row>
    <row r="994" spans="1:26" ht="15.75" customHeight="1" x14ac:dyDescent="0.3">
      <c r="A994" s="10" t="s">
        <v>2694</v>
      </c>
      <c r="B994" s="10">
        <v>1965</v>
      </c>
      <c r="C994" s="10" t="s">
        <v>4714</v>
      </c>
      <c r="D994" s="10">
        <v>11</v>
      </c>
      <c r="E994" s="10">
        <v>0</v>
      </c>
      <c r="F994" s="24">
        <v>8067.83</v>
      </c>
      <c r="G994" s="10" t="s">
        <v>4696</v>
      </c>
      <c r="H994" s="10" t="s">
        <v>4694</v>
      </c>
      <c r="I994" s="10" t="s">
        <v>4708</v>
      </c>
      <c r="J994" s="17">
        <f t="shared" si="6"/>
        <v>23965</v>
      </c>
      <c r="K994" s="10">
        <f t="shared" ca="1" si="7"/>
        <v>60</v>
      </c>
      <c r="L994" s="6"/>
      <c r="M994" s="6"/>
      <c r="N994" s="6"/>
      <c r="O994" s="6"/>
      <c r="P994" s="6"/>
      <c r="Q994" s="6"/>
      <c r="R994" s="6"/>
      <c r="S994" s="6"/>
      <c r="T994" s="6"/>
      <c r="U994" s="6"/>
      <c r="V994" s="6"/>
      <c r="W994" s="6"/>
      <c r="X994" s="6"/>
      <c r="Y994" s="6"/>
      <c r="Z994" s="6"/>
    </row>
    <row r="995" spans="1:26" ht="15.75" customHeight="1" x14ac:dyDescent="0.3">
      <c r="A995" s="10" t="s">
        <v>2692</v>
      </c>
      <c r="B995" s="10">
        <v>1975</v>
      </c>
      <c r="C995" s="10" t="s">
        <v>4713</v>
      </c>
      <c r="D995" s="10">
        <v>15</v>
      </c>
      <c r="E995" s="10">
        <v>1</v>
      </c>
      <c r="F995" s="24">
        <v>8068.19</v>
      </c>
      <c r="G995" s="10" t="s">
        <v>4696</v>
      </c>
      <c r="H995" s="10" t="s">
        <v>4695</v>
      </c>
      <c r="I995" s="10" t="s">
        <v>4716</v>
      </c>
      <c r="J995" s="17">
        <f t="shared" si="6"/>
        <v>27743</v>
      </c>
      <c r="K995" s="10">
        <f t="shared" ca="1" si="7"/>
        <v>49</v>
      </c>
      <c r="L995" s="6"/>
      <c r="M995" s="6"/>
      <c r="N995" s="6"/>
      <c r="O995" s="6"/>
      <c r="P995" s="6"/>
      <c r="Q995" s="6"/>
      <c r="R995" s="6"/>
      <c r="S995" s="6"/>
      <c r="T995" s="6"/>
      <c r="U995" s="6"/>
      <c r="V995" s="6"/>
      <c r="W995" s="6"/>
      <c r="X995" s="6"/>
      <c r="Y995" s="6"/>
      <c r="Z995" s="6"/>
    </row>
    <row r="996" spans="1:26" ht="15.75" customHeight="1" x14ac:dyDescent="0.3">
      <c r="A996" s="10" t="s">
        <v>2690</v>
      </c>
      <c r="B996" s="10">
        <v>1965</v>
      </c>
      <c r="C996" s="10" t="s">
        <v>4715</v>
      </c>
      <c r="D996" s="10">
        <v>21</v>
      </c>
      <c r="E996" s="10">
        <v>0</v>
      </c>
      <c r="F996" s="24">
        <v>8071.57</v>
      </c>
      <c r="G996" s="10" t="s">
        <v>4696</v>
      </c>
      <c r="H996" s="10" t="s">
        <v>4694</v>
      </c>
      <c r="I996" s="10" t="s">
        <v>4716</v>
      </c>
      <c r="J996" s="17">
        <f t="shared" si="6"/>
        <v>24036</v>
      </c>
      <c r="K996" s="10">
        <f t="shared" ca="1" si="7"/>
        <v>60</v>
      </c>
      <c r="L996" s="6"/>
      <c r="M996" s="6"/>
      <c r="N996" s="6"/>
      <c r="O996" s="6"/>
      <c r="P996" s="6"/>
      <c r="Q996" s="6"/>
      <c r="R996" s="6"/>
      <c r="S996" s="6"/>
      <c r="T996" s="6"/>
      <c r="U996" s="6"/>
      <c r="V996" s="6"/>
      <c r="W996" s="6"/>
      <c r="X996" s="6"/>
      <c r="Y996" s="6"/>
      <c r="Z996" s="6"/>
    </row>
    <row r="997" spans="1:26" ht="15.75" customHeight="1" x14ac:dyDescent="0.3">
      <c r="A997" s="10" t="s">
        <v>2688</v>
      </c>
      <c r="B997" s="10">
        <v>1993</v>
      </c>
      <c r="C997" s="10" t="s">
        <v>4709</v>
      </c>
      <c r="D997" s="10">
        <v>7</v>
      </c>
      <c r="E997" s="10">
        <v>0</v>
      </c>
      <c r="F997" s="24">
        <v>8077.41</v>
      </c>
      <c r="G997" s="10" t="s">
        <v>4695</v>
      </c>
      <c r="H997" s="10" t="s">
        <v>4694</v>
      </c>
      <c r="I997" s="10" t="s">
        <v>4729</v>
      </c>
      <c r="J997" s="17">
        <f t="shared" si="6"/>
        <v>34280</v>
      </c>
      <c r="K997" s="10">
        <f t="shared" ca="1" si="7"/>
        <v>32</v>
      </c>
      <c r="L997" s="6"/>
      <c r="M997" s="6"/>
      <c r="N997" s="6"/>
      <c r="O997" s="6"/>
      <c r="P997" s="6"/>
      <c r="Q997" s="6"/>
      <c r="R997" s="6"/>
      <c r="S997" s="6"/>
      <c r="T997" s="6"/>
      <c r="U997" s="6"/>
      <c r="V997" s="6"/>
      <c r="W997" s="6"/>
      <c r="X997" s="6"/>
      <c r="Y997" s="6"/>
      <c r="Z997" s="6"/>
    </row>
    <row r="998" spans="1:26" ht="15.75" customHeight="1" x14ac:dyDescent="0.3">
      <c r="A998" s="10" t="s">
        <v>2686</v>
      </c>
      <c r="B998" s="10">
        <v>2001</v>
      </c>
      <c r="C998" s="10" t="s">
        <v>4714</v>
      </c>
      <c r="D998" s="10">
        <v>28</v>
      </c>
      <c r="E998" s="10">
        <v>0</v>
      </c>
      <c r="F998" s="24">
        <v>8081.26</v>
      </c>
      <c r="G998" s="10" t="s">
        <v>4695</v>
      </c>
      <c r="H998" s="10" t="s">
        <v>4695</v>
      </c>
      <c r="I998" s="10" t="s">
        <v>4712</v>
      </c>
      <c r="J998" s="17">
        <f t="shared" si="6"/>
        <v>37131</v>
      </c>
      <c r="K998" s="10">
        <f t="shared" ca="1" si="7"/>
        <v>24</v>
      </c>
      <c r="L998" s="6"/>
      <c r="M998" s="6"/>
      <c r="N998" s="6"/>
      <c r="O998" s="6"/>
      <c r="P998" s="6"/>
      <c r="Q998" s="6"/>
      <c r="R998" s="6"/>
      <c r="S998" s="6"/>
      <c r="T998" s="6"/>
      <c r="U998" s="6"/>
      <c r="V998" s="6"/>
      <c r="W998" s="6"/>
      <c r="X998" s="6"/>
      <c r="Y998" s="6"/>
      <c r="Z998" s="6"/>
    </row>
    <row r="999" spans="1:26" ht="15.75" customHeight="1" x14ac:dyDescent="0.3">
      <c r="A999" s="10" t="s">
        <v>2684</v>
      </c>
      <c r="B999" s="10">
        <v>1994</v>
      </c>
      <c r="C999" s="10" t="s">
        <v>4715</v>
      </c>
      <c r="D999" s="10">
        <v>12</v>
      </c>
      <c r="E999" s="10">
        <v>0</v>
      </c>
      <c r="F999" s="24">
        <v>8081.74</v>
      </c>
      <c r="G999" s="10" t="s">
        <v>4695</v>
      </c>
      <c r="H999" s="10" t="s">
        <v>4695</v>
      </c>
      <c r="I999" s="10" t="s">
        <v>4729</v>
      </c>
      <c r="J999" s="17">
        <f t="shared" si="6"/>
        <v>34619</v>
      </c>
      <c r="K999" s="10">
        <f t="shared" ca="1" si="7"/>
        <v>31</v>
      </c>
      <c r="L999" s="6"/>
      <c r="M999" s="6"/>
      <c r="N999" s="6"/>
      <c r="O999" s="6"/>
      <c r="P999" s="6"/>
      <c r="Q999" s="6"/>
      <c r="R999" s="6"/>
      <c r="S999" s="6"/>
      <c r="T999" s="6"/>
      <c r="U999" s="6"/>
      <c r="V999" s="6"/>
      <c r="W999" s="6"/>
      <c r="X999" s="6"/>
      <c r="Y999" s="6"/>
      <c r="Z999" s="6"/>
    </row>
    <row r="1000" spans="1:26" ht="15.75" customHeight="1" x14ac:dyDescent="0.3">
      <c r="A1000" s="10" t="s">
        <v>2682</v>
      </c>
      <c r="B1000" s="10">
        <v>1975</v>
      </c>
      <c r="C1000" s="10" t="s">
        <v>4713</v>
      </c>
      <c r="D1000" s="10">
        <v>21</v>
      </c>
      <c r="E1000" s="10">
        <v>1</v>
      </c>
      <c r="F1000" s="24">
        <v>8083.92</v>
      </c>
      <c r="G1000" s="10" t="s">
        <v>4696</v>
      </c>
      <c r="H1000" s="10" t="s">
        <v>4696</v>
      </c>
      <c r="I1000" s="10" t="s">
        <v>4708</v>
      </c>
      <c r="J1000" s="17">
        <f t="shared" si="6"/>
        <v>27749</v>
      </c>
      <c r="K1000" s="10">
        <f t="shared" ca="1" si="7"/>
        <v>49</v>
      </c>
      <c r="L1000" s="6"/>
      <c r="M1000" s="6"/>
      <c r="N1000" s="6"/>
      <c r="O1000" s="6"/>
      <c r="P1000" s="6"/>
      <c r="Q1000" s="6"/>
      <c r="R1000" s="6"/>
      <c r="S1000" s="6"/>
      <c r="T1000" s="6"/>
      <c r="U1000" s="6"/>
      <c r="V1000" s="6"/>
      <c r="W1000" s="6"/>
      <c r="X1000" s="6"/>
      <c r="Y1000" s="6"/>
      <c r="Z1000" s="6"/>
    </row>
    <row r="1001" spans="1:26" ht="15.75" customHeight="1" x14ac:dyDescent="0.3">
      <c r="A1001" s="10" t="s">
        <v>2680</v>
      </c>
      <c r="B1001" s="10">
        <v>1967</v>
      </c>
      <c r="C1001" s="10" t="s">
        <v>4710</v>
      </c>
      <c r="D1001" s="10">
        <v>10</v>
      </c>
      <c r="E1001" s="10">
        <v>0</v>
      </c>
      <c r="F1001" s="24">
        <v>8091.3</v>
      </c>
      <c r="G1001" s="10" t="s">
        <v>4696</v>
      </c>
      <c r="H1001" s="10" t="s">
        <v>4694</v>
      </c>
      <c r="I1001" s="10" t="s">
        <v>4712</v>
      </c>
      <c r="J1001" s="17">
        <f t="shared" si="6"/>
        <v>24633</v>
      </c>
      <c r="K1001" s="10">
        <f t="shared" ca="1" si="7"/>
        <v>58</v>
      </c>
      <c r="L1001" s="6"/>
      <c r="M1001" s="6"/>
      <c r="N1001" s="6"/>
      <c r="O1001" s="6"/>
      <c r="P1001" s="6"/>
      <c r="Q1001" s="6"/>
      <c r="R1001" s="6"/>
      <c r="S1001" s="6"/>
      <c r="T1001" s="6"/>
      <c r="U1001" s="6"/>
      <c r="V1001" s="6"/>
      <c r="W1001" s="6"/>
      <c r="X1001" s="6"/>
      <c r="Y1001" s="6"/>
      <c r="Z1001" s="6"/>
    </row>
    <row r="1002" spans="1:26" ht="15.75" customHeight="1" x14ac:dyDescent="0.3">
      <c r="A1002" s="10" t="s">
        <v>2678</v>
      </c>
      <c r="B1002" s="10">
        <v>1973</v>
      </c>
      <c r="C1002" s="10" t="s">
        <v>4715</v>
      </c>
      <c r="D1002" s="10">
        <v>11</v>
      </c>
      <c r="E1002" s="10">
        <v>0</v>
      </c>
      <c r="F1002" s="24">
        <v>8112.59</v>
      </c>
      <c r="G1002" s="10" t="s">
        <v>4695</v>
      </c>
      <c r="H1002" s="10" t="s">
        <v>4695</v>
      </c>
      <c r="I1002" s="10" t="s">
        <v>4708</v>
      </c>
      <c r="J1002" s="17">
        <f t="shared" si="6"/>
        <v>26948</v>
      </c>
      <c r="K1002" s="10">
        <f t="shared" ca="1" si="7"/>
        <v>52</v>
      </c>
      <c r="L1002" s="6"/>
      <c r="M1002" s="6"/>
      <c r="N1002" s="6"/>
      <c r="O1002" s="6"/>
      <c r="P1002" s="6"/>
      <c r="Q1002" s="6"/>
      <c r="R1002" s="6"/>
      <c r="S1002" s="6"/>
      <c r="T1002" s="6"/>
      <c r="U1002" s="6"/>
      <c r="V1002" s="6"/>
      <c r="W1002" s="6"/>
      <c r="X1002" s="6"/>
      <c r="Y1002" s="6"/>
      <c r="Z1002" s="6"/>
    </row>
    <row r="1003" spans="1:26" ht="15.75" customHeight="1" x14ac:dyDescent="0.3">
      <c r="A1003" s="10" t="s">
        <v>2676</v>
      </c>
      <c r="B1003" s="10">
        <v>1978</v>
      </c>
      <c r="C1003" s="10" t="s">
        <v>4711</v>
      </c>
      <c r="D1003" s="10">
        <v>1</v>
      </c>
      <c r="E1003" s="10">
        <v>2</v>
      </c>
      <c r="F1003" s="24">
        <v>8116.27</v>
      </c>
      <c r="G1003" s="10" t="s">
        <v>4696</v>
      </c>
      <c r="H1003" s="10" t="s">
        <v>4694</v>
      </c>
      <c r="I1003" s="10" t="s">
        <v>4712</v>
      </c>
      <c r="J1003" s="17">
        <f t="shared" si="6"/>
        <v>28734</v>
      </c>
      <c r="K1003" s="10">
        <f t="shared" ca="1" si="7"/>
        <v>47</v>
      </c>
      <c r="L1003" s="6"/>
      <c r="M1003" s="6"/>
      <c r="N1003" s="6"/>
      <c r="O1003" s="6"/>
      <c r="P1003" s="6"/>
      <c r="Q1003" s="6"/>
      <c r="R1003" s="6"/>
      <c r="S1003" s="6"/>
      <c r="T1003" s="6"/>
      <c r="U1003" s="6"/>
      <c r="V1003" s="6"/>
      <c r="W1003" s="6"/>
      <c r="X1003" s="6"/>
      <c r="Y1003" s="6"/>
      <c r="Z1003" s="6"/>
    </row>
    <row r="1004" spans="1:26" ht="15.75" customHeight="1" x14ac:dyDescent="0.3">
      <c r="A1004" s="10" t="s">
        <v>2674</v>
      </c>
      <c r="B1004" s="10">
        <v>1973</v>
      </c>
      <c r="C1004" s="10" t="s">
        <v>4713</v>
      </c>
      <c r="D1004" s="10">
        <v>16</v>
      </c>
      <c r="E1004" s="10">
        <v>0</v>
      </c>
      <c r="F1004" s="24">
        <v>8116.68</v>
      </c>
      <c r="G1004" s="10" t="s">
        <v>4696</v>
      </c>
      <c r="H1004" s="10" t="s">
        <v>4694</v>
      </c>
      <c r="I1004" s="10" t="s">
        <v>4716</v>
      </c>
      <c r="J1004" s="17">
        <f t="shared" si="6"/>
        <v>27014</v>
      </c>
      <c r="K1004" s="10">
        <f t="shared" ca="1" si="7"/>
        <v>51</v>
      </c>
      <c r="L1004" s="6"/>
      <c r="M1004" s="6"/>
      <c r="N1004" s="6"/>
      <c r="O1004" s="6"/>
      <c r="P1004" s="6"/>
      <c r="Q1004" s="6"/>
      <c r="R1004" s="6"/>
      <c r="S1004" s="6"/>
      <c r="T1004" s="6"/>
      <c r="U1004" s="6"/>
      <c r="V1004" s="6"/>
      <c r="W1004" s="6"/>
      <c r="X1004" s="6"/>
      <c r="Y1004" s="6"/>
      <c r="Z1004" s="6"/>
    </row>
    <row r="1005" spans="1:26" ht="15.75" customHeight="1" x14ac:dyDescent="0.3">
      <c r="A1005" s="10" t="s">
        <v>2672</v>
      </c>
      <c r="B1005" s="10">
        <v>1973</v>
      </c>
      <c r="C1005" s="10" t="s">
        <v>4714</v>
      </c>
      <c r="D1005" s="10">
        <v>30</v>
      </c>
      <c r="E1005" s="10">
        <v>0</v>
      </c>
      <c r="F1005" s="24">
        <v>8124.41</v>
      </c>
      <c r="G1005" s="10" t="s">
        <v>4696</v>
      </c>
      <c r="H1005" s="10" t="s">
        <v>4694</v>
      </c>
      <c r="I1005" s="10" t="s">
        <v>4708</v>
      </c>
      <c r="J1005" s="17">
        <f t="shared" si="6"/>
        <v>26906</v>
      </c>
      <c r="K1005" s="10">
        <f t="shared" ca="1" si="7"/>
        <v>52</v>
      </c>
      <c r="L1005" s="6"/>
      <c r="M1005" s="6"/>
      <c r="N1005" s="6"/>
      <c r="O1005" s="6"/>
      <c r="P1005" s="6"/>
      <c r="Q1005" s="6"/>
      <c r="R1005" s="6"/>
      <c r="S1005" s="6"/>
      <c r="T1005" s="6"/>
      <c r="U1005" s="6"/>
      <c r="V1005" s="6"/>
      <c r="W1005" s="6"/>
      <c r="X1005" s="6"/>
      <c r="Y1005" s="6"/>
      <c r="Z1005" s="6"/>
    </row>
    <row r="1006" spans="1:26" ht="15.75" customHeight="1" x14ac:dyDescent="0.3">
      <c r="A1006" s="10" t="s">
        <v>2670</v>
      </c>
      <c r="B1006" s="10">
        <v>1973</v>
      </c>
      <c r="C1006" s="10" t="s">
        <v>4711</v>
      </c>
      <c r="D1006" s="10">
        <v>3</v>
      </c>
      <c r="E1006" s="10">
        <v>0</v>
      </c>
      <c r="F1006" s="24">
        <v>8125.78</v>
      </c>
      <c r="G1006" s="10" t="s">
        <v>4695</v>
      </c>
      <c r="H1006" s="10" t="s">
        <v>4695</v>
      </c>
      <c r="I1006" s="10" t="s">
        <v>4708</v>
      </c>
      <c r="J1006" s="17">
        <f t="shared" si="6"/>
        <v>26910</v>
      </c>
      <c r="K1006" s="10">
        <f t="shared" ca="1" si="7"/>
        <v>52</v>
      </c>
      <c r="L1006" s="6"/>
      <c r="M1006" s="6"/>
      <c r="N1006" s="6"/>
      <c r="O1006" s="6"/>
      <c r="P1006" s="6"/>
      <c r="Q1006" s="6"/>
      <c r="R1006" s="6"/>
      <c r="S1006" s="6"/>
      <c r="T1006" s="6"/>
      <c r="U1006" s="6"/>
      <c r="V1006" s="6"/>
      <c r="W1006" s="6"/>
      <c r="X1006" s="6"/>
      <c r="Y1006" s="6"/>
      <c r="Z1006" s="6"/>
    </row>
    <row r="1007" spans="1:26" ht="15.75" customHeight="1" x14ac:dyDescent="0.3">
      <c r="A1007" s="10" t="s">
        <v>2668</v>
      </c>
      <c r="B1007" s="10">
        <v>1990</v>
      </c>
      <c r="C1007" s="10" t="s">
        <v>4710</v>
      </c>
      <c r="D1007" s="10">
        <v>21</v>
      </c>
      <c r="E1007" s="10">
        <v>3</v>
      </c>
      <c r="F1007" s="24">
        <v>8157.92</v>
      </c>
      <c r="G1007" s="10" t="s">
        <v>4695</v>
      </c>
      <c r="H1007" s="10" t="s">
        <v>4696</v>
      </c>
      <c r="I1007" s="10" t="s">
        <v>4722</v>
      </c>
      <c r="J1007" s="17">
        <f t="shared" si="6"/>
        <v>33045</v>
      </c>
      <c r="K1007" s="10">
        <f t="shared" ca="1" si="7"/>
        <v>35</v>
      </c>
      <c r="L1007" s="6"/>
      <c r="M1007" s="6"/>
      <c r="N1007" s="6"/>
      <c r="O1007" s="6"/>
      <c r="P1007" s="6"/>
      <c r="Q1007" s="6"/>
      <c r="R1007" s="6"/>
      <c r="S1007" s="6"/>
      <c r="T1007" s="6"/>
      <c r="U1007" s="6"/>
      <c r="V1007" s="6"/>
      <c r="W1007" s="6"/>
      <c r="X1007" s="6"/>
      <c r="Y1007" s="6"/>
      <c r="Z1007" s="6"/>
    </row>
    <row r="1008" spans="1:26" ht="15.75" customHeight="1" x14ac:dyDescent="0.3">
      <c r="A1008" s="10" t="s">
        <v>2666</v>
      </c>
      <c r="B1008" s="10">
        <v>1982</v>
      </c>
      <c r="C1008" s="10" t="s">
        <v>4710</v>
      </c>
      <c r="D1008" s="10">
        <v>28</v>
      </c>
      <c r="E1008" s="10">
        <v>4</v>
      </c>
      <c r="F1008" s="24">
        <v>8162.72</v>
      </c>
      <c r="G1008" s="10" t="s">
        <v>4696</v>
      </c>
      <c r="H1008" s="10" t="s">
        <v>4696</v>
      </c>
      <c r="I1008" s="10" t="s">
        <v>4712</v>
      </c>
      <c r="J1008" s="17">
        <f t="shared" si="6"/>
        <v>30130</v>
      </c>
      <c r="K1008" s="10">
        <f t="shared" ca="1" si="7"/>
        <v>43</v>
      </c>
      <c r="L1008" s="6"/>
      <c r="M1008" s="6"/>
      <c r="N1008" s="6"/>
      <c r="O1008" s="6"/>
      <c r="P1008" s="6"/>
      <c r="Q1008" s="6"/>
      <c r="R1008" s="6"/>
      <c r="S1008" s="6"/>
      <c r="T1008" s="6"/>
      <c r="U1008" s="6"/>
      <c r="V1008" s="6"/>
      <c r="W1008" s="6"/>
      <c r="X1008" s="6"/>
      <c r="Y1008" s="6"/>
      <c r="Z1008" s="6"/>
    </row>
    <row r="1009" spans="1:26" ht="15.75" customHeight="1" x14ac:dyDescent="0.3">
      <c r="A1009" s="10" t="s">
        <v>2664</v>
      </c>
      <c r="B1009" s="10">
        <v>1963</v>
      </c>
      <c r="C1009" s="10" t="s">
        <v>4709</v>
      </c>
      <c r="D1009" s="10">
        <v>5</v>
      </c>
      <c r="E1009" s="10">
        <v>0</v>
      </c>
      <c r="F1009" s="24">
        <v>8177.9</v>
      </c>
      <c r="G1009" s="10" t="s">
        <v>4696</v>
      </c>
      <c r="H1009" s="10" t="s">
        <v>4694</v>
      </c>
      <c r="I1009" s="10" t="s">
        <v>4708</v>
      </c>
      <c r="J1009" s="17">
        <f t="shared" si="6"/>
        <v>23320</v>
      </c>
      <c r="K1009" s="10">
        <f t="shared" ca="1" si="7"/>
        <v>62</v>
      </c>
      <c r="L1009" s="6"/>
      <c r="M1009" s="6"/>
      <c r="N1009" s="6"/>
      <c r="O1009" s="6"/>
      <c r="P1009" s="6"/>
      <c r="Q1009" s="6"/>
      <c r="R1009" s="6"/>
      <c r="S1009" s="6"/>
      <c r="T1009" s="6"/>
      <c r="U1009" s="6"/>
      <c r="V1009" s="6"/>
      <c r="W1009" s="6"/>
      <c r="X1009" s="6"/>
      <c r="Y1009" s="6"/>
      <c r="Z1009" s="6"/>
    </row>
    <row r="1010" spans="1:26" ht="15.75" customHeight="1" x14ac:dyDescent="0.3">
      <c r="A1010" s="10" t="s">
        <v>2662</v>
      </c>
      <c r="B1010" s="10">
        <v>1983</v>
      </c>
      <c r="C1010" s="10" t="s">
        <v>4710</v>
      </c>
      <c r="D1010" s="10">
        <v>8</v>
      </c>
      <c r="E1010" s="10">
        <v>3</v>
      </c>
      <c r="F1010" s="24">
        <v>8179.51</v>
      </c>
      <c r="G1010" s="10" t="s">
        <v>4695</v>
      </c>
      <c r="H1010" s="10" t="s">
        <v>4695</v>
      </c>
      <c r="I1010" s="10" t="s">
        <v>4728</v>
      </c>
      <c r="J1010" s="17">
        <f t="shared" si="6"/>
        <v>30475</v>
      </c>
      <c r="K1010" s="10">
        <f t="shared" ca="1" si="7"/>
        <v>42</v>
      </c>
      <c r="L1010" s="6"/>
      <c r="M1010" s="6"/>
      <c r="N1010" s="6"/>
      <c r="O1010" s="6"/>
      <c r="P1010" s="6"/>
      <c r="Q1010" s="6"/>
      <c r="R1010" s="6"/>
      <c r="S1010" s="6"/>
      <c r="T1010" s="6"/>
      <c r="U1010" s="6"/>
      <c r="V1010" s="6"/>
      <c r="W1010" s="6"/>
      <c r="X1010" s="6"/>
      <c r="Y1010" s="6"/>
      <c r="Z1010" s="6"/>
    </row>
    <row r="1011" spans="1:26" ht="15.75" customHeight="1" x14ac:dyDescent="0.3">
      <c r="A1011" s="10" t="s">
        <v>2660</v>
      </c>
      <c r="B1011" s="10">
        <v>1997</v>
      </c>
      <c r="C1011" s="10" t="s">
        <v>4715</v>
      </c>
      <c r="D1011" s="10">
        <v>21</v>
      </c>
      <c r="E1011" s="10">
        <v>0</v>
      </c>
      <c r="F1011" s="24">
        <v>8182.89</v>
      </c>
      <c r="G1011" s="10" t="s">
        <v>4695</v>
      </c>
      <c r="H1011" s="10" t="s">
        <v>4694</v>
      </c>
      <c r="I1011" s="10" t="s">
        <v>4729</v>
      </c>
      <c r="J1011" s="17">
        <f t="shared" si="6"/>
        <v>35724</v>
      </c>
      <c r="K1011" s="10">
        <f t="shared" ca="1" si="7"/>
        <v>28</v>
      </c>
      <c r="L1011" s="6"/>
      <c r="M1011" s="6"/>
      <c r="N1011" s="6"/>
      <c r="O1011" s="6"/>
      <c r="P1011" s="6"/>
      <c r="Q1011" s="6"/>
      <c r="R1011" s="6"/>
      <c r="S1011" s="6"/>
      <c r="T1011" s="6"/>
      <c r="U1011" s="6"/>
      <c r="V1011" s="6"/>
      <c r="W1011" s="6"/>
      <c r="X1011" s="6"/>
      <c r="Y1011" s="6"/>
      <c r="Z1011" s="6"/>
    </row>
    <row r="1012" spans="1:26" ht="15.75" customHeight="1" x14ac:dyDescent="0.3">
      <c r="A1012" s="10" t="s">
        <v>2658</v>
      </c>
      <c r="B1012" s="10">
        <v>1962</v>
      </c>
      <c r="C1012" s="10" t="s">
        <v>4709</v>
      </c>
      <c r="D1012" s="10">
        <v>23</v>
      </c>
      <c r="E1012" s="10">
        <v>0</v>
      </c>
      <c r="F1012" s="24">
        <v>8188.12</v>
      </c>
      <c r="G1012" s="10" t="s">
        <v>4696</v>
      </c>
      <c r="H1012" s="10" t="s">
        <v>4696</v>
      </c>
      <c r="I1012" s="10" t="s">
        <v>4708</v>
      </c>
      <c r="J1012" s="17">
        <f t="shared" si="6"/>
        <v>22973</v>
      </c>
      <c r="K1012" s="10">
        <f t="shared" ca="1" si="7"/>
        <v>63</v>
      </c>
      <c r="L1012" s="6"/>
      <c r="M1012" s="6"/>
      <c r="N1012" s="6"/>
      <c r="O1012" s="6"/>
      <c r="P1012" s="6"/>
      <c r="Q1012" s="6"/>
      <c r="R1012" s="6"/>
      <c r="S1012" s="6"/>
      <c r="T1012" s="6"/>
      <c r="U1012" s="6"/>
      <c r="V1012" s="6"/>
      <c r="W1012" s="6"/>
      <c r="X1012" s="6"/>
      <c r="Y1012" s="6"/>
      <c r="Z1012" s="6"/>
    </row>
    <row r="1013" spans="1:26" ht="15.75" customHeight="1" x14ac:dyDescent="0.3">
      <c r="A1013" s="10" t="s">
        <v>2656</v>
      </c>
      <c r="B1013" s="10">
        <v>1978</v>
      </c>
      <c r="C1013" s="10" t="s">
        <v>4715</v>
      </c>
      <c r="D1013" s="10">
        <v>24</v>
      </c>
      <c r="E1013" s="10">
        <v>2</v>
      </c>
      <c r="F1013" s="24">
        <v>8211.1</v>
      </c>
      <c r="G1013" s="10" t="s">
        <v>4695</v>
      </c>
      <c r="H1013" s="10" t="s">
        <v>4696</v>
      </c>
      <c r="I1013" s="10" t="s">
        <v>4708</v>
      </c>
      <c r="J1013" s="17">
        <f t="shared" si="6"/>
        <v>28787</v>
      </c>
      <c r="K1013" s="10">
        <f t="shared" ca="1" si="7"/>
        <v>47</v>
      </c>
      <c r="L1013" s="6"/>
      <c r="M1013" s="6"/>
      <c r="N1013" s="6"/>
      <c r="O1013" s="6"/>
      <c r="P1013" s="6"/>
      <c r="Q1013" s="6"/>
      <c r="R1013" s="6"/>
      <c r="S1013" s="6"/>
      <c r="T1013" s="6"/>
      <c r="U1013" s="6"/>
      <c r="V1013" s="6"/>
      <c r="W1013" s="6"/>
      <c r="X1013" s="6"/>
      <c r="Y1013" s="6"/>
      <c r="Z1013" s="6"/>
    </row>
    <row r="1014" spans="1:26" ht="15.75" customHeight="1" x14ac:dyDescent="0.3">
      <c r="A1014" s="10" t="s">
        <v>2654</v>
      </c>
      <c r="B1014" s="10">
        <v>1978</v>
      </c>
      <c r="C1014" s="10" t="s">
        <v>4710</v>
      </c>
      <c r="D1014" s="10">
        <v>30</v>
      </c>
      <c r="E1014" s="10">
        <v>2</v>
      </c>
      <c r="F1014" s="24">
        <v>8219.2000000000007</v>
      </c>
      <c r="G1014" s="10" t="s">
        <v>4695</v>
      </c>
      <c r="H1014" s="10" t="s">
        <v>4695</v>
      </c>
      <c r="I1014" s="10" t="s">
        <v>4708</v>
      </c>
      <c r="J1014" s="17">
        <f t="shared" si="6"/>
        <v>28671</v>
      </c>
      <c r="K1014" s="10">
        <f t="shared" ca="1" si="7"/>
        <v>47</v>
      </c>
      <c r="L1014" s="6"/>
      <c r="M1014" s="6"/>
      <c r="N1014" s="6"/>
      <c r="O1014" s="6"/>
      <c r="P1014" s="6"/>
      <c r="Q1014" s="6"/>
      <c r="R1014" s="6"/>
      <c r="S1014" s="6"/>
      <c r="T1014" s="6"/>
      <c r="U1014" s="6"/>
      <c r="V1014" s="6"/>
      <c r="W1014" s="6"/>
      <c r="X1014" s="6"/>
      <c r="Y1014" s="6"/>
      <c r="Z1014" s="6"/>
    </row>
    <row r="1015" spans="1:26" ht="15.75" customHeight="1" x14ac:dyDescent="0.3">
      <c r="A1015" s="10" t="s">
        <v>2652</v>
      </c>
      <c r="B1015" s="10">
        <v>1976</v>
      </c>
      <c r="C1015" s="10" t="s">
        <v>4711</v>
      </c>
      <c r="D1015" s="10">
        <v>3</v>
      </c>
      <c r="E1015" s="10">
        <v>1</v>
      </c>
      <c r="F1015" s="24">
        <v>8232.64</v>
      </c>
      <c r="G1015" s="10" t="s">
        <v>4695</v>
      </c>
      <c r="H1015" s="10" t="s">
        <v>4696</v>
      </c>
      <c r="I1015" s="10" t="s">
        <v>4708</v>
      </c>
      <c r="J1015" s="17">
        <f t="shared" si="6"/>
        <v>28006</v>
      </c>
      <c r="K1015" s="10">
        <f t="shared" ca="1" si="7"/>
        <v>49</v>
      </c>
      <c r="L1015" s="6"/>
      <c r="M1015" s="6"/>
      <c r="N1015" s="6"/>
      <c r="O1015" s="6"/>
      <c r="P1015" s="6"/>
      <c r="Q1015" s="6"/>
      <c r="R1015" s="6"/>
      <c r="S1015" s="6"/>
      <c r="T1015" s="6"/>
      <c r="U1015" s="6"/>
      <c r="V1015" s="6"/>
      <c r="W1015" s="6"/>
      <c r="X1015" s="6"/>
      <c r="Y1015" s="6"/>
      <c r="Z1015" s="6"/>
    </row>
    <row r="1016" spans="1:26" ht="15.75" customHeight="1" x14ac:dyDescent="0.3">
      <c r="A1016" s="10" t="s">
        <v>2650</v>
      </c>
      <c r="B1016" s="10">
        <v>1976</v>
      </c>
      <c r="C1016" s="10" t="s">
        <v>4710</v>
      </c>
      <c r="D1016" s="10">
        <v>30</v>
      </c>
      <c r="E1016" s="10">
        <v>1</v>
      </c>
      <c r="F1016" s="24">
        <v>8233.1</v>
      </c>
      <c r="G1016" s="10" t="s">
        <v>4695</v>
      </c>
      <c r="H1016" s="10" t="s">
        <v>4695</v>
      </c>
      <c r="I1016" s="10" t="s">
        <v>4708</v>
      </c>
      <c r="J1016" s="17">
        <f t="shared" si="6"/>
        <v>27941</v>
      </c>
      <c r="K1016" s="10">
        <f t="shared" ca="1" si="7"/>
        <v>49</v>
      </c>
      <c r="L1016" s="6"/>
      <c r="M1016" s="6"/>
      <c r="N1016" s="6"/>
      <c r="O1016" s="6"/>
      <c r="P1016" s="6"/>
      <c r="Q1016" s="6"/>
      <c r="R1016" s="6"/>
      <c r="S1016" s="6"/>
      <c r="T1016" s="6"/>
      <c r="U1016" s="6"/>
      <c r="V1016" s="6"/>
      <c r="W1016" s="6"/>
      <c r="X1016" s="6"/>
      <c r="Y1016" s="6"/>
      <c r="Z1016" s="6"/>
    </row>
    <row r="1017" spans="1:26" ht="15.75" customHeight="1" x14ac:dyDescent="0.3">
      <c r="A1017" s="10" t="s">
        <v>2648</v>
      </c>
      <c r="B1017" s="10">
        <v>1976</v>
      </c>
      <c r="C1017" s="10" t="s">
        <v>4711</v>
      </c>
      <c r="D1017" s="10">
        <v>2</v>
      </c>
      <c r="E1017" s="10">
        <v>1</v>
      </c>
      <c r="F1017" s="24">
        <v>8240.59</v>
      </c>
      <c r="G1017" s="10" t="s">
        <v>4695</v>
      </c>
      <c r="H1017" s="10" t="s">
        <v>4695</v>
      </c>
      <c r="I1017" s="10" t="s">
        <v>4708</v>
      </c>
      <c r="J1017" s="17">
        <f t="shared" si="6"/>
        <v>28005</v>
      </c>
      <c r="K1017" s="10">
        <f t="shared" ca="1" si="7"/>
        <v>49</v>
      </c>
      <c r="L1017" s="6"/>
      <c r="M1017" s="6"/>
      <c r="N1017" s="6"/>
      <c r="O1017" s="6"/>
      <c r="P1017" s="6"/>
      <c r="Q1017" s="6"/>
      <c r="R1017" s="6"/>
      <c r="S1017" s="6"/>
      <c r="T1017" s="6"/>
      <c r="U1017" s="6"/>
      <c r="V1017" s="6"/>
      <c r="W1017" s="6"/>
      <c r="X1017" s="6"/>
      <c r="Y1017" s="6"/>
      <c r="Z1017" s="6"/>
    </row>
    <row r="1018" spans="1:26" ht="15.75" customHeight="1" x14ac:dyDescent="0.3">
      <c r="A1018" s="10" t="s">
        <v>2646</v>
      </c>
      <c r="B1018" s="10">
        <v>1982</v>
      </c>
      <c r="C1018" s="10" t="s">
        <v>4711</v>
      </c>
      <c r="D1018" s="10">
        <v>27</v>
      </c>
      <c r="E1018" s="10">
        <v>3</v>
      </c>
      <c r="F1018" s="24">
        <v>8252.2800000000007</v>
      </c>
      <c r="G1018" s="10" t="s">
        <v>4695</v>
      </c>
      <c r="H1018" s="10" t="s">
        <v>4695</v>
      </c>
      <c r="I1018" s="10" t="s">
        <v>4723</v>
      </c>
      <c r="J1018" s="17">
        <f t="shared" si="6"/>
        <v>30221</v>
      </c>
      <c r="K1018" s="10">
        <f t="shared" ca="1" si="7"/>
        <v>43</v>
      </c>
      <c r="L1018" s="6"/>
      <c r="M1018" s="6"/>
      <c r="N1018" s="6"/>
      <c r="O1018" s="6"/>
      <c r="P1018" s="6"/>
      <c r="Q1018" s="6"/>
      <c r="R1018" s="6"/>
      <c r="S1018" s="6"/>
      <c r="T1018" s="6"/>
      <c r="U1018" s="6"/>
      <c r="V1018" s="6"/>
      <c r="W1018" s="6"/>
      <c r="X1018" s="6"/>
      <c r="Y1018" s="6"/>
      <c r="Z1018" s="6"/>
    </row>
    <row r="1019" spans="1:26" ht="15.75" customHeight="1" x14ac:dyDescent="0.3">
      <c r="A1019" s="10" t="s">
        <v>2644</v>
      </c>
      <c r="B1019" s="10">
        <v>1964</v>
      </c>
      <c r="C1019" s="10" t="s">
        <v>4711</v>
      </c>
      <c r="D1019" s="10">
        <v>5</v>
      </c>
      <c r="E1019" s="10">
        <v>0</v>
      </c>
      <c r="F1019" s="24">
        <v>8268</v>
      </c>
      <c r="G1019" s="10" t="s">
        <v>4696</v>
      </c>
      <c r="H1019" s="10" t="s">
        <v>4696</v>
      </c>
      <c r="I1019" s="10" t="s">
        <v>4708</v>
      </c>
      <c r="J1019" s="17">
        <f t="shared" si="6"/>
        <v>23625</v>
      </c>
      <c r="K1019" s="10">
        <f t="shared" ca="1" si="7"/>
        <v>61</v>
      </c>
      <c r="L1019" s="6"/>
      <c r="M1019" s="6"/>
      <c r="N1019" s="6"/>
      <c r="O1019" s="6"/>
      <c r="P1019" s="6"/>
      <c r="Q1019" s="6"/>
      <c r="R1019" s="6"/>
      <c r="S1019" s="6"/>
      <c r="T1019" s="6"/>
      <c r="U1019" s="6"/>
      <c r="V1019" s="6"/>
      <c r="W1019" s="6"/>
      <c r="X1019" s="6"/>
      <c r="Y1019" s="6"/>
      <c r="Z1019" s="6"/>
    </row>
    <row r="1020" spans="1:26" ht="15.75" customHeight="1" x14ac:dyDescent="0.3">
      <c r="A1020" s="10" t="s">
        <v>2642</v>
      </c>
      <c r="B1020" s="10">
        <v>1974</v>
      </c>
      <c r="C1020" s="10" t="s">
        <v>4714</v>
      </c>
      <c r="D1020" s="10">
        <v>5</v>
      </c>
      <c r="E1020" s="10">
        <v>0</v>
      </c>
      <c r="F1020" s="24">
        <v>8269.0400000000009</v>
      </c>
      <c r="G1020" s="10" t="s">
        <v>4695</v>
      </c>
      <c r="H1020" s="10" t="s">
        <v>4694</v>
      </c>
      <c r="I1020" s="10" t="s">
        <v>4716</v>
      </c>
      <c r="J1020" s="17">
        <f t="shared" si="6"/>
        <v>27246</v>
      </c>
      <c r="K1020" s="10">
        <f t="shared" ca="1" si="7"/>
        <v>51</v>
      </c>
      <c r="L1020" s="6"/>
      <c r="M1020" s="6"/>
      <c r="N1020" s="6"/>
      <c r="O1020" s="6"/>
      <c r="P1020" s="6"/>
      <c r="Q1020" s="6"/>
      <c r="R1020" s="6"/>
      <c r="S1020" s="6"/>
      <c r="T1020" s="6"/>
      <c r="U1020" s="6"/>
      <c r="V1020" s="6"/>
      <c r="W1020" s="6"/>
      <c r="X1020" s="6"/>
      <c r="Y1020" s="6"/>
      <c r="Z1020" s="6"/>
    </row>
    <row r="1021" spans="1:26" ht="15.75" customHeight="1" x14ac:dyDescent="0.3">
      <c r="A1021" s="10" t="s">
        <v>2640</v>
      </c>
      <c r="B1021" s="10">
        <v>2000</v>
      </c>
      <c r="C1021" s="10" t="s">
        <v>4709</v>
      </c>
      <c r="D1021" s="10">
        <v>28</v>
      </c>
      <c r="E1021" s="10">
        <v>0</v>
      </c>
      <c r="F1021" s="24">
        <v>8271.4599999999991</v>
      </c>
      <c r="G1021" s="10" t="s">
        <v>4695</v>
      </c>
      <c r="H1021" s="10" t="s">
        <v>4694</v>
      </c>
      <c r="I1021" s="10" t="s">
        <v>4724</v>
      </c>
      <c r="J1021" s="17">
        <f t="shared" si="6"/>
        <v>36858</v>
      </c>
      <c r="K1021" s="10">
        <f t="shared" ca="1" si="7"/>
        <v>25</v>
      </c>
      <c r="L1021" s="6"/>
      <c r="M1021" s="6"/>
      <c r="N1021" s="6"/>
      <c r="O1021" s="6"/>
      <c r="P1021" s="6"/>
      <c r="Q1021" s="6"/>
      <c r="R1021" s="6"/>
      <c r="S1021" s="6"/>
      <c r="T1021" s="6"/>
      <c r="U1021" s="6"/>
      <c r="V1021" s="6"/>
      <c r="W1021" s="6"/>
      <c r="X1021" s="6"/>
      <c r="Y1021" s="6"/>
      <c r="Z1021" s="6"/>
    </row>
    <row r="1022" spans="1:26" ht="15.75" customHeight="1" x14ac:dyDescent="0.3">
      <c r="A1022" s="10" t="s">
        <v>2638</v>
      </c>
      <c r="B1022" s="10">
        <v>1974</v>
      </c>
      <c r="C1022" s="10" t="s">
        <v>4711</v>
      </c>
      <c r="D1022" s="10">
        <v>26</v>
      </c>
      <c r="E1022" s="10">
        <v>0</v>
      </c>
      <c r="F1022" s="24">
        <v>8277.52</v>
      </c>
      <c r="G1022" s="10" t="s">
        <v>4695</v>
      </c>
      <c r="H1022" s="10" t="s">
        <v>4695</v>
      </c>
      <c r="I1022" s="10" t="s">
        <v>4716</v>
      </c>
      <c r="J1022" s="17">
        <f t="shared" ref="J1022:J1276" si="8">DATEVALUE(D1022&amp;"-"&amp;C1022&amp;" -"&amp;B1022)</f>
        <v>27298</v>
      </c>
      <c r="K1022" s="10">
        <f t="shared" ref="K1022:K1276" ca="1" si="9">DATEDIF(J1022,TODAY(),"Y")</f>
        <v>51</v>
      </c>
      <c r="L1022" s="6"/>
      <c r="M1022" s="6"/>
      <c r="N1022" s="6"/>
      <c r="O1022" s="6"/>
      <c r="P1022" s="6"/>
      <c r="Q1022" s="6"/>
      <c r="R1022" s="6"/>
      <c r="S1022" s="6"/>
      <c r="T1022" s="6"/>
      <c r="U1022" s="6"/>
      <c r="V1022" s="6"/>
      <c r="W1022" s="6"/>
      <c r="X1022" s="6"/>
      <c r="Y1022" s="6"/>
      <c r="Z1022" s="6"/>
    </row>
    <row r="1023" spans="1:26" ht="15.75" customHeight="1" x14ac:dyDescent="0.3">
      <c r="A1023" s="10" t="s">
        <v>2636</v>
      </c>
      <c r="B1023" s="10">
        <v>1974</v>
      </c>
      <c r="C1023" s="10" t="s">
        <v>4713</v>
      </c>
      <c r="D1023" s="10">
        <v>22</v>
      </c>
      <c r="E1023" s="10">
        <v>0</v>
      </c>
      <c r="F1023" s="24">
        <v>8280.6200000000008</v>
      </c>
      <c r="G1023" s="10" t="s">
        <v>4695</v>
      </c>
      <c r="H1023" s="10" t="s">
        <v>4695</v>
      </c>
      <c r="I1023" s="10" t="s">
        <v>4708</v>
      </c>
      <c r="J1023" s="17">
        <f t="shared" si="8"/>
        <v>27385</v>
      </c>
      <c r="K1023" s="10">
        <f t="shared" ca="1" si="9"/>
        <v>50</v>
      </c>
      <c r="L1023" s="6"/>
      <c r="M1023" s="6"/>
      <c r="N1023" s="6"/>
      <c r="O1023" s="6"/>
      <c r="P1023" s="6"/>
      <c r="Q1023" s="6"/>
      <c r="R1023" s="6"/>
      <c r="S1023" s="6"/>
      <c r="T1023" s="6"/>
      <c r="U1023" s="6"/>
      <c r="V1023" s="6"/>
      <c r="W1023" s="6"/>
      <c r="X1023" s="6"/>
      <c r="Y1023" s="6"/>
      <c r="Z1023" s="6"/>
    </row>
    <row r="1024" spans="1:26" ht="15.75" customHeight="1" x14ac:dyDescent="0.3">
      <c r="A1024" s="10" t="s">
        <v>2634</v>
      </c>
      <c r="B1024" s="10">
        <v>1974</v>
      </c>
      <c r="C1024" s="10" t="s">
        <v>4710</v>
      </c>
      <c r="D1024" s="10">
        <v>6</v>
      </c>
      <c r="E1024" s="10">
        <v>0</v>
      </c>
      <c r="F1024" s="24">
        <v>8283.68</v>
      </c>
      <c r="G1024" s="10" t="s">
        <v>4695</v>
      </c>
      <c r="H1024" s="10" t="s">
        <v>4696</v>
      </c>
      <c r="I1024" s="10" t="s">
        <v>4708</v>
      </c>
      <c r="J1024" s="17">
        <f t="shared" si="8"/>
        <v>27186</v>
      </c>
      <c r="K1024" s="10">
        <f t="shared" ca="1" si="9"/>
        <v>51</v>
      </c>
      <c r="L1024" s="6"/>
      <c r="M1024" s="6"/>
      <c r="N1024" s="6"/>
      <c r="O1024" s="6"/>
      <c r="P1024" s="6"/>
      <c r="Q1024" s="6"/>
      <c r="R1024" s="6"/>
      <c r="S1024" s="6"/>
      <c r="T1024" s="6"/>
      <c r="U1024" s="6"/>
      <c r="V1024" s="6"/>
      <c r="W1024" s="6"/>
      <c r="X1024" s="6"/>
      <c r="Y1024" s="6"/>
      <c r="Z1024" s="6"/>
    </row>
    <row r="1025" spans="1:26" ht="15.75" customHeight="1" x14ac:dyDescent="0.3">
      <c r="A1025" s="10" t="s">
        <v>2632</v>
      </c>
      <c r="B1025" s="10">
        <v>1978</v>
      </c>
      <c r="C1025" s="10" t="s">
        <v>4710</v>
      </c>
      <c r="D1025" s="10">
        <v>26</v>
      </c>
      <c r="E1025" s="10">
        <v>2</v>
      </c>
      <c r="F1025" s="24">
        <v>8302.5400000000009</v>
      </c>
      <c r="G1025" s="10" t="s">
        <v>4696</v>
      </c>
      <c r="H1025" s="10" t="s">
        <v>4696</v>
      </c>
      <c r="I1025" s="10" t="s">
        <v>4720</v>
      </c>
      <c r="J1025" s="17">
        <f t="shared" si="8"/>
        <v>28667</v>
      </c>
      <c r="K1025" s="10">
        <f t="shared" ca="1" si="9"/>
        <v>47</v>
      </c>
      <c r="L1025" s="6"/>
      <c r="M1025" s="6"/>
      <c r="N1025" s="6"/>
      <c r="O1025" s="6"/>
      <c r="P1025" s="6"/>
      <c r="Q1025" s="6"/>
      <c r="R1025" s="6"/>
      <c r="S1025" s="6"/>
      <c r="T1025" s="6"/>
      <c r="U1025" s="6"/>
      <c r="V1025" s="6"/>
      <c r="W1025" s="6"/>
      <c r="X1025" s="6"/>
      <c r="Y1025" s="6"/>
      <c r="Z1025" s="6"/>
    </row>
    <row r="1026" spans="1:26" ht="15.75" customHeight="1" x14ac:dyDescent="0.3">
      <c r="A1026" s="10" t="s">
        <v>2630</v>
      </c>
      <c r="B1026" s="10">
        <v>1979</v>
      </c>
      <c r="C1026" s="10" t="s">
        <v>4714</v>
      </c>
      <c r="D1026" s="10">
        <v>7</v>
      </c>
      <c r="E1026" s="10">
        <v>2</v>
      </c>
      <c r="F1026" s="24">
        <v>8310.84</v>
      </c>
      <c r="G1026" s="10" t="s">
        <v>4695</v>
      </c>
      <c r="H1026" s="10" t="s">
        <v>4695</v>
      </c>
      <c r="I1026" s="10" t="s">
        <v>4712</v>
      </c>
      <c r="J1026" s="17">
        <f t="shared" si="8"/>
        <v>29074</v>
      </c>
      <c r="K1026" s="10">
        <f t="shared" ca="1" si="9"/>
        <v>46</v>
      </c>
      <c r="L1026" s="6"/>
      <c r="M1026" s="6"/>
      <c r="N1026" s="6"/>
      <c r="O1026" s="6"/>
      <c r="P1026" s="6"/>
      <c r="Q1026" s="6"/>
      <c r="R1026" s="6"/>
      <c r="S1026" s="6"/>
      <c r="T1026" s="6"/>
      <c r="U1026" s="6"/>
      <c r="V1026" s="6"/>
      <c r="W1026" s="6"/>
      <c r="X1026" s="6"/>
      <c r="Y1026" s="6"/>
      <c r="Z1026" s="6"/>
    </row>
    <row r="1027" spans="1:26" ht="15.75" customHeight="1" x14ac:dyDescent="0.3">
      <c r="A1027" s="10" t="s">
        <v>2628</v>
      </c>
      <c r="B1027" s="10">
        <v>1993</v>
      </c>
      <c r="C1027" s="10" t="s">
        <v>4710</v>
      </c>
      <c r="D1027" s="10">
        <v>22</v>
      </c>
      <c r="E1027" s="10">
        <v>0</v>
      </c>
      <c r="F1027" s="24">
        <v>8314.65</v>
      </c>
      <c r="G1027" s="10" t="s">
        <v>4695</v>
      </c>
      <c r="H1027" s="10" t="s">
        <v>4694</v>
      </c>
      <c r="I1027" s="10" t="s">
        <v>4712</v>
      </c>
      <c r="J1027" s="17">
        <f t="shared" si="8"/>
        <v>34142</v>
      </c>
      <c r="K1027" s="10">
        <f t="shared" ca="1" si="9"/>
        <v>32</v>
      </c>
      <c r="L1027" s="6"/>
      <c r="M1027" s="6"/>
      <c r="N1027" s="6"/>
      <c r="O1027" s="6"/>
      <c r="P1027" s="6"/>
      <c r="Q1027" s="6"/>
      <c r="R1027" s="6"/>
      <c r="S1027" s="6"/>
      <c r="T1027" s="6"/>
      <c r="U1027" s="6"/>
      <c r="V1027" s="6"/>
      <c r="W1027" s="6"/>
      <c r="X1027" s="6"/>
      <c r="Y1027" s="6"/>
      <c r="Z1027" s="6"/>
    </row>
    <row r="1028" spans="1:26" ht="15.75" customHeight="1" x14ac:dyDescent="0.3">
      <c r="A1028" s="10" t="s">
        <v>2626</v>
      </c>
      <c r="B1028" s="10">
        <v>1976</v>
      </c>
      <c r="C1028" s="10" t="s">
        <v>4707</v>
      </c>
      <c r="D1028" s="10">
        <v>12</v>
      </c>
      <c r="E1028" s="10">
        <v>1</v>
      </c>
      <c r="F1028" s="24">
        <v>8334.4599999999991</v>
      </c>
      <c r="G1028" s="10" t="s">
        <v>4696</v>
      </c>
      <c r="H1028" s="10" t="s">
        <v>4695</v>
      </c>
      <c r="I1028" s="10" t="s">
        <v>4720</v>
      </c>
      <c r="J1028" s="17">
        <f t="shared" si="8"/>
        <v>27953</v>
      </c>
      <c r="K1028" s="10">
        <f t="shared" ca="1" si="9"/>
        <v>49</v>
      </c>
      <c r="L1028" s="6"/>
      <c r="M1028" s="6"/>
      <c r="N1028" s="6"/>
      <c r="O1028" s="6"/>
      <c r="P1028" s="6"/>
      <c r="Q1028" s="6"/>
      <c r="R1028" s="6"/>
      <c r="S1028" s="6"/>
      <c r="T1028" s="6"/>
      <c r="U1028" s="6"/>
      <c r="V1028" s="6"/>
      <c r="W1028" s="6"/>
      <c r="X1028" s="6"/>
      <c r="Y1028" s="6"/>
      <c r="Z1028" s="6"/>
    </row>
    <row r="1029" spans="1:26" ht="15.75" customHeight="1" x14ac:dyDescent="0.3">
      <c r="A1029" s="10" t="s">
        <v>2624</v>
      </c>
      <c r="B1029" s="10">
        <v>1976</v>
      </c>
      <c r="C1029" s="10" t="s">
        <v>4707</v>
      </c>
      <c r="D1029" s="10">
        <v>20</v>
      </c>
      <c r="E1029" s="10">
        <v>1</v>
      </c>
      <c r="F1029" s="24">
        <v>8334.59</v>
      </c>
      <c r="G1029" s="10" t="s">
        <v>4696</v>
      </c>
      <c r="H1029" s="10" t="s">
        <v>4695</v>
      </c>
      <c r="I1029" s="10" t="s">
        <v>4720</v>
      </c>
      <c r="J1029" s="17">
        <f t="shared" si="8"/>
        <v>27961</v>
      </c>
      <c r="K1029" s="10">
        <f t="shared" ca="1" si="9"/>
        <v>49</v>
      </c>
      <c r="L1029" s="6"/>
      <c r="M1029" s="6"/>
      <c r="N1029" s="6"/>
      <c r="O1029" s="6"/>
      <c r="P1029" s="6"/>
      <c r="Q1029" s="6"/>
      <c r="R1029" s="6"/>
      <c r="S1029" s="6"/>
      <c r="T1029" s="6"/>
      <c r="U1029" s="6"/>
      <c r="V1029" s="6"/>
      <c r="W1029" s="6"/>
      <c r="X1029" s="6"/>
      <c r="Y1029" s="6"/>
      <c r="Z1029" s="6"/>
    </row>
    <row r="1030" spans="1:26" ht="15.75" customHeight="1" x14ac:dyDescent="0.3">
      <c r="A1030" s="10" t="s">
        <v>2622</v>
      </c>
      <c r="B1030" s="10">
        <v>1976</v>
      </c>
      <c r="C1030" s="10" t="s">
        <v>4707</v>
      </c>
      <c r="D1030" s="10">
        <v>7</v>
      </c>
      <c r="E1030" s="10">
        <v>1</v>
      </c>
      <c r="F1030" s="24">
        <v>8342.91</v>
      </c>
      <c r="G1030" s="10" t="s">
        <v>4696</v>
      </c>
      <c r="H1030" s="10" t="s">
        <v>4694</v>
      </c>
      <c r="I1030" s="10" t="s">
        <v>4720</v>
      </c>
      <c r="J1030" s="17">
        <f t="shared" si="8"/>
        <v>27948</v>
      </c>
      <c r="K1030" s="10">
        <f t="shared" ca="1" si="9"/>
        <v>49</v>
      </c>
      <c r="L1030" s="6"/>
      <c r="M1030" s="6"/>
      <c r="N1030" s="6"/>
      <c r="O1030" s="6"/>
      <c r="P1030" s="6"/>
      <c r="Q1030" s="6"/>
      <c r="R1030" s="6"/>
      <c r="S1030" s="6"/>
      <c r="T1030" s="6"/>
      <c r="U1030" s="6"/>
      <c r="V1030" s="6"/>
      <c r="W1030" s="6"/>
      <c r="X1030" s="6"/>
      <c r="Y1030" s="6"/>
      <c r="Z1030" s="6"/>
    </row>
    <row r="1031" spans="1:26" ht="15.75" customHeight="1" x14ac:dyDescent="0.3">
      <c r="A1031" s="10" t="s">
        <v>2620</v>
      </c>
      <c r="B1031" s="10">
        <v>1976</v>
      </c>
      <c r="C1031" s="10" t="s">
        <v>4710</v>
      </c>
      <c r="D1031" s="10">
        <v>12</v>
      </c>
      <c r="E1031" s="10">
        <v>2</v>
      </c>
      <c r="F1031" s="24">
        <v>8347.16</v>
      </c>
      <c r="G1031" s="10" t="s">
        <v>4695</v>
      </c>
      <c r="H1031" s="10" t="s">
        <v>4694</v>
      </c>
      <c r="I1031" s="10" t="s">
        <v>4708</v>
      </c>
      <c r="J1031" s="17">
        <f t="shared" si="8"/>
        <v>27923</v>
      </c>
      <c r="K1031" s="10">
        <f t="shared" ca="1" si="9"/>
        <v>49</v>
      </c>
      <c r="L1031" s="6"/>
      <c r="M1031" s="6"/>
      <c r="N1031" s="6"/>
      <c r="O1031" s="6"/>
      <c r="P1031" s="6"/>
      <c r="Q1031" s="6"/>
      <c r="R1031" s="6"/>
      <c r="S1031" s="6"/>
      <c r="T1031" s="6"/>
      <c r="U1031" s="6"/>
      <c r="V1031" s="6"/>
      <c r="W1031" s="6"/>
      <c r="X1031" s="6"/>
      <c r="Y1031" s="6"/>
      <c r="Z1031" s="6"/>
    </row>
    <row r="1032" spans="1:26" ht="15.75" customHeight="1" x14ac:dyDescent="0.3">
      <c r="A1032" s="10" t="s">
        <v>2618</v>
      </c>
      <c r="B1032" s="10">
        <v>1963</v>
      </c>
      <c r="C1032" s="10" t="s">
        <v>4711</v>
      </c>
      <c r="D1032" s="10">
        <v>21</v>
      </c>
      <c r="E1032" s="10">
        <v>0</v>
      </c>
      <c r="F1032" s="24">
        <v>8355.5400000000009</v>
      </c>
      <c r="G1032" s="10" t="s">
        <v>4696</v>
      </c>
      <c r="H1032" s="10" t="s">
        <v>4696</v>
      </c>
      <c r="I1032" s="10" t="s">
        <v>4712</v>
      </c>
      <c r="J1032" s="17">
        <f t="shared" si="8"/>
        <v>23275</v>
      </c>
      <c r="K1032" s="10">
        <f t="shared" ca="1" si="9"/>
        <v>62</v>
      </c>
      <c r="L1032" s="6"/>
      <c r="M1032" s="6"/>
      <c r="N1032" s="6"/>
      <c r="O1032" s="6"/>
      <c r="P1032" s="6"/>
      <c r="Q1032" s="6"/>
      <c r="R1032" s="6"/>
      <c r="S1032" s="6"/>
      <c r="T1032" s="6"/>
      <c r="U1032" s="6"/>
      <c r="V1032" s="6"/>
      <c r="W1032" s="6"/>
      <c r="X1032" s="6"/>
      <c r="Y1032" s="6"/>
      <c r="Z1032" s="6"/>
    </row>
    <row r="1033" spans="1:26" ht="15.75" customHeight="1" x14ac:dyDescent="0.3">
      <c r="A1033" s="10" t="s">
        <v>2616</v>
      </c>
      <c r="B1033" s="10">
        <v>1971</v>
      </c>
      <c r="C1033" s="10" t="s">
        <v>4711</v>
      </c>
      <c r="D1033" s="10">
        <v>4</v>
      </c>
      <c r="E1033" s="10">
        <v>0</v>
      </c>
      <c r="F1033" s="24">
        <v>8396.6200000000008</v>
      </c>
      <c r="G1033" s="10" t="s">
        <v>4695</v>
      </c>
      <c r="H1033" s="10" t="s">
        <v>4696</v>
      </c>
      <c r="I1033" s="10" t="s">
        <v>4708</v>
      </c>
      <c r="J1033" s="17">
        <f t="shared" si="8"/>
        <v>26180</v>
      </c>
      <c r="K1033" s="10">
        <f t="shared" ca="1" si="9"/>
        <v>54</v>
      </c>
      <c r="L1033" s="6"/>
      <c r="M1033" s="6"/>
      <c r="N1033" s="6"/>
      <c r="O1033" s="6"/>
      <c r="P1033" s="6"/>
      <c r="Q1033" s="6"/>
      <c r="R1033" s="6"/>
      <c r="S1033" s="6"/>
      <c r="T1033" s="6"/>
      <c r="U1033" s="6"/>
      <c r="V1033" s="6"/>
      <c r="W1033" s="6"/>
      <c r="X1033" s="6"/>
      <c r="Y1033" s="6"/>
      <c r="Z1033" s="6"/>
    </row>
    <row r="1034" spans="1:26" ht="15.75" customHeight="1" x14ac:dyDescent="0.3">
      <c r="A1034" s="10" t="s">
        <v>2614</v>
      </c>
      <c r="B1034" s="10">
        <v>1971</v>
      </c>
      <c r="C1034" s="10" t="s">
        <v>4711</v>
      </c>
      <c r="D1034" s="10">
        <v>18</v>
      </c>
      <c r="E1034" s="10">
        <v>0</v>
      </c>
      <c r="F1034" s="24">
        <v>8400.01</v>
      </c>
      <c r="G1034" s="10" t="s">
        <v>4695</v>
      </c>
      <c r="H1034" s="10" t="s">
        <v>4696</v>
      </c>
      <c r="I1034" s="10" t="s">
        <v>4708</v>
      </c>
      <c r="J1034" s="17">
        <f t="shared" si="8"/>
        <v>26194</v>
      </c>
      <c r="K1034" s="10">
        <f t="shared" ca="1" si="9"/>
        <v>54</v>
      </c>
      <c r="L1034" s="6"/>
      <c r="M1034" s="6"/>
      <c r="N1034" s="6"/>
      <c r="O1034" s="6"/>
      <c r="P1034" s="6"/>
      <c r="Q1034" s="6"/>
      <c r="R1034" s="6"/>
      <c r="S1034" s="6"/>
      <c r="T1034" s="6"/>
      <c r="U1034" s="6"/>
      <c r="V1034" s="6"/>
      <c r="W1034" s="6"/>
      <c r="X1034" s="6"/>
      <c r="Y1034" s="6"/>
      <c r="Z1034" s="6"/>
    </row>
    <row r="1035" spans="1:26" ht="15.75" customHeight="1" x14ac:dyDescent="0.3">
      <c r="A1035" s="10" t="s">
        <v>2612</v>
      </c>
      <c r="B1035" s="10">
        <v>1979</v>
      </c>
      <c r="C1035" s="10" t="s">
        <v>4710</v>
      </c>
      <c r="D1035" s="10">
        <v>11</v>
      </c>
      <c r="E1035" s="10">
        <v>3</v>
      </c>
      <c r="F1035" s="24">
        <v>8410.0499999999993</v>
      </c>
      <c r="G1035" s="10" t="s">
        <v>4695</v>
      </c>
      <c r="H1035" s="10" t="s">
        <v>4695</v>
      </c>
      <c r="I1035" s="10" t="s">
        <v>4712</v>
      </c>
      <c r="J1035" s="17">
        <f t="shared" si="8"/>
        <v>29017</v>
      </c>
      <c r="K1035" s="10">
        <f t="shared" ca="1" si="9"/>
        <v>46</v>
      </c>
      <c r="L1035" s="6"/>
      <c r="M1035" s="6"/>
      <c r="N1035" s="6"/>
      <c r="O1035" s="6"/>
      <c r="P1035" s="6"/>
      <c r="Q1035" s="6"/>
      <c r="R1035" s="6"/>
      <c r="S1035" s="6"/>
      <c r="T1035" s="6"/>
      <c r="U1035" s="6"/>
      <c r="V1035" s="6"/>
      <c r="W1035" s="6"/>
      <c r="X1035" s="6"/>
      <c r="Y1035" s="6"/>
      <c r="Z1035" s="6"/>
    </row>
    <row r="1036" spans="1:26" ht="15.75" customHeight="1" x14ac:dyDescent="0.3">
      <c r="A1036" s="10" t="s">
        <v>2610</v>
      </c>
      <c r="B1036" s="10">
        <v>1977</v>
      </c>
      <c r="C1036" s="10" t="s">
        <v>4711</v>
      </c>
      <c r="D1036" s="10">
        <v>4</v>
      </c>
      <c r="E1036" s="10">
        <v>2</v>
      </c>
      <c r="F1036" s="24">
        <v>8413.4599999999991</v>
      </c>
      <c r="G1036" s="10" t="s">
        <v>4696</v>
      </c>
      <c r="H1036" s="10" t="s">
        <v>4694</v>
      </c>
      <c r="I1036" s="10" t="s">
        <v>4712</v>
      </c>
      <c r="J1036" s="17">
        <f t="shared" si="8"/>
        <v>28372</v>
      </c>
      <c r="K1036" s="10">
        <f t="shared" ca="1" si="9"/>
        <v>48</v>
      </c>
      <c r="L1036" s="6"/>
      <c r="M1036" s="6"/>
      <c r="N1036" s="6"/>
      <c r="O1036" s="6"/>
      <c r="P1036" s="6"/>
      <c r="Q1036" s="6"/>
      <c r="R1036" s="6"/>
      <c r="S1036" s="6"/>
      <c r="T1036" s="6"/>
      <c r="U1036" s="6"/>
      <c r="V1036" s="6"/>
      <c r="W1036" s="6"/>
      <c r="X1036" s="6"/>
      <c r="Y1036" s="6"/>
      <c r="Z1036" s="6"/>
    </row>
    <row r="1037" spans="1:26" ht="15.75" customHeight="1" x14ac:dyDescent="0.3">
      <c r="A1037" s="10" t="s">
        <v>2608</v>
      </c>
      <c r="B1037" s="10">
        <v>1975</v>
      </c>
      <c r="C1037" s="10" t="s">
        <v>4711</v>
      </c>
      <c r="D1037" s="10">
        <v>28</v>
      </c>
      <c r="E1037" s="10">
        <v>1</v>
      </c>
      <c r="F1037" s="24">
        <v>8428.07</v>
      </c>
      <c r="G1037" s="10" t="s">
        <v>4696</v>
      </c>
      <c r="H1037" s="10" t="s">
        <v>4695</v>
      </c>
      <c r="I1037" s="10" t="s">
        <v>4712</v>
      </c>
      <c r="J1037" s="17">
        <f t="shared" si="8"/>
        <v>27665</v>
      </c>
      <c r="K1037" s="10">
        <f t="shared" ca="1" si="9"/>
        <v>50</v>
      </c>
      <c r="L1037" s="6"/>
      <c r="M1037" s="6"/>
      <c r="N1037" s="6"/>
      <c r="O1037" s="6"/>
      <c r="P1037" s="6"/>
      <c r="Q1037" s="6"/>
      <c r="R1037" s="6"/>
      <c r="S1037" s="6"/>
      <c r="T1037" s="6"/>
      <c r="U1037" s="6"/>
      <c r="V1037" s="6"/>
      <c r="W1037" s="6"/>
      <c r="X1037" s="6"/>
      <c r="Y1037" s="6"/>
      <c r="Z1037" s="6"/>
    </row>
    <row r="1038" spans="1:26" ht="15.75" customHeight="1" x14ac:dyDescent="0.3">
      <c r="A1038" s="10" t="s">
        <v>2606</v>
      </c>
      <c r="B1038" s="10">
        <v>1963</v>
      </c>
      <c r="C1038" s="10" t="s">
        <v>4711</v>
      </c>
      <c r="D1038" s="10">
        <v>24</v>
      </c>
      <c r="E1038" s="10">
        <v>0</v>
      </c>
      <c r="F1038" s="24">
        <v>8440.0499999999993</v>
      </c>
      <c r="G1038" s="10" t="s">
        <v>4696</v>
      </c>
      <c r="H1038" s="10" t="s">
        <v>4695</v>
      </c>
      <c r="I1038" s="10" t="s">
        <v>4708</v>
      </c>
      <c r="J1038" s="17">
        <f t="shared" si="8"/>
        <v>23278</v>
      </c>
      <c r="K1038" s="10">
        <f t="shared" ca="1" si="9"/>
        <v>62</v>
      </c>
      <c r="L1038" s="6"/>
      <c r="M1038" s="6"/>
      <c r="N1038" s="6"/>
      <c r="O1038" s="6"/>
      <c r="P1038" s="6"/>
      <c r="Q1038" s="6"/>
      <c r="R1038" s="6"/>
      <c r="S1038" s="6"/>
      <c r="T1038" s="6"/>
      <c r="U1038" s="6"/>
      <c r="V1038" s="6"/>
      <c r="W1038" s="6"/>
      <c r="X1038" s="6"/>
      <c r="Y1038" s="6"/>
      <c r="Z1038" s="6"/>
    </row>
    <row r="1039" spans="1:26" ht="15.75" customHeight="1" x14ac:dyDescent="0.3">
      <c r="A1039" s="10" t="s">
        <v>2604</v>
      </c>
      <c r="B1039" s="10">
        <v>1972</v>
      </c>
      <c r="C1039" s="10" t="s">
        <v>4711</v>
      </c>
      <c r="D1039" s="10">
        <v>9</v>
      </c>
      <c r="E1039" s="10">
        <v>0</v>
      </c>
      <c r="F1039" s="24">
        <v>8442.67</v>
      </c>
      <c r="G1039" s="10" t="s">
        <v>4695</v>
      </c>
      <c r="H1039" s="10" t="s">
        <v>4696</v>
      </c>
      <c r="I1039" s="10" t="s">
        <v>4708</v>
      </c>
      <c r="J1039" s="17">
        <f t="shared" si="8"/>
        <v>26551</v>
      </c>
      <c r="K1039" s="10">
        <f t="shared" ca="1" si="9"/>
        <v>53</v>
      </c>
      <c r="L1039" s="6"/>
      <c r="M1039" s="6"/>
      <c r="N1039" s="6"/>
      <c r="O1039" s="6"/>
      <c r="P1039" s="6"/>
      <c r="Q1039" s="6"/>
      <c r="R1039" s="6"/>
      <c r="S1039" s="6"/>
      <c r="T1039" s="6"/>
      <c r="U1039" s="6"/>
      <c r="V1039" s="6"/>
      <c r="W1039" s="6"/>
      <c r="X1039" s="6"/>
      <c r="Y1039" s="6"/>
      <c r="Z1039" s="6"/>
    </row>
    <row r="1040" spans="1:26" ht="15.75" customHeight="1" x14ac:dyDescent="0.3">
      <c r="A1040" s="10" t="s">
        <v>2602</v>
      </c>
      <c r="B1040" s="10">
        <v>1972</v>
      </c>
      <c r="C1040" s="10" t="s">
        <v>4711</v>
      </c>
      <c r="D1040" s="10">
        <v>4</v>
      </c>
      <c r="E1040" s="10">
        <v>0</v>
      </c>
      <c r="F1040" s="24">
        <v>8444.4699999999993</v>
      </c>
      <c r="G1040" s="10" t="s">
        <v>4696</v>
      </c>
      <c r="H1040" s="10" t="s">
        <v>4694</v>
      </c>
      <c r="I1040" s="10" t="s">
        <v>4716</v>
      </c>
      <c r="J1040" s="17">
        <f t="shared" si="8"/>
        <v>26546</v>
      </c>
      <c r="K1040" s="10">
        <f t="shared" ca="1" si="9"/>
        <v>53</v>
      </c>
      <c r="L1040" s="6"/>
      <c r="M1040" s="6"/>
      <c r="N1040" s="6"/>
      <c r="O1040" s="6"/>
      <c r="P1040" s="6"/>
      <c r="Q1040" s="6"/>
      <c r="R1040" s="6"/>
      <c r="S1040" s="6"/>
      <c r="T1040" s="6"/>
      <c r="U1040" s="6"/>
      <c r="V1040" s="6"/>
      <c r="W1040" s="6"/>
      <c r="X1040" s="6"/>
      <c r="Y1040" s="6"/>
      <c r="Z1040" s="6"/>
    </row>
    <row r="1041" spans="1:26" ht="15.75" customHeight="1" x14ac:dyDescent="0.3">
      <c r="A1041" s="10" t="s">
        <v>2600</v>
      </c>
      <c r="B1041" s="10">
        <v>1966</v>
      </c>
      <c r="C1041" s="10" t="s">
        <v>4710</v>
      </c>
      <c r="D1041" s="10">
        <v>12</v>
      </c>
      <c r="E1041" s="10">
        <v>0</v>
      </c>
      <c r="F1041" s="24">
        <v>8448.66</v>
      </c>
      <c r="G1041" s="10" t="s">
        <v>4696</v>
      </c>
      <c r="H1041" s="10" t="s">
        <v>4694</v>
      </c>
      <c r="I1041" s="10" t="s">
        <v>4708</v>
      </c>
      <c r="J1041" s="17">
        <f t="shared" si="8"/>
        <v>24270</v>
      </c>
      <c r="K1041" s="10">
        <f t="shared" ca="1" si="9"/>
        <v>59</v>
      </c>
      <c r="L1041" s="6"/>
      <c r="M1041" s="6"/>
      <c r="N1041" s="6"/>
      <c r="O1041" s="6"/>
      <c r="P1041" s="6"/>
      <c r="Q1041" s="6"/>
      <c r="R1041" s="6"/>
      <c r="S1041" s="6"/>
      <c r="T1041" s="6"/>
      <c r="U1041" s="6"/>
      <c r="V1041" s="6"/>
      <c r="W1041" s="6"/>
      <c r="X1041" s="6"/>
      <c r="Y1041" s="6"/>
      <c r="Z1041" s="6"/>
    </row>
    <row r="1042" spans="1:26" ht="15.75" customHeight="1" x14ac:dyDescent="0.3">
      <c r="A1042" s="10" t="s">
        <v>2598</v>
      </c>
      <c r="B1042" s="10">
        <v>1984</v>
      </c>
      <c r="C1042" s="10" t="s">
        <v>4710</v>
      </c>
      <c r="D1042" s="10">
        <v>19</v>
      </c>
      <c r="E1042" s="10">
        <v>3</v>
      </c>
      <c r="F1042" s="24">
        <v>8450.82</v>
      </c>
      <c r="G1042" s="10" t="s">
        <v>4695</v>
      </c>
      <c r="H1042" s="10" t="s">
        <v>4695</v>
      </c>
      <c r="I1042" s="10" t="s">
        <v>4722</v>
      </c>
      <c r="J1042" s="17">
        <f t="shared" si="8"/>
        <v>30852</v>
      </c>
      <c r="K1042" s="10">
        <f t="shared" ca="1" si="9"/>
        <v>41</v>
      </c>
      <c r="L1042" s="6"/>
      <c r="M1042" s="6"/>
      <c r="N1042" s="6"/>
      <c r="O1042" s="6"/>
      <c r="P1042" s="6"/>
      <c r="Q1042" s="6"/>
      <c r="R1042" s="6"/>
      <c r="S1042" s="6"/>
      <c r="T1042" s="6"/>
      <c r="U1042" s="6"/>
      <c r="V1042" s="6"/>
      <c r="W1042" s="6"/>
      <c r="X1042" s="6"/>
      <c r="Y1042" s="6"/>
      <c r="Z1042" s="6"/>
    </row>
    <row r="1043" spans="1:26" ht="15.75" customHeight="1" x14ac:dyDescent="0.3">
      <c r="A1043" s="10" t="s">
        <v>2596</v>
      </c>
      <c r="B1043" s="10">
        <v>1972</v>
      </c>
      <c r="C1043" s="10" t="s">
        <v>4713</v>
      </c>
      <c r="D1043" s="10">
        <v>26</v>
      </c>
      <c r="E1043" s="10">
        <v>0</v>
      </c>
      <c r="F1043" s="24">
        <v>8457.82</v>
      </c>
      <c r="G1043" s="10" t="s">
        <v>4695</v>
      </c>
      <c r="H1043" s="10" t="s">
        <v>4696</v>
      </c>
      <c r="I1043" s="10" t="s">
        <v>4716</v>
      </c>
      <c r="J1043" s="17">
        <f t="shared" si="8"/>
        <v>26659</v>
      </c>
      <c r="K1043" s="10">
        <f t="shared" ca="1" si="9"/>
        <v>52</v>
      </c>
      <c r="L1043" s="6"/>
      <c r="M1043" s="6"/>
      <c r="N1043" s="6"/>
      <c r="O1043" s="6"/>
      <c r="P1043" s="6"/>
      <c r="Q1043" s="6"/>
      <c r="R1043" s="6"/>
      <c r="S1043" s="6"/>
      <c r="T1043" s="6"/>
      <c r="U1043" s="6"/>
      <c r="V1043" s="6"/>
      <c r="W1043" s="6"/>
      <c r="X1043" s="6"/>
      <c r="Y1043" s="6"/>
      <c r="Z1043" s="6"/>
    </row>
    <row r="1044" spans="1:26" ht="15.75" customHeight="1" x14ac:dyDescent="0.3">
      <c r="A1044" s="10" t="s">
        <v>2594</v>
      </c>
      <c r="B1044" s="10">
        <v>1992</v>
      </c>
      <c r="C1044" s="10" t="s">
        <v>4711</v>
      </c>
      <c r="D1044" s="10">
        <v>9</v>
      </c>
      <c r="E1044" s="10">
        <v>0</v>
      </c>
      <c r="F1044" s="24">
        <v>8466.35</v>
      </c>
      <c r="G1044" s="10" t="s">
        <v>4695</v>
      </c>
      <c r="H1044" s="10" t="s">
        <v>4695</v>
      </c>
      <c r="I1044" s="10" t="s">
        <v>4712</v>
      </c>
      <c r="J1044" s="17">
        <f t="shared" si="8"/>
        <v>33856</v>
      </c>
      <c r="K1044" s="10">
        <f t="shared" ca="1" si="9"/>
        <v>33</v>
      </c>
      <c r="L1044" s="6"/>
      <c r="M1044" s="6"/>
      <c r="N1044" s="6"/>
      <c r="O1044" s="6"/>
      <c r="P1044" s="6"/>
      <c r="Q1044" s="6"/>
      <c r="R1044" s="6"/>
      <c r="S1044" s="6"/>
      <c r="T1044" s="6"/>
      <c r="U1044" s="6"/>
      <c r="V1044" s="6"/>
      <c r="W1044" s="6"/>
      <c r="X1044" s="6"/>
      <c r="Y1044" s="6"/>
      <c r="Z1044" s="6"/>
    </row>
    <row r="1045" spans="1:26" ht="15.75" customHeight="1" x14ac:dyDescent="0.3">
      <c r="A1045" s="10" t="s">
        <v>2592</v>
      </c>
      <c r="B1045" s="10">
        <v>1993</v>
      </c>
      <c r="C1045" s="10" t="s">
        <v>4709</v>
      </c>
      <c r="D1045" s="10">
        <v>10</v>
      </c>
      <c r="E1045" s="10">
        <v>0</v>
      </c>
      <c r="F1045" s="24">
        <v>8471.65</v>
      </c>
      <c r="G1045" s="10" t="s">
        <v>4695</v>
      </c>
      <c r="H1045" s="10" t="s">
        <v>4694</v>
      </c>
      <c r="I1045" s="10" t="s">
        <v>4712</v>
      </c>
      <c r="J1045" s="17">
        <f t="shared" si="8"/>
        <v>34283</v>
      </c>
      <c r="K1045" s="10">
        <f t="shared" ca="1" si="9"/>
        <v>32</v>
      </c>
      <c r="L1045" s="6"/>
      <c r="M1045" s="6"/>
      <c r="N1045" s="6"/>
      <c r="O1045" s="6"/>
      <c r="P1045" s="6"/>
      <c r="Q1045" s="6"/>
      <c r="R1045" s="6"/>
      <c r="S1045" s="6"/>
      <c r="T1045" s="6"/>
      <c r="U1045" s="6"/>
      <c r="V1045" s="6"/>
      <c r="W1045" s="6"/>
      <c r="X1045" s="6"/>
      <c r="Y1045" s="6"/>
      <c r="Z1045" s="6"/>
    </row>
    <row r="1046" spans="1:26" ht="15.75" customHeight="1" x14ac:dyDescent="0.3">
      <c r="A1046" s="10" t="s">
        <v>2590</v>
      </c>
      <c r="B1046" s="10">
        <v>1977</v>
      </c>
      <c r="C1046" s="10" t="s">
        <v>4713</v>
      </c>
      <c r="D1046" s="10">
        <v>26</v>
      </c>
      <c r="E1046" s="10">
        <v>2</v>
      </c>
      <c r="F1046" s="24">
        <v>8515.76</v>
      </c>
      <c r="G1046" s="10" t="s">
        <v>4695</v>
      </c>
      <c r="H1046" s="10" t="s">
        <v>4695</v>
      </c>
      <c r="I1046" s="10" t="s">
        <v>4708</v>
      </c>
      <c r="J1046" s="17">
        <f t="shared" si="8"/>
        <v>28485</v>
      </c>
      <c r="K1046" s="10">
        <f t="shared" ca="1" si="9"/>
        <v>47</v>
      </c>
      <c r="L1046" s="6"/>
      <c r="M1046" s="6"/>
      <c r="N1046" s="6"/>
      <c r="O1046" s="6"/>
      <c r="P1046" s="6"/>
      <c r="Q1046" s="6"/>
      <c r="R1046" s="6"/>
      <c r="S1046" s="6"/>
      <c r="T1046" s="6"/>
      <c r="U1046" s="6"/>
      <c r="V1046" s="6"/>
      <c r="W1046" s="6"/>
      <c r="X1046" s="6"/>
      <c r="Y1046" s="6"/>
      <c r="Z1046" s="6"/>
    </row>
    <row r="1047" spans="1:26" ht="15.75" customHeight="1" x14ac:dyDescent="0.3">
      <c r="A1047" s="10" t="s">
        <v>2588</v>
      </c>
      <c r="B1047" s="10">
        <v>1977</v>
      </c>
      <c r="C1047" s="10" t="s">
        <v>4710</v>
      </c>
      <c r="D1047" s="10">
        <v>21</v>
      </c>
      <c r="E1047" s="10">
        <v>2</v>
      </c>
      <c r="F1047" s="24">
        <v>8516.83</v>
      </c>
      <c r="G1047" s="10" t="s">
        <v>4695</v>
      </c>
      <c r="H1047" s="10" t="s">
        <v>4694</v>
      </c>
      <c r="I1047" s="10" t="s">
        <v>4708</v>
      </c>
      <c r="J1047" s="17">
        <f t="shared" si="8"/>
        <v>28297</v>
      </c>
      <c r="K1047" s="10">
        <f t="shared" ca="1" si="9"/>
        <v>48</v>
      </c>
      <c r="L1047" s="6"/>
      <c r="M1047" s="6"/>
      <c r="N1047" s="6"/>
      <c r="O1047" s="6"/>
      <c r="P1047" s="6"/>
      <c r="Q1047" s="6"/>
      <c r="R1047" s="6"/>
      <c r="S1047" s="6"/>
      <c r="T1047" s="6"/>
      <c r="U1047" s="6"/>
      <c r="V1047" s="6"/>
      <c r="W1047" s="6"/>
      <c r="X1047" s="6"/>
      <c r="Y1047" s="6"/>
      <c r="Z1047" s="6"/>
    </row>
    <row r="1048" spans="1:26" ht="15.75" customHeight="1" x14ac:dyDescent="0.3">
      <c r="A1048" s="10" t="s">
        <v>2586</v>
      </c>
      <c r="B1048" s="10">
        <v>1977</v>
      </c>
      <c r="C1048" s="10" t="s">
        <v>4713</v>
      </c>
      <c r="D1048" s="10">
        <v>29</v>
      </c>
      <c r="E1048" s="10">
        <v>2</v>
      </c>
      <c r="F1048" s="24">
        <v>8520.0300000000007</v>
      </c>
      <c r="G1048" s="10" t="s">
        <v>4695</v>
      </c>
      <c r="H1048" s="10" t="s">
        <v>4696</v>
      </c>
      <c r="I1048" s="10" t="s">
        <v>4716</v>
      </c>
      <c r="J1048" s="17">
        <f t="shared" si="8"/>
        <v>28488</v>
      </c>
      <c r="K1048" s="10">
        <f t="shared" ca="1" si="9"/>
        <v>47</v>
      </c>
      <c r="L1048" s="6"/>
      <c r="M1048" s="6"/>
      <c r="N1048" s="6"/>
      <c r="O1048" s="6"/>
      <c r="P1048" s="6"/>
      <c r="Q1048" s="6"/>
      <c r="R1048" s="6"/>
      <c r="S1048" s="6"/>
      <c r="T1048" s="6"/>
      <c r="U1048" s="6"/>
      <c r="V1048" s="6"/>
      <c r="W1048" s="6"/>
      <c r="X1048" s="6"/>
      <c r="Y1048" s="6"/>
      <c r="Z1048" s="6"/>
    </row>
    <row r="1049" spans="1:26" ht="15.75" customHeight="1" x14ac:dyDescent="0.3">
      <c r="A1049" s="10" t="s">
        <v>2584</v>
      </c>
      <c r="B1049" s="10">
        <v>1979</v>
      </c>
      <c r="C1049" s="10" t="s">
        <v>4714</v>
      </c>
      <c r="D1049" s="10">
        <v>13</v>
      </c>
      <c r="E1049" s="10">
        <v>3</v>
      </c>
      <c r="F1049" s="24">
        <v>8522</v>
      </c>
      <c r="G1049" s="10" t="s">
        <v>4695</v>
      </c>
      <c r="H1049" s="10" t="s">
        <v>4695</v>
      </c>
      <c r="I1049" s="10" t="s">
        <v>4716</v>
      </c>
      <c r="J1049" s="17">
        <f t="shared" si="8"/>
        <v>29080</v>
      </c>
      <c r="K1049" s="10">
        <f t="shared" ca="1" si="9"/>
        <v>46</v>
      </c>
      <c r="L1049" s="6"/>
      <c r="M1049" s="6"/>
      <c r="N1049" s="6"/>
      <c r="O1049" s="6"/>
      <c r="P1049" s="6"/>
      <c r="Q1049" s="6"/>
      <c r="R1049" s="6"/>
      <c r="S1049" s="6"/>
      <c r="T1049" s="6"/>
      <c r="U1049" s="6"/>
      <c r="V1049" s="6"/>
      <c r="W1049" s="6"/>
      <c r="X1049" s="6"/>
      <c r="Y1049" s="6"/>
      <c r="Z1049" s="6"/>
    </row>
    <row r="1050" spans="1:26" ht="15.75" customHeight="1" x14ac:dyDescent="0.3">
      <c r="A1050" s="10" t="s">
        <v>2582</v>
      </c>
      <c r="B1050" s="10">
        <v>1977</v>
      </c>
      <c r="C1050" s="10" t="s">
        <v>4707</v>
      </c>
      <c r="D1050" s="10">
        <v>26</v>
      </c>
      <c r="E1050" s="10">
        <v>2</v>
      </c>
      <c r="F1050" s="24">
        <v>8527.5300000000007</v>
      </c>
      <c r="G1050" s="10" t="s">
        <v>4695</v>
      </c>
      <c r="H1050" s="10" t="s">
        <v>4695</v>
      </c>
      <c r="I1050" s="10" t="s">
        <v>4708</v>
      </c>
      <c r="J1050" s="17">
        <f t="shared" si="8"/>
        <v>28332</v>
      </c>
      <c r="K1050" s="10">
        <f t="shared" ca="1" si="9"/>
        <v>48</v>
      </c>
      <c r="L1050" s="6"/>
      <c r="M1050" s="6"/>
      <c r="N1050" s="6"/>
      <c r="O1050" s="6"/>
      <c r="P1050" s="6"/>
      <c r="Q1050" s="6"/>
      <c r="R1050" s="6"/>
      <c r="S1050" s="6"/>
      <c r="T1050" s="6"/>
      <c r="U1050" s="6"/>
      <c r="V1050" s="6"/>
      <c r="W1050" s="6"/>
      <c r="X1050" s="6"/>
      <c r="Y1050" s="6"/>
      <c r="Z1050" s="6"/>
    </row>
    <row r="1051" spans="1:26" ht="15.75" customHeight="1" x14ac:dyDescent="0.3">
      <c r="A1051" s="10" t="s">
        <v>2580</v>
      </c>
      <c r="B1051" s="10" t="s">
        <v>4717</v>
      </c>
      <c r="C1051" s="10" t="s">
        <v>4707</v>
      </c>
      <c r="D1051" s="10">
        <v>24</v>
      </c>
      <c r="E1051" s="10">
        <v>0</v>
      </c>
      <c r="F1051" s="24">
        <v>8534.67</v>
      </c>
      <c r="G1051" s="10" t="s">
        <v>4695</v>
      </c>
      <c r="H1051" s="10" t="s">
        <v>4696</v>
      </c>
      <c r="I1051" s="10" t="s">
        <v>4723</v>
      </c>
      <c r="J1051" s="17" t="e">
        <f t="shared" si="8"/>
        <v>#VALUE!</v>
      </c>
      <c r="K1051" s="10" t="e">
        <f t="shared" ca="1" si="9"/>
        <v>#VALUE!</v>
      </c>
      <c r="L1051" s="6"/>
      <c r="M1051" s="6"/>
      <c r="N1051" s="6"/>
      <c r="O1051" s="6"/>
      <c r="P1051" s="6"/>
      <c r="Q1051" s="6"/>
      <c r="R1051" s="6"/>
      <c r="S1051" s="6"/>
      <c r="T1051" s="6"/>
      <c r="U1051" s="6"/>
      <c r="V1051" s="6"/>
      <c r="W1051" s="6"/>
      <c r="X1051" s="6"/>
      <c r="Y1051" s="6"/>
      <c r="Z1051" s="6"/>
    </row>
    <row r="1052" spans="1:26" ht="15.75" customHeight="1" x14ac:dyDescent="0.3">
      <c r="A1052" s="10" t="s">
        <v>2578</v>
      </c>
      <c r="B1052" s="10">
        <v>1981</v>
      </c>
      <c r="C1052" s="10" t="s">
        <v>4713</v>
      </c>
      <c r="D1052" s="10">
        <v>27</v>
      </c>
      <c r="E1052" s="10">
        <v>3</v>
      </c>
      <c r="F1052" s="24">
        <v>8538.2900000000009</v>
      </c>
      <c r="G1052" s="10" t="s">
        <v>4695</v>
      </c>
      <c r="H1052" s="10" t="s">
        <v>4696</v>
      </c>
      <c r="I1052" s="10" t="s">
        <v>4723</v>
      </c>
      <c r="J1052" s="17">
        <f t="shared" si="8"/>
        <v>29947</v>
      </c>
      <c r="K1052" s="10">
        <f t="shared" ca="1" si="9"/>
        <v>43</v>
      </c>
      <c r="L1052" s="6"/>
      <c r="M1052" s="6"/>
      <c r="N1052" s="6"/>
      <c r="O1052" s="6"/>
      <c r="P1052" s="6"/>
      <c r="Q1052" s="6"/>
      <c r="R1052" s="6"/>
      <c r="S1052" s="6"/>
      <c r="T1052" s="6"/>
      <c r="U1052" s="6"/>
      <c r="V1052" s="6"/>
      <c r="W1052" s="6"/>
      <c r="X1052" s="6"/>
      <c r="Y1052" s="6"/>
      <c r="Z1052" s="6"/>
    </row>
    <row r="1053" spans="1:26" ht="15.75" customHeight="1" x14ac:dyDescent="0.3">
      <c r="A1053" s="10" t="s">
        <v>2576</v>
      </c>
      <c r="B1053" s="10">
        <v>1975</v>
      </c>
      <c r="C1053" s="10" t="s">
        <v>4709</v>
      </c>
      <c r="D1053" s="10">
        <v>6</v>
      </c>
      <c r="E1053" s="10">
        <v>1</v>
      </c>
      <c r="F1053" s="24">
        <v>8539.67</v>
      </c>
      <c r="G1053" s="10" t="s">
        <v>4695</v>
      </c>
      <c r="H1053" s="10" t="s">
        <v>4696</v>
      </c>
      <c r="I1053" s="10" t="s">
        <v>4716</v>
      </c>
      <c r="J1053" s="17">
        <f t="shared" si="8"/>
        <v>27704</v>
      </c>
      <c r="K1053" s="10">
        <f t="shared" ca="1" si="9"/>
        <v>50</v>
      </c>
      <c r="L1053" s="6"/>
      <c r="M1053" s="6"/>
      <c r="N1053" s="6"/>
      <c r="O1053" s="6"/>
      <c r="P1053" s="6"/>
      <c r="Q1053" s="6"/>
      <c r="R1053" s="6"/>
      <c r="S1053" s="6"/>
      <c r="T1053" s="6"/>
      <c r="U1053" s="6"/>
      <c r="V1053" s="6"/>
      <c r="W1053" s="6"/>
      <c r="X1053" s="6"/>
      <c r="Y1053" s="6"/>
      <c r="Z1053" s="6"/>
    </row>
    <row r="1054" spans="1:26" ht="15.75" customHeight="1" x14ac:dyDescent="0.3">
      <c r="A1054" s="10" t="s">
        <v>2574</v>
      </c>
      <c r="B1054" s="10" t="s">
        <v>4717</v>
      </c>
      <c r="C1054" s="10" t="s">
        <v>4713</v>
      </c>
      <c r="D1054" s="10">
        <v>12</v>
      </c>
      <c r="E1054" s="10">
        <v>1</v>
      </c>
      <c r="F1054" s="24">
        <v>8547.69</v>
      </c>
      <c r="G1054" s="10" t="s">
        <v>4695</v>
      </c>
      <c r="H1054" s="10" t="s">
        <v>4694</v>
      </c>
      <c r="I1054" s="10" t="s">
        <v>4708</v>
      </c>
      <c r="J1054" s="17" t="e">
        <f t="shared" si="8"/>
        <v>#VALUE!</v>
      </c>
      <c r="K1054" s="10" t="e">
        <f t="shared" ca="1" si="9"/>
        <v>#VALUE!</v>
      </c>
      <c r="L1054" s="6"/>
      <c r="M1054" s="6"/>
      <c r="N1054" s="6"/>
      <c r="O1054" s="6"/>
      <c r="P1054" s="6"/>
      <c r="Q1054" s="6"/>
      <c r="R1054" s="6"/>
      <c r="S1054" s="6"/>
      <c r="T1054" s="6"/>
      <c r="U1054" s="6"/>
      <c r="V1054" s="6"/>
      <c r="W1054" s="6"/>
      <c r="X1054" s="6"/>
      <c r="Y1054" s="6"/>
      <c r="Z1054" s="6"/>
    </row>
    <row r="1055" spans="1:26" ht="15.75" customHeight="1" x14ac:dyDescent="0.3">
      <c r="A1055" s="10" t="s">
        <v>2572</v>
      </c>
      <c r="B1055" s="10">
        <v>1975</v>
      </c>
      <c r="C1055" s="10" t="s">
        <v>4714</v>
      </c>
      <c r="D1055" s="10">
        <v>6</v>
      </c>
      <c r="E1055" s="10">
        <v>1</v>
      </c>
      <c r="F1055" s="24">
        <v>8551.35</v>
      </c>
      <c r="G1055" s="10" t="s">
        <v>4695</v>
      </c>
      <c r="H1055" s="10" t="s">
        <v>4695</v>
      </c>
      <c r="I1055" s="10" t="s">
        <v>4716</v>
      </c>
      <c r="J1055" s="17">
        <f t="shared" si="8"/>
        <v>27612</v>
      </c>
      <c r="K1055" s="10">
        <f t="shared" ca="1" si="9"/>
        <v>50</v>
      </c>
      <c r="L1055" s="6"/>
      <c r="M1055" s="6"/>
      <c r="N1055" s="6"/>
      <c r="O1055" s="6"/>
      <c r="P1055" s="6"/>
      <c r="Q1055" s="6"/>
      <c r="R1055" s="6"/>
      <c r="S1055" s="6"/>
      <c r="T1055" s="6"/>
      <c r="U1055" s="6"/>
      <c r="V1055" s="6"/>
      <c r="W1055" s="6"/>
      <c r="X1055" s="6"/>
      <c r="Y1055" s="6"/>
      <c r="Z1055" s="6"/>
    </row>
    <row r="1056" spans="1:26" ht="15.75" customHeight="1" x14ac:dyDescent="0.3">
      <c r="A1056" s="10" t="s">
        <v>2570</v>
      </c>
      <c r="B1056" s="10">
        <v>1975</v>
      </c>
      <c r="C1056" s="10" t="s">
        <v>4714</v>
      </c>
      <c r="D1056" s="10">
        <v>21</v>
      </c>
      <c r="E1056" s="10">
        <v>1</v>
      </c>
      <c r="F1056" s="24">
        <v>8556.91</v>
      </c>
      <c r="G1056" s="10" t="s">
        <v>4695</v>
      </c>
      <c r="H1056" s="10" t="s">
        <v>4694</v>
      </c>
      <c r="I1056" s="10" t="s">
        <v>4716</v>
      </c>
      <c r="J1056" s="17">
        <f t="shared" si="8"/>
        <v>27627</v>
      </c>
      <c r="K1056" s="10">
        <f t="shared" ca="1" si="9"/>
        <v>50</v>
      </c>
      <c r="L1056" s="6"/>
      <c r="M1056" s="6"/>
      <c r="N1056" s="6"/>
      <c r="O1056" s="6"/>
      <c r="P1056" s="6"/>
      <c r="Q1056" s="6"/>
      <c r="R1056" s="6"/>
      <c r="S1056" s="6"/>
      <c r="T1056" s="6"/>
      <c r="U1056" s="6"/>
      <c r="V1056" s="6"/>
      <c r="W1056" s="6"/>
      <c r="X1056" s="6"/>
      <c r="Y1056" s="6"/>
      <c r="Z1056" s="6"/>
    </row>
    <row r="1057" spans="1:26" ht="15.75" customHeight="1" x14ac:dyDescent="0.3">
      <c r="A1057" s="10" t="s">
        <v>2568</v>
      </c>
      <c r="B1057" s="10">
        <v>1988</v>
      </c>
      <c r="C1057" s="10" t="s">
        <v>4711</v>
      </c>
      <c r="D1057" s="10">
        <v>21</v>
      </c>
      <c r="E1057" s="10">
        <v>3</v>
      </c>
      <c r="F1057" s="24">
        <v>8567.25</v>
      </c>
      <c r="G1057" s="10" t="s">
        <v>4695</v>
      </c>
      <c r="H1057" s="10" t="s">
        <v>4694</v>
      </c>
      <c r="I1057" s="10" t="s">
        <v>4712</v>
      </c>
      <c r="J1057" s="17">
        <f t="shared" si="8"/>
        <v>32407</v>
      </c>
      <c r="K1057" s="10">
        <f t="shared" ca="1" si="9"/>
        <v>37</v>
      </c>
      <c r="L1057" s="6"/>
      <c r="M1057" s="6"/>
      <c r="N1057" s="6"/>
      <c r="O1057" s="6"/>
      <c r="P1057" s="6"/>
      <c r="Q1057" s="6"/>
      <c r="R1057" s="6"/>
      <c r="S1057" s="6"/>
      <c r="T1057" s="6"/>
      <c r="U1057" s="6"/>
      <c r="V1057" s="6"/>
      <c r="W1057" s="6"/>
      <c r="X1057" s="6"/>
      <c r="Y1057" s="6"/>
      <c r="Z1057" s="6"/>
    </row>
    <row r="1058" spans="1:26" ht="15.75" customHeight="1" x14ac:dyDescent="0.3">
      <c r="A1058" s="10" t="s">
        <v>2566</v>
      </c>
      <c r="B1058" s="10">
        <v>1975</v>
      </c>
      <c r="C1058" s="10" t="s">
        <v>4711</v>
      </c>
      <c r="D1058" s="10">
        <v>26</v>
      </c>
      <c r="E1058" s="10">
        <v>1</v>
      </c>
      <c r="F1058" s="24">
        <v>8569.86</v>
      </c>
      <c r="G1058" s="10" t="s">
        <v>4695</v>
      </c>
      <c r="H1058" s="10" t="s">
        <v>4696</v>
      </c>
      <c r="I1058" s="10" t="s">
        <v>4708</v>
      </c>
      <c r="J1058" s="17">
        <f t="shared" si="8"/>
        <v>27663</v>
      </c>
      <c r="K1058" s="10">
        <f t="shared" ca="1" si="9"/>
        <v>50</v>
      </c>
      <c r="L1058" s="6"/>
      <c r="M1058" s="6"/>
      <c r="N1058" s="6"/>
      <c r="O1058" s="6"/>
      <c r="P1058" s="6"/>
      <c r="Q1058" s="6"/>
      <c r="R1058" s="6"/>
      <c r="S1058" s="6"/>
      <c r="T1058" s="6"/>
      <c r="U1058" s="6"/>
      <c r="V1058" s="6"/>
      <c r="W1058" s="6"/>
      <c r="X1058" s="6"/>
      <c r="Y1058" s="6"/>
      <c r="Z1058" s="6"/>
    </row>
    <row r="1059" spans="1:26" ht="15.75" customHeight="1" x14ac:dyDescent="0.3">
      <c r="A1059" s="10" t="s">
        <v>2564</v>
      </c>
      <c r="B1059" s="10">
        <v>1982</v>
      </c>
      <c r="C1059" s="10" t="s">
        <v>4713</v>
      </c>
      <c r="D1059" s="10">
        <v>6</v>
      </c>
      <c r="E1059" s="10">
        <v>3</v>
      </c>
      <c r="F1059" s="24">
        <v>8572.0400000000009</v>
      </c>
      <c r="G1059" s="10" t="s">
        <v>4695</v>
      </c>
      <c r="H1059" s="10" t="s">
        <v>4695</v>
      </c>
      <c r="I1059" s="10" t="s">
        <v>4726</v>
      </c>
      <c r="J1059" s="17">
        <f t="shared" si="8"/>
        <v>30291</v>
      </c>
      <c r="K1059" s="10">
        <f t="shared" ca="1" si="9"/>
        <v>42</v>
      </c>
      <c r="L1059" s="6"/>
      <c r="M1059" s="6"/>
      <c r="N1059" s="6"/>
      <c r="O1059" s="6"/>
      <c r="P1059" s="6"/>
      <c r="Q1059" s="6"/>
      <c r="R1059" s="6"/>
      <c r="S1059" s="6"/>
      <c r="T1059" s="6"/>
      <c r="U1059" s="6"/>
      <c r="V1059" s="6"/>
      <c r="W1059" s="6"/>
      <c r="X1059" s="6"/>
      <c r="Y1059" s="6"/>
      <c r="Z1059" s="6"/>
    </row>
    <row r="1060" spans="1:26" ht="15.75" customHeight="1" x14ac:dyDescent="0.3">
      <c r="A1060" s="10" t="s">
        <v>2562</v>
      </c>
      <c r="B1060" s="10">
        <v>1987</v>
      </c>
      <c r="C1060" s="10" t="s">
        <v>4709</v>
      </c>
      <c r="D1060" s="10">
        <v>11</v>
      </c>
      <c r="E1060" s="10">
        <v>3</v>
      </c>
      <c r="F1060" s="24">
        <v>8573.2999999999993</v>
      </c>
      <c r="G1060" s="10" t="s">
        <v>4695</v>
      </c>
      <c r="H1060" s="10" t="s">
        <v>4695</v>
      </c>
      <c r="I1060" s="10" t="s">
        <v>4726</v>
      </c>
      <c r="J1060" s="17">
        <f t="shared" si="8"/>
        <v>32092</v>
      </c>
      <c r="K1060" s="10">
        <f t="shared" ca="1" si="9"/>
        <v>38</v>
      </c>
      <c r="L1060" s="6"/>
      <c r="M1060" s="6"/>
      <c r="N1060" s="6"/>
      <c r="O1060" s="6"/>
      <c r="P1060" s="6"/>
      <c r="Q1060" s="6"/>
      <c r="R1060" s="6"/>
      <c r="S1060" s="6"/>
      <c r="T1060" s="6"/>
      <c r="U1060" s="6"/>
      <c r="V1060" s="6"/>
      <c r="W1060" s="6"/>
      <c r="X1060" s="6"/>
      <c r="Y1060" s="6"/>
      <c r="Z1060" s="6"/>
    </row>
    <row r="1061" spans="1:26" ht="15.75" customHeight="1" x14ac:dyDescent="0.3">
      <c r="A1061" s="10" t="s">
        <v>2560</v>
      </c>
      <c r="B1061" s="10">
        <v>1983</v>
      </c>
      <c r="C1061" s="10" t="s">
        <v>4713</v>
      </c>
      <c r="D1061" s="10">
        <v>30</v>
      </c>
      <c r="E1061" s="10">
        <v>5</v>
      </c>
      <c r="F1061" s="24">
        <v>8582.2999999999993</v>
      </c>
      <c r="G1061" s="10" t="s">
        <v>4695</v>
      </c>
      <c r="H1061" s="10" t="s">
        <v>4694</v>
      </c>
      <c r="I1061" s="10" t="s">
        <v>4708</v>
      </c>
      <c r="J1061" s="17">
        <f t="shared" si="8"/>
        <v>30680</v>
      </c>
      <c r="K1061" s="10">
        <f t="shared" ca="1" si="9"/>
        <v>41</v>
      </c>
      <c r="L1061" s="6"/>
      <c r="M1061" s="6"/>
      <c r="N1061" s="6"/>
      <c r="O1061" s="6"/>
      <c r="P1061" s="6"/>
      <c r="Q1061" s="6"/>
      <c r="R1061" s="6"/>
      <c r="S1061" s="6"/>
      <c r="T1061" s="6"/>
      <c r="U1061" s="6"/>
      <c r="V1061" s="6"/>
      <c r="W1061" s="6"/>
      <c r="X1061" s="6"/>
      <c r="Y1061" s="6"/>
      <c r="Z1061" s="6"/>
    </row>
    <row r="1062" spans="1:26" ht="15.75" customHeight="1" x14ac:dyDescent="0.3">
      <c r="A1062" s="10" t="s">
        <v>2558</v>
      </c>
      <c r="B1062" s="10">
        <v>1983</v>
      </c>
      <c r="C1062" s="10" t="s">
        <v>4707</v>
      </c>
      <c r="D1062" s="10">
        <v>25</v>
      </c>
      <c r="E1062" s="10">
        <v>5</v>
      </c>
      <c r="F1062" s="24">
        <v>8596.83</v>
      </c>
      <c r="G1062" s="10" t="s">
        <v>4695</v>
      </c>
      <c r="H1062" s="10" t="s">
        <v>4696</v>
      </c>
      <c r="I1062" s="10" t="s">
        <v>4708</v>
      </c>
      <c r="J1062" s="17">
        <f t="shared" si="8"/>
        <v>30522</v>
      </c>
      <c r="K1062" s="10">
        <f t="shared" ca="1" si="9"/>
        <v>42</v>
      </c>
      <c r="L1062" s="6"/>
      <c r="M1062" s="6"/>
      <c r="N1062" s="6"/>
      <c r="O1062" s="6"/>
      <c r="P1062" s="6"/>
      <c r="Q1062" s="6"/>
      <c r="R1062" s="6"/>
      <c r="S1062" s="6"/>
      <c r="T1062" s="6"/>
      <c r="U1062" s="6"/>
      <c r="V1062" s="6"/>
      <c r="W1062" s="6"/>
      <c r="X1062" s="6"/>
      <c r="Y1062" s="6"/>
      <c r="Z1062" s="6"/>
    </row>
    <row r="1063" spans="1:26" ht="15.75" customHeight="1" x14ac:dyDescent="0.3">
      <c r="A1063" s="10" t="s">
        <v>2556</v>
      </c>
      <c r="B1063" s="10">
        <v>1973</v>
      </c>
      <c r="C1063" s="10" t="s">
        <v>4707</v>
      </c>
      <c r="D1063" s="10">
        <v>11</v>
      </c>
      <c r="E1063" s="10">
        <v>0</v>
      </c>
      <c r="F1063" s="24">
        <v>8601.33</v>
      </c>
      <c r="G1063" s="10" t="s">
        <v>4695</v>
      </c>
      <c r="H1063" s="10" t="s">
        <v>4694</v>
      </c>
      <c r="I1063" s="10" t="s">
        <v>4708</v>
      </c>
      <c r="J1063" s="17">
        <f t="shared" si="8"/>
        <v>26856</v>
      </c>
      <c r="K1063" s="10">
        <f t="shared" ca="1" si="9"/>
        <v>52</v>
      </c>
      <c r="L1063" s="6"/>
      <c r="M1063" s="6"/>
      <c r="N1063" s="6"/>
      <c r="O1063" s="6"/>
      <c r="P1063" s="6"/>
      <c r="Q1063" s="6"/>
      <c r="R1063" s="6"/>
      <c r="S1063" s="6"/>
      <c r="T1063" s="6"/>
      <c r="U1063" s="6"/>
      <c r="V1063" s="6"/>
      <c r="W1063" s="6"/>
      <c r="X1063" s="6"/>
      <c r="Y1063" s="6"/>
      <c r="Z1063" s="6"/>
    </row>
    <row r="1064" spans="1:26" ht="15.75" customHeight="1" x14ac:dyDescent="0.3">
      <c r="A1064" s="10" t="s">
        <v>2554</v>
      </c>
      <c r="B1064" s="10">
        <v>1977</v>
      </c>
      <c r="C1064" s="10" t="s">
        <v>4711</v>
      </c>
      <c r="D1064" s="10">
        <v>24</v>
      </c>
      <c r="E1064" s="10">
        <v>2</v>
      </c>
      <c r="F1064" s="24">
        <v>8603.82</v>
      </c>
      <c r="G1064" s="10" t="s">
        <v>4695</v>
      </c>
      <c r="H1064" s="10" t="s">
        <v>4694</v>
      </c>
      <c r="I1064" s="10" t="s">
        <v>4719</v>
      </c>
      <c r="J1064" s="17">
        <f t="shared" si="8"/>
        <v>28392</v>
      </c>
      <c r="K1064" s="10">
        <f t="shared" ca="1" si="9"/>
        <v>48</v>
      </c>
      <c r="L1064" s="6"/>
      <c r="M1064" s="6"/>
      <c r="N1064" s="6"/>
      <c r="O1064" s="6"/>
      <c r="P1064" s="6"/>
      <c r="Q1064" s="6"/>
      <c r="R1064" s="6"/>
      <c r="S1064" s="6"/>
      <c r="T1064" s="6"/>
      <c r="U1064" s="6"/>
      <c r="V1064" s="6"/>
      <c r="W1064" s="6"/>
      <c r="X1064" s="6"/>
      <c r="Y1064" s="6"/>
      <c r="Z1064" s="6"/>
    </row>
    <row r="1065" spans="1:26" ht="15.75" customHeight="1" x14ac:dyDescent="0.3">
      <c r="A1065" s="10" t="s">
        <v>2552</v>
      </c>
      <c r="B1065" s="10">
        <v>1977</v>
      </c>
      <c r="C1065" s="10" t="s">
        <v>4709</v>
      </c>
      <c r="D1065" s="10">
        <v>12</v>
      </c>
      <c r="E1065" s="10">
        <v>2</v>
      </c>
      <c r="F1065" s="24">
        <v>8604.48</v>
      </c>
      <c r="G1065" s="10" t="s">
        <v>4696</v>
      </c>
      <c r="H1065" s="10" t="s">
        <v>4695</v>
      </c>
      <c r="I1065" s="10" t="s">
        <v>4720</v>
      </c>
      <c r="J1065" s="17">
        <f t="shared" si="8"/>
        <v>28441</v>
      </c>
      <c r="K1065" s="10">
        <f t="shared" ca="1" si="9"/>
        <v>48</v>
      </c>
      <c r="L1065" s="6"/>
      <c r="M1065" s="6"/>
      <c r="N1065" s="6"/>
      <c r="O1065" s="6"/>
      <c r="P1065" s="6"/>
      <c r="Q1065" s="6"/>
      <c r="R1065" s="6"/>
      <c r="S1065" s="6"/>
      <c r="T1065" s="6"/>
      <c r="U1065" s="6"/>
      <c r="V1065" s="6"/>
      <c r="W1065" s="6"/>
      <c r="X1065" s="6"/>
      <c r="Y1065" s="6"/>
      <c r="Z1065" s="6"/>
    </row>
    <row r="1066" spans="1:26" ht="15.75" customHeight="1" x14ac:dyDescent="0.3">
      <c r="A1066" s="10" t="s">
        <v>2550</v>
      </c>
      <c r="B1066" s="10">
        <v>1977</v>
      </c>
      <c r="C1066" s="10" t="s">
        <v>4715</v>
      </c>
      <c r="D1066" s="10">
        <v>15</v>
      </c>
      <c r="E1066" s="10">
        <v>3</v>
      </c>
      <c r="F1066" s="24">
        <v>8605.36</v>
      </c>
      <c r="G1066" s="10" t="s">
        <v>4695</v>
      </c>
      <c r="H1066" s="10" t="s">
        <v>4695</v>
      </c>
      <c r="I1066" s="10" t="s">
        <v>4708</v>
      </c>
      <c r="J1066" s="17">
        <f t="shared" si="8"/>
        <v>28413</v>
      </c>
      <c r="K1066" s="10">
        <f t="shared" ca="1" si="9"/>
        <v>48</v>
      </c>
      <c r="L1066" s="6"/>
      <c r="M1066" s="6"/>
      <c r="N1066" s="6"/>
      <c r="O1066" s="6"/>
      <c r="P1066" s="6"/>
      <c r="Q1066" s="6"/>
      <c r="R1066" s="6"/>
      <c r="S1066" s="6"/>
      <c r="T1066" s="6"/>
      <c r="U1066" s="6"/>
      <c r="V1066" s="6"/>
      <c r="W1066" s="6"/>
      <c r="X1066" s="6"/>
      <c r="Y1066" s="6"/>
      <c r="Z1066" s="6"/>
    </row>
    <row r="1067" spans="1:26" ht="15.75" customHeight="1" x14ac:dyDescent="0.3">
      <c r="A1067" s="10" t="s">
        <v>2548</v>
      </c>
      <c r="B1067" s="10">
        <v>1979</v>
      </c>
      <c r="C1067" s="10" t="s">
        <v>4707</v>
      </c>
      <c r="D1067" s="10">
        <v>17</v>
      </c>
      <c r="E1067" s="10">
        <v>3</v>
      </c>
      <c r="F1067" s="24">
        <v>8606.2199999999993</v>
      </c>
      <c r="G1067" s="10" t="s">
        <v>4694</v>
      </c>
      <c r="H1067" s="10" t="s">
        <v>4695</v>
      </c>
      <c r="I1067" s="10" t="s">
        <v>4725</v>
      </c>
      <c r="J1067" s="17">
        <f t="shared" si="8"/>
        <v>29053</v>
      </c>
      <c r="K1067" s="10">
        <f t="shared" ca="1" si="9"/>
        <v>46</v>
      </c>
      <c r="L1067" s="6"/>
      <c r="M1067" s="6"/>
      <c r="N1067" s="6"/>
      <c r="O1067" s="6"/>
      <c r="P1067" s="6"/>
      <c r="Q1067" s="6"/>
      <c r="R1067" s="6"/>
      <c r="S1067" s="6"/>
      <c r="T1067" s="6"/>
      <c r="U1067" s="6"/>
      <c r="V1067" s="6"/>
      <c r="W1067" s="6"/>
      <c r="X1067" s="6"/>
      <c r="Y1067" s="6"/>
      <c r="Z1067" s="6"/>
    </row>
    <row r="1068" spans="1:26" ht="15.75" customHeight="1" x14ac:dyDescent="0.3">
      <c r="A1068" s="10" t="s">
        <v>2546</v>
      </c>
      <c r="B1068" s="10">
        <v>1977</v>
      </c>
      <c r="C1068" s="10" t="s">
        <v>4711</v>
      </c>
      <c r="D1068" s="10">
        <v>2</v>
      </c>
      <c r="E1068" s="10">
        <v>3</v>
      </c>
      <c r="F1068" s="24">
        <v>8615.2999999999993</v>
      </c>
      <c r="G1068" s="10" t="s">
        <v>4695</v>
      </c>
      <c r="H1068" s="10" t="s">
        <v>4696</v>
      </c>
      <c r="I1068" s="10" t="s">
        <v>4716</v>
      </c>
      <c r="J1068" s="17">
        <f t="shared" si="8"/>
        <v>28370</v>
      </c>
      <c r="K1068" s="10">
        <f t="shared" ca="1" si="9"/>
        <v>48</v>
      </c>
      <c r="L1068" s="6"/>
      <c r="M1068" s="6"/>
      <c r="N1068" s="6"/>
      <c r="O1068" s="6"/>
      <c r="P1068" s="6"/>
      <c r="Q1068" s="6"/>
      <c r="R1068" s="6"/>
      <c r="S1068" s="6"/>
      <c r="T1068" s="6"/>
      <c r="U1068" s="6"/>
      <c r="V1068" s="6"/>
      <c r="W1068" s="6"/>
      <c r="X1068" s="6"/>
      <c r="Y1068" s="6"/>
      <c r="Z1068" s="6"/>
    </row>
    <row r="1069" spans="1:26" ht="15.75" customHeight="1" x14ac:dyDescent="0.3">
      <c r="A1069" s="10" t="s">
        <v>2544</v>
      </c>
      <c r="B1069" s="10">
        <v>1975</v>
      </c>
      <c r="C1069" s="10" t="s">
        <v>4714</v>
      </c>
      <c r="D1069" s="10">
        <v>3</v>
      </c>
      <c r="E1069" s="10">
        <v>1</v>
      </c>
      <c r="F1069" s="24">
        <v>8627.5400000000009</v>
      </c>
      <c r="G1069" s="10" t="s">
        <v>4695</v>
      </c>
      <c r="H1069" s="10" t="s">
        <v>4695</v>
      </c>
      <c r="I1069" s="10" t="s">
        <v>4727</v>
      </c>
      <c r="J1069" s="17">
        <f t="shared" si="8"/>
        <v>27609</v>
      </c>
      <c r="K1069" s="10">
        <f t="shared" ca="1" si="9"/>
        <v>50</v>
      </c>
      <c r="L1069" s="6"/>
      <c r="M1069" s="6"/>
      <c r="N1069" s="6"/>
      <c r="O1069" s="6"/>
      <c r="P1069" s="6"/>
      <c r="Q1069" s="6"/>
      <c r="R1069" s="6"/>
      <c r="S1069" s="6"/>
      <c r="T1069" s="6"/>
      <c r="U1069" s="6"/>
      <c r="V1069" s="6"/>
      <c r="W1069" s="6"/>
      <c r="X1069" s="6"/>
      <c r="Y1069" s="6"/>
      <c r="Z1069" s="6"/>
    </row>
    <row r="1070" spans="1:26" ht="15.75" customHeight="1" x14ac:dyDescent="0.3">
      <c r="A1070" s="10" t="s">
        <v>2542</v>
      </c>
      <c r="B1070" s="10">
        <v>1965</v>
      </c>
      <c r="C1070" s="10" t="s">
        <v>4715</v>
      </c>
      <c r="D1070" s="10">
        <v>21</v>
      </c>
      <c r="E1070" s="10">
        <v>0</v>
      </c>
      <c r="F1070" s="24">
        <v>8665.09</v>
      </c>
      <c r="G1070" s="10" t="s">
        <v>4696</v>
      </c>
      <c r="H1070" s="10" t="s">
        <v>4695</v>
      </c>
      <c r="I1070" s="10" t="s">
        <v>4712</v>
      </c>
      <c r="J1070" s="17">
        <f t="shared" si="8"/>
        <v>24036</v>
      </c>
      <c r="K1070" s="10">
        <f t="shared" ca="1" si="9"/>
        <v>60</v>
      </c>
      <c r="L1070" s="6"/>
      <c r="M1070" s="6"/>
      <c r="N1070" s="6"/>
      <c r="O1070" s="6"/>
      <c r="P1070" s="6"/>
      <c r="Q1070" s="6"/>
      <c r="R1070" s="6"/>
      <c r="S1070" s="6"/>
      <c r="T1070" s="6"/>
      <c r="U1070" s="6"/>
      <c r="V1070" s="6"/>
      <c r="W1070" s="6"/>
      <c r="X1070" s="6"/>
      <c r="Y1070" s="6"/>
      <c r="Z1070" s="6"/>
    </row>
    <row r="1071" spans="1:26" ht="15.75" customHeight="1" x14ac:dyDescent="0.3">
      <c r="A1071" s="10" t="s">
        <v>2540</v>
      </c>
      <c r="B1071" s="10">
        <v>1969</v>
      </c>
      <c r="C1071" s="10" t="s">
        <v>4714</v>
      </c>
      <c r="D1071" s="10">
        <v>10</v>
      </c>
      <c r="E1071" s="10">
        <v>0</v>
      </c>
      <c r="F1071" s="24">
        <v>8665.14</v>
      </c>
      <c r="G1071" s="10" t="s">
        <v>4695</v>
      </c>
      <c r="H1071" s="10" t="s">
        <v>4696</v>
      </c>
      <c r="I1071" s="10" t="s">
        <v>4708</v>
      </c>
      <c r="J1071" s="17">
        <f t="shared" si="8"/>
        <v>25425</v>
      </c>
      <c r="K1071" s="10">
        <f t="shared" ca="1" si="9"/>
        <v>56</v>
      </c>
      <c r="L1071" s="6"/>
      <c r="M1071" s="6"/>
      <c r="N1071" s="6"/>
      <c r="O1071" s="6"/>
      <c r="P1071" s="6"/>
      <c r="Q1071" s="6"/>
      <c r="R1071" s="6"/>
      <c r="S1071" s="6"/>
      <c r="T1071" s="6"/>
      <c r="U1071" s="6"/>
      <c r="V1071" s="6"/>
      <c r="W1071" s="6"/>
      <c r="X1071" s="6"/>
      <c r="Y1071" s="6"/>
      <c r="Z1071" s="6"/>
    </row>
    <row r="1072" spans="1:26" ht="15.75" customHeight="1" x14ac:dyDescent="0.3">
      <c r="A1072" s="10" t="s">
        <v>2538</v>
      </c>
      <c r="B1072" s="10">
        <v>1974</v>
      </c>
      <c r="C1072" s="10" t="s">
        <v>4714</v>
      </c>
      <c r="D1072" s="10">
        <v>16</v>
      </c>
      <c r="E1072" s="10">
        <v>0</v>
      </c>
      <c r="F1072" s="24">
        <v>8671.19</v>
      </c>
      <c r="G1072" s="10" t="s">
        <v>4695</v>
      </c>
      <c r="H1072" s="10" t="s">
        <v>4694</v>
      </c>
      <c r="I1072" s="10" t="s">
        <v>4712</v>
      </c>
      <c r="J1072" s="17">
        <f t="shared" si="8"/>
        <v>27257</v>
      </c>
      <c r="K1072" s="10">
        <f t="shared" ca="1" si="9"/>
        <v>51</v>
      </c>
      <c r="L1072" s="6"/>
      <c r="M1072" s="6"/>
      <c r="N1072" s="6"/>
      <c r="O1072" s="6"/>
      <c r="P1072" s="6"/>
      <c r="Q1072" s="6"/>
      <c r="R1072" s="6"/>
      <c r="S1072" s="6"/>
      <c r="T1072" s="6"/>
      <c r="U1072" s="6"/>
      <c r="V1072" s="6"/>
      <c r="W1072" s="6"/>
      <c r="X1072" s="6"/>
      <c r="Y1072" s="6"/>
      <c r="Z1072" s="6"/>
    </row>
    <row r="1073" spans="1:26" ht="15.75" customHeight="1" x14ac:dyDescent="0.3">
      <c r="A1073" s="10" t="s">
        <v>2536</v>
      </c>
      <c r="B1073" s="10">
        <v>1973</v>
      </c>
      <c r="C1073" s="10" t="s">
        <v>4715</v>
      </c>
      <c r="D1073" s="10">
        <v>11</v>
      </c>
      <c r="E1073" s="10">
        <v>0</v>
      </c>
      <c r="F1073" s="24">
        <v>8688.86</v>
      </c>
      <c r="G1073" s="10" t="s">
        <v>4695</v>
      </c>
      <c r="H1073" s="10" t="s">
        <v>4694</v>
      </c>
      <c r="I1073" s="10" t="s">
        <v>4727</v>
      </c>
      <c r="J1073" s="17">
        <f t="shared" si="8"/>
        <v>26948</v>
      </c>
      <c r="K1073" s="10">
        <f t="shared" ca="1" si="9"/>
        <v>52</v>
      </c>
      <c r="L1073" s="6"/>
      <c r="M1073" s="6"/>
      <c r="N1073" s="6"/>
      <c r="O1073" s="6"/>
      <c r="P1073" s="6"/>
      <c r="Q1073" s="6"/>
      <c r="R1073" s="6"/>
      <c r="S1073" s="6"/>
      <c r="T1073" s="6"/>
      <c r="U1073" s="6"/>
      <c r="V1073" s="6"/>
      <c r="W1073" s="6"/>
      <c r="X1073" s="6"/>
      <c r="Y1073" s="6"/>
      <c r="Z1073" s="6"/>
    </row>
    <row r="1074" spans="1:26" ht="15.75" customHeight="1" x14ac:dyDescent="0.3">
      <c r="A1074" s="10" t="s">
        <v>2534</v>
      </c>
      <c r="B1074" s="10">
        <v>1980</v>
      </c>
      <c r="C1074" s="10" t="s">
        <v>4715</v>
      </c>
      <c r="D1074" s="10">
        <v>28</v>
      </c>
      <c r="E1074" s="10">
        <v>2</v>
      </c>
      <c r="F1074" s="24">
        <v>8701.84</v>
      </c>
      <c r="G1074" s="10" t="s">
        <v>4695</v>
      </c>
      <c r="H1074" s="10" t="s">
        <v>4696</v>
      </c>
      <c r="I1074" s="10" t="s">
        <v>4726</v>
      </c>
      <c r="J1074" s="17">
        <f t="shared" si="8"/>
        <v>29522</v>
      </c>
      <c r="K1074" s="10">
        <f t="shared" ca="1" si="9"/>
        <v>45</v>
      </c>
      <c r="L1074" s="6"/>
      <c r="M1074" s="6"/>
      <c r="N1074" s="6"/>
      <c r="O1074" s="6"/>
      <c r="P1074" s="6"/>
      <c r="Q1074" s="6"/>
      <c r="R1074" s="6"/>
      <c r="S1074" s="6"/>
      <c r="T1074" s="6"/>
      <c r="U1074" s="6"/>
      <c r="V1074" s="6"/>
      <c r="W1074" s="6"/>
      <c r="X1074" s="6"/>
      <c r="Y1074" s="6"/>
      <c r="Z1074" s="6"/>
    </row>
    <row r="1075" spans="1:26" ht="15.75" customHeight="1" x14ac:dyDescent="0.3">
      <c r="A1075" s="10" t="s">
        <v>2532</v>
      </c>
      <c r="B1075" s="10">
        <v>1973</v>
      </c>
      <c r="C1075" s="10" t="s">
        <v>4710</v>
      </c>
      <c r="D1075" s="10">
        <v>25</v>
      </c>
      <c r="E1075" s="10">
        <v>1</v>
      </c>
      <c r="F1075" s="24">
        <v>8703.4599999999991</v>
      </c>
      <c r="G1075" s="10" t="s">
        <v>4696</v>
      </c>
      <c r="H1075" s="10" t="s">
        <v>4696</v>
      </c>
      <c r="I1075" s="10" t="s">
        <v>4716</v>
      </c>
      <c r="J1075" s="17">
        <f t="shared" si="8"/>
        <v>26840</v>
      </c>
      <c r="K1075" s="10">
        <f t="shared" ca="1" si="9"/>
        <v>52</v>
      </c>
      <c r="L1075" s="6"/>
      <c r="M1075" s="6"/>
      <c r="N1075" s="6"/>
      <c r="O1075" s="6"/>
      <c r="P1075" s="6"/>
      <c r="Q1075" s="6"/>
      <c r="R1075" s="6"/>
      <c r="S1075" s="6"/>
      <c r="T1075" s="6"/>
      <c r="U1075" s="6"/>
      <c r="V1075" s="6"/>
      <c r="W1075" s="6"/>
      <c r="X1075" s="6"/>
      <c r="Y1075" s="6"/>
      <c r="Z1075" s="6"/>
    </row>
    <row r="1076" spans="1:26" ht="15.75" customHeight="1" x14ac:dyDescent="0.3">
      <c r="A1076" s="10" t="s">
        <v>2530</v>
      </c>
      <c r="B1076" s="10">
        <v>1976</v>
      </c>
      <c r="C1076" s="10" t="s">
        <v>4710</v>
      </c>
      <c r="D1076" s="10">
        <v>17</v>
      </c>
      <c r="E1076" s="10">
        <v>2</v>
      </c>
      <c r="F1076" s="24">
        <v>8733.23</v>
      </c>
      <c r="G1076" s="10" t="s">
        <v>4695</v>
      </c>
      <c r="H1076" s="10" t="s">
        <v>4696</v>
      </c>
      <c r="I1076" s="10" t="s">
        <v>4712</v>
      </c>
      <c r="J1076" s="17">
        <f t="shared" si="8"/>
        <v>27928</v>
      </c>
      <c r="K1076" s="10">
        <f t="shared" ca="1" si="9"/>
        <v>49</v>
      </c>
      <c r="L1076" s="6"/>
      <c r="M1076" s="6"/>
      <c r="N1076" s="6"/>
      <c r="O1076" s="6"/>
      <c r="P1076" s="6"/>
      <c r="Q1076" s="6"/>
      <c r="R1076" s="6"/>
      <c r="S1076" s="6"/>
      <c r="T1076" s="6"/>
      <c r="U1076" s="6"/>
      <c r="V1076" s="6"/>
      <c r="W1076" s="6"/>
      <c r="X1076" s="6"/>
      <c r="Y1076" s="6"/>
      <c r="Z1076" s="6"/>
    </row>
    <row r="1077" spans="1:26" ht="15.75" customHeight="1" x14ac:dyDescent="0.3">
      <c r="A1077" s="10" t="s">
        <v>2528</v>
      </c>
      <c r="B1077" s="10">
        <v>1999</v>
      </c>
      <c r="C1077" s="10" t="s">
        <v>4714</v>
      </c>
      <c r="D1077" s="10">
        <v>23</v>
      </c>
      <c r="E1077" s="10">
        <v>0</v>
      </c>
      <c r="F1077" s="24">
        <v>8747.68</v>
      </c>
      <c r="G1077" s="10" t="s">
        <v>4695</v>
      </c>
      <c r="H1077" s="10" t="s">
        <v>4696</v>
      </c>
      <c r="I1077" s="10" t="s">
        <v>4716</v>
      </c>
      <c r="J1077" s="17">
        <f t="shared" si="8"/>
        <v>36395</v>
      </c>
      <c r="K1077" s="10">
        <f t="shared" ca="1" si="9"/>
        <v>26</v>
      </c>
      <c r="L1077" s="6"/>
      <c r="M1077" s="6"/>
      <c r="N1077" s="6"/>
      <c r="O1077" s="6"/>
      <c r="P1077" s="6"/>
      <c r="Q1077" s="6"/>
      <c r="R1077" s="6"/>
      <c r="S1077" s="6"/>
      <c r="T1077" s="6"/>
      <c r="U1077" s="6"/>
      <c r="V1077" s="6"/>
      <c r="W1077" s="6"/>
      <c r="X1077" s="6"/>
      <c r="Y1077" s="6"/>
      <c r="Z1077" s="6"/>
    </row>
    <row r="1078" spans="1:26" ht="15.75" customHeight="1" x14ac:dyDescent="0.3">
      <c r="A1078" s="10" t="s">
        <v>2526</v>
      </c>
      <c r="B1078" s="10">
        <v>1969</v>
      </c>
      <c r="C1078" s="10" t="s">
        <v>4711</v>
      </c>
      <c r="D1078" s="10">
        <v>9</v>
      </c>
      <c r="E1078" s="10">
        <v>0</v>
      </c>
      <c r="F1078" s="24">
        <v>8760.1200000000008</v>
      </c>
      <c r="G1078" s="10" t="s">
        <v>4695</v>
      </c>
      <c r="H1078" s="10" t="s">
        <v>4694</v>
      </c>
      <c r="I1078" s="10" t="s">
        <v>4708</v>
      </c>
      <c r="J1078" s="17">
        <f t="shared" si="8"/>
        <v>25455</v>
      </c>
      <c r="K1078" s="10">
        <f t="shared" ca="1" si="9"/>
        <v>56</v>
      </c>
      <c r="L1078" s="6"/>
      <c r="M1078" s="6"/>
      <c r="N1078" s="6"/>
      <c r="O1078" s="6"/>
      <c r="P1078" s="6"/>
      <c r="Q1078" s="6"/>
      <c r="R1078" s="6"/>
      <c r="S1078" s="6"/>
      <c r="T1078" s="6"/>
      <c r="U1078" s="6"/>
      <c r="V1078" s="6"/>
      <c r="W1078" s="6"/>
      <c r="X1078" s="6"/>
      <c r="Y1078" s="6"/>
      <c r="Z1078" s="6"/>
    </row>
    <row r="1079" spans="1:26" ht="15.75" customHeight="1" x14ac:dyDescent="0.3">
      <c r="A1079" s="10" t="s">
        <v>2524</v>
      </c>
      <c r="B1079" s="10">
        <v>1974</v>
      </c>
      <c r="C1079" s="10" t="s">
        <v>4711</v>
      </c>
      <c r="D1079" s="10">
        <v>6</v>
      </c>
      <c r="E1079" s="10">
        <v>1</v>
      </c>
      <c r="F1079" s="24">
        <v>8765.25</v>
      </c>
      <c r="G1079" s="10" t="s">
        <v>4695</v>
      </c>
      <c r="H1079" s="10" t="s">
        <v>4696</v>
      </c>
      <c r="I1079" s="10" t="s">
        <v>4712</v>
      </c>
      <c r="J1079" s="17">
        <f t="shared" si="8"/>
        <v>27278</v>
      </c>
      <c r="K1079" s="10">
        <f t="shared" ca="1" si="9"/>
        <v>51</v>
      </c>
      <c r="L1079" s="6"/>
      <c r="M1079" s="6"/>
      <c r="N1079" s="6"/>
      <c r="O1079" s="6"/>
      <c r="P1079" s="6"/>
      <c r="Q1079" s="6"/>
      <c r="R1079" s="6"/>
      <c r="S1079" s="6"/>
      <c r="T1079" s="6"/>
      <c r="U1079" s="6"/>
      <c r="V1079" s="6"/>
      <c r="W1079" s="6"/>
      <c r="X1079" s="6"/>
      <c r="Y1079" s="6"/>
      <c r="Z1079" s="6"/>
    </row>
    <row r="1080" spans="1:26" ht="15.75" customHeight="1" x14ac:dyDescent="0.3">
      <c r="A1080" s="10" t="s">
        <v>2522</v>
      </c>
      <c r="B1080" s="10">
        <v>1971</v>
      </c>
      <c r="C1080" s="10" t="s">
        <v>4714</v>
      </c>
      <c r="D1080" s="10">
        <v>23</v>
      </c>
      <c r="E1080" s="10">
        <v>0</v>
      </c>
      <c r="F1080" s="24">
        <v>8782.4699999999993</v>
      </c>
      <c r="G1080" s="10" t="s">
        <v>4695</v>
      </c>
      <c r="H1080" s="10" t="s">
        <v>4696</v>
      </c>
      <c r="I1080" s="10" t="s">
        <v>4716</v>
      </c>
      <c r="J1080" s="17">
        <f t="shared" si="8"/>
        <v>26168</v>
      </c>
      <c r="K1080" s="10">
        <f t="shared" ca="1" si="9"/>
        <v>54</v>
      </c>
      <c r="L1080" s="6"/>
      <c r="M1080" s="6"/>
      <c r="N1080" s="6"/>
      <c r="O1080" s="6"/>
      <c r="P1080" s="6"/>
      <c r="Q1080" s="6"/>
      <c r="R1080" s="6"/>
      <c r="S1080" s="6"/>
      <c r="T1080" s="6"/>
      <c r="U1080" s="6"/>
      <c r="V1080" s="6"/>
      <c r="W1080" s="6"/>
      <c r="X1080" s="6"/>
      <c r="Y1080" s="6"/>
      <c r="Z1080" s="6"/>
    </row>
    <row r="1081" spans="1:26" ht="15.75" customHeight="1" x14ac:dyDescent="0.3">
      <c r="A1081" s="10" t="s">
        <v>2520</v>
      </c>
      <c r="B1081" s="10">
        <v>1971</v>
      </c>
      <c r="C1081" s="10" t="s">
        <v>4710</v>
      </c>
      <c r="D1081" s="10">
        <v>18</v>
      </c>
      <c r="E1081" s="10">
        <v>0</v>
      </c>
      <c r="F1081" s="24">
        <v>8798.59</v>
      </c>
      <c r="G1081" s="10" t="s">
        <v>4695</v>
      </c>
      <c r="H1081" s="10" t="s">
        <v>4694</v>
      </c>
      <c r="I1081" s="10" t="s">
        <v>4716</v>
      </c>
      <c r="J1081" s="17">
        <f t="shared" si="8"/>
        <v>26102</v>
      </c>
      <c r="K1081" s="10">
        <f t="shared" ca="1" si="9"/>
        <v>54</v>
      </c>
      <c r="L1081" s="6"/>
      <c r="M1081" s="6"/>
      <c r="N1081" s="6"/>
      <c r="O1081" s="6"/>
      <c r="P1081" s="6"/>
      <c r="Q1081" s="6"/>
      <c r="R1081" s="6"/>
      <c r="S1081" s="6"/>
      <c r="T1081" s="6"/>
      <c r="U1081" s="6"/>
      <c r="V1081" s="6"/>
      <c r="W1081" s="6"/>
      <c r="X1081" s="6"/>
      <c r="Y1081" s="6"/>
      <c r="Z1081" s="6"/>
    </row>
    <row r="1082" spans="1:26" ht="15.75" customHeight="1" x14ac:dyDescent="0.3">
      <c r="A1082" s="10" t="s">
        <v>2518</v>
      </c>
      <c r="B1082" s="10">
        <v>1965</v>
      </c>
      <c r="C1082" s="10" t="s">
        <v>4714</v>
      </c>
      <c r="D1082" s="10">
        <v>29</v>
      </c>
      <c r="E1082" s="10">
        <v>0</v>
      </c>
      <c r="F1082" s="24">
        <v>8800.49</v>
      </c>
      <c r="G1082" s="10" t="s">
        <v>4696</v>
      </c>
      <c r="H1082" s="10" t="s">
        <v>4695</v>
      </c>
      <c r="I1082" s="10" t="s">
        <v>4708</v>
      </c>
      <c r="J1082" s="17">
        <f t="shared" si="8"/>
        <v>23983</v>
      </c>
      <c r="K1082" s="10">
        <f t="shared" ca="1" si="9"/>
        <v>60</v>
      </c>
      <c r="L1082" s="6"/>
      <c r="M1082" s="6"/>
      <c r="N1082" s="6"/>
      <c r="O1082" s="6"/>
      <c r="P1082" s="6"/>
      <c r="Q1082" s="6"/>
      <c r="R1082" s="6"/>
      <c r="S1082" s="6"/>
      <c r="T1082" s="6"/>
      <c r="U1082" s="6"/>
      <c r="V1082" s="6"/>
      <c r="W1082" s="6"/>
      <c r="X1082" s="6"/>
      <c r="Y1082" s="6"/>
      <c r="Z1082" s="6"/>
    </row>
    <row r="1083" spans="1:26" ht="15.75" customHeight="1" x14ac:dyDescent="0.3">
      <c r="A1083" s="10" t="s">
        <v>2516</v>
      </c>
      <c r="B1083" s="10">
        <v>2001</v>
      </c>
      <c r="C1083" s="10" t="s">
        <v>4709</v>
      </c>
      <c r="D1083" s="10">
        <v>7</v>
      </c>
      <c r="E1083" s="10">
        <v>0</v>
      </c>
      <c r="F1083" s="24">
        <v>8821.8799999999992</v>
      </c>
      <c r="G1083" s="10" t="s">
        <v>4695</v>
      </c>
      <c r="H1083" s="10" t="s">
        <v>4696</v>
      </c>
      <c r="I1083" s="10" t="s">
        <v>4724</v>
      </c>
      <c r="J1083" s="17">
        <f t="shared" si="8"/>
        <v>37202</v>
      </c>
      <c r="K1083" s="10">
        <f t="shared" ca="1" si="9"/>
        <v>24</v>
      </c>
      <c r="L1083" s="6"/>
      <c r="M1083" s="6"/>
      <c r="N1083" s="6"/>
      <c r="O1083" s="6"/>
      <c r="P1083" s="6"/>
      <c r="Q1083" s="6"/>
      <c r="R1083" s="6"/>
      <c r="S1083" s="6"/>
      <c r="T1083" s="6"/>
      <c r="U1083" s="6"/>
      <c r="V1083" s="6"/>
      <c r="W1083" s="6"/>
      <c r="X1083" s="6"/>
      <c r="Y1083" s="6"/>
      <c r="Z1083" s="6"/>
    </row>
    <row r="1084" spans="1:26" ht="15.75" customHeight="1" x14ac:dyDescent="0.3">
      <c r="A1084" s="10" t="s">
        <v>2514</v>
      </c>
      <c r="B1084" s="10">
        <v>1976</v>
      </c>
      <c r="C1084" s="10" t="s">
        <v>4710</v>
      </c>
      <c r="D1084" s="10">
        <v>14</v>
      </c>
      <c r="E1084" s="10">
        <v>2</v>
      </c>
      <c r="F1084" s="24">
        <v>8823.2800000000007</v>
      </c>
      <c r="G1084" s="10" t="s">
        <v>4695</v>
      </c>
      <c r="H1084" s="10" t="s">
        <v>4694</v>
      </c>
      <c r="I1084" s="10" t="s">
        <v>4716</v>
      </c>
      <c r="J1084" s="17">
        <f t="shared" si="8"/>
        <v>27925</v>
      </c>
      <c r="K1084" s="10">
        <f t="shared" ca="1" si="9"/>
        <v>49</v>
      </c>
      <c r="L1084" s="6"/>
      <c r="M1084" s="6"/>
      <c r="N1084" s="6"/>
      <c r="O1084" s="6"/>
      <c r="P1084" s="6"/>
      <c r="Q1084" s="6"/>
      <c r="R1084" s="6"/>
      <c r="S1084" s="6"/>
      <c r="T1084" s="6"/>
      <c r="U1084" s="6"/>
      <c r="V1084" s="6"/>
      <c r="W1084" s="6"/>
      <c r="X1084" s="6"/>
      <c r="Y1084" s="6"/>
      <c r="Z1084" s="6"/>
    </row>
    <row r="1085" spans="1:26" ht="15.75" customHeight="1" x14ac:dyDescent="0.3">
      <c r="A1085" s="10" t="s">
        <v>2512</v>
      </c>
      <c r="B1085" s="10">
        <v>1976</v>
      </c>
      <c r="C1085" s="10" t="s">
        <v>4715</v>
      </c>
      <c r="D1085" s="10">
        <v>19</v>
      </c>
      <c r="E1085" s="10">
        <v>1</v>
      </c>
      <c r="F1085" s="24">
        <v>8823.99</v>
      </c>
      <c r="G1085" s="10" t="s">
        <v>4695</v>
      </c>
      <c r="H1085" s="10" t="s">
        <v>4696</v>
      </c>
      <c r="I1085" s="10" t="s">
        <v>4723</v>
      </c>
      <c r="J1085" s="17">
        <f t="shared" si="8"/>
        <v>28052</v>
      </c>
      <c r="K1085" s="10">
        <f t="shared" ca="1" si="9"/>
        <v>49</v>
      </c>
      <c r="L1085" s="6"/>
      <c r="M1085" s="6"/>
      <c r="N1085" s="6"/>
      <c r="O1085" s="6"/>
      <c r="P1085" s="6"/>
      <c r="Q1085" s="6"/>
      <c r="R1085" s="6"/>
      <c r="S1085" s="6"/>
      <c r="T1085" s="6"/>
      <c r="U1085" s="6"/>
      <c r="V1085" s="6"/>
      <c r="W1085" s="6"/>
      <c r="X1085" s="6"/>
      <c r="Y1085" s="6"/>
      <c r="Z1085" s="6"/>
    </row>
    <row r="1086" spans="1:26" ht="15.75" customHeight="1" x14ac:dyDescent="0.3">
      <c r="A1086" s="10" t="s">
        <v>2510</v>
      </c>
      <c r="B1086" s="10">
        <v>1988</v>
      </c>
      <c r="C1086" s="10" t="s">
        <v>4714</v>
      </c>
      <c r="D1086" s="10">
        <v>22</v>
      </c>
      <c r="E1086" s="10">
        <v>3</v>
      </c>
      <c r="F1086" s="24">
        <v>8824.27</v>
      </c>
      <c r="G1086" s="10" t="s">
        <v>4695</v>
      </c>
      <c r="H1086" s="10" t="s">
        <v>4694</v>
      </c>
      <c r="I1086" s="10" t="s">
        <v>4722</v>
      </c>
      <c r="J1086" s="17">
        <f t="shared" si="8"/>
        <v>32377</v>
      </c>
      <c r="K1086" s="10">
        <f t="shared" ca="1" si="9"/>
        <v>37</v>
      </c>
      <c r="L1086" s="6"/>
      <c r="M1086" s="6"/>
      <c r="N1086" s="6"/>
      <c r="O1086" s="6"/>
      <c r="P1086" s="6"/>
      <c r="Q1086" s="6"/>
      <c r="R1086" s="6"/>
      <c r="S1086" s="6"/>
      <c r="T1086" s="6"/>
      <c r="U1086" s="6"/>
      <c r="V1086" s="6"/>
      <c r="W1086" s="6"/>
      <c r="X1086" s="6"/>
      <c r="Y1086" s="6"/>
      <c r="Z1086" s="6"/>
    </row>
    <row r="1087" spans="1:26" ht="15.75" customHeight="1" x14ac:dyDescent="0.3">
      <c r="A1087" s="10" t="s">
        <v>2508</v>
      </c>
      <c r="B1087" s="10">
        <v>1976</v>
      </c>
      <c r="C1087" s="10" t="s">
        <v>4707</v>
      </c>
      <c r="D1087" s="10">
        <v>14</v>
      </c>
      <c r="E1087" s="10">
        <v>2</v>
      </c>
      <c r="F1087" s="24">
        <v>8825.09</v>
      </c>
      <c r="G1087" s="10" t="s">
        <v>4695</v>
      </c>
      <c r="H1087" s="10" t="s">
        <v>4696</v>
      </c>
      <c r="I1087" s="10" t="s">
        <v>4716</v>
      </c>
      <c r="J1087" s="17">
        <f t="shared" si="8"/>
        <v>27955</v>
      </c>
      <c r="K1087" s="10">
        <f t="shared" ca="1" si="9"/>
        <v>49</v>
      </c>
      <c r="L1087" s="6"/>
      <c r="M1087" s="6"/>
      <c r="N1087" s="6"/>
      <c r="O1087" s="6"/>
      <c r="P1087" s="6"/>
      <c r="Q1087" s="6"/>
      <c r="R1087" s="6"/>
      <c r="S1087" s="6"/>
      <c r="T1087" s="6"/>
      <c r="U1087" s="6"/>
      <c r="V1087" s="6"/>
      <c r="W1087" s="6"/>
      <c r="X1087" s="6"/>
      <c r="Y1087" s="6"/>
      <c r="Z1087" s="6"/>
    </row>
    <row r="1088" spans="1:26" ht="15.75" customHeight="1" x14ac:dyDescent="0.3">
      <c r="A1088" s="10" t="s">
        <v>2506</v>
      </c>
      <c r="B1088" s="10">
        <v>1972</v>
      </c>
      <c r="C1088" s="10" t="s">
        <v>4709</v>
      </c>
      <c r="D1088" s="10">
        <v>14</v>
      </c>
      <c r="E1088" s="10">
        <v>0</v>
      </c>
      <c r="F1088" s="24">
        <v>8827.2099999999991</v>
      </c>
      <c r="G1088" s="10" t="s">
        <v>4696</v>
      </c>
      <c r="H1088" s="10" t="s">
        <v>4694</v>
      </c>
      <c r="I1088" s="10" t="s">
        <v>4712</v>
      </c>
      <c r="J1088" s="17">
        <f t="shared" si="8"/>
        <v>26617</v>
      </c>
      <c r="K1088" s="10">
        <f t="shared" ca="1" si="9"/>
        <v>53</v>
      </c>
      <c r="L1088" s="6"/>
      <c r="M1088" s="6"/>
      <c r="N1088" s="6"/>
      <c r="O1088" s="6"/>
      <c r="P1088" s="6"/>
      <c r="Q1088" s="6"/>
      <c r="R1088" s="6"/>
      <c r="S1088" s="6"/>
      <c r="T1088" s="6"/>
      <c r="U1088" s="6"/>
      <c r="V1088" s="6"/>
      <c r="W1088" s="6"/>
      <c r="X1088" s="6"/>
      <c r="Y1088" s="6"/>
      <c r="Z1088" s="6"/>
    </row>
    <row r="1089" spans="1:26" ht="15.75" customHeight="1" x14ac:dyDescent="0.3">
      <c r="A1089" s="10" t="s">
        <v>2504</v>
      </c>
      <c r="B1089" s="10">
        <v>1972</v>
      </c>
      <c r="C1089" s="10" t="s">
        <v>4709</v>
      </c>
      <c r="D1089" s="10">
        <v>22</v>
      </c>
      <c r="E1089" s="10">
        <v>0</v>
      </c>
      <c r="F1089" s="24">
        <v>8835.26</v>
      </c>
      <c r="G1089" s="10" t="s">
        <v>4696</v>
      </c>
      <c r="H1089" s="10" t="s">
        <v>4695</v>
      </c>
      <c r="I1089" s="10" t="s">
        <v>4712</v>
      </c>
      <c r="J1089" s="17">
        <f t="shared" si="8"/>
        <v>26625</v>
      </c>
      <c r="K1089" s="10">
        <f t="shared" ca="1" si="9"/>
        <v>53</v>
      </c>
      <c r="L1089" s="6"/>
      <c r="M1089" s="6"/>
      <c r="N1089" s="6"/>
      <c r="O1089" s="6"/>
      <c r="P1089" s="6"/>
      <c r="Q1089" s="6"/>
      <c r="R1089" s="6"/>
      <c r="S1089" s="6"/>
      <c r="T1089" s="6"/>
      <c r="U1089" s="6"/>
      <c r="V1089" s="6"/>
      <c r="W1089" s="6"/>
      <c r="X1089" s="6"/>
      <c r="Y1089" s="6"/>
      <c r="Z1089" s="6"/>
    </row>
    <row r="1090" spans="1:26" ht="15.75" customHeight="1" x14ac:dyDescent="0.3">
      <c r="A1090" s="10" t="s">
        <v>2502</v>
      </c>
      <c r="B1090" s="10">
        <v>1974</v>
      </c>
      <c r="C1090" s="10" t="s">
        <v>4710</v>
      </c>
      <c r="D1090" s="10">
        <v>18</v>
      </c>
      <c r="E1090" s="10">
        <v>1</v>
      </c>
      <c r="F1090" s="24">
        <v>8871.15</v>
      </c>
      <c r="G1090" s="10" t="s">
        <v>4695</v>
      </c>
      <c r="H1090" s="10" t="s">
        <v>4696</v>
      </c>
      <c r="I1090" s="10" t="s">
        <v>4708</v>
      </c>
      <c r="J1090" s="17">
        <f t="shared" si="8"/>
        <v>27198</v>
      </c>
      <c r="K1090" s="10">
        <f t="shared" ca="1" si="9"/>
        <v>51</v>
      </c>
      <c r="L1090" s="6"/>
      <c r="M1090" s="6"/>
      <c r="N1090" s="6"/>
      <c r="O1090" s="6"/>
      <c r="P1090" s="6"/>
      <c r="Q1090" s="6"/>
      <c r="R1090" s="6"/>
      <c r="S1090" s="6"/>
      <c r="T1090" s="6"/>
      <c r="U1090" s="6"/>
      <c r="V1090" s="6"/>
      <c r="W1090" s="6"/>
      <c r="X1090" s="6"/>
      <c r="Y1090" s="6"/>
      <c r="Z1090" s="6"/>
    </row>
    <row r="1091" spans="1:26" ht="15.75" customHeight="1" x14ac:dyDescent="0.3">
      <c r="A1091" s="10" t="s">
        <v>2500</v>
      </c>
      <c r="B1091" s="10">
        <v>1973</v>
      </c>
      <c r="C1091" s="10" t="s">
        <v>4711</v>
      </c>
      <c r="D1091" s="10">
        <v>9</v>
      </c>
      <c r="E1091" s="10">
        <v>0</v>
      </c>
      <c r="F1091" s="24">
        <v>8890.59</v>
      </c>
      <c r="G1091" s="10" t="s">
        <v>4695</v>
      </c>
      <c r="H1091" s="10" t="s">
        <v>4696</v>
      </c>
      <c r="I1091" s="10" t="s">
        <v>4712</v>
      </c>
      <c r="J1091" s="17">
        <f t="shared" si="8"/>
        <v>26916</v>
      </c>
      <c r="K1091" s="10">
        <f t="shared" ca="1" si="9"/>
        <v>52</v>
      </c>
      <c r="L1091" s="6"/>
      <c r="M1091" s="6"/>
      <c r="N1091" s="6"/>
      <c r="O1091" s="6"/>
      <c r="P1091" s="6"/>
      <c r="Q1091" s="6"/>
      <c r="R1091" s="6"/>
      <c r="S1091" s="6"/>
      <c r="T1091" s="6"/>
      <c r="U1091" s="6"/>
      <c r="V1091" s="6"/>
      <c r="W1091" s="6"/>
      <c r="X1091" s="6"/>
      <c r="Y1091" s="6"/>
      <c r="Z1091" s="6"/>
    </row>
    <row r="1092" spans="1:26" ht="15.75" customHeight="1" x14ac:dyDescent="0.3">
      <c r="A1092" s="10" t="s">
        <v>2498</v>
      </c>
      <c r="B1092" s="10">
        <v>1978</v>
      </c>
      <c r="C1092" s="10" t="s">
        <v>4713</v>
      </c>
      <c r="D1092" s="10">
        <v>16</v>
      </c>
      <c r="E1092" s="10">
        <v>3</v>
      </c>
      <c r="F1092" s="24">
        <v>8891.14</v>
      </c>
      <c r="G1092" s="10" t="s">
        <v>4695</v>
      </c>
      <c r="H1092" s="10" t="s">
        <v>4696</v>
      </c>
      <c r="I1092" s="10" t="s">
        <v>4727</v>
      </c>
      <c r="J1092" s="17">
        <f t="shared" si="8"/>
        <v>28840</v>
      </c>
      <c r="K1092" s="10">
        <f t="shared" ca="1" si="9"/>
        <v>46</v>
      </c>
      <c r="L1092" s="6"/>
      <c r="M1092" s="6"/>
      <c r="N1092" s="6"/>
      <c r="O1092" s="6"/>
      <c r="P1092" s="6"/>
      <c r="Q1092" s="6"/>
      <c r="R1092" s="6"/>
      <c r="S1092" s="6"/>
      <c r="T1092" s="6"/>
      <c r="U1092" s="6"/>
      <c r="V1092" s="6"/>
      <c r="W1092" s="6"/>
      <c r="X1092" s="6"/>
      <c r="Y1092" s="6"/>
      <c r="Z1092" s="6"/>
    </row>
    <row r="1093" spans="1:26" ht="15.75" customHeight="1" x14ac:dyDescent="0.3">
      <c r="A1093" s="10" t="s">
        <v>2496</v>
      </c>
      <c r="B1093" s="10">
        <v>1997</v>
      </c>
      <c r="C1093" s="10" t="s">
        <v>4709</v>
      </c>
      <c r="D1093" s="10">
        <v>28</v>
      </c>
      <c r="E1093" s="10">
        <v>0</v>
      </c>
      <c r="F1093" s="24">
        <v>8906.14</v>
      </c>
      <c r="G1093" s="10" t="s">
        <v>4695</v>
      </c>
      <c r="H1093" s="10" t="s">
        <v>4695</v>
      </c>
      <c r="I1093" s="10" t="s">
        <v>4712</v>
      </c>
      <c r="J1093" s="17">
        <f t="shared" si="8"/>
        <v>35762</v>
      </c>
      <c r="K1093" s="10">
        <f t="shared" ca="1" si="9"/>
        <v>28</v>
      </c>
      <c r="L1093" s="6"/>
      <c r="M1093" s="6"/>
      <c r="N1093" s="6"/>
      <c r="O1093" s="6"/>
      <c r="P1093" s="6"/>
      <c r="Q1093" s="6"/>
      <c r="R1093" s="6"/>
      <c r="S1093" s="6"/>
      <c r="T1093" s="6"/>
      <c r="U1093" s="6"/>
      <c r="V1093" s="6"/>
      <c r="W1093" s="6"/>
      <c r="X1093" s="6"/>
      <c r="Y1093" s="6"/>
      <c r="Z1093" s="6"/>
    </row>
    <row r="1094" spans="1:26" ht="15.75" customHeight="1" x14ac:dyDescent="0.3">
      <c r="A1094" s="10" t="s">
        <v>2494</v>
      </c>
      <c r="B1094" s="10">
        <v>1967</v>
      </c>
      <c r="C1094" s="10" t="s">
        <v>4711</v>
      </c>
      <c r="D1094" s="10">
        <v>6</v>
      </c>
      <c r="E1094" s="10">
        <v>0</v>
      </c>
      <c r="F1094" s="24">
        <v>8908.4699999999993</v>
      </c>
      <c r="G1094" s="10" t="s">
        <v>4696</v>
      </c>
      <c r="H1094" s="10" t="s">
        <v>4695</v>
      </c>
      <c r="I1094" s="10" t="s">
        <v>4708</v>
      </c>
      <c r="J1094" s="17">
        <f t="shared" si="8"/>
        <v>24721</v>
      </c>
      <c r="K1094" s="10">
        <f t="shared" ca="1" si="9"/>
        <v>58</v>
      </c>
      <c r="L1094" s="6"/>
      <c r="M1094" s="6"/>
      <c r="N1094" s="6"/>
      <c r="O1094" s="6"/>
      <c r="P1094" s="6"/>
      <c r="Q1094" s="6"/>
      <c r="R1094" s="6"/>
      <c r="S1094" s="6"/>
      <c r="T1094" s="6"/>
      <c r="U1094" s="6"/>
      <c r="V1094" s="6"/>
      <c r="W1094" s="6"/>
      <c r="X1094" s="6"/>
      <c r="Y1094" s="6"/>
      <c r="Z1094" s="6"/>
    </row>
    <row r="1095" spans="1:26" ht="15.75" customHeight="1" x14ac:dyDescent="0.3">
      <c r="A1095" s="10" t="s">
        <v>2492</v>
      </c>
      <c r="B1095" s="10">
        <v>1975</v>
      </c>
      <c r="C1095" s="10" t="s">
        <v>4707</v>
      </c>
      <c r="D1095" s="10">
        <v>7</v>
      </c>
      <c r="E1095" s="10">
        <v>1</v>
      </c>
      <c r="F1095" s="24">
        <v>8930.93</v>
      </c>
      <c r="G1095" s="10" t="s">
        <v>4695</v>
      </c>
      <c r="H1095" s="10" t="s">
        <v>4695</v>
      </c>
      <c r="I1095" s="10" t="s">
        <v>4712</v>
      </c>
      <c r="J1095" s="17">
        <f t="shared" si="8"/>
        <v>27582</v>
      </c>
      <c r="K1095" s="10">
        <f t="shared" ca="1" si="9"/>
        <v>50</v>
      </c>
      <c r="L1095" s="6"/>
      <c r="M1095" s="6"/>
      <c r="N1095" s="6"/>
      <c r="O1095" s="6"/>
      <c r="P1095" s="6"/>
      <c r="Q1095" s="6"/>
      <c r="R1095" s="6"/>
      <c r="S1095" s="6"/>
      <c r="T1095" s="6"/>
      <c r="U1095" s="6"/>
      <c r="V1095" s="6"/>
      <c r="W1095" s="6"/>
      <c r="X1095" s="6"/>
      <c r="Y1095" s="6"/>
      <c r="Z1095" s="6"/>
    </row>
    <row r="1096" spans="1:26" ht="15.75" customHeight="1" x14ac:dyDescent="0.3">
      <c r="A1096" s="10" t="s">
        <v>2490</v>
      </c>
      <c r="B1096" s="10">
        <v>1972</v>
      </c>
      <c r="C1096" s="10" t="s">
        <v>4710</v>
      </c>
      <c r="D1096" s="10">
        <v>6</v>
      </c>
      <c r="E1096" s="10">
        <v>0</v>
      </c>
      <c r="F1096" s="24">
        <v>8932.08</v>
      </c>
      <c r="G1096" s="10" t="s">
        <v>4695</v>
      </c>
      <c r="H1096" s="10" t="s">
        <v>4694</v>
      </c>
      <c r="I1096" s="10" t="s">
        <v>4716</v>
      </c>
      <c r="J1096" s="17">
        <f t="shared" si="8"/>
        <v>26456</v>
      </c>
      <c r="K1096" s="10">
        <f t="shared" ca="1" si="9"/>
        <v>53</v>
      </c>
      <c r="L1096" s="6"/>
      <c r="M1096" s="6"/>
      <c r="N1096" s="6"/>
      <c r="O1096" s="6"/>
      <c r="P1096" s="6"/>
      <c r="Q1096" s="6"/>
      <c r="R1096" s="6"/>
      <c r="S1096" s="6"/>
      <c r="T1096" s="6"/>
      <c r="U1096" s="6"/>
      <c r="V1096" s="6"/>
      <c r="W1096" s="6"/>
      <c r="X1096" s="6"/>
      <c r="Y1096" s="6"/>
      <c r="Z1096" s="6"/>
    </row>
    <row r="1097" spans="1:26" ht="15.75" customHeight="1" x14ac:dyDescent="0.3">
      <c r="A1097" s="10" t="s">
        <v>2488</v>
      </c>
      <c r="B1097" s="10">
        <v>1976</v>
      </c>
      <c r="C1097" s="10" t="s">
        <v>4713</v>
      </c>
      <c r="D1097" s="10">
        <v>25</v>
      </c>
      <c r="E1097" s="10">
        <v>3</v>
      </c>
      <c r="F1097" s="24">
        <v>8944.1200000000008</v>
      </c>
      <c r="G1097" s="10" t="s">
        <v>4696</v>
      </c>
      <c r="H1097" s="10" t="s">
        <v>4695</v>
      </c>
      <c r="I1097" s="10" t="s">
        <v>4708</v>
      </c>
      <c r="J1097" s="17">
        <f t="shared" si="8"/>
        <v>28119</v>
      </c>
      <c r="K1097" s="10">
        <f t="shared" ca="1" si="9"/>
        <v>48</v>
      </c>
      <c r="L1097" s="6"/>
      <c r="M1097" s="6"/>
      <c r="N1097" s="6"/>
      <c r="O1097" s="6"/>
      <c r="P1097" s="6"/>
      <c r="Q1097" s="6"/>
      <c r="R1097" s="6"/>
      <c r="S1097" s="6"/>
      <c r="T1097" s="6"/>
      <c r="U1097" s="6"/>
      <c r="V1097" s="6"/>
      <c r="W1097" s="6"/>
      <c r="X1097" s="6"/>
      <c r="Y1097" s="6"/>
      <c r="Z1097" s="6"/>
    </row>
    <row r="1098" spans="1:26" ht="15.75" customHeight="1" x14ac:dyDescent="0.3">
      <c r="A1098" s="10" t="s">
        <v>2486</v>
      </c>
      <c r="B1098" s="10">
        <v>1992</v>
      </c>
      <c r="C1098" s="10" t="s">
        <v>4711</v>
      </c>
      <c r="D1098" s="10">
        <v>27</v>
      </c>
      <c r="E1098" s="10">
        <v>0</v>
      </c>
      <c r="F1098" s="24">
        <v>8954.99</v>
      </c>
      <c r="G1098" s="10" t="s">
        <v>4695</v>
      </c>
      <c r="H1098" s="10" t="s">
        <v>4696</v>
      </c>
      <c r="I1098" s="10" t="s">
        <v>4729</v>
      </c>
      <c r="J1098" s="17">
        <f t="shared" si="8"/>
        <v>33874</v>
      </c>
      <c r="K1098" s="10">
        <f t="shared" ca="1" si="9"/>
        <v>33</v>
      </c>
      <c r="L1098" s="6"/>
      <c r="M1098" s="6"/>
      <c r="N1098" s="6"/>
      <c r="O1098" s="6"/>
      <c r="P1098" s="6"/>
      <c r="Q1098" s="6"/>
      <c r="R1098" s="6"/>
      <c r="S1098" s="6"/>
      <c r="T1098" s="6"/>
      <c r="U1098" s="6"/>
      <c r="V1098" s="6"/>
      <c r="W1098" s="6"/>
      <c r="X1098" s="6"/>
      <c r="Y1098" s="6"/>
      <c r="Z1098" s="6"/>
    </row>
    <row r="1099" spans="1:26" ht="15.75" customHeight="1" x14ac:dyDescent="0.3">
      <c r="A1099" s="10" t="s">
        <v>2484</v>
      </c>
      <c r="B1099" s="10">
        <v>1974</v>
      </c>
      <c r="C1099" s="10" t="s">
        <v>4714</v>
      </c>
      <c r="D1099" s="10">
        <v>17</v>
      </c>
      <c r="E1099" s="10">
        <v>1</v>
      </c>
      <c r="F1099" s="24">
        <v>8964.06</v>
      </c>
      <c r="G1099" s="10" t="s">
        <v>4696</v>
      </c>
      <c r="H1099" s="10" t="s">
        <v>4695</v>
      </c>
      <c r="I1099" s="10" t="s">
        <v>4720</v>
      </c>
      <c r="J1099" s="17">
        <f t="shared" si="8"/>
        <v>27258</v>
      </c>
      <c r="K1099" s="10">
        <f t="shared" ca="1" si="9"/>
        <v>51</v>
      </c>
      <c r="L1099" s="6"/>
      <c r="M1099" s="6"/>
      <c r="N1099" s="6"/>
      <c r="O1099" s="6"/>
      <c r="P1099" s="6"/>
      <c r="Q1099" s="6"/>
      <c r="R1099" s="6"/>
      <c r="S1099" s="6"/>
      <c r="T1099" s="6"/>
      <c r="U1099" s="6"/>
      <c r="V1099" s="6"/>
      <c r="W1099" s="6"/>
      <c r="X1099" s="6"/>
      <c r="Y1099" s="6"/>
      <c r="Z1099" s="6"/>
    </row>
    <row r="1100" spans="1:26" ht="15.75" customHeight="1" x14ac:dyDescent="0.3">
      <c r="A1100" s="10" t="s">
        <v>2482</v>
      </c>
      <c r="B1100" s="10">
        <v>1983</v>
      </c>
      <c r="C1100" s="10" t="s">
        <v>4707</v>
      </c>
      <c r="D1100" s="10">
        <v>15</v>
      </c>
      <c r="E1100" s="10">
        <v>5</v>
      </c>
      <c r="F1100" s="24">
        <v>8965.7999999999993</v>
      </c>
      <c r="G1100" s="10" t="s">
        <v>4695</v>
      </c>
      <c r="H1100" s="10" t="s">
        <v>4696</v>
      </c>
      <c r="I1100" s="10" t="s">
        <v>4712</v>
      </c>
      <c r="J1100" s="17">
        <f t="shared" si="8"/>
        <v>30512</v>
      </c>
      <c r="K1100" s="10">
        <f t="shared" ca="1" si="9"/>
        <v>42</v>
      </c>
      <c r="L1100" s="6"/>
      <c r="M1100" s="6"/>
      <c r="N1100" s="6"/>
      <c r="O1100" s="6"/>
      <c r="P1100" s="6"/>
      <c r="Q1100" s="6"/>
      <c r="R1100" s="6"/>
      <c r="S1100" s="6"/>
      <c r="T1100" s="6"/>
      <c r="U1100" s="6"/>
      <c r="V1100" s="6"/>
      <c r="W1100" s="6"/>
      <c r="X1100" s="6"/>
      <c r="Y1100" s="6"/>
      <c r="Z1100" s="6"/>
    </row>
    <row r="1101" spans="1:26" ht="15.75" customHeight="1" x14ac:dyDescent="0.3">
      <c r="A1101" s="10" t="s">
        <v>2480</v>
      </c>
      <c r="B1101" s="10">
        <v>1974</v>
      </c>
      <c r="C1101" s="10" t="s">
        <v>4711</v>
      </c>
      <c r="D1101" s="10">
        <v>8</v>
      </c>
      <c r="E1101" s="10">
        <v>2</v>
      </c>
      <c r="F1101" s="24">
        <v>8968.33</v>
      </c>
      <c r="G1101" s="10" t="s">
        <v>4696</v>
      </c>
      <c r="H1101" s="10" t="s">
        <v>4695</v>
      </c>
      <c r="I1101" s="10" t="s">
        <v>4716</v>
      </c>
      <c r="J1101" s="17">
        <f t="shared" si="8"/>
        <v>27280</v>
      </c>
      <c r="K1101" s="10">
        <f t="shared" ca="1" si="9"/>
        <v>51</v>
      </c>
      <c r="L1101" s="6"/>
      <c r="M1101" s="6"/>
      <c r="N1101" s="6"/>
      <c r="O1101" s="6"/>
      <c r="P1101" s="6"/>
      <c r="Q1101" s="6"/>
      <c r="R1101" s="6"/>
      <c r="S1101" s="6"/>
      <c r="T1101" s="6"/>
      <c r="U1101" s="6"/>
      <c r="V1101" s="6"/>
      <c r="W1101" s="6"/>
      <c r="X1101" s="6"/>
      <c r="Y1101" s="6"/>
      <c r="Z1101" s="6"/>
    </row>
    <row r="1102" spans="1:26" ht="15.75" customHeight="1" x14ac:dyDescent="0.3">
      <c r="A1102" s="10" t="s">
        <v>2478</v>
      </c>
      <c r="B1102" s="10">
        <v>1974</v>
      </c>
      <c r="C1102" s="10" t="s">
        <v>4707</v>
      </c>
      <c r="D1102" s="10">
        <v>21</v>
      </c>
      <c r="E1102" s="10">
        <v>2</v>
      </c>
      <c r="F1102" s="24">
        <v>8978.19</v>
      </c>
      <c r="G1102" s="10" t="s">
        <v>4695</v>
      </c>
      <c r="H1102" s="10" t="s">
        <v>4695</v>
      </c>
      <c r="I1102" s="10" t="s">
        <v>4708</v>
      </c>
      <c r="J1102" s="17">
        <f t="shared" si="8"/>
        <v>27231</v>
      </c>
      <c r="K1102" s="10">
        <f t="shared" ca="1" si="9"/>
        <v>51</v>
      </c>
      <c r="L1102" s="6"/>
      <c r="M1102" s="6"/>
      <c r="N1102" s="6"/>
      <c r="O1102" s="6"/>
      <c r="P1102" s="6"/>
      <c r="Q1102" s="6"/>
      <c r="R1102" s="6"/>
      <c r="S1102" s="6"/>
      <c r="T1102" s="6"/>
      <c r="U1102" s="6"/>
      <c r="V1102" s="6"/>
      <c r="W1102" s="6"/>
      <c r="X1102" s="6"/>
      <c r="Y1102" s="6"/>
      <c r="Z1102" s="6"/>
    </row>
    <row r="1103" spans="1:26" ht="15.75" customHeight="1" x14ac:dyDescent="0.3">
      <c r="A1103" s="10" t="s">
        <v>2476</v>
      </c>
      <c r="B1103" s="10">
        <v>1973</v>
      </c>
      <c r="C1103" s="10" t="s">
        <v>4715</v>
      </c>
      <c r="D1103" s="10">
        <v>11</v>
      </c>
      <c r="E1103" s="10">
        <v>0</v>
      </c>
      <c r="F1103" s="24">
        <v>8988.16</v>
      </c>
      <c r="G1103" s="10" t="s">
        <v>4695</v>
      </c>
      <c r="H1103" s="10" t="s">
        <v>4694</v>
      </c>
      <c r="I1103" s="10" t="s">
        <v>4712</v>
      </c>
      <c r="J1103" s="17">
        <f t="shared" si="8"/>
        <v>26948</v>
      </c>
      <c r="K1103" s="10">
        <f t="shared" ca="1" si="9"/>
        <v>52</v>
      </c>
      <c r="L1103" s="6"/>
      <c r="M1103" s="6"/>
      <c r="N1103" s="6"/>
      <c r="O1103" s="6"/>
      <c r="P1103" s="6"/>
      <c r="Q1103" s="6"/>
      <c r="R1103" s="6"/>
      <c r="S1103" s="6"/>
      <c r="T1103" s="6"/>
      <c r="U1103" s="6"/>
      <c r="V1103" s="6"/>
      <c r="W1103" s="6"/>
      <c r="X1103" s="6"/>
      <c r="Y1103" s="6"/>
      <c r="Z1103" s="6"/>
    </row>
    <row r="1104" spans="1:26" ht="15.75" customHeight="1" x14ac:dyDescent="0.3">
      <c r="A1104" s="10" t="s">
        <v>2474</v>
      </c>
      <c r="B1104" s="10">
        <v>1979</v>
      </c>
      <c r="C1104" s="10" t="s">
        <v>4713</v>
      </c>
      <c r="D1104" s="10">
        <v>16</v>
      </c>
      <c r="E1104" s="10">
        <v>2</v>
      </c>
      <c r="F1104" s="24">
        <v>8998.43</v>
      </c>
      <c r="G1104" s="10" t="s">
        <v>4695</v>
      </c>
      <c r="H1104" s="10" t="s">
        <v>4694</v>
      </c>
      <c r="I1104" s="10" t="s">
        <v>4722</v>
      </c>
      <c r="J1104" s="17">
        <f t="shared" si="8"/>
        <v>29205</v>
      </c>
      <c r="K1104" s="10">
        <f t="shared" ca="1" si="9"/>
        <v>45</v>
      </c>
      <c r="L1104" s="6"/>
      <c r="M1104" s="6"/>
      <c r="N1104" s="6"/>
      <c r="O1104" s="6"/>
      <c r="P1104" s="6"/>
      <c r="Q1104" s="6"/>
      <c r="R1104" s="6"/>
      <c r="S1104" s="6"/>
      <c r="T1104" s="6"/>
      <c r="U1104" s="6"/>
      <c r="V1104" s="6"/>
      <c r="W1104" s="6"/>
      <c r="X1104" s="6"/>
      <c r="Y1104" s="6"/>
      <c r="Z1104" s="6"/>
    </row>
    <row r="1105" spans="1:26" ht="15.75" customHeight="1" x14ac:dyDescent="0.3">
      <c r="A1105" s="10" t="s">
        <v>2472</v>
      </c>
      <c r="B1105" s="10">
        <v>1993</v>
      </c>
      <c r="C1105" s="10" t="s">
        <v>4713</v>
      </c>
      <c r="D1105" s="10">
        <v>1</v>
      </c>
      <c r="E1105" s="10">
        <v>0</v>
      </c>
      <c r="F1105" s="24">
        <v>9010.2000000000007</v>
      </c>
      <c r="G1105" s="10" t="s">
        <v>4695</v>
      </c>
      <c r="H1105" s="10" t="s">
        <v>4696</v>
      </c>
      <c r="I1105" s="10" t="s">
        <v>4729</v>
      </c>
      <c r="J1105" s="17">
        <f t="shared" si="8"/>
        <v>34304</v>
      </c>
      <c r="K1105" s="10">
        <f t="shared" ca="1" si="9"/>
        <v>31</v>
      </c>
      <c r="L1105" s="6"/>
      <c r="M1105" s="6"/>
      <c r="N1105" s="6"/>
      <c r="O1105" s="6"/>
      <c r="P1105" s="6"/>
      <c r="Q1105" s="6"/>
      <c r="R1105" s="6"/>
      <c r="S1105" s="6"/>
      <c r="T1105" s="6"/>
      <c r="U1105" s="6"/>
      <c r="V1105" s="6"/>
      <c r="W1105" s="6"/>
      <c r="X1105" s="6"/>
      <c r="Y1105" s="6"/>
      <c r="Z1105" s="6"/>
    </row>
    <row r="1106" spans="1:26" ht="15.75" customHeight="1" x14ac:dyDescent="0.3">
      <c r="A1106" s="10" t="s">
        <v>2470</v>
      </c>
      <c r="B1106" s="10">
        <v>1972</v>
      </c>
      <c r="C1106" s="10" t="s">
        <v>4713</v>
      </c>
      <c r="D1106" s="10">
        <v>7</v>
      </c>
      <c r="E1106" s="10">
        <v>1</v>
      </c>
      <c r="F1106" s="24">
        <v>9048.0300000000007</v>
      </c>
      <c r="G1106" s="10" t="s">
        <v>4695</v>
      </c>
      <c r="H1106" s="10" t="s">
        <v>4695</v>
      </c>
      <c r="I1106" s="10" t="s">
        <v>4708</v>
      </c>
      <c r="J1106" s="17">
        <f t="shared" si="8"/>
        <v>26640</v>
      </c>
      <c r="K1106" s="10">
        <f t="shared" ca="1" si="9"/>
        <v>52</v>
      </c>
      <c r="L1106" s="6"/>
      <c r="M1106" s="6"/>
      <c r="N1106" s="6"/>
      <c r="O1106" s="6"/>
      <c r="P1106" s="6"/>
      <c r="Q1106" s="6"/>
      <c r="R1106" s="6"/>
      <c r="S1106" s="6"/>
      <c r="T1106" s="6"/>
      <c r="U1106" s="6"/>
      <c r="V1106" s="6"/>
      <c r="W1106" s="6"/>
      <c r="X1106" s="6"/>
      <c r="Y1106" s="6"/>
      <c r="Z1106" s="6"/>
    </row>
    <row r="1107" spans="1:26" ht="15.75" customHeight="1" x14ac:dyDescent="0.3">
      <c r="A1107" s="10" t="s">
        <v>2468</v>
      </c>
      <c r="B1107" s="10">
        <v>1972</v>
      </c>
      <c r="C1107" s="10" t="s">
        <v>4713</v>
      </c>
      <c r="D1107" s="10">
        <v>2</v>
      </c>
      <c r="E1107" s="10">
        <v>1</v>
      </c>
      <c r="F1107" s="24">
        <v>9058.73</v>
      </c>
      <c r="G1107" s="10" t="s">
        <v>4696</v>
      </c>
      <c r="H1107" s="10" t="s">
        <v>4695</v>
      </c>
      <c r="I1107" s="10" t="s">
        <v>4708</v>
      </c>
      <c r="J1107" s="17">
        <f t="shared" si="8"/>
        <v>26635</v>
      </c>
      <c r="K1107" s="10">
        <f t="shared" ca="1" si="9"/>
        <v>52</v>
      </c>
      <c r="L1107" s="6"/>
      <c r="M1107" s="6"/>
      <c r="N1107" s="6"/>
      <c r="O1107" s="6"/>
      <c r="P1107" s="6"/>
      <c r="Q1107" s="6"/>
      <c r="R1107" s="6"/>
      <c r="S1107" s="6"/>
      <c r="T1107" s="6"/>
      <c r="U1107" s="6"/>
      <c r="V1107" s="6"/>
      <c r="W1107" s="6"/>
      <c r="X1107" s="6"/>
      <c r="Y1107" s="6"/>
      <c r="Z1107" s="6"/>
    </row>
    <row r="1108" spans="1:26" ht="15.75" customHeight="1" x14ac:dyDescent="0.3">
      <c r="A1108" s="10" t="s">
        <v>2466</v>
      </c>
      <c r="B1108" s="10">
        <v>1977</v>
      </c>
      <c r="C1108" s="10" t="s">
        <v>4709</v>
      </c>
      <c r="D1108" s="10">
        <v>4</v>
      </c>
      <c r="E1108" s="10">
        <v>2</v>
      </c>
      <c r="F1108" s="24">
        <v>9095.07</v>
      </c>
      <c r="G1108" s="10" t="s">
        <v>4695</v>
      </c>
      <c r="H1108" s="10" t="s">
        <v>4695</v>
      </c>
      <c r="I1108" s="10" t="s">
        <v>4723</v>
      </c>
      <c r="J1108" s="17">
        <f t="shared" si="8"/>
        <v>28433</v>
      </c>
      <c r="K1108" s="10">
        <f t="shared" ca="1" si="9"/>
        <v>48</v>
      </c>
      <c r="L1108" s="6"/>
      <c r="M1108" s="6"/>
      <c r="N1108" s="6"/>
      <c r="O1108" s="6"/>
      <c r="P1108" s="6"/>
      <c r="Q1108" s="6"/>
      <c r="R1108" s="6"/>
      <c r="S1108" s="6"/>
      <c r="T1108" s="6"/>
      <c r="U1108" s="6"/>
      <c r="V1108" s="6"/>
      <c r="W1108" s="6"/>
      <c r="X1108" s="6"/>
      <c r="Y1108" s="6"/>
      <c r="Z1108" s="6"/>
    </row>
    <row r="1109" spans="1:26" ht="15.75" customHeight="1" x14ac:dyDescent="0.3">
      <c r="A1109" s="10" t="s">
        <v>2464</v>
      </c>
      <c r="B1109" s="10">
        <v>1965</v>
      </c>
      <c r="C1109" s="10" t="s">
        <v>4709</v>
      </c>
      <c r="D1109" s="10">
        <v>9</v>
      </c>
      <c r="E1109" s="10">
        <v>0</v>
      </c>
      <c r="F1109" s="24">
        <v>9095.94</v>
      </c>
      <c r="G1109" s="10" t="s">
        <v>4696</v>
      </c>
      <c r="H1109" s="10" t="s">
        <v>4694</v>
      </c>
      <c r="I1109" s="10" t="s">
        <v>4716</v>
      </c>
      <c r="J1109" s="17">
        <f t="shared" si="8"/>
        <v>24055</v>
      </c>
      <c r="K1109" s="10">
        <f t="shared" ca="1" si="9"/>
        <v>60</v>
      </c>
      <c r="L1109" s="6"/>
      <c r="M1109" s="6"/>
      <c r="N1109" s="6"/>
      <c r="O1109" s="6"/>
      <c r="P1109" s="6"/>
      <c r="Q1109" s="6"/>
      <c r="R1109" s="6"/>
      <c r="S1109" s="6"/>
      <c r="T1109" s="6"/>
      <c r="U1109" s="6"/>
      <c r="V1109" s="6"/>
      <c r="W1109" s="6"/>
      <c r="X1109" s="6"/>
      <c r="Y1109" s="6"/>
      <c r="Z1109" s="6"/>
    </row>
    <row r="1110" spans="1:26" ht="15.75" customHeight="1" x14ac:dyDescent="0.3">
      <c r="A1110" s="10" t="s">
        <v>2462</v>
      </c>
      <c r="B1110" s="10">
        <v>1977</v>
      </c>
      <c r="C1110" s="10" t="s">
        <v>4713</v>
      </c>
      <c r="D1110" s="10">
        <v>2</v>
      </c>
      <c r="E1110" s="10">
        <v>3</v>
      </c>
      <c r="F1110" s="24">
        <v>9101.7999999999993</v>
      </c>
      <c r="G1110" s="10" t="s">
        <v>4695</v>
      </c>
      <c r="H1110" s="10" t="s">
        <v>4694</v>
      </c>
      <c r="I1110" s="10" t="s">
        <v>4716</v>
      </c>
      <c r="J1110" s="17">
        <f t="shared" si="8"/>
        <v>28461</v>
      </c>
      <c r="K1110" s="10">
        <f t="shared" ca="1" si="9"/>
        <v>47</v>
      </c>
      <c r="L1110" s="6"/>
      <c r="M1110" s="6"/>
      <c r="N1110" s="6"/>
      <c r="O1110" s="6"/>
      <c r="P1110" s="6"/>
      <c r="Q1110" s="6"/>
      <c r="R1110" s="6"/>
      <c r="S1110" s="6"/>
      <c r="T1110" s="6"/>
      <c r="U1110" s="6"/>
      <c r="V1110" s="6"/>
      <c r="W1110" s="6"/>
      <c r="X1110" s="6"/>
      <c r="Y1110" s="6"/>
      <c r="Z1110" s="6"/>
    </row>
    <row r="1111" spans="1:26" ht="15.75" customHeight="1" x14ac:dyDescent="0.3">
      <c r="A1111" s="10" t="s">
        <v>2460</v>
      </c>
      <c r="B1111" s="10">
        <v>1970</v>
      </c>
      <c r="C1111" s="10" t="s">
        <v>4714</v>
      </c>
      <c r="D1111" s="10">
        <v>12</v>
      </c>
      <c r="E1111" s="10">
        <v>0</v>
      </c>
      <c r="F1111" s="24">
        <v>9140.9500000000007</v>
      </c>
      <c r="G1111" s="10" t="s">
        <v>4696</v>
      </c>
      <c r="H1111" s="10" t="s">
        <v>4696</v>
      </c>
      <c r="I1111" s="10" t="s">
        <v>4708</v>
      </c>
      <c r="J1111" s="17">
        <f t="shared" si="8"/>
        <v>25792</v>
      </c>
      <c r="K1111" s="10">
        <f t="shared" ca="1" si="9"/>
        <v>55</v>
      </c>
      <c r="L1111" s="6"/>
      <c r="M1111" s="6"/>
      <c r="N1111" s="6"/>
      <c r="O1111" s="6"/>
      <c r="P1111" s="6"/>
      <c r="Q1111" s="6"/>
      <c r="R1111" s="6"/>
      <c r="S1111" s="6"/>
      <c r="T1111" s="6"/>
      <c r="U1111" s="6"/>
      <c r="V1111" s="6"/>
      <c r="W1111" s="6"/>
      <c r="X1111" s="6"/>
      <c r="Y1111" s="6"/>
      <c r="Z1111" s="6"/>
    </row>
    <row r="1112" spans="1:26" ht="15.75" customHeight="1" x14ac:dyDescent="0.3">
      <c r="A1112" s="10" t="s">
        <v>2458</v>
      </c>
      <c r="B1112" s="10">
        <v>1970</v>
      </c>
      <c r="C1112" s="10" t="s">
        <v>4715</v>
      </c>
      <c r="D1112" s="10">
        <v>18</v>
      </c>
      <c r="E1112" s="10">
        <v>0</v>
      </c>
      <c r="F1112" s="24">
        <v>9144.57</v>
      </c>
      <c r="G1112" s="10" t="s">
        <v>4696</v>
      </c>
      <c r="H1112" s="10" t="s">
        <v>4695</v>
      </c>
      <c r="I1112" s="10" t="s">
        <v>4716</v>
      </c>
      <c r="J1112" s="17">
        <f t="shared" si="8"/>
        <v>25859</v>
      </c>
      <c r="K1112" s="10">
        <f t="shared" ca="1" si="9"/>
        <v>55</v>
      </c>
      <c r="L1112" s="6"/>
      <c r="M1112" s="6"/>
      <c r="N1112" s="6"/>
      <c r="O1112" s="6"/>
      <c r="P1112" s="6"/>
      <c r="Q1112" s="6"/>
      <c r="R1112" s="6"/>
      <c r="S1112" s="6"/>
      <c r="T1112" s="6"/>
      <c r="U1112" s="6"/>
      <c r="V1112" s="6"/>
      <c r="W1112" s="6"/>
      <c r="X1112" s="6"/>
      <c r="Y1112" s="6"/>
      <c r="Z1112" s="6"/>
    </row>
    <row r="1113" spans="1:26" ht="15.75" customHeight="1" x14ac:dyDescent="0.3">
      <c r="A1113" s="10" t="s">
        <v>2456</v>
      </c>
      <c r="B1113" s="10">
        <v>1982</v>
      </c>
      <c r="C1113" s="10" t="s">
        <v>4713</v>
      </c>
      <c r="D1113" s="10">
        <v>8</v>
      </c>
      <c r="E1113" s="10">
        <v>3</v>
      </c>
      <c r="F1113" s="24">
        <v>9147.5</v>
      </c>
      <c r="G1113" s="10" t="s">
        <v>4695</v>
      </c>
      <c r="H1113" s="10" t="s">
        <v>4694</v>
      </c>
      <c r="I1113" s="10" t="s">
        <v>4712</v>
      </c>
      <c r="J1113" s="17">
        <f t="shared" si="8"/>
        <v>30293</v>
      </c>
      <c r="K1113" s="10">
        <f t="shared" ca="1" si="9"/>
        <v>42</v>
      </c>
      <c r="L1113" s="6"/>
      <c r="M1113" s="6"/>
      <c r="N1113" s="6"/>
      <c r="O1113" s="6"/>
      <c r="P1113" s="6"/>
      <c r="Q1113" s="6"/>
      <c r="R1113" s="6"/>
      <c r="S1113" s="6"/>
      <c r="T1113" s="6"/>
      <c r="U1113" s="6"/>
      <c r="V1113" s="6"/>
      <c r="W1113" s="6"/>
      <c r="X1113" s="6"/>
      <c r="Y1113" s="6"/>
      <c r="Z1113" s="6"/>
    </row>
    <row r="1114" spans="1:26" ht="15.75" customHeight="1" x14ac:dyDescent="0.3">
      <c r="A1114" s="10" t="s">
        <v>2454</v>
      </c>
      <c r="B1114" s="10">
        <v>1990</v>
      </c>
      <c r="C1114" s="10" t="s">
        <v>4714</v>
      </c>
      <c r="D1114" s="10">
        <v>23</v>
      </c>
      <c r="E1114" s="10">
        <v>3</v>
      </c>
      <c r="F1114" s="24">
        <v>9159.51</v>
      </c>
      <c r="G1114" s="10" t="s">
        <v>4695</v>
      </c>
      <c r="H1114" s="10" t="s">
        <v>4695</v>
      </c>
      <c r="I1114" s="10" t="s">
        <v>4726</v>
      </c>
      <c r="J1114" s="17">
        <f t="shared" si="8"/>
        <v>33108</v>
      </c>
      <c r="K1114" s="10">
        <f t="shared" ca="1" si="9"/>
        <v>35</v>
      </c>
      <c r="L1114" s="6"/>
      <c r="M1114" s="6"/>
      <c r="N1114" s="6"/>
      <c r="O1114" s="6"/>
      <c r="P1114" s="6"/>
      <c r="Q1114" s="6"/>
      <c r="R1114" s="6"/>
      <c r="S1114" s="6"/>
      <c r="T1114" s="6"/>
      <c r="U1114" s="6"/>
      <c r="V1114" s="6"/>
      <c r="W1114" s="6"/>
      <c r="X1114" s="6"/>
      <c r="Y1114" s="6"/>
      <c r="Z1114" s="6"/>
    </row>
    <row r="1115" spans="1:26" ht="15.75" customHeight="1" x14ac:dyDescent="0.3">
      <c r="A1115" s="10" t="s">
        <v>2452</v>
      </c>
      <c r="B1115" s="10">
        <v>1970</v>
      </c>
      <c r="C1115" s="10" t="s">
        <v>4715</v>
      </c>
      <c r="D1115" s="10">
        <v>24</v>
      </c>
      <c r="E1115" s="10">
        <v>0</v>
      </c>
      <c r="F1115" s="24">
        <v>9171.75</v>
      </c>
      <c r="G1115" s="10" t="s">
        <v>4695</v>
      </c>
      <c r="H1115" s="10" t="s">
        <v>4695</v>
      </c>
      <c r="I1115" s="10" t="s">
        <v>4712</v>
      </c>
      <c r="J1115" s="17">
        <f t="shared" si="8"/>
        <v>25865</v>
      </c>
      <c r="K1115" s="10">
        <f t="shared" ca="1" si="9"/>
        <v>55</v>
      </c>
      <c r="L1115" s="6"/>
      <c r="M1115" s="6"/>
      <c r="N1115" s="6"/>
      <c r="O1115" s="6"/>
      <c r="P1115" s="6"/>
      <c r="Q1115" s="6"/>
      <c r="R1115" s="6"/>
      <c r="S1115" s="6"/>
      <c r="T1115" s="6"/>
      <c r="U1115" s="6"/>
      <c r="V1115" s="6"/>
      <c r="W1115" s="6"/>
      <c r="X1115" s="6"/>
      <c r="Y1115" s="6"/>
      <c r="Z1115" s="6"/>
    </row>
    <row r="1116" spans="1:26" ht="15.75" customHeight="1" x14ac:dyDescent="0.3">
      <c r="A1116" s="10" t="s">
        <v>2450</v>
      </c>
      <c r="B1116" s="10">
        <v>1971</v>
      </c>
      <c r="C1116" s="10" t="s">
        <v>4713</v>
      </c>
      <c r="D1116" s="10">
        <v>29</v>
      </c>
      <c r="E1116" s="10">
        <v>0</v>
      </c>
      <c r="F1116" s="24">
        <v>9174.14</v>
      </c>
      <c r="G1116" s="10" t="s">
        <v>4696</v>
      </c>
      <c r="H1116" s="10" t="s">
        <v>4694</v>
      </c>
      <c r="I1116" s="10" t="s">
        <v>4712</v>
      </c>
      <c r="J1116" s="17">
        <f t="shared" si="8"/>
        <v>26296</v>
      </c>
      <c r="K1116" s="10">
        <f t="shared" ca="1" si="9"/>
        <v>53</v>
      </c>
      <c r="L1116" s="6"/>
      <c r="M1116" s="6"/>
      <c r="N1116" s="6"/>
      <c r="O1116" s="6"/>
      <c r="P1116" s="6"/>
      <c r="Q1116" s="6"/>
      <c r="R1116" s="6"/>
      <c r="S1116" s="6"/>
      <c r="T1116" s="6"/>
      <c r="U1116" s="6"/>
      <c r="V1116" s="6"/>
      <c r="W1116" s="6"/>
      <c r="X1116" s="6"/>
      <c r="Y1116" s="6"/>
      <c r="Z1116" s="6"/>
    </row>
    <row r="1117" spans="1:26" ht="15.75" customHeight="1" x14ac:dyDescent="0.3">
      <c r="A1117" s="10" t="s">
        <v>2448</v>
      </c>
      <c r="B1117" s="10">
        <v>1973</v>
      </c>
      <c r="C1117" s="10" t="s">
        <v>4713</v>
      </c>
      <c r="D1117" s="10">
        <v>25</v>
      </c>
      <c r="E1117" s="10">
        <v>1</v>
      </c>
      <c r="F1117" s="24">
        <v>9182.17</v>
      </c>
      <c r="G1117" s="10" t="s">
        <v>4695</v>
      </c>
      <c r="H1117" s="10" t="s">
        <v>4696</v>
      </c>
      <c r="I1117" s="10" t="s">
        <v>4716</v>
      </c>
      <c r="J1117" s="17">
        <f t="shared" si="8"/>
        <v>27023</v>
      </c>
      <c r="K1117" s="10">
        <f t="shared" ca="1" si="9"/>
        <v>51</v>
      </c>
      <c r="L1117" s="6"/>
      <c r="M1117" s="6"/>
      <c r="N1117" s="6"/>
      <c r="O1117" s="6"/>
      <c r="P1117" s="6"/>
      <c r="Q1117" s="6"/>
      <c r="R1117" s="6"/>
      <c r="S1117" s="6"/>
      <c r="T1117" s="6"/>
      <c r="U1117" s="6"/>
      <c r="V1117" s="6"/>
      <c r="W1117" s="6"/>
      <c r="X1117" s="6"/>
      <c r="Y1117" s="6"/>
      <c r="Z1117" s="6"/>
    </row>
    <row r="1118" spans="1:26" ht="15.75" customHeight="1" x14ac:dyDescent="0.3">
      <c r="A1118" s="10" t="s">
        <v>2446</v>
      </c>
      <c r="B1118" s="10">
        <v>1976</v>
      </c>
      <c r="C1118" s="10" t="s">
        <v>4711</v>
      </c>
      <c r="D1118" s="10">
        <v>10</v>
      </c>
      <c r="E1118" s="10">
        <v>2</v>
      </c>
      <c r="F1118" s="24">
        <v>9193.84</v>
      </c>
      <c r="G1118" s="10" t="s">
        <v>4695</v>
      </c>
      <c r="H1118" s="10" t="s">
        <v>4694</v>
      </c>
      <c r="I1118" s="10" t="s">
        <v>4712</v>
      </c>
      <c r="J1118" s="17">
        <f t="shared" si="8"/>
        <v>28013</v>
      </c>
      <c r="K1118" s="10">
        <f t="shared" ca="1" si="9"/>
        <v>49</v>
      </c>
      <c r="L1118" s="6"/>
      <c r="M1118" s="6"/>
      <c r="N1118" s="6"/>
      <c r="O1118" s="6"/>
      <c r="P1118" s="6"/>
      <c r="Q1118" s="6"/>
      <c r="R1118" s="6"/>
      <c r="S1118" s="6"/>
      <c r="T1118" s="6"/>
      <c r="U1118" s="6"/>
      <c r="V1118" s="6"/>
      <c r="W1118" s="6"/>
      <c r="X1118" s="6"/>
      <c r="Y1118" s="6"/>
      <c r="Z1118" s="6"/>
    </row>
    <row r="1119" spans="1:26" ht="15.75" customHeight="1" x14ac:dyDescent="0.3">
      <c r="A1119" s="10" t="s">
        <v>2444</v>
      </c>
      <c r="B1119" s="10">
        <v>1986</v>
      </c>
      <c r="C1119" s="10" t="s">
        <v>4713</v>
      </c>
      <c r="D1119" s="10">
        <v>25</v>
      </c>
      <c r="E1119" s="10">
        <v>3</v>
      </c>
      <c r="F1119" s="24">
        <v>9210.06</v>
      </c>
      <c r="G1119" s="10" t="s">
        <v>4695</v>
      </c>
      <c r="H1119" s="10" t="s">
        <v>4696</v>
      </c>
      <c r="I1119" s="10" t="s">
        <v>4726</v>
      </c>
      <c r="J1119" s="17">
        <f t="shared" si="8"/>
        <v>31771</v>
      </c>
      <c r="K1119" s="10">
        <f t="shared" ca="1" si="9"/>
        <v>38</v>
      </c>
      <c r="L1119" s="6"/>
      <c r="M1119" s="6"/>
      <c r="N1119" s="6"/>
      <c r="O1119" s="6"/>
      <c r="P1119" s="6"/>
      <c r="Q1119" s="6"/>
      <c r="R1119" s="6"/>
      <c r="S1119" s="6"/>
      <c r="T1119" s="6"/>
      <c r="U1119" s="6"/>
      <c r="V1119" s="6"/>
      <c r="W1119" s="6"/>
      <c r="X1119" s="6"/>
      <c r="Y1119" s="6"/>
      <c r="Z1119" s="6"/>
    </row>
    <row r="1120" spans="1:26" ht="15.75" customHeight="1" x14ac:dyDescent="0.3">
      <c r="A1120" s="10" t="s">
        <v>2442</v>
      </c>
      <c r="B1120" s="10">
        <v>1981</v>
      </c>
      <c r="C1120" s="10" t="s">
        <v>4713</v>
      </c>
      <c r="D1120" s="10">
        <v>5</v>
      </c>
      <c r="E1120" s="10">
        <v>5</v>
      </c>
      <c r="F1120" s="24">
        <v>9222.4</v>
      </c>
      <c r="G1120" s="10" t="s">
        <v>4695</v>
      </c>
      <c r="H1120" s="10" t="s">
        <v>4696</v>
      </c>
      <c r="I1120" s="10" t="s">
        <v>4719</v>
      </c>
      <c r="J1120" s="17">
        <f t="shared" si="8"/>
        <v>29925</v>
      </c>
      <c r="K1120" s="10">
        <f t="shared" ca="1" si="9"/>
        <v>43</v>
      </c>
      <c r="L1120" s="6"/>
      <c r="M1120" s="6"/>
      <c r="N1120" s="6"/>
      <c r="O1120" s="6"/>
      <c r="P1120" s="6"/>
      <c r="Q1120" s="6"/>
      <c r="R1120" s="6"/>
      <c r="S1120" s="6"/>
      <c r="T1120" s="6"/>
      <c r="U1120" s="6"/>
      <c r="V1120" s="6"/>
      <c r="W1120" s="6"/>
      <c r="X1120" s="6"/>
      <c r="Y1120" s="6"/>
      <c r="Z1120" s="6"/>
    </row>
    <row r="1121" spans="1:26" ht="15.75" customHeight="1" x14ac:dyDescent="0.3">
      <c r="A1121" s="10" t="s">
        <v>2440</v>
      </c>
      <c r="B1121" s="10">
        <v>1975</v>
      </c>
      <c r="C1121" s="10" t="s">
        <v>4713</v>
      </c>
      <c r="D1121" s="10">
        <v>6</v>
      </c>
      <c r="E1121" s="10">
        <v>2</v>
      </c>
      <c r="F1121" s="24">
        <v>9225.26</v>
      </c>
      <c r="G1121" s="10" t="s">
        <v>4696</v>
      </c>
      <c r="H1121" s="10" t="s">
        <v>4696</v>
      </c>
      <c r="I1121" s="10" t="s">
        <v>4718</v>
      </c>
      <c r="J1121" s="17">
        <f t="shared" si="8"/>
        <v>27734</v>
      </c>
      <c r="K1121" s="10">
        <f t="shared" ca="1" si="9"/>
        <v>49</v>
      </c>
      <c r="L1121" s="6"/>
      <c r="M1121" s="6"/>
      <c r="N1121" s="6"/>
      <c r="O1121" s="6"/>
      <c r="P1121" s="6"/>
      <c r="Q1121" s="6"/>
      <c r="R1121" s="6"/>
      <c r="S1121" s="6"/>
      <c r="T1121" s="6"/>
      <c r="U1121" s="6"/>
      <c r="V1121" s="6"/>
      <c r="W1121" s="6"/>
      <c r="X1121" s="6"/>
      <c r="Y1121" s="6"/>
      <c r="Z1121" s="6"/>
    </row>
    <row r="1122" spans="1:26" ht="15.75" customHeight="1" x14ac:dyDescent="0.3">
      <c r="A1122" s="10" t="s">
        <v>2438</v>
      </c>
      <c r="B1122" s="10">
        <v>1980</v>
      </c>
      <c r="C1122" s="10" t="s">
        <v>4715</v>
      </c>
      <c r="D1122" s="10">
        <v>5</v>
      </c>
      <c r="E1122" s="10">
        <v>2</v>
      </c>
      <c r="F1122" s="24">
        <v>9247.94</v>
      </c>
      <c r="G1122" s="10" t="s">
        <v>4695</v>
      </c>
      <c r="H1122" s="10" t="s">
        <v>4694</v>
      </c>
      <c r="I1122" s="10" t="s">
        <v>4726</v>
      </c>
      <c r="J1122" s="17">
        <f t="shared" si="8"/>
        <v>29499</v>
      </c>
      <c r="K1122" s="10">
        <f t="shared" ca="1" si="9"/>
        <v>45</v>
      </c>
      <c r="L1122" s="6"/>
      <c r="M1122" s="6"/>
      <c r="N1122" s="6"/>
      <c r="O1122" s="6"/>
      <c r="P1122" s="6"/>
      <c r="Q1122" s="6"/>
      <c r="R1122" s="6"/>
      <c r="S1122" s="6"/>
      <c r="T1122" s="6"/>
      <c r="U1122" s="6"/>
      <c r="V1122" s="6"/>
      <c r="W1122" s="6"/>
      <c r="X1122" s="6"/>
      <c r="Y1122" s="6"/>
      <c r="Z1122" s="6"/>
    </row>
    <row r="1123" spans="1:26" ht="15.75" customHeight="1" x14ac:dyDescent="0.3">
      <c r="A1123" s="10" t="s">
        <v>2436</v>
      </c>
      <c r="B1123" s="10">
        <v>1974</v>
      </c>
      <c r="C1123" s="10" t="s">
        <v>4714</v>
      </c>
      <c r="D1123" s="10">
        <v>21</v>
      </c>
      <c r="E1123" s="10">
        <v>1</v>
      </c>
      <c r="F1123" s="24">
        <v>9249.5</v>
      </c>
      <c r="G1123" s="10" t="s">
        <v>4695</v>
      </c>
      <c r="H1123" s="10" t="s">
        <v>4694</v>
      </c>
      <c r="I1123" s="10" t="s">
        <v>4712</v>
      </c>
      <c r="J1123" s="17">
        <f t="shared" si="8"/>
        <v>27262</v>
      </c>
      <c r="K1123" s="10">
        <f t="shared" ca="1" si="9"/>
        <v>51</v>
      </c>
      <c r="L1123" s="6"/>
      <c r="M1123" s="6"/>
      <c r="N1123" s="6"/>
      <c r="O1123" s="6"/>
      <c r="P1123" s="6"/>
      <c r="Q1123" s="6"/>
      <c r="R1123" s="6"/>
      <c r="S1123" s="6"/>
      <c r="T1123" s="6"/>
      <c r="U1123" s="6"/>
      <c r="V1123" s="6"/>
      <c r="W1123" s="6"/>
      <c r="X1123" s="6"/>
      <c r="Y1123" s="6"/>
      <c r="Z1123" s="6"/>
    </row>
    <row r="1124" spans="1:26" ht="15.75" customHeight="1" x14ac:dyDescent="0.3">
      <c r="A1124" s="10" t="s">
        <v>2434</v>
      </c>
      <c r="B1124" s="10">
        <v>1971</v>
      </c>
      <c r="C1124" s="10" t="s">
        <v>4714</v>
      </c>
      <c r="D1124" s="10">
        <v>6</v>
      </c>
      <c r="E1124" s="10">
        <v>0</v>
      </c>
      <c r="F1124" s="24">
        <v>9264.7999999999993</v>
      </c>
      <c r="G1124" s="10" t="s">
        <v>4695</v>
      </c>
      <c r="H1124" s="10" t="s">
        <v>4694</v>
      </c>
      <c r="I1124" s="10" t="s">
        <v>4716</v>
      </c>
      <c r="J1124" s="17">
        <f t="shared" si="8"/>
        <v>26151</v>
      </c>
      <c r="K1124" s="10">
        <f t="shared" ca="1" si="9"/>
        <v>54</v>
      </c>
      <c r="L1124" s="6"/>
      <c r="M1124" s="6"/>
      <c r="N1124" s="6"/>
      <c r="O1124" s="6"/>
      <c r="P1124" s="6"/>
      <c r="Q1124" s="6"/>
      <c r="R1124" s="6"/>
      <c r="S1124" s="6"/>
      <c r="T1124" s="6"/>
      <c r="U1124" s="6"/>
      <c r="V1124" s="6"/>
      <c r="W1124" s="6"/>
      <c r="X1124" s="6"/>
      <c r="Y1124" s="6"/>
      <c r="Z1124" s="6"/>
    </row>
    <row r="1125" spans="1:26" ht="15.75" customHeight="1" x14ac:dyDescent="0.3">
      <c r="A1125" s="10" t="s">
        <v>2432</v>
      </c>
      <c r="B1125" s="10">
        <v>1973</v>
      </c>
      <c r="C1125" s="10" t="s">
        <v>4715</v>
      </c>
      <c r="D1125" s="10">
        <v>27</v>
      </c>
      <c r="E1125" s="10">
        <v>1</v>
      </c>
      <c r="F1125" s="24">
        <v>9282.48</v>
      </c>
      <c r="G1125" s="10" t="s">
        <v>4696</v>
      </c>
      <c r="H1125" s="10" t="s">
        <v>4695</v>
      </c>
      <c r="I1125" s="10" t="s">
        <v>4720</v>
      </c>
      <c r="J1125" s="17">
        <f t="shared" si="8"/>
        <v>26964</v>
      </c>
      <c r="K1125" s="10">
        <f t="shared" ca="1" si="9"/>
        <v>52</v>
      </c>
      <c r="L1125" s="6"/>
      <c r="M1125" s="6"/>
      <c r="N1125" s="6"/>
      <c r="O1125" s="6"/>
      <c r="P1125" s="6"/>
      <c r="Q1125" s="6"/>
      <c r="R1125" s="6"/>
      <c r="S1125" s="6"/>
      <c r="T1125" s="6"/>
      <c r="U1125" s="6"/>
      <c r="V1125" s="6"/>
      <c r="W1125" s="6"/>
      <c r="X1125" s="6"/>
      <c r="Y1125" s="6"/>
      <c r="Z1125" s="6"/>
    </row>
    <row r="1126" spans="1:26" ht="15.75" customHeight="1" x14ac:dyDescent="0.3">
      <c r="A1126" s="10" t="s">
        <v>2430</v>
      </c>
      <c r="B1126" s="10">
        <v>1971</v>
      </c>
      <c r="C1126" s="10" t="s">
        <v>4707</v>
      </c>
      <c r="D1126" s="10">
        <v>2</v>
      </c>
      <c r="E1126" s="10">
        <v>0</v>
      </c>
      <c r="F1126" s="24">
        <v>9283.56</v>
      </c>
      <c r="G1126" s="10" t="s">
        <v>4695</v>
      </c>
      <c r="H1126" s="10" t="s">
        <v>4696</v>
      </c>
      <c r="I1126" s="10" t="s">
        <v>4708</v>
      </c>
      <c r="J1126" s="17">
        <f t="shared" si="8"/>
        <v>26116</v>
      </c>
      <c r="K1126" s="10">
        <f t="shared" ca="1" si="9"/>
        <v>54</v>
      </c>
      <c r="L1126" s="6"/>
      <c r="M1126" s="6"/>
      <c r="N1126" s="6"/>
      <c r="O1126" s="6"/>
      <c r="P1126" s="6"/>
      <c r="Q1126" s="6"/>
      <c r="R1126" s="6"/>
      <c r="S1126" s="6"/>
      <c r="T1126" s="6"/>
      <c r="U1126" s="6"/>
      <c r="V1126" s="6"/>
      <c r="W1126" s="6"/>
      <c r="X1126" s="6"/>
      <c r="Y1126" s="6"/>
      <c r="Z1126" s="6"/>
    </row>
    <row r="1127" spans="1:26" ht="15.75" customHeight="1" x14ac:dyDescent="0.3">
      <c r="A1127" s="10" t="s">
        <v>2428</v>
      </c>
      <c r="B1127" s="10">
        <v>1969</v>
      </c>
      <c r="C1127" s="10" t="s">
        <v>4709</v>
      </c>
      <c r="D1127" s="10">
        <v>26</v>
      </c>
      <c r="E1127" s="10">
        <v>0</v>
      </c>
      <c r="F1127" s="24">
        <v>9285.8700000000008</v>
      </c>
      <c r="G1127" s="10" t="s">
        <v>4695</v>
      </c>
      <c r="H1127" s="10" t="s">
        <v>4696</v>
      </c>
      <c r="I1127" s="10" t="s">
        <v>4708</v>
      </c>
      <c r="J1127" s="17">
        <f t="shared" si="8"/>
        <v>25533</v>
      </c>
      <c r="K1127" s="10">
        <f t="shared" ca="1" si="9"/>
        <v>56</v>
      </c>
      <c r="L1127" s="6"/>
      <c r="M1127" s="6"/>
      <c r="N1127" s="6"/>
      <c r="O1127" s="6"/>
      <c r="P1127" s="6"/>
      <c r="Q1127" s="6"/>
      <c r="R1127" s="6"/>
      <c r="S1127" s="6"/>
      <c r="T1127" s="6"/>
      <c r="U1127" s="6"/>
      <c r="V1127" s="6"/>
      <c r="W1127" s="6"/>
      <c r="X1127" s="6"/>
      <c r="Y1127" s="6"/>
      <c r="Z1127" s="6"/>
    </row>
    <row r="1128" spans="1:26" ht="15.75" customHeight="1" x14ac:dyDescent="0.3">
      <c r="A1128" s="10" t="s">
        <v>2426</v>
      </c>
      <c r="B1128" s="10">
        <v>1973</v>
      </c>
      <c r="C1128" s="10" t="s">
        <v>4715</v>
      </c>
      <c r="D1128" s="10">
        <v>16</v>
      </c>
      <c r="E1128" s="10">
        <v>1</v>
      </c>
      <c r="F1128" s="24">
        <v>9288.0300000000007</v>
      </c>
      <c r="G1128" s="10" t="s">
        <v>4695</v>
      </c>
      <c r="H1128" s="10" t="s">
        <v>4696</v>
      </c>
      <c r="I1128" s="10" t="s">
        <v>4721</v>
      </c>
      <c r="J1128" s="17">
        <f t="shared" si="8"/>
        <v>26953</v>
      </c>
      <c r="K1128" s="10">
        <f t="shared" ca="1" si="9"/>
        <v>52</v>
      </c>
      <c r="L1128" s="6"/>
      <c r="M1128" s="6"/>
      <c r="N1128" s="6"/>
      <c r="O1128" s="6"/>
      <c r="P1128" s="6"/>
      <c r="Q1128" s="6"/>
      <c r="R1128" s="6"/>
      <c r="S1128" s="6"/>
      <c r="T1128" s="6"/>
      <c r="U1128" s="6"/>
      <c r="V1128" s="6"/>
      <c r="W1128" s="6"/>
      <c r="X1128" s="6"/>
      <c r="Y1128" s="6"/>
      <c r="Z1128" s="6"/>
    </row>
    <row r="1129" spans="1:26" ht="15.75" customHeight="1" x14ac:dyDescent="0.3">
      <c r="A1129" s="10" t="s">
        <v>2424</v>
      </c>
      <c r="B1129" s="10">
        <v>1973</v>
      </c>
      <c r="C1129" s="10" t="s">
        <v>4711</v>
      </c>
      <c r="D1129" s="10">
        <v>18</v>
      </c>
      <c r="E1129" s="10">
        <v>1</v>
      </c>
      <c r="F1129" s="24">
        <v>9290.14</v>
      </c>
      <c r="G1129" s="10" t="s">
        <v>4696</v>
      </c>
      <c r="H1129" s="10" t="s">
        <v>4696</v>
      </c>
      <c r="I1129" s="10" t="s">
        <v>4720</v>
      </c>
      <c r="J1129" s="17">
        <f t="shared" si="8"/>
        <v>26925</v>
      </c>
      <c r="K1129" s="10">
        <f t="shared" ca="1" si="9"/>
        <v>52</v>
      </c>
      <c r="L1129" s="6"/>
      <c r="M1129" s="6"/>
      <c r="N1129" s="6"/>
      <c r="O1129" s="6"/>
      <c r="P1129" s="6"/>
      <c r="Q1129" s="6"/>
      <c r="R1129" s="6"/>
      <c r="S1129" s="6"/>
      <c r="T1129" s="6"/>
      <c r="U1129" s="6"/>
      <c r="V1129" s="6"/>
      <c r="W1129" s="6"/>
      <c r="X1129" s="6"/>
      <c r="Y1129" s="6"/>
      <c r="Z1129" s="6"/>
    </row>
    <row r="1130" spans="1:26" ht="15.75" customHeight="1" x14ac:dyDescent="0.3">
      <c r="A1130" s="10" t="s">
        <v>2422</v>
      </c>
      <c r="B1130" s="10">
        <v>1976</v>
      </c>
      <c r="C1130" s="10" t="s">
        <v>4709</v>
      </c>
      <c r="D1130" s="10">
        <v>3</v>
      </c>
      <c r="E1130" s="10">
        <v>3</v>
      </c>
      <c r="F1130" s="24">
        <v>9301.89</v>
      </c>
      <c r="G1130" s="10" t="s">
        <v>4695</v>
      </c>
      <c r="H1130" s="10" t="s">
        <v>4694</v>
      </c>
      <c r="I1130" s="10" t="s">
        <v>4712</v>
      </c>
      <c r="J1130" s="17">
        <f t="shared" si="8"/>
        <v>28067</v>
      </c>
      <c r="K1130" s="10">
        <f t="shared" ca="1" si="9"/>
        <v>49</v>
      </c>
      <c r="L1130" s="6"/>
      <c r="M1130" s="6"/>
      <c r="N1130" s="6"/>
      <c r="O1130" s="6"/>
      <c r="P1130" s="6"/>
      <c r="Q1130" s="6"/>
      <c r="R1130" s="6"/>
      <c r="S1130" s="6"/>
      <c r="T1130" s="6"/>
      <c r="U1130" s="6"/>
      <c r="V1130" s="6"/>
      <c r="W1130" s="6"/>
      <c r="X1130" s="6"/>
      <c r="Y1130" s="6"/>
      <c r="Z1130" s="6"/>
    </row>
    <row r="1131" spans="1:26" ht="15.75" customHeight="1" x14ac:dyDescent="0.3">
      <c r="A1131" s="10" t="s">
        <v>2420</v>
      </c>
      <c r="B1131" s="10">
        <v>1973</v>
      </c>
      <c r="C1131" s="10" t="s">
        <v>4715</v>
      </c>
      <c r="D1131" s="10">
        <v>16</v>
      </c>
      <c r="E1131" s="10">
        <v>2</v>
      </c>
      <c r="F1131" s="24">
        <v>9304.7000000000007</v>
      </c>
      <c r="G1131" s="10" t="s">
        <v>4696</v>
      </c>
      <c r="H1131" s="10" t="s">
        <v>4696</v>
      </c>
      <c r="I1131" s="10" t="s">
        <v>4708</v>
      </c>
      <c r="J1131" s="17">
        <f t="shared" si="8"/>
        <v>26953</v>
      </c>
      <c r="K1131" s="10">
        <f t="shared" ca="1" si="9"/>
        <v>52</v>
      </c>
      <c r="L1131" s="6"/>
      <c r="M1131" s="6"/>
      <c r="N1131" s="6"/>
      <c r="O1131" s="6"/>
      <c r="P1131" s="6"/>
      <c r="Q1131" s="6"/>
      <c r="R1131" s="6"/>
      <c r="S1131" s="6"/>
      <c r="T1131" s="6"/>
      <c r="U1131" s="6"/>
      <c r="V1131" s="6"/>
      <c r="W1131" s="6"/>
      <c r="X1131" s="6"/>
      <c r="Y1131" s="6"/>
      <c r="Z1131" s="6"/>
    </row>
    <row r="1132" spans="1:26" ht="15.75" customHeight="1" x14ac:dyDescent="0.3">
      <c r="A1132" s="10" t="s">
        <v>2418</v>
      </c>
      <c r="B1132" s="10">
        <v>1963</v>
      </c>
      <c r="C1132" s="10" t="s">
        <v>4710</v>
      </c>
      <c r="D1132" s="10">
        <v>8</v>
      </c>
      <c r="E1132" s="10">
        <v>0</v>
      </c>
      <c r="F1132" s="24">
        <v>9310.81</v>
      </c>
      <c r="G1132" s="10" t="s">
        <v>4696</v>
      </c>
      <c r="H1132" s="10" t="s">
        <v>4694</v>
      </c>
      <c r="I1132" s="10" t="s">
        <v>4708</v>
      </c>
      <c r="J1132" s="17">
        <f t="shared" si="8"/>
        <v>23170</v>
      </c>
      <c r="K1132" s="10">
        <f t="shared" ca="1" si="9"/>
        <v>62</v>
      </c>
      <c r="L1132" s="6"/>
      <c r="M1132" s="6"/>
      <c r="N1132" s="6"/>
      <c r="O1132" s="6"/>
      <c r="P1132" s="6"/>
      <c r="Q1132" s="6"/>
      <c r="R1132" s="6"/>
      <c r="S1132" s="6"/>
      <c r="T1132" s="6"/>
      <c r="U1132" s="6"/>
      <c r="V1132" s="6"/>
      <c r="W1132" s="6"/>
      <c r="X1132" s="6"/>
      <c r="Y1132" s="6"/>
      <c r="Z1132" s="6"/>
    </row>
    <row r="1133" spans="1:26" ht="15.75" customHeight="1" x14ac:dyDescent="0.3">
      <c r="A1133" s="10" t="s">
        <v>2416</v>
      </c>
      <c r="B1133" s="10">
        <v>1977</v>
      </c>
      <c r="C1133" s="10" t="s">
        <v>4715</v>
      </c>
      <c r="D1133" s="10">
        <v>12</v>
      </c>
      <c r="E1133" s="10">
        <v>2</v>
      </c>
      <c r="F1133" s="24">
        <v>9315.41</v>
      </c>
      <c r="G1133" s="10" t="s">
        <v>4695</v>
      </c>
      <c r="H1133" s="10" t="s">
        <v>4694</v>
      </c>
      <c r="I1133" s="10" t="s">
        <v>4723</v>
      </c>
      <c r="J1133" s="17">
        <f t="shared" si="8"/>
        <v>28410</v>
      </c>
      <c r="K1133" s="10">
        <f t="shared" ca="1" si="9"/>
        <v>48</v>
      </c>
      <c r="L1133" s="6"/>
      <c r="M1133" s="6"/>
      <c r="N1133" s="6"/>
      <c r="O1133" s="6"/>
      <c r="P1133" s="6"/>
      <c r="Q1133" s="6"/>
      <c r="R1133" s="6"/>
      <c r="S1133" s="6"/>
      <c r="T1133" s="6"/>
      <c r="U1133" s="6"/>
      <c r="V1133" s="6"/>
      <c r="W1133" s="6"/>
      <c r="X1133" s="6"/>
      <c r="Y1133" s="6"/>
      <c r="Z1133" s="6"/>
    </row>
    <row r="1134" spans="1:26" ht="15.75" customHeight="1" x14ac:dyDescent="0.3">
      <c r="A1134" s="10" t="s">
        <v>2414</v>
      </c>
      <c r="B1134" s="10">
        <v>1988</v>
      </c>
      <c r="C1134" s="10" t="s">
        <v>4707</v>
      </c>
      <c r="D1134" s="10">
        <v>9</v>
      </c>
      <c r="E1134" s="10">
        <v>3</v>
      </c>
      <c r="F1134" s="24">
        <v>9320.26</v>
      </c>
      <c r="G1134" s="10" t="s">
        <v>4695</v>
      </c>
      <c r="H1134" s="10" t="s">
        <v>4694</v>
      </c>
      <c r="I1134" s="10" t="s">
        <v>4712</v>
      </c>
      <c r="J1134" s="17">
        <f t="shared" si="8"/>
        <v>32333</v>
      </c>
      <c r="K1134" s="10">
        <f t="shared" ca="1" si="9"/>
        <v>37</v>
      </c>
      <c r="L1134" s="6"/>
      <c r="M1134" s="6"/>
      <c r="N1134" s="6"/>
      <c r="O1134" s="6"/>
      <c r="P1134" s="6"/>
      <c r="Q1134" s="6"/>
      <c r="R1134" s="6"/>
      <c r="S1134" s="6"/>
      <c r="T1134" s="6"/>
      <c r="U1134" s="6"/>
      <c r="V1134" s="6"/>
      <c r="W1134" s="6"/>
      <c r="X1134" s="6"/>
      <c r="Y1134" s="6"/>
      <c r="Z1134" s="6"/>
    </row>
    <row r="1135" spans="1:26" ht="15.75" customHeight="1" x14ac:dyDescent="0.3">
      <c r="A1135" s="10" t="s">
        <v>2412</v>
      </c>
      <c r="B1135" s="10">
        <v>1996</v>
      </c>
      <c r="C1135" s="10" t="s">
        <v>4715</v>
      </c>
      <c r="D1135" s="10">
        <v>12</v>
      </c>
      <c r="E1135" s="10">
        <v>0</v>
      </c>
      <c r="F1135" s="24">
        <v>9338.61</v>
      </c>
      <c r="G1135" s="10" t="s">
        <v>4695</v>
      </c>
      <c r="H1135" s="10" t="s">
        <v>4694</v>
      </c>
      <c r="I1135" s="10" t="s">
        <v>4729</v>
      </c>
      <c r="J1135" s="17">
        <f t="shared" si="8"/>
        <v>35350</v>
      </c>
      <c r="K1135" s="10">
        <f t="shared" ca="1" si="9"/>
        <v>29</v>
      </c>
      <c r="L1135" s="6"/>
      <c r="M1135" s="6"/>
      <c r="N1135" s="6"/>
      <c r="O1135" s="6"/>
      <c r="P1135" s="6"/>
      <c r="Q1135" s="6"/>
      <c r="R1135" s="6"/>
      <c r="S1135" s="6"/>
      <c r="T1135" s="6"/>
      <c r="U1135" s="6"/>
      <c r="V1135" s="6"/>
      <c r="W1135" s="6"/>
      <c r="X1135" s="6"/>
      <c r="Y1135" s="6"/>
      <c r="Z1135" s="6"/>
    </row>
    <row r="1136" spans="1:26" ht="15.75" customHeight="1" x14ac:dyDescent="0.3">
      <c r="A1136" s="10" t="s">
        <v>2410</v>
      </c>
      <c r="B1136" s="10">
        <v>1988</v>
      </c>
      <c r="C1136" s="10" t="s">
        <v>4707</v>
      </c>
      <c r="D1136" s="10">
        <v>1</v>
      </c>
      <c r="E1136" s="10">
        <v>3</v>
      </c>
      <c r="F1136" s="24">
        <v>9344.2000000000007</v>
      </c>
      <c r="G1136" s="10" t="s">
        <v>4695</v>
      </c>
      <c r="H1136" s="10" t="s">
        <v>4694</v>
      </c>
      <c r="I1136" s="10" t="s">
        <v>4726</v>
      </c>
      <c r="J1136" s="17">
        <f t="shared" si="8"/>
        <v>32325</v>
      </c>
      <c r="K1136" s="10">
        <f t="shared" ca="1" si="9"/>
        <v>37</v>
      </c>
      <c r="L1136" s="6"/>
      <c r="M1136" s="6"/>
      <c r="N1136" s="6"/>
      <c r="O1136" s="6"/>
      <c r="P1136" s="6"/>
      <c r="Q1136" s="6"/>
      <c r="R1136" s="6"/>
      <c r="S1136" s="6"/>
      <c r="T1136" s="6"/>
      <c r="U1136" s="6"/>
      <c r="V1136" s="6"/>
      <c r="W1136" s="6"/>
      <c r="X1136" s="6"/>
      <c r="Y1136" s="6"/>
      <c r="Z1136" s="6"/>
    </row>
    <row r="1137" spans="1:26" ht="15.75" customHeight="1" x14ac:dyDescent="0.3">
      <c r="A1137" s="10" t="s">
        <v>2408</v>
      </c>
      <c r="B1137" s="10">
        <v>1971</v>
      </c>
      <c r="C1137" s="10" t="s">
        <v>4715</v>
      </c>
      <c r="D1137" s="10">
        <v>8</v>
      </c>
      <c r="E1137" s="10">
        <v>0</v>
      </c>
      <c r="F1137" s="24">
        <v>9361.33</v>
      </c>
      <c r="G1137" s="10" t="s">
        <v>4696</v>
      </c>
      <c r="H1137" s="10" t="s">
        <v>4694</v>
      </c>
      <c r="I1137" s="10" t="s">
        <v>4720</v>
      </c>
      <c r="J1137" s="17">
        <f t="shared" si="8"/>
        <v>26214</v>
      </c>
      <c r="K1137" s="10">
        <f t="shared" ca="1" si="9"/>
        <v>54</v>
      </c>
      <c r="L1137" s="6"/>
      <c r="M1137" s="6"/>
      <c r="N1137" s="6"/>
      <c r="O1137" s="6"/>
      <c r="P1137" s="6"/>
      <c r="Q1137" s="6"/>
      <c r="R1137" s="6"/>
      <c r="S1137" s="6"/>
      <c r="T1137" s="6"/>
      <c r="U1137" s="6"/>
      <c r="V1137" s="6"/>
      <c r="W1137" s="6"/>
      <c r="X1137" s="6"/>
      <c r="Y1137" s="6"/>
      <c r="Z1137" s="6"/>
    </row>
    <row r="1138" spans="1:26" ht="15.75" customHeight="1" x14ac:dyDescent="0.3">
      <c r="A1138" s="10" t="s">
        <v>2406</v>
      </c>
      <c r="B1138" s="10">
        <v>1969</v>
      </c>
      <c r="C1138" s="10" t="s">
        <v>4709</v>
      </c>
      <c r="D1138" s="10">
        <v>24</v>
      </c>
      <c r="E1138" s="10">
        <v>0</v>
      </c>
      <c r="F1138" s="24">
        <v>9377.4500000000007</v>
      </c>
      <c r="G1138" s="10" t="s">
        <v>4695</v>
      </c>
      <c r="H1138" s="10" t="s">
        <v>4696</v>
      </c>
      <c r="I1138" s="10" t="s">
        <v>4708</v>
      </c>
      <c r="J1138" s="17">
        <f t="shared" si="8"/>
        <v>25531</v>
      </c>
      <c r="K1138" s="10">
        <f t="shared" ca="1" si="9"/>
        <v>56</v>
      </c>
      <c r="L1138" s="6"/>
      <c r="M1138" s="6"/>
      <c r="N1138" s="6"/>
      <c r="O1138" s="6"/>
      <c r="P1138" s="6"/>
      <c r="Q1138" s="6"/>
      <c r="R1138" s="6"/>
      <c r="S1138" s="6"/>
      <c r="T1138" s="6"/>
      <c r="U1138" s="6"/>
      <c r="V1138" s="6"/>
      <c r="W1138" s="6"/>
      <c r="X1138" s="6"/>
      <c r="Y1138" s="6"/>
      <c r="Z1138" s="6"/>
    </row>
    <row r="1139" spans="1:26" ht="15.75" customHeight="1" x14ac:dyDescent="0.3">
      <c r="A1139" s="10" t="s">
        <v>2404</v>
      </c>
      <c r="B1139" s="10">
        <v>1971</v>
      </c>
      <c r="C1139" s="10" t="s">
        <v>4709</v>
      </c>
      <c r="D1139" s="10">
        <v>26</v>
      </c>
      <c r="E1139" s="10">
        <v>1</v>
      </c>
      <c r="F1139" s="24">
        <v>9377.9</v>
      </c>
      <c r="G1139" s="10" t="s">
        <v>4695</v>
      </c>
      <c r="H1139" s="10" t="s">
        <v>4694</v>
      </c>
      <c r="I1139" s="10" t="s">
        <v>4708</v>
      </c>
      <c r="J1139" s="17">
        <f t="shared" si="8"/>
        <v>26263</v>
      </c>
      <c r="K1139" s="10">
        <f t="shared" ca="1" si="9"/>
        <v>54</v>
      </c>
      <c r="L1139" s="6"/>
      <c r="M1139" s="6"/>
      <c r="N1139" s="6"/>
      <c r="O1139" s="6"/>
      <c r="P1139" s="6"/>
      <c r="Q1139" s="6"/>
      <c r="R1139" s="6"/>
      <c r="S1139" s="6"/>
      <c r="T1139" s="6"/>
      <c r="U1139" s="6"/>
      <c r="V1139" s="6"/>
      <c r="W1139" s="6"/>
      <c r="X1139" s="6"/>
      <c r="Y1139" s="6"/>
      <c r="Z1139" s="6"/>
    </row>
    <row r="1140" spans="1:26" ht="15.75" customHeight="1" x14ac:dyDescent="0.3">
      <c r="A1140" s="10" t="s">
        <v>2402</v>
      </c>
      <c r="B1140" s="10">
        <v>1975</v>
      </c>
      <c r="C1140" s="10" t="s">
        <v>4713</v>
      </c>
      <c r="D1140" s="10">
        <v>2</v>
      </c>
      <c r="E1140" s="10">
        <v>1</v>
      </c>
      <c r="F1140" s="24">
        <v>9380.75</v>
      </c>
      <c r="G1140" s="10" t="s">
        <v>4695</v>
      </c>
      <c r="H1140" s="10" t="s">
        <v>4695</v>
      </c>
      <c r="I1140" s="10" t="s">
        <v>4723</v>
      </c>
      <c r="J1140" s="17">
        <f t="shared" si="8"/>
        <v>27730</v>
      </c>
      <c r="K1140" s="10">
        <f t="shared" ca="1" si="9"/>
        <v>49</v>
      </c>
      <c r="L1140" s="6"/>
      <c r="M1140" s="6"/>
      <c r="N1140" s="6"/>
      <c r="O1140" s="6"/>
      <c r="P1140" s="6"/>
      <c r="Q1140" s="6"/>
      <c r="R1140" s="6"/>
      <c r="S1140" s="6"/>
      <c r="T1140" s="6"/>
      <c r="U1140" s="6"/>
      <c r="V1140" s="6"/>
      <c r="W1140" s="6"/>
      <c r="X1140" s="6"/>
      <c r="Y1140" s="6"/>
      <c r="Z1140" s="6"/>
    </row>
    <row r="1141" spans="1:26" ht="15.75" customHeight="1" x14ac:dyDescent="0.3">
      <c r="A1141" s="10" t="s">
        <v>2400</v>
      </c>
      <c r="B1141" s="10">
        <v>1971</v>
      </c>
      <c r="C1141" s="10" t="s">
        <v>4713</v>
      </c>
      <c r="D1141" s="10">
        <v>29</v>
      </c>
      <c r="E1141" s="10">
        <v>1</v>
      </c>
      <c r="F1141" s="24">
        <v>9386.16</v>
      </c>
      <c r="G1141" s="10" t="s">
        <v>4696</v>
      </c>
      <c r="H1141" s="10" t="s">
        <v>4695</v>
      </c>
      <c r="I1141" s="10" t="s">
        <v>4708</v>
      </c>
      <c r="J1141" s="17">
        <f t="shared" si="8"/>
        <v>26296</v>
      </c>
      <c r="K1141" s="10">
        <f t="shared" ca="1" si="9"/>
        <v>53</v>
      </c>
      <c r="L1141" s="6"/>
      <c r="M1141" s="6"/>
      <c r="N1141" s="6"/>
      <c r="O1141" s="6"/>
      <c r="P1141" s="6"/>
      <c r="Q1141" s="6"/>
      <c r="R1141" s="6"/>
      <c r="S1141" s="6"/>
      <c r="T1141" s="6"/>
      <c r="U1141" s="6"/>
      <c r="V1141" s="6"/>
      <c r="W1141" s="6"/>
      <c r="X1141" s="6"/>
      <c r="Y1141" s="6"/>
      <c r="Z1141" s="6"/>
    </row>
    <row r="1142" spans="1:26" ht="15.75" customHeight="1" x14ac:dyDescent="0.3">
      <c r="A1142" s="10" t="s">
        <v>2398</v>
      </c>
      <c r="B1142" s="10">
        <v>1971</v>
      </c>
      <c r="C1142" s="10" t="s">
        <v>4715</v>
      </c>
      <c r="D1142" s="10">
        <v>20</v>
      </c>
      <c r="E1142" s="10">
        <v>1</v>
      </c>
      <c r="F1142" s="24">
        <v>9391.35</v>
      </c>
      <c r="G1142" s="10" t="s">
        <v>4696</v>
      </c>
      <c r="H1142" s="10" t="s">
        <v>4696</v>
      </c>
      <c r="I1142" s="10" t="s">
        <v>4716</v>
      </c>
      <c r="J1142" s="17">
        <f t="shared" si="8"/>
        <v>26226</v>
      </c>
      <c r="K1142" s="10">
        <f t="shared" ca="1" si="9"/>
        <v>54</v>
      </c>
      <c r="L1142" s="6"/>
      <c r="M1142" s="6"/>
      <c r="N1142" s="6"/>
      <c r="O1142" s="6"/>
      <c r="P1142" s="6"/>
      <c r="Q1142" s="6"/>
      <c r="R1142" s="6"/>
      <c r="S1142" s="6"/>
      <c r="T1142" s="6"/>
      <c r="U1142" s="6"/>
      <c r="V1142" s="6"/>
      <c r="W1142" s="6"/>
      <c r="X1142" s="6"/>
      <c r="Y1142" s="6"/>
      <c r="Z1142" s="6"/>
    </row>
    <row r="1143" spans="1:26" ht="15.75" customHeight="1" x14ac:dyDescent="0.3">
      <c r="A1143" s="10" t="s">
        <v>2396</v>
      </c>
      <c r="B1143" s="10">
        <v>1976</v>
      </c>
      <c r="C1143" s="10" t="s">
        <v>4715</v>
      </c>
      <c r="D1143" s="10">
        <v>17</v>
      </c>
      <c r="E1143" s="10">
        <v>2</v>
      </c>
      <c r="F1143" s="24">
        <v>9411.01</v>
      </c>
      <c r="G1143" s="10" t="s">
        <v>4695</v>
      </c>
      <c r="H1143" s="10" t="s">
        <v>4696</v>
      </c>
      <c r="I1143" s="10" t="s">
        <v>4723</v>
      </c>
      <c r="J1143" s="17">
        <f t="shared" si="8"/>
        <v>28050</v>
      </c>
      <c r="K1143" s="10">
        <f t="shared" ca="1" si="9"/>
        <v>49</v>
      </c>
      <c r="L1143" s="6"/>
      <c r="M1143" s="6"/>
      <c r="N1143" s="6"/>
      <c r="O1143" s="6"/>
      <c r="P1143" s="6"/>
      <c r="Q1143" s="6"/>
      <c r="R1143" s="6"/>
      <c r="S1143" s="6"/>
      <c r="T1143" s="6"/>
      <c r="U1143" s="6"/>
      <c r="V1143" s="6"/>
      <c r="W1143" s="6"/>
      <c r="X1143" s="6"/>
      <c r="Y1143" s="6"/>
      <c r="Z1143" s="6"/>
    </row>
    <row r="1144" spans="1:26" ht="15.75" customHeight="1" x14ac:dyDescent="0.3">
      <c r="A1144" s="10" t="s">
        <v>2394</v>
      </c>
      <c r="B1144" s="10">
        <v>1976</v>
      </c>
      <c r="C1144" s="10" t="s">
        <v>4715</v>
      </c>
      <c r="D1144" s="10">
        <v>30</v>
      </c>
      <c r="E1144" s="10">
        <v>3</v>
      </c>
      <c r="F1144" s="24">
        <v>9414.92</v>
      </c>
      <c r="G1144" s="10" t="s">
        <v>4695</v>
      </c>
      <c r="H1144" s="10" t="s">
        <v>4695</v>
      </c>
      <c r="I1144" s="10" t="s">
        <v>4716</v>
      </c>
      <c r="J1144" s="17">
        <f t="shared" si="8"/>
        <v>28063</v>
      </c>
      <c r="K1144" s="10">
        <f t="shared" ca="1" si="9"/>
        <v>49</v>
      </c>
      <c r="L1144" s="6"/>
      <c r="M1144" s="6"/>
      <c r="N1144" s="6"/>
      <c r="O1144" s="6"/>
      <c r="P1144" s="6"/>
      <c r="Q1144" s="6"/>
      <c r="R1144" s="6"/>
      <c r="S1144" s="6"/>
      <c r="T1144" s="6"/>
      <c r="U1144" s="6"/>
      <c r="V1144" s="6"/>
      <c r="W1144" s="6"/>
      <c r="X1144" s="6"/>
      <c r="Y1144" s="6"/>
      <c r="Z1144" s="6"/>
    </row>
    <row r="1145" spans="1:26" ht="15.75" customHeight="1" x14ac:dyDescent="0.3">
      <c r="A1145" s="10" t="s">
        <v>2392</v>
      </c>
      <c r="B1145" s="10">
        <v>1976</v>
      </c>
      <c r="C1145" s="10" t="s">
        <v>4709</v>
      </c>
      <c r="D1145" s="10">
        <v>3</v>
      </c>
      <c r="E1145" s="10">
        <v>2</v>
      </c>
      <c r="F1145" s="24">
        <v>9432.93</v>
      </c>
      <c r="G1145" s="10" t="s">
        <v>4695</v>
      </c>
      <c r="H1145" s="10" t="s">
        <v>4694</v>
      </c>
      <c r="I1145" s="10" t="s">
        <v>4723</v>
      </c>
      <c r="J1145" s="17">
        <f t="shared" si="8"/>
        <v>28067</v>
      </c>
      <c r="K1145" s="10">
        <f t="shared" ca="1" si="9"/>
        <v>49</v>
      </c>
      <c r="L1145" s="6"/>
      <c r="M1145" s="6"/>
      <c r="N1145" s="6"/>
      <c r="O1145" s="6"/>
      <c r="P1145" s="6"/>
      <c r="Q1145" s="6"/>
      <c r="R1145" s="6"/>
      <c r="S1145" s="6"/>
      <c r="T1145" s="6"/>
      <c r="U1145" s="6"/>
      <c r="V1145" s="6"/>
      <c r="W1145" s="6"/>
      <c r="X1145" s="6"/>
      <c r="Y1145" s="6"/>
      <c r="Z1145" s="6"/>
    </row>
    <row r="1146" spans="1:26" ht="15.75" customHeight="1" x14ac:dyDescent="0.3">
      <c r="A1146" s="10" t="s">
        <v>2390</v>
      </c>
      <c r="B1146" s="10">
        <v>1974</v>
      </c>
      <c r="C1146" s="10" t="s">
        <v>4709</v>
      </c>
      <c r="D1146" s="10">
        <v>27</v>
      </c>
      <c r="E1146" s="10">
        <v>1</v>
      </c>
      <c r="F1146" s="24">
        <v>9447.25</v>
      </c>
      <c r="G1146" s="10" t="s">
        <v>4695</v>
      </c>
      <c r="H1146" s="10" t="s">
        <v>4694</v>
      </c>
      <c r="I1146" s="10" t="s">
        <v>4723</v>
      </c>
      <c r="J1146" s="17">
        <f t="shared" si="8"/>
        <v>27360</v>
      </c>
      <c r="K1146" s="10">
        <f t="shared" ca="1" si="9"/>
        <v>51</v>
      </c>
      <c r="L1146" s="6"/>
      <c r="M1146" s="6"/>
      <c r="N1146" s="6"/>
      <c r="O1146" s="6"/>
      <c r="P1146" s="6"/>
      <c r="Q1146" s="6"/>
      <c r="R1146" s="6"/>
      <c r="S1146" s="6"/>
      <c r="T1146" s="6"/>
      <c r="U1146" s="6"/>
      <c r="V1146" s="6"/>
      <c r="W1146" s="6"/>
      <c r="X1146" s="6"/>
      <c r="Y1146" s="6"/>
      <c r="Z1146" s="6"/>
    </row>
    <row r="1147" spans="1:26" ht="15.75" customHeight="1" x14ac:dyDescent="0.3">
      <c r="A1147" s="10" t="s">
        <v>2388</v>
      </c>
      <c r="B1147" s="10">
        <v>1974</v>
      </c>
      <c r="C1147" s="10" t="s">
        <v>4710</v>
      </c>
      <c r="D1147" s="10">
        <v>8</v>
      </c>
      <c r="E1147" s="10">
        <v>1</v>
      </c>
      <c r="F1147" s="24">
        <v>9447.3799999999992</v>
      </c>
      <c r="G1147" s="10" t="s">
        <v>4695</v>
      </c>
      <c r="H1147" s="10" t="s">
        <v>4696</v>
      </c>
      <c r="I1147" s="10" t="s">
        <v>4723</v>
      </c>
      <c r="J1147" s="17">
        <f t="shared" si="8"/>
        <v>27188</v>
      </c>
      <c r="K1147" s="10">
        <f t="shared" ca="1" si="9"/>
        <v>51</v>
      </c>
      <c r="L1147" s="6"/>
      <c r="M1147" s="6"/>
      <c r="N1147" s="6"/>
      <c r="O1147" s="6"/>
      <c r="P1147" s="6"/>
      <c r="Q1147" s="6"/>
      <c r="R1147" s="6"/>
      <c r="S1147" s="6"/>
      <c r="T1147" s="6"/>
      <c r="U1147" s="6"/>
      <c r="V1147" s="6"/>
      <c r="W1147" s="6"/>
      <c r="X1147" s="6"/>
      <c r="Y1147" s="6"/>
      <c r="Z1147" s="6"/>
    </row>
    <row r="1148" spans="1:26" ht="15.75" customHeight="1" x14ac:dyDescent="0.3">
      <c r="A1148" s="10" t="s">
        <v>2386</v>
      </c>
      <c r="B1148" s="10">
        <v>1987</v>
      </c>
      <c r="C1148" s="10" t="s">
        <v>4709</v>
      </c>
      <c r="D1148" s="10">
        <v>14</v>
      </c>
      <c r="E1148" s="10">
        <v>3</v>
      </c>
      <c r="F1148" s="24">
        <v>9448.42</v>
      </c>
      <c r="G1148" s="10" t="s">
        <v>4695</v>
      </c>
      <c r="H1148" s="10" t="s">
        <v>4696</v>
      </c>
      <c r="I1148" s="10" t="s">
        <v>4726</v>
      </c>
      <c r="J1148" s="17">
        <f t="shared" si="8"/>
        <v>32095</v>
      </c>
      <c r="K1148" s="10">
        <f t="shared" ca="1" si="9"/>
        <v>38</v>
      </c>
      <c r="L1148" s="6"/>
      <c r="M1148" s="6"/>
      <c r="N1148" s="6"/>
      <c r="O1148" s="6"/>
      <c r="P1148" s="6"/>
      <c r="Q1148" s="6"/>
      <c r="R1148" s="6"/>
      <c r="S1148" s="6"/>
      <c r="T1148" s="6"/>
      <c r="U1148" s="6"/>
      <c r="V1148" s="6"/>
      <c r="W1148" s="6"/>
      <c r="X1148" s="6"/>
      <c r="Y1148" s="6"/>
      <c r="Z1148" s="6"/>
    </row>
    <row r="1149" spans="1:26" ht="15.75" customHeight="1" x14ac:dyDescent="0.3">
      <c r="A1149" s="10" t="s">
        <v>2384</v>
      </c>
      <c r="B1149" s="10">
        <v>1979</v>
      </c>
      <c r="C1149" s="10" t="s">
        <v>4707</v>
      </c>
      <c r="D1149" s="10">
        <v>17</v>
      </c>
      <c r="E1149" s="10">
        <v>2</v>
      </c>
      <c r="F1149" s="24">
        <v>9453.92</v>
      </c>
      <c r="G1149" s="10" t="s">
        <v>4695</v>
      </c>
      <c r="H1149" s="10" t="s">
        <v>4695</v>
      </c>
      <c r="I1149" s="10" t="s">
        <v>4726</v>
      </c>
      <c r="J1149" s="17">
        <f t="shared" si="8"/>
        <v>29053</v>
      </c>
      <c r="K1149" s="10">
        <f t="shared" ca="1" si="9"/>
        <v>46</v>
      </c>
      <c r="L1149" s="6"/>
      <c r="M1149" s="6"/>
      <c r="N1149" s="6"/>
      <c r="O1149" s="6"/>
      <c r="P1149" s="6"/>
      <c r="Q1149" s="6"/>
      <c r="R1149" s="6"/>
      <c r="S1149" s="6"/>
      <c r="T1149" s="6"/>
      <c r="U1149" s="6"/>
      <c r="V1149" s="6"/>
      <c r="W1149" s="6"/>
      <c r="X1149" s="6"/>
      <c r="Y1149" s="6"/>
      <c r="Z1149" s="6"/>
    </row>
    <row r="1150" spans="1:26" ht="15.75" customHeight="1" x14ac:dyDescent="0.3">
      <c r="A1150" s="10" t="s">
        <v>2382</v>
      </c>
      <c r="B1150" s="10">
        <v>1969</v>
      </c>
      <c r="C1150" s="10" t="s">
        <v>4710</v>
      </c>
      <c r="D1150" s="10">
        <v>4</v>
      </c>
      <c r="E1150" s="10">
        <v>0</v>
      </c>
      <c r="F1150" s="24">
        <v>9487.64</v>
      </c>
      <c r="G1150" s="10" t="s">
        <v>4695</v>
      </c>
      <c r="H1150" s="10" t="s">
        <v>4695</v>
      </c>
      <c r="I1150" s="10" t="s">
        <v>4708</v>
      </c>
      <c r="J1150" s="17">
        <f t="shared" si="8"/>
        <v>25358</v>
      </c>
      <c r="K1150" s="10">
        <f t="shared" ca="1" si="9"/>
        <v>56</v>
      </c>
      <c r="L1150" s="6"/>
      <c r="M1150" s="6"/>
      <c r="N1150" s="6"/>
      <c r="O1150" s="6"/>
      <c r="P1150" s="6"/>
      <c r="Q1150" s="6"/>
      <c r="R1150" s="6"/>
      <c r="S1150" s="6"/>
      <c r="T1150" s="6"/>
      <c r="U1150" s="6"/>
      <c r="V1150" s="6"/>
      <c r="W1150" s="6"/>
      <c r="X1150" s="6"/>
      <c r="Y1150" s="6"/>
      <c r="Z1150" s="6"/>
    </row>
    <row r="1151" spans="1:26" ht="15.75" customHeight="1" x14ac:dyDescent="0.3">
      <c r="A1151" s="10" t="s">
        <v>2380</v>
      </c>
      <c r="B1151" s="10">
        <v>1976</v>
      </c>
      <c r="C1151" s="10" t="s">
        <v>4709</v>
      </c>
      <c r="D1151" s="10">
        <v>28</v>
      </c>
      <c r="E1151" s="10">
        <v>3</v>
      </c>
      <c r="F1151" s="24">
        <v>9500.57</v>
      </c>
      <c r="G1151" s="10" t="s">
        <v>4695</v>
      </c>
      <c r="H1151" s="10" t="s">
        <v>4696</v>
      </c>
      <c r="I1151" s="10" t="s">
        <v>4727</v>
      </c>
      <c r="J1151" s="17">
        <f t="shared" si="8"/>
        <v>28092</v>
      </c>
      <c r="K1151" s="10">
        <f t="shared" ca="1" si="9"/>
        <v>49</v>
      </c>
      <c r="L1151" s="6"/>
      <c r="M1151" s="6"/>
      <c r="N1151" s="6"/>
      <c r="O1151" s="6"/>
      <c r="P1151" s="6"/>
      <c r="Q1151" s="6"/>
      <c r="R1151" s="6"/>
      <c r="S1151" s="6"/>
      <c r="T1151" s="6"/>
      <c r="U1151" s="6"/>
      <c r="V1151" s="6"/>
      <c r="W1151" s="6"/>
      <c r="X1151" s="6"/>
      <c r="Y1151" s="6"/>
      <c r="Z1151" s="6"/>
    </row>
    <row r="1152" spans="1:26" ht="15.75" customHeight="1" x14ac:dyDescent="0.3">
      <c r="A1152" s="10" t="s">
        <v>2378</v>
      </c>
      <c r="B1152" s="10">
        <v>1969</v>
      </c>
      <c r="C1152" s="10" t="s">
        <v>4714</v>
      </c>
      <c r="D1152" s="10">
        <v>24</v>
      </c>
      <c r="E1152" s="10">
        <v>0</v>
      </c>
      <c r="F1152" s="24">
        <v>9504.31</v>
      </c>
      <c r="G1152" s="10" t="s">
        <v>4696</v>
      </c>
      <c r="H1152" s="10" t="s">
        <v>4695</v>
      </c>
      <c r="I1152" s="10" t="s">
        <v>4708</v>
      </c>
      <c r="J1152" s="17">
        <f t="shared" si="8"/>
        <v>25439</v>
      </c>
      <c r="K1152" s="10">
        <f t="shared" ca="1" si="9"/>
        <v>56</v>
      </c>
      <c r="L1152" s="6"/>
      <c r="M1152" s="6"/>
      <c r="N1152" s="6"/>
      <c r="O1152" s="6"/>
      <c r="P1152" s="6"/>
      <c r="Q1152" s="6"/>
      <c r="R1152" s="6"/>
      <c r="S1152" s="6"/>
      <c r="T1152" s="6"/>
      <c r="U1152" s="6"/>
      <c r="V1152" s="6"/>
      <c r="W1152" s="6"/>
      <c r="X1152" s="6"/>
      <c r="Y1152" s="6"/>
      <c r="Z1152" s="6"/>
    </row>
    <row r="1153" spans="1:26" ht="15.75" customHeight="1" x14ac:dyDescent="0.3">
      <c r="A1153" s="10" t="s">
        <v>2376</v>
      </c>
      <c r="B1153" s="10">
        <v>1992</v>
      </c>
      <c r="C1153" s="10" t="s">
        <v>4714</v>
      </c>
      <c r="D1153" s="10">
        <v>22</v>
      </c>
      <c r="E1153" s="10">
        <v>0</v>
      </c>
      <c r="F1153" s="24">
        <v>9507.68</v>
      </c>
      <c r="G1153" s="10" t="s">
        <v>4695</v>
      </c>
      <c r="H1153" s="10" t="s">
        <v>4694</v>
      </c>
      <c r="I1153" s="10" t="s">
        <v>4712</v>
      </c>
      <c r="J1153" s="17">
        <f t="shared" si="8"/>
        <v>33838</v>
      </c>
      <c r="K1153" s="10">
        <f t="shared" ca="1" si="9"/>
        <v>33</v>
      </c>
      <c r="L1153" s="6"/>
      <c r="M1153" s="6"/>
      <c r="N1153" s="6"/>
      <c r="O1153" s="6"/>
      <c r="P1153" s="6"/>
      <c r="Q1153" s="6"/>
      <c r="R1153" s="6"/>
      <c r="S1153" s="6"/>
      <c r="T1153" s="6"/>
      <c r="U1153" s="6"/>
      <c r="V1153" s="6"/>
      <c r="W1153" s="6"/>
      <c r="X1153" s="6"/>
      <c r="Y1153" s="6"/>
      <c r="Z1153" s="6"/>
    </row>
    <row r="1154" spans="1:26" ht="15.75" customHeight="1" x14ac:dyDescent="0.3">
      <c r="A1154" s="10" t="s">
        <v>2374</v>
      </c>
      <c r="B1154" s="10">
        <v>1971</v>
      </c>
      <c r="C1154" s="10" t="s">
        <v>4709</v>
      </c>
      <c r="D1154" s="10">
        <v>29</v>
      </c>
      <c r="E1154" s="10">
        <v>0</v>
      </c>
      <c r="F1154" s="24">
        <v>9528.9</v>
      </c>
      <c r="G1154" s="10" t="s">
        <v>4695</v>
      </c>
      <c r="H1154" s="10" t="s">
        <v>4695</v>
      </c>
      <c r="I1154" s="10" t="s">
        <v>4716</v>
      </c>
      <c r="J1154" s="17">
        <f t="shared" si="8"/>
        <v>26266</v>
      </c>
      <c r="K1154" s="10">
        <f t="shared" ca="1" si="9"/>
        <v>54</v>
      </c>
      <c r="L1154" s="6"/>
      <c r="M1154" s="6"/>
      <c r="N1154" s="6"/>
      <c r="O1154" s="6"/>
      <c r="P1154" s="6"/>
      <c r="Q1154" s="6"/>
      <c r="R1154" s="6"/>
      <c r="S1154" s="6"/>
      <c r="T1154" s="6"/>
      <c r="U1154" s="6"/>
      <c r="V1154" s="6"/>
      <c r="W1154" s="6"/>
      <c r="X1154" s="6"/>
      <c r="Y1154" s="6"/>
      <c r="Z1154" s="6"/>
    </row>
    <row r="1155" spans="1:26" ht="15.75" customHeight="1" x14ac:dyDescent="0.3">
      <c r="A1155" s="10" t="s">
        <v>2372</v>
      </c>
      <c r="B1155" s="10">
        <v>1973</v>
      </c>
      <c r="C1155" s="10" t="s">
        <v>4713</v>
      </c>
      <c r="D1155" s="10">
        <v>21</v>
      </c>
      <c r="E1155" s="10">
        <v>0</v>
      </c>
      <c r="F1155" s="24">
        <v>9538.65</v>
      </c>
      <c r="G1155" s="10" t="s">
        <v>4695</v>
      </c>
      <c r="H1155" s="10" t="s">
        <v>4696</v>
      </c>
      <c r="I1155" s="10" t="s">
        <v>4726</v>
      </c>
      <c r="J1155" s="17">
        <f t="shared" si="8"/>
        <v>27019</v>
      </c>
      <c r="K1155" s="10">
        <f t="shared" ca="1" si="9"/>
        <v>51</v>
      </c>
      <c r="L1155" s="6"/>
      <c r="M1155" s="6"/>
      <c r="N1155" s="6"/>
      <c r="O1155" s="6"/>
      <c r="P1155" s="6"/>
      <c r="Q1155" s="6"/>
      <c r="R1155" s="6"/>
      <c r="S1155" s="6"/>
      <c r="T1155" s="6"/>
      <c r="U1155" s="6"/>
      <c r="V1155" s="6"/>
      <c r="W1155" s="6"/>
      <c r="X1155" s="6"/>
      <c r="Y1155" s="6"/>
      <c r="Z1155" s="6"/>
    </row>
    <row r="1156" spans="1:26" ht="15.75" customHeight="1" x14ac:dyDescent="0.3">
      <c r="A1156" s="10" t="s">
        <v>2370</v>
      </c>
      <c r="B1156" s="10">
        <v>1975</v>
      </c>
      <c r="C1156" s="10" t="s">
        <v>4707</v>
      </c>
      <c r="D1156" s="10">
        <v>28</v>
      </c>
      <c r="E1156" s="10">
        <v>1</v>
      </c>
      <c r="F1156" s="24">
        <v>9540.17</v>
      </c>
      <c r="G1156" s="10" t="s">
        <v>4695</v>
      </c>
      <c r="H1156" s="10" t="s">
        <v>4695</v>
      </c>
      <c r="I1156" s="10" t="s">
        <v>4723</v>
      </c>
      <c r="J1156" s="17">
        <f t="shared" si="8"/>
        <v>27603</v>
      </c>
      <c r="K1156" s="10">
        <f t="shared" ca="1" si="9"/>
        <v>50</v>
      </c>
      <c r="L1156" s="6"/>
      <c r="M1156" s="6"/>
      <c r="N1156" s="6"/>
      <c r="O1156" s="6"/>
      <c r="P1156" s="6"/>
      <c r="Q1156" s="6"/>
      <c r="R1156" s="6"/>
      <c r="S1156" s="6"/>
      <c r="T1156" s="6"/>
      <c r="U1156" s="6"/>
      <c r="V1156" s="6"/>
      <c r="W1156" s="6"/>
      <c r="X1156" s="6"/>
      <c r="Y1156" s="6"/>
      <c r="Z1156" s="6"/>
    </row>
    <row r="1157" spans="1:26" ht="15.75" customHeight="1" x14ac:dyDescent="0.3">
      <c r="A1157" s="10" t="s">
        <v>2368</v>
      </c>
      <c r="B1157" s="10">
        <v>1972</v>
      </c>
      <c r="C1157" s="10" t="s">
        <v>4711</v>
      </c>
      <c r="D1157" s="10">
        <v>22</v>
      </c>
      <c r="E1157" s="10">
        <v>0</v>
      </c>
      <c r="F1157" s="24">
        <v>9541.7000000000007</v>
      </c>
      <c r="G1157" s="10" t="s">
        <v>4695</v>
      </c>
      <c r="H1157" s="10" t="s">
        <v>4694</v>
      </c>
      <c r="I1157" s="10" t="s">
        <v>4723</v>
      </c>
      <c r="J1157" s="17">
        <f t="shared" si="8"/>
        <v>26564</v>
      </c>
      <c r="K1157" s="10">
        <f t="shared" ca="1" si="9"/>
        <v>53</v>
      </c>
      <c r="L1157" s="6"/>
      <c r="M1157" s="6"/>
      <c r="N1157" s="6"/>
      <c r="O1157" s="6"/>
      <c r="P1157" s="6"/>
      <c r="Q1157" s="6"/>
      <c r="R1157" s="6"/>
      <c r="S1157" s="6"/>
      <c r="T1157" s="6"/>
      <c r="U1157" s="6"/>
      <c r="V1157" s="6"/>
      <c r="W1157" s="6"/>
      <c r="X1157" s="6"/>
      <c r="Y1157" s="6"/>
      <c r="Z1157" s="6"/>
    </row>
    <row r="1158" spans="1:26" ht="15.75" customHeight="1" x14ac:dyDescent="0.3">
      <c r="A1158" s="10" t="s">
        <v>2366</v>
      </c>
      <c r="B1158" s="10">
        <v>1972</v>
      </c>
      <c r="C1158" s="10" t="s">
        <v>4711</v>
      </c>
      <c r="D1158" s="10">
        <v>22</v>
      </c>
      <c r="E1158" s="10">
        <v>1</v>
      </c>
      <c r="F1158" s="24">
        <v>9549.57</v>
      </c>
      <c r="G1158" s="10" t="s">
        <v>4695</v>
      </c>
      <c r="H1158" s="10" t="s">
        <v>4694</v>
      </c>
      <c r="I1158" s="10" t="s">
        <v>4708</v>
      </c>
      <c r="J1158" s="17">
        <f t="shared" si="8"/>
        <v>26564</v>
      </c>
      <c r="K1158" s="10">
        <f t="shared" ca="1" si="9"/>
        <v>53</v>
      </c>
      <c r="L1158" s="6"/>
      <c r="M1158" s="6"/>
      <c r="N1158" s="6"/>
      <c r="O1158" s="6"/>
      <c r="P1158" s="6"/>
      <c r="Q1158" s="6"/>
      <c r="R1158" s="6"/>
      <c r="S1158" s="6"/>
      <c r="T1158" s="6"/>
      <c r="U1158" s="6"/>
      <c r="V1158" s="6"/>
      <c r="W1158" s="6"/>
      <c r="X1158" s="6"/>
      <c r="Y1158" s="6"/>
      <c r="Z1158" s="6"/>
    </row>
    <row r="1159" spans="1:26" ht="15.75" customHeight="1" x14ac:dyDescent="0.3">
      <c r="A1159" s="10" t="s">
        <v>2364</v>
      </c>
      <c r="B1159" s="10">
        <v>1974</v>
      </c>
      <c r="C1159" s="10" t="s">
        <v>4714</v>
      </c>
      <c r="D1159" s="10">
        <v>14</v>
      </c>
      <c r="E1159" s="10">
        <v>3</v>
      </c>
      <c r="F1159" s="24">
        <v>9563.0300000000007</v>
      </c>
      <c r="G1159" s="10" t="s">
        <v>4696</v>
      </c>
      <c r="H1159" s="10" t="s">
        <v>4694</v>
      </c>
      <c r="I1159" s="10" t="s">
        <v>4716</v>
      </c>
      <c r="J1159" s="17">
        <f t="shared" si="8"/>
        <v>27255</v>
      </c>
      <c r="K1159" s="10">
        <f t="shared" ca="1" si="9"/>
        <v>51</v>
      </c>
      <c r="L1159" s="6"/>
      <c r="M1159" s="6"/>
      <c r="N1159" s="6"/>
      <c r="O1159" s="6"/>
      <c r="P1159" s="6"/>
      <c r="Q1159" s="6"/>
      <c r="R1159" s="6"/>
      <c r="S1159" s="6"/>
      <c r="T1159" s="6"/>
      <c r="U1159" s="6"/>
      <c r="V1159" s="6"/>
      <c r="W1159" s="6"/>
      <c r="X1159" s="6"/>
      <c r="Y1159" s="6"/>
      <c r="Z1159" s="6"/>
    </row>
    <row r="1160" spans="1:26" ht="15.75" customHeight="1" x14ac:dyDescent="0.3">
      <c r="A1160" s="10" t="s">
        <v>2362</v>
      </c>
      <c r="B1160" s="10">
        <v>1973</v>
      </c>
      <c r="C1160" s="10" t="s">
        <v>4713</v>
      </c>
      <c r="D1160" s="10">
        <v>1</v>
      </c>
      <c r="E1160" s="10">
        <v>1</v>
      </c>
      <c r="F1160" s="24">
        <v>9566.99</v>
      </c>
      <c r="G1160" s="10" t="s">
        <v>4695</v>
      </c>
      <c r="H1160" s="10" t="s">
        <v>4694</v>
      </c>
      <c r="I1160" s="10" t="s">
        <v>4712</v>
      </c>
      <c r="J1160" s="17">
        <f t="shared" si="8"/>
        <v>26999</v>
      </c>
      <c r="K1160" s="10">
        <f t="shared" ca="1" si="9"/>
        <v>51</v>
      </c>
      <c r="L1160" s="6"/>
      <c r="M1160" s="6"/>
      <c r="N1160" s="6"/>
      <c r="O1160" s="6"/>
      <c r="P1160" s="6"/>
      <c r="Q1160" s="6"/>
      <c r="R1160" s="6"/>
      <c r="S1160" s="6"/>
      <c r="T1160" s="6"/>
      <c r="U1160" s="6"/>
      <c r="V1160" s="6"/>
      <c r="W1160" s="6"/>
      <c r="X1160" s="6"/>
      <c r="Y1160" s="6"/>
      <c r="Z1160" s="6"/>
    </row>
    <row r="1161" spans="1:26" ht="15.75" customHeight="1" x14ac:dyDescent="0.3">
      <c r="A1161" s="10" t="s">
        <v>2360</v>
      </c>
      <c r="B1161" s="10">
        <v>1966</v>
      </c>
      <c r="C1161" s="10" t="s">
        <v>4713</v>
      </c>
      <c r="D1161" s="10">
        <v>4</v>
      </c>
      <c r="E1161" s="10">
        <v>0</v>
      </c>
      <c r="F1161" s="24">
        <v>9582.5400000000009</v>
      </c>
      <c r="G1161" s="10" t="s">
        <v>4696</v>
      </c>
      <c r="H1161" s="10" t="s">
        <v>4695</v>
      </c>
      <c r="I1161" s="10" t="s">
        <v>4708</v>
      </c>
      <c r="J1161" s="17">
        <f t="shared" si="8"/>
        <v>24445</v>
      </c>
      <c r="K1161" s="10">
        <f t="shared" ca="1" si="9"/>
        <v>58</v>
      </c>
      <c r="L1161" s="6"/>
      <c r="M1161" s="6"/>
      <c r="N1161" s="6"/>
      <c r="O1161" s="6"/>
      <c r="P1161" s="6"/>
      <c r="Q1161" s="6"/>
      <c r="R1161" s="6"/>
      <c r="S1161" s="6"/>
      <c r="T1161" s="6"/>
      <c r="U1161" s="6"/>
      <c r="V1161" s="6"/>
      <c r="W1161" s="6"/>
      <c r="X1161" s="6"/>
      <c r="Y1161" s="6"/>
      <c r="Z1161" s="6"/>
    </row>
    <row r="1162" spans="1:26" ht="15.75" customHeight="1" x14ac:dyDescent="0.3">
      <c r="A1162" s="10" t="s">
        <v>2358</v>
      </c>
      <c r="B1162" s="10">
        <v>1973</v>
      </c>
      <c r="C1162" s="10" t="s">
        <v>4709</v>
      </c>
      <c r="D1162" s="10">
        <v>28</v>
      </c>
      <c r="E1162" s="10">
        <v>1</v>
      </c>
      <c r="F1162" s="24">
        <v>9583.89</v>
      </c>
      <c r="G1162" s="10" t="s">
        <v>4695</v>
      </c>
      <c r="H1162" s="10" t="s">
        <v>4696</v>
      </c>
      <c r="I1162" s="10" t="s">
        <v>4712</v>
      </c>
      <c r="J1162" s="17">
        <f t="shared" si="8"/>
        <v>26996</v>
      </c>
      <c r="K1162" s="10">
        <f t="shared" ca="1" si="9"/>
        <v>52</v>
      </c>
      <c r="L1162" s="6"/>
      <c r="M1162" s="6"/>
      <c r="N1162" s="6"/>
      <c r="O1162" s="6"/>
      <c r="P1162" s="6"/>
      <c r="Q1162" s="6"/>
      <c r="R1162" s="6"/>
      <c r="S1162" s="6"/>
      <c r="T1162" s="6"/>
      <c r="U1162" s="6"/>
      <c r="V1162" s="6"/>
      <c r="W1162" s="6"/>
      <c r="X1162" s="6"/>
      <c r="Y1162" s="6"/>
      <c r="Z1162" s="6"/>
    </row>
    <row r="1163" spans="1:26" ht="15.75" customHeight="1" x14ac:dyDescent="0.3">
      <c r="A1163" s="10" t="s">
        <v>2356</v>
      </c>
      <c r="B1163" s="10">
        <v>1981</v>
      </c>
      <c r="C1163" s="10" t="s">
        <v>4715</v>
      </c>
      <c r="D1163" s="10">
        <v>18</v>
      </c>
      <c r="E1163" s="10">
        <v>1</v>
      </c>
      <c r="F1163" s="24">
        <v>9584.0400000000009</v>
      </c>
      <c r="G1163" s="10" t="s">
        <v>4695</v>
      </c>
      <c r="H1163" s="10" t="s">
        <v>4694</v>
      </c>
      <c r="I1163" s="10" t="s">
        <v>4726</v>
      </c>
      <c r="J1163" s="17">
        <f t="shared" si="8"/>
        <v>29877</v>
      </c>
      <c r="K1163" s="10">
        <f t="shared" ca="1" si="9"/>
        <v>44</v>
      </c>
      <c r="L1163" s="6"/>
      <c r="M1163" s="6"/>
      <c r="N1163" s="6"/>
      <c r="O1163" s="6"/>
      <c r="P1163" s="6"/>
      <c r="Q1163" s="6"/>
      <c r="R1163" s="6"/>
      <c r="S1163" s="6"/>
      <c r="T1163" s="6"/>
      <c r="U1163" s="6"/>
      <c r="V1163" s="6"/>
      <c r="W1163" s="6"/>
      <c r="X1163" s="6"/>
      <c r="Y1163" s="6"/>
      <c r="Z1163" s="6"/>
    </row>
    <row r="1164" spans="1:26" ht="15.75" customHeight="1" x14ac:dyDescent="0.3">
      <c r="A1164" s="10" t="s">
        <v>2354</v>
      </c>
      <c r="B1164" s="10">
        <v>1964</v>
      </c>
      <c r="C1164" s="10" t="s">
        <v>4713</v>
      </c>
      <c r="D1164" s="10">
        <v>15</v>
      </c>
      <c r="E1164" s="10">
        <v>0</v>
      </c>
      <c r="F1164" s="24">
        <v>9597.6299999999992</v>
      </c>
      <c r="G1164" s="10" t="s">
        <v>4696</v>
      </c>
      <c r="H1164" s="10" t="s">
        <v>4696</v>
      </c>
      <c r="I1164" s="10" t="s">
        <v>4708</v>
      </c>
      <c r="J1164" s="17">
        <f t="shared" si="8"/>
        <v>23726</v>
      </c>
      <c r="K1164" s="10">
        <f t="shared" ca="1" si="9"/>
        <v>60</v>
      </c>
      <c r="L1164" s="6"/>
      <c r="M1164" s="6"/>
      <c r="N1164" s="6"/>
      <c r="O1164" s="6"/>
      <c r="P1164" s="6"/>
      <c r="Q1164" s="6"/>
      <c r="R1164" s="6"/>
      <c r="S1164" s="6"/>
      <c r="T1164" s="6"/>
      <c r="U1164" s="6"/>
      <c r="V1164" s="6"/>
      <c r="W1164" s="6"/>
      <c r="X1164" s="6"/>
      <c r="Y1164" s="6"/>
      <c r="Z1164" s="6"/>
    </row>
    <row r="1165" spans="1:26" ht="15.75" customHeight="1" x14ac:dyDescent="0.3">
      <c r="A1165" s="10" t="s">
        <v>2352</v>
      </c>
      <c r="B1165" s="10">
        <v>1972</v>
      </c>
      <c r="C1165" s="10" t="s">
        <v>4713</v>
      </c>
      <c r="D1165" s="10">
        <v>27</v>
      </c>
      <c r="E1165" s="10">
        <v>1</v>
      </c>
      <c r="F1165" s="24">
        <v>9617.66</v>
      </c>
      <c r="G1165" s="10" t="s">
        <v>4696</v>
      </c>
      <c r="H1165" s="10" t="s">
        <v>4696</v>
      </c>
      <c r="I1165" s="10" t="s">
        <v>4720</v>
      </c>
      <c r="J1165" s="17">
        <f t="shared" si="8"/>
        <v>26660</v>
      </c>
      <c r="K1165" s="10">
        <f t="shared" ca="1" si="9"/>
        <v>52</v>
      </c>
      <c r="L1165" s="6"/>
      <c r="M1165" s="6"/>
      <c r="N1165" s="6"/>
      <c r="O1165" s="6"/>
      <c r="P1165" s="6"/>
      <c r="Q1165" s="6"/>
      <c r="R1165" s="6"/>
      <c r="S1165" s="6"/>
      <c r="T1165" s="6"/>
      <c r="U1165" s="6"/>
      <c r="V1165" s="6"/>
      <c r="W1165" s="6"/>
      <c r="X1165" s="6"/>
      <c r="Y1165" s="6"/>
      <c r="Z1165" s="6"/>
    </row>
    <row r="1166" spans="1:26" ht="15.75" customHeight="1" x14ac:dyDescent="0.3">
      <c r="A1166" s="10" t="s">
        <v>2350</v>
      </c>
      <c r="B1166" s="10">
        <v>1982</v>
      </c>
      <c r="C1166" s="10" t="s">
        <v>4714</v>
      </c>
      <c r="D1166" s="10">
        <v>29</v>
      </c>
      <c r="E1166" s="10">
        <v>3</v>
      </c>
      <c r="F1166" s="24">
        <v>9619.18</v>
      </c>
      <c r="G1166" s="10" t="s">
        <v>4695</v>
      </c>
      <c r="H1166" s="10" t="s">
        <v>4694</v>
      </c>
      <c r="I1166" s="10" t="s">
        <v>4722</v>
      </c>
      <c r="J1166" s="17">
        <f t="shared" si="8"/>
        <v>30192</v>
      </c>
      <c r="K1166" s="10">
        <f t="shared" ca="1" si="9"/>
        <v>43</v>
      </c>
      <c r="L1166" s="6"/>
      <c r="M1166" s="6"/>
      <c r="N1166" s="6"/>
      <c r="O1166" s="6"/>
      <c r="P1166" s="6"/>
      <c r="Q1166" s="6"/>
      <c r="R1166" s="6"/>
      <c r="S1166" s="6"/>
      <c r="T1166" s="6"/>
      <c r="U1166" s="6"/>
      <c r="V1166" s="6"/>
      <c r="W1166" s="6"/>
      <c r="X1166" s="6"/>
      <c r="Y1166" s="6"/>
      <c r="Z1166" s="6"/>
    </row>
    <row r="1167" spans="1:26" ht="15.75" customHeight="1" x14ac:dyDescent="0.3">
      <c r="A1167" s="10" t="s">
        <v>2348</v>
      </c>
      <c r="B1167" s="10">
        <v>1975</v>
      </c>
      <c r="C1167" s="10" t="s">
        <v>4715</v>
      </c>
      <c r="D1167" s="10">
        <v>29</v>
      </c>
      <c r="E1167" s="10">
        <v>3</v>
      </c>
      <c r="F1167" s="24">
        <v>9620.33</v>
      </c>
      <c r="G1167" s="10" t="s">
        <v>4696</v>
      </c>
      <c r="H1167" s="10" t="s">
        <v>4696</v>
      </c>
      <c r="I1167" s="10" t="s">
        <v>4712</v>
      </c>
      <c r="J1167" s="17">
        <f t="shared" si="8"/>
        <v>27696</v>
      </c>
      <c r="K1167" s="10">
        <f t="shared" ca="1" si="9"/>
        <v>50</v>
      </c>
      <c r="L1167" s="6"/>
      <c r="M1167" s="6"/>
      <c r="N1167" s="6"/>
      <c r="O1167" s="6"/>
      <c r="P1167" s="6"/>
      <c r="Q1167" s="6"/>
      <c r="R1167" s="6"/>
      <c r="S1167" s="6"/>
      <c r="T1167" s="6"/>
      <c r="U1167" s="6"/>
      <c r="V1167" s="6"/>
      <c r="W1167" s="6"/>
      <c r="X1167" s="6"/>
      <c r="Y1167" s="6"/>
      <c r="Z1167" s="6"/>
    </row>
    <row r="1168" spans="1:26" ht="15.75" customHeight="1" x14ac:dyDescent="0.3">
      <c r="A1168" s="10" t="s">
        <v>2346</v>
      </c>
      <c r="B1168" s="10">
        <v>1970</v>
      </c>
      <c r="C1168" s="10" t="s">
        <v>4713</v>
      </c>
      <c r="D1168" s="10">
        <v>16</v>
      </c>
      <c r="E1168" s="10">
        <v>0</v>
      </c>
      <c r="F1168" s="24">
        <v>9625.92</v>
      </c>
      <c r="G1168" s="10" t="s">
        <v>4695</v>
      </c>
      <c r="H1168" s="10" t="s">
        <v>4696</v>
      </c>
      <c r="I1168" s="10" t="s">
        <v>4716</v>
      </c>
      <c r="J1168" s="17">
        <f t="shared" si="8"/>
        <v>25918</v>
      </c>
      <c r="K1168" s="10">
        <f t="shared" ca="1" si="9"/>
        <v>54</v>
      </c>
      <c r="L1168" s="6"/>
      <c r="M1168" s="6"/>
      <c r="N1168" s="6"/>
      <c r="O1168" s="6"/>
      <c r="P1168" s="6"/>
      <c r="Q1168" s="6"/>
      <c r="R1168" s="6"/>
      <c r="S1168" s="6"/>
      <c r="T1168" s="6"/>
      <c r="U1168" s="6"/>
      <c r="V1168" s="6"/>
      <c r="W1168" s="6"/>
      <c r="X1168" s="6"/>
      <c r="Y1168" s="6"/>
      <c r="Z1168" s="6"/>
    </row>
    <row r="1169" spans="1:26" ht="15.75" customHeight="1" x14ac:dyDescent="0.3">
      <c r="A1169" s="10" t="s">
        <v>2344</v>
      </c>
      <c r="B1169" s="10">
        <v>1998</v>
      </c>
      <c r="C1169" s="10" t="s">
        <v>4710</v>
      </c>
      <c r="D1169" s="10">
        <v>23</v>
      </c>
      <c r="E1169" s="10">
        <v>0</v>
      </c>
      <c r="F1169" s="24">
        <v>9628.7900000000009</v>
      </c>
      <c r="G1169" s="10" t="s">
        <v>4695</v>
      </c>
      <c r="H1169" s="10" t="s">
        <v>4695</v>
      </c>
      <c r="I1169" s="10" t="s">
        <v>4729</v>
      </c>
      <c r="J1169" s="17">
        <f t="shared" si="8"/>
        <v>35969</v>
      </c>
      <c r="K1169" s="10">
        <f t="shared" ca="1" si="9"/>
        <v>27</v>
      </c>
      <c r="L1169" s="6"/>
      <c r="M1169" s="6"/>
      <c r="N1169" s="6"/>
      <c r="O1169" s="6"/>
      <c r="P1169" s="6"/>
      <c r="Q1169" s="6"/>
      <c r="R1169" s="6"/>
      <c r="S1169" s="6"/>
      <c r="T1169" s="6"/>
      <c r="U1169" s="6"/>
      <c r="V1169" s="6"/>
      <c r="W1169" s="6"/>
      <c r="X1169" s="6"/>
      <c r="Y1169" s="6"/>
      <c r="Z1169" s="6"/>
    </row>
    <row r="1170" spans="1:26" ht="15.75" customHeight="1" x14ac:dyDescent="0.3">
      <c r="A1170" s="10" t="s">
        <v>2342</v>
      </c>
      <c r="B1170" s="10">
        <v>1979</v>
      </c>
      <c r="C1170" s="10" t="s">
        <v>4713</v>
      </c>
      <c r="D1170" s="10">
        <v>19</v>
      </c>
      <c r="E1170" s="10">
        <v>2</v>
      </c>
      <c r="F1170" s="24">
        <v>9630.2999999999993</v>
      </c>
      <c r="G1170" s="10" t="s">
        <v>4695</v>
      </c>
      <c r="H1170" s="10" t="s">
        <v>4695</v>
      </c>
      <c r="I1170" s="10" t="s">
        <v>4726</v>
      </c>
      <c r="J1170" s="17">
        <f t="shared" si="8"/>
        <v>29208</v>
      </c>
      <c r="K1170" s="10">
        <f t="shared" ca="1" si="9"/>
        <v>45</v>
      </c>
      <c r="L1170" s="6"/>
      <c r="M1170" s="6"/>
      <c r="N1170" s="6"/>
      <c r="O1170" s="6"/>
      <c r="P1170" s="6"/>
      <c r="Q1170" s="6"/>
      <c r="R1170" s="6"/>
      <c r="S1170" s="6"/>
      <c r="T1170" s="6"/>
      <c r="U1170" s="6"/>
      <c r="V1170" s="6"/>
      <c r="W1170" s="6"/>
      <c r="X1170" s="6"/>
      <c r="Y1170" s="6"/>
      <c r="Z1170" s="6"/>
    </row>
    <row r="1171" spans="1:26" ht="15.75" customHeight="1" x14ac:dyDescent="0.3">
      <c r="A1171" s="10" t="s">
        <v>2340</v>
      </c>
      <c r="B1171" s="10">
        <v>1972</v>
      </c>
      <c r="C1171" s="10" t="s">
        <v>4715</v>
      </c>
      <c r="D1171" s="10">
        <v>23</v>
      </c>
      <c r="E1171" s="10">
        <v>2</v>
      </c>
      <c r="F1171" s="24">
        <v>9630.4</v>
      </c>
      <c r="G1171" s="10" t="s">
        <v>4695</v>
      </c>
      <c r="H1171" s="10" t="s">
        <v>4695</v>
      </c>
      <c r="I1171" s="10" t="s">
        <v>4716</v>
      </c>
      <c r="J1171" s="17">
        <f t="shared" si="8"/>
        <v>26595</v>
      </c>
      <c r="K1171" s="10">
        <f t="shared" ca="1" si="9"/>
        <v>53</v>
      </c>
      <c r="L1171" s="6"/>
      <c r="M1171" s="6"/>
      <c r="N1171" s="6"/>
      <c r="O1171" s="6"/>
      <c r="P1171" s="6"/>
      <c r="Q1171" s="6"/>
      <c r="R1171" s="6"/>
      <c r="S1171" s="6"/>
      <c r="T1171" s="6"/>
      <c r="U1171" s="6"/>
      <c r="V1171" s="6"/>
      <c r="W1171" s="6"/>
      <c r="X1171" s="6"/>
      <c r="Y1171" s="6"/>
      <c r="Z1171" s="6"/>
    </row>
    <row r="1172" spans="1:26" ht="15.75" customHeight="1" x14ac:dyDescent="0.3">
      <c r="A1172" s="10" t="s">
        <v>2338</v>
      </c>
      <c r="B1172" s="10">
        <v>1968</v>
      </c>
      <c r="C1172" s="10" t="s">
        <v>4710</v>
      </c>
      <c r="D1172" s="10">
        <v>22</v>
      </c>
      <c r="E1172" s="10">
        <v>0</v>
      </c>
      <c r="F1172" s="24">
        <v>9630.91</v>
      </c>
      <c r="G1172" s="10" t="s">
        <v>4696</v>
      </c>
      <c r="H1172" s="10" t="s">
        <v>4695</v>
      </c>
      <c r="I1172" s="10" t="s">
        <v>4708</v>
      </c>
      <c r="J1172" s="17">
        <f t="shared" si="8"/>
        <v>25011</v>
      </c>
      <c r="K1172" s="10">
        <f t="shared" ca="1" si="9"/>
        <v>57</v>
      </c>
      <c r="L1172" s="6"/>
      <c r="M1172" s="6"/>
      <c r="N1172" s="6"/>
      <c r="O1172" s="6"/>
      <c r="P1172" s="6"/>
      <c r="Q1172" s="6"/>
      <c r="R1172" s="6"/>
      <c r="S1172" s="6"/>
      <c r="T1172" s="6"/>
      <c r="U1172" s="6"/>
      <c r="V1172" s="6"/>
      <c r="W1172" s="6"/>
      <c r="X1172" s="6"/>
      <c r="Y1172" s="6"/>
      <c r="Z1172" s="6"/>
    </row>
    <row r="1173" spans="1:26" ht="15.75" customHeight="1" x14ac:dyDescent="0.3">
      <c r="A1173" s="10" t="s">
        <v>2336</v>
      </c>
      <c r="B1173" s="10">
        <v>1970</v>
      </c>
      <c r="C1173" s="10" t="s">
        <v>4711</v>
      </c>
      <c r="D1173" s="10">
        <v>30</v>
      </c>
      <c r="E1173" s="10">
        <v>0</v>
      </c>
      <c r="F1173" s="24">
        <v>9634.5400000000009</v>
      </c>
      <c r="G1173" s="10" t="s">
        <v>4695</v>
      </c>
      <c r="H1173" s="10" t="s">
        <v>4695</v>
      </c>
      <c r="I1173" s="10" t="s">
        <v>4716</v>
      </c>
      <c r="J1173" s="17">
        <f t="shared" si="8"/>
        <v>25841</v>
      </c>
      <c r="K1173" s="10">
        <f t="shared" ca="1" si="9"/>
        <v>55</v>
      </c>
      <c r="L1173" s="6"/>
      <c r="M1173" s="6"/>
      <c r="N1173" s="6"/>
      <c r="O1173" s="6"/>
      <c r="P1173" s="6"/>
      <c r="Q1173" s="6"/>
      <c r="R1173" s="6"/>
      <c r="S1173" s="6"/>
      <c r="T1173" s="6"/>
      <c r="U1173" s="6"/>
      <c r="V1173" s="6"/>
      <c r="W1173" s="6"/>
      <c r="X1173" s="6"/>
      <c r="Y1173" s="6"/>
      <c r="Z1173" s="6"/>
    </row>
    <row r="1174" spans="1:26" ht="15.75" customHeight="1" x14ac:dyDescent="0.3">
      <c r="A1174" s="10" t="s">
        <v>2334</v>
      </c>
      <c r="B1174" s="10">
        <v>1971</v>
      </c>
      <c r="C1174" s="10" t="s">
        <v>4707</v>
      </c>
      <c r="D1174" s="10">
        <v>19</v>
      </c>
      <c r="E1174" s="10">
        <v>0</v>
      </c>
      <c r="F1174" s="24">
        <v>9644.25</v>
      </c>
      <c r="G1174" s="10" t="s">
        <v>4695</v>
      </c>
      <c r="H1174" s="10" t="s">
        <v>4694</v>
      </c>
      <c r="I1174" s="10" t="s">
        <v>4712</v>
      </c>
      <c r="J1174" s="17">
        <f t="shared" si="8"/>
        <v>26133</v>
      </c>
      <c r="K1174" s="10">
        <f t="shared" ca="1" si="9"/>
        <v>54</v>
      </c>
      <c r="L1174" s="6"/>
      <c r="M1174" s="6"/>
      <c r="N1174" s="6"/>
      <c r="O1174" s="6"/>
      <c r="P1174" s="6"/>
      <c r="Q1174" s="6"/>
      <c r="R1174" s="6"/>
      <c r="S1174" s="6"/>
      <c r="T1174" s="6"/>
      <c r="U1174" s="6"/>
      <c r="V1174" s="6"/>
      <c r="W1174" s="6"/>
      <c r="X1174" s="6"/>
      <c r="Y1174" s="6"/>
      <c r="Z1174" s="6"/>
    </row>
    <row r="1175" spans="1:26" ht="15.75" customHeight="1" x14ac:dyDescent="0.3">
      <c r="A1175" s="10" t="s">
        <v>2332</v>
      </c>
      <c r="B1175" s="10">
        <v>1974</v>
      </c>
      <c r="C1175" s="10" t="s">
        <v>4707</v>
      </c>
      <c r="D1175" s="10">
        <v>8</v>
      </c>
      <c r="E1175" s="10">
        <v>0</v>
      </c>
      <c r="F1175" s="24">
        <v>9653.81</v>
      </c>
      <c r="G1175" s="10" t="s">
        <v>4695</v>
      </c>
      <c r="H1175" s="10" t="s">
        <v>4695</v>
      </c>
      <c r="I1175" s="10" t="s">
        <v>4716</v>
      </c>
      <c r="J1175" s="17">
        <f t="shared" si="8"/>
        <v>27218</v>
      </c>
      <c r="K1175" s="10">
        <f t="shared" ca="1" si="9"/>
        <v>51</v>
      </c>
      <c r="L1175" s="6"/>
      <c r="M1175" s="6"/>
      <c r="N1175" s="6"/>
      <c r="O1175" s="6"/>
      <c r="P1175" s="6"/>
      <c r="Q1175" s="6"/>
      <c r="R1175" s="6"/>
      <c r="S1175" s="6"/>
      <c r="T1175" s="6"/>
      <c r="U1175" s="6"/>
      <c r="V1175" s="6"/>
      <c r="W1175" s="6"/>
      <c r="X1175" s="6"/>
      <c r="Y1175" s="6"/>
      <c r="Z1175" s="6"/>
    </row>
    <row r="1176" spans="1:26" ht="15.75" customHeight="1" x14ac:dyDescent="0.3">
      <c r="A1176" s="10" t="s">
        <v>2330</v>
      </c>
      <c r="B1176" s="10">
        <v>1981</v>
      </c>
      <c r="C1176" s="10" t="s">
        <v>4714</v>
      </c>
      <c r="D1176" s="10">
        <v>8</v>
      </c>
      <c r="E1176" s="10">
        <v>1</v>
      </c>
      <c r="F1176" s="24">
        <v>9664.34</v>
      </c>
      <c r="G1176" s="10" t="s">
        <v>4695</v>
      </c>
      <c r="H1176" s="10" t="s">
        <v>4696</v>
      </c>
      <c r="I1176" s="10" t="s">
        <v>4716</v>
      </c>
      <c r="J1176" s="17">
        <f t="shared" si="8"/>
        <v>29806</v>
      </c>
      <c r="K1176" s="10">
        <f t="shared" ca="1" si="9"/>
        <v>44</v>
      </c>
      <c r="L1176" s="6"/>
      <c r="M1176" s="6"/>
      <c r="N1176" s="6"/>
      <c r="O1176" s="6"/>
      <c r="P1176" s="6"/>
      <c r="Q1176" s="6"/>
      <c r="R1176" s="6"/>
      <c r="S1176" s="6"/>
      <c r="T1176" s="6"/>
      <c r="U1176" s="6"/>
      <c r="V1176" s="6"/>
      <c r="W1176" s="6"/>
      <c r="X1176" s="6"/>
      <c r="Y1176" s="6"/>
      <c r="Z1176" s="6"/>
    </row>
    <row r="1177" spans="1:26" ht="15.75" customHeight="1" x14ac:dyDescent="0.3">
      <c r="A1177" s="10" t="s">
        <v>2328</v>
      </c>
      <c r="B1177" s="10">
        <v>1966</v>
      </c>
      <c r="C1177" s="10" t="s">
        <v>4711</v>
      </c>
      <c r="D1177" s="10">
        <v>16</v>
      </c>
      <c r="E1177" s="10">
        <v>0</v>
      </c>
      <c r="F1177" s="24">
        <v>9684.2900000000009</v>
      </c>
      <c r="G1177" s="10" t="s">
        <v>4696</v>
      </c>
      <c r="H1177" s="10" t="s">
        <v>4695</v>
      </c>
      <c r="I1177" s="10" t="s">
        <v>4708</v>
      </c>
      <c r="J1177" s="17">
        <f t="shared" si="8"/>
        <v>24366</v>
      </c>
      <c r="K1177" s="10">
        <f t="shared" ca="1" si="9"/>
        <v>59</v>
      </c>
      <c r="L1177" s="6"/>
      <c r="M1177" s="6"/>
      <c r="N1177" s="6"/>
      <c r="O1177" s="6"/>
      <c r="P1177" s="6"/>
      <c r="Q1177" s="6"/>
      <c r="R1177" s="6"/>
      <c r="S1177" s="6"/>
      <c r="T1177" s="6"/>
      <c r="U1177" s="6"/>
      <c r="V1177" s="6"/>
      <c r="W1177" s="6"/>
      <c r="X1177" s="6"/>
      <c r="Y1177" s="6"/>
      <c r="Z1177" s="6"/>
    </row>
    <row r="1178" spans="1:26" ht="15.75" customHeight="1" x14ac:dyDescent="0.3">
      <c r="A1178" s="10" t="s">
        <v>2326</v>
      </c>
      <c r="B1178" s="10">
        <v>1964</v>
      </c>
      <c r="C1178" s="10" t="s">
        <v>4709</v>
      </c>
      <c r="D1178" s="10">
        <v>7</v>
      </c>
      <c r="E1178" s="10">
        <v>0</v>
      </c>
      <c r="F1178" s="24">
        <v>9698.42</v>
      </c>
      <c r="G1178" s="10" t="s">
        <v>4696</v>
      </c>
      <c r="H1178" s="10" t="s">
        <v>4696</v>
      </c>
      <c r="I1178" s="10" t="s">
        <v>4708</v>
      </c>
      <c r="J1178" s="17">
        <f t="shared" si="8"/>
        <v>23688</v>
      </c>
      <c r="K1178" s="10">
        <f t="shared" ca="1" si="9"/>
        <v>61</v>
      </c>
      <c r="L1178" s="6"/>
      <c r="M1178" s="6"/>
      <c r="N1178" s="6"/>
      <c r="O1178" s="6"/>
      <c r="P1178" s="6"/>
      <c r="Q1178" s="6"/>
      <c r="R1178" s="6"/>
      <c r="S1178" s="6"/>
      <c r="T1178" s="6"/>
      <c r="U1178" s="6"/>
      <c r="V1178" s="6"/>
      <c r="W1178" s="6"/>
      <c r="X1178" s="6"/>
      <c r="Y1178" s="6"/>
      <c r="Z1178" s="6"/>
    </row>
    <row r="1179" spans="1:26" ht="15.75" customHeight="1" x14ac:dyDescent="0.3">
      <c r="A1179" s="10" t="s">
        <v>2324</v>
      </c>
      <c r="B1179" s="10">
        <v>1977</v>
      </c>
      <c r="C1179" s="10" t="s">
        <v>4711</v>
      </c>
      <c r="D1179" s="10">
        <v>19</v>
      </c>
      <c r="E1179" s="10">
        <v>3</v>
      </c>
      <c r="F1179" s="24">
        <v>9704.67</v>
      </c>
      <c r="G1179" s="10" t="s">
        <v>4695</v>
      </c>
      <c r="H1179" s="10" t="s">
        <v>4696</v>
      </c>
      <c r="I1179" s="10" t="s">
        <v>4723</v>
      </c>
      <c r="J1179" s="17">
        <f t="shared" si="8"/>
        <v>28387</v>
      </c>
      <c r="K1179" s="10">
        <f t="shared" ca="1" si="9"/>
        <v>48</v>
      </c>
      <c r="L1179" s="6"/>
      <c r="M1179" s="6"/>
      <c r="N1179" s="6"/>
      <c r="O1179" s="6"/>
      <c r="P1179" s="6"/>
      <c r="Q1179" s="6"/>
      <c r="R1179" s="6"/>
      <c r="S1179" s="6"/>
      <c r="T1179" s="6"/>
      <c r="U1179" s="6"/>
      <c r="V1179" s="6"/>
      <c r="W1179" s="6"/>
      <c r="X1179" s="6"/>
      <c r="Y1179" s="6"/>
      <c r="Z1179" s="6"/>
    </row>
    <row r="1180" spans="1:26" ht="15.75" customHeight="1" x14ac:dyDescent="0.3">
      <c r="A1180" s="10" t="s">
        <v>2322</v>
      </c>
      <c r="B1180" s="10">
        <v>1972</v>
      </c>
      <c r="C1180" s="10" t="s">
        <v>4707</v>
      </c>
      <c r="D1180" s="10">
        <v>10</v>
      </c>
      <c r="E1180" s="10">
        <v>0</v>
      </c>
      <c r="F1180" s="24">
        <v>9710.7099999999991</v>
      </c>
      <c r="G1180" s="10" t="s">
        <v>4695</v>
      </c>
      <c r="H1180" s="10" t="s">
        <v>4694</v>
      </c>
      <c r="I1180" s="10" t="s">
        <v>4726</v>
      </c>
      <c r="J1180" s="17">
        <f t="shared" si="8"/>
        <v>26490</v>
      </c>
      <c r="K1180" s="10">
        <f t="shared" ca="1" si="9"/>
        <v>53</v>
      </c>
      <c r="L1180" s="6"/>
      <c r="M1180" s="6"/>
      <c r="N1180" s="6"/>
      <c r="O1180" s="6"/>
      <c r="P1180" s="6"/>
      <c r="Q1180" s="6"/>
      <c r="R1180" s="6"/>
      <c r="S1180" s="6"/>
      <c r="T1180" s="6"/>
      <c r="U1180" s="6"/>
      <c r="V1180" s="6"/>
      <c r="W1180" s="6"/>
      <c r="X1180" s="6"/>
      <c r="Y1180" s="6"/>
      <c r="Z1180" s="6"/>
    </row>
    <row r="1181" spans="1:26" ht="15.75" customHeight="1" x14ac:dyDescent="0.3">
      <c r="A1181" s="10" t="s">
        <v>2320</v>
      </c>
      <c r="B1181" s="10">
        <v>1975</v>
      </c>
      <c r="C1181" s="10" t="s">
        <v>4710</v>
      </c>
      <c r="D1181" s="10">
        <v>27</v>
      </c>
      <c r="E1181" s="10">
        <v>2</v>
      </c>
      <c r="F1181" s="24">
        <v>9715.84</v>
      </c>
      <c r="G1181" s="10" t="s">
        <v>4695</v>
      </c>
      <c r="H1181" s="10" t="s">
        <v>4694</v>
      </c>
      <c r="I1181" s="10" t="s">
        <v>4723</v>
      </c>
      <c r="J1181" s="17">
        <f t="shared" si="8"/>
        <v>27572</v>
      </c>
      <c r="K1181" s="10">
        <f t="shared" ca="1" si="9"/>
        <v>50</v>
      </c>
      <c r="L1181" s="6"/>
      <c r="M1181" s="6"/>
      <c r="N1181" s="6"/>
      <c r="O1181" s="6"/>
      <c r="P1181" s="6"/>
      <c r="Q1181" s="6"/>
      <c r="R1181" s="6"/>
      <c r="S1181" s="6"/>
      <c r="T1181" s="6"/>
      <c r="U1181" s="6"/>
      <c r="V1181" s="6"/>
      <c r="W1181" s="6"/>
      <c r="X1181" s="6"/>
      <c r="Y1181" s="6"/>
      <c r="Z1181" s="6"/>
    </row>
    <row r="1182" spans="1:26" ht="15.75" customHeight="1" x14ac:dyDescent="0.3">
      <c r="A1182" s="10" t="s">
        <v>2318</v>
      </c>
      <c r="B1182" s="10">
        <v>1970</v>
      </c>
      <c r="C1182" s="10" t="s">
        <v>4711</v>
      </c>
      <c r="D1182" s="10">
        <v>12</v>
      </c>
      <c r="E1182" s="10">
        <v>0</v>
      </c>
      <c r="F1182" s="24">
        <v>9722.77</v>
      </c>
      <c r="G1182" s="10" t="s">
        <v>4696</v>
      </c>
      <c r="H1182" s="10" t="s">
        <v>4694</v>
      </c>
      <c r="I1182" s="10" t="s">
        <v>4720</v>
      </c>
      <c r="J1182" s="17">
        <f t="shared" si="8"/>
        <v>25823</v>
      </c>
      <c r="K1182" s="10">
        <f t="shared" ca="1" si="9"/>
        <v>55</v>
      </c>
      <c r="L1182" s="6"/>
      <c r="M1182" s="6"/>
      <c r="N1182" s="6"/>
      <c r="O1182" s="6"/>
      <c r="P1182" s="6"/>
      <c r="Q1182" s="6"/>
      <c r="R1182" s="6"/>
      <c r="S1182" s="6"/>
      <c r="T1182" s="6"/>
      <c r="U1182" s="6"/>
      <c r="V1182" s="6"/>
      <c r="W1182" s="6"/>
      <c r="X1182" s="6"/>
      <c r="Y1182" s="6"/>
      <c r="Z1182" s="6"/>
    </row>
    <row r="1183" spans="1:26" ht="15.75" customHeight="1" x14ac:dyDescent="0.3">
      <c r="A1183" s="10" t="s">
        <v>2316</v>
      </c>
      <c r="B1183" s="10">
        <v>1970</v>
      </c>
      <c r="C1183" s="10" t="s">
        <v>4714</v>
      </c>
      <c r="D1183" s="10">
        <v>18</v>
      </c>
      <c r="E1183" s="10">
        <v>1</v>
      </c>
      <c r="F1183" s="24">
        <v>9724.5300000000007</v>
      </c>
      <c r="G1183" s="10" t="s">
        <v>4696</v>
      </c>
      <c r="H1183" s="10" t="s">
        <v>4694</v>
      </c>
      <c r="I1183" s="10" t="s">
        <v>4716</v>
      </c>
      <c r="J1183" s="17">
        <f t="shared" si="8"/>
        <v>25798</v>
      </c>
      <c r="K1183" s="10">
        <f t="shared" ca="1" si="9"/>
        <v>55</v>
      </c>
      <c r="L1183" s="6"/>
      <c r="M1183" s="6"/>
      <c r="N1183" s="6"/>
      <c r="O1183" s="6"/>
      <c r="P1183" s="6"/>
      <c r="Q1183" s="6"/>
      <c r="R1183" s="6"/>
      <c r="S1183" s="6"/>
      <c r="T1183" s="6"/>
      <c r="U1183" s="6"/>
      <c r="V1183" s="6"/>
      <c r="W1183" s="6"/>
      <c r="X1183" s="6"/>
      <c r="Y1183" s="6"/>
      <c r="Z1183" s="6"/>
    </row>
    <row r="1184" spans="1:26" ht="15.75" customHeight="1" x14ac:dyDescent="0.3">
      <c r="A1184" s="10" t="s">
        <v>2314</v>
      </c>
      <c r="B1184" s="10">
        <v>1970</v>
      </c>
      <c r="C1184" s="10" t="s">
        <v>4707</v>
      </c>
      <c r="D1184" s="10">
        <v>4</v>
      </c>
      <c r="E1184" s="10">
        <v>1</v>
      </c>
      <c r="F1184" s="24">
        <v>9748.91</v>
      </c>
      <c r="G1184" s="10" t="s">
        <v>4695</v>
      </c>
      <c r="H1184" s="10" t="s">
        <v>4694</v>
      </c>
      <c r="I1184" s="10" t="s">
        <v>4708</v>
      </c>
      <c r="J1184" s="17">
        <f t="shared" si="8"/>
        <v>25753</v>
      </c>
      <c r="K1184" s="10">
        <f t="shared" ca="1" si="9"/>
        <v>55</v>
      </c>
      <c r="L1184" s="6"/>
      <c r="M1184" s="6"/>
      <c r="N1184" s="6"/>
      <c r="O1184" s="6"/>
      <c r="P1184" s="6"/>
      <c r="Q1184" s="6"/>
      <c r="R1184" s="6"/>
      <c r="S1184" s="6"/>
      <c r="T1184" s="6"/>
      <c r="U1184" s="6"/>
      <c r="V1184" s="6"/>
      <c r="W1184" s="6"/>
      <c r="X1184" s="6"/>
      <c r="Y1184" s="6"/>
      <c r="Z1184" s="6"/>
    </row>
    <row r="1185" spans="1:26" ht="15.75" customHeight="1" x14ac:dyDescent="0.3">
      <c r="A1185" s="10" t="s">
        <v>2312</v>
      </c>
      <c r="B1185" s="10">
        <v>2001</v>
      </c>
      <c r="C1185" s="10" t="s">
        <v>4707</v>
      </c>
      <c r="D1185" s="10">
        <v>14</v>
      </c>
      <c r="E1185" s="10">
        <v>0</v>
      </c>
      <c r="F1185" s="24">
        <v>9753.49</v>
      </c>
      <c r="G1185" s="10" t="s">
        <v>4695</v>
      </c>
      <c r="H1185" s="10" t="s">
        <v>4695</v>
      </c>
      <c r="I1185" s="10" t="s">
        <v>4712</v>
      </c>
      <c r="J1185" s="17">
        <f t="shared" si="8"/>
        <v>37086</v>
      </c>
      <c r="K1185" s="10">
        <f t="shared" ca="1" si="9"/>
        <v>24</v>
      </c>
      <c r="L1185" s="6"/>
      <c r="M1185" s="6"/>
      <c r="N1185" s="6"/>
      <c r="O1185" s="6"/>
      <c r="P1185" s="6"/>
      <c r="Q1185" s="6"/>
      <c r="R1185" s="6"/>
      <c r="S1185" s="6"/>
      <c r="T1185" s="6"/>
      <c r="U1185" s="6"/>
      <c r="V1185" s="6"/>
      <c r="W1185" s="6"/>
      <c r="X1185" s="6"/>
      <c r="Y1185" s="6"/>
      <c r="Z1185" s="6"/>
    </row>
    <row r="1186" spans="1:26" ht="15.75" customHeight="1" x14ac:dyDescent="0.3">
      <c r="A1186" s="10" t="s">
        <v>2310</v>
      </c>
      <c r="B1186" s="10">
        <v>1965</v>
      </c>
      <c r="C1186" s="10" t="s">
        <v>4711</v>
      </c>
      <c r="D1186" s="10">
        <v>5</v>
      </c>
      <c r="E1186" s="10">
        <v>0</v>
      </c>
      <c r="F1186" s="24">
        <v>9764.08</v>
      </c>
      <c r="G1186" s="10" t="s">
        <v>4696</v>
      </c>
      <c r="H1186" s="10" t="s">
        <v>4694</v>
      </c>
      <c r="I1186" s="10" t="s">
        <v>4712</v>
      </c>
      <c r="J1186" s="17">
        <f t="shared" si="8"/>
        <v>23990</v>
      </c>
      <c r="K1186" s="10">
        <f t="shared" ca="1" si="9"/>
        <v>60</v>
      </c>
      <c r="L1186" s="6"/>
      <c r="M1186" s="6"/>
      <c r="N1186" s="6"/>
      <c r="O1186" s="6"/>
      <c r="P1186" s="6"/>
      <c r="Q1186" s="6"/>
      <c r="R1186" s="6"/>
      <c r="S1186" s="6"/>
      <c r="T1186" s="6"/>
      <c r="U1186" s="6"/>
      <c r="V1186" s="6"/>
      <c r="W1186" s="6"/>
      <c r="X1186" s="6"/>
      <c r="Y1186" s="6"/>
      <c r="Z1186" s="6"/>
    </row>
    <row r="1187" spans="1:26" ht="15.75" customHeight="1" x14ac:dyDescent="0.3">
      <c r="A1187" s="10" t="s">
        <v>2308</v>
      </c>
      <c r="B1187" s="10">
        <v>1973</v>
      </c>
      <c r="C1187" s="10" t="s">
        <v>4707</v>
      </c>
      <c r="D1187" s="10">
        <v>7</v>
      </c>
      <c r="E1187" s="10">
        <v>1</v>
      </c>
      <c r="F1187" s="24">
        <v>9778.35</v>
      </c>
      <c r="G1187" s="10" t="s">
        <v>4695</v>
      </c>
      <c r="H1187" s="10" t="s">
        <v>4695</v>
      </c>
      <c r="I1187" s="10" t="s">
        <v>4723</v>
      </c>
      <c r="J1187" s="17">
        <f t="shared" si="8"/>
        <v>26852</v>
      </c>
      <c r="K1187" s="10">
        <f t="shared" ca="1" si="9"/>
        <v>52</v>
      </c>
      <c r="L1187" s="6"/>
      <c r="M1187" s="6"/>
      <c r="N1187" s="6"/>
      <c r="O1187" s="6"/>
      <c r="P1187" s="6"/>
      <c r="Q1187" s="6"/>
      <c r="R1187" s="6"/>
      <c r="S1187" s="6"/>
      <c r="T1187" s="6"/>
      <c r="U1187" s="6"/>
      <c r="V1187" s="6"/>
      <c r="W1187" s="6"/>
      <c r="X1187" s="6"/>
      <c r="Y1187" s="6"/>
      <c r="Z1187" s="6"/>
    </row>
    <row r="1188" spans="1:26" ht="15.75" customHeight="1" x14ac:dyDescent="0.3">
      <c r="A1188" s="10" t="s">
        <v>2306</v>
      </c>
      <c r="B1188" s="10">
        <v>1996</v>
      </c>
      <c r="C1188" s="10" t="s">
        <v>4714</v>
      </c>
      <c r="D1188" s="10">
        <v>8</v>
      </c>
      <c r="E1188" s="10">
        <v>0</v>
      </c>
      <c r="F1188" s="24">
        <v>9787.32</v>
      </c>
      <c r="G1188" s="10" t="s">
        <v>4695</v>
      </c>
      <c r="H1188" s="10" t="s">
        <v>4696</v>
      </c>
      <c r="I1188" s="10" t="s">
        <v>4724</v>
      </c>
      <c r="J1188" s="17">
        <f t="shared" si="8"/>
        <v>35285</v>
      </c>
      <c r="K1188" s="10">
        <f t="shared" ca="1" si="9"/>
        <v>29</v>
      </c>
      <c r="L1188" s="6"/>
      <c r="M1188" s="6"/>
      <c r="N1188" s="6"/>
      <c r="O1188" s="6"/>
      <c r="P1188" s="6"/>
      <c r="Q1188" s="6"/>
      <c r="R1188" s="6"/>
      <c r="S1188" s="6"/>
      <c r="T1188" s="6"/>
      <c r="U1188" s="6"/>
      <c r="V1188" s="6"/>
      <c r="W1188" s="6"/>
      <c r="X1188" s="6"/>
      <c r="Y1188" s="6"/>
      <c r="Z1188" s="6"/>
    </row>
    <row r="1189" spans="1:26" ht="15.75" customHeight="1" x14ac:dyDescent="0.3">
      <c r="A1189" s="10" t="s">
        <v>2304</v>
      </c>
      <c r="B1189" s="10">
        <v>1977</v>
      </c>
      <c r="C1189" s="10" t="s">
        <v>4710</v>
      </c>
      <c r="D1189" s="10">
        <v>7</v>
      </c>
      <c r="E1189" s="10">
        <v>5</v>
      </c>
      <c r="F1189" s="24">
        <v>9788.8700000000008</v>
      </c>
      <c r="G1189" s="10" t="s">
        <v>4696</v>
      </c>
      <c r="H1189" s="10" t="s">
        <v>4695</v>
      </c>
      <c r="I1189" s="10" t="s">
        <v>4708</v>
      </c>
      <c r="J1189" s="17">
        <f t="shared" si="8"/>
        <v>28283</v>
      </c>
      <c r="K1189" s="10">
        <f t="shared" ca="1" si="9"/>
        <v>48</v>
      </c>
      <c r="L1189" s="6"/>
      <c r="M1189" s="6"/>
      <c r="N1189" s="6"/>
      <c r="O1189" s="6"/>
      <c r="P1189" s="6"/>
      <c r="Q1189" s="6"/>
      <c r="R1189" s="6"/>
      <c r="S1189" s="6"/>
      <c r="T1189" s="6"/>
      <c r="U1189" s="6"/>
      <c r="V1189" s="6"/>
      <c r="W1189" s="6"/>
      <c r="X1189" s="6"/>
      <c r="Y1189" s="6"/>
      <c r="Z1189" s="6"/>
    </row>
    <row r="1190" spans="1:26" ht="15.75" customHeight="1" x14ac:dyDescent="0.3">
      <c r="A1190" s="10" t="s">
        <v>2302</v>
      </c>
      <c r="B1190" s="10">
        <v>1973</v>
      </c>
      <c r="C1190" s="10" t="s">
        <v>4711</v>
      </c>
      <c r="D1190" s="10">
        <v>17</v>
      </c>
      <c r="E1190" s="10">
        <v>2</v>
      </c>
      <c r="F1190" s="24">
        <v>9800.89</v>
      </c>
      <c r="G1190" s="10" t="s">
        <v>4695</v>
      </c>
      <c r="H1190" s="10" t="s">
        <v>4694</v>
      </c>
      <c r="I1190" s="10" t="s">
        <v>4708</v>
      </c>
      <c r="J1190" s="17">
        <f t="shared" si="8"/>
        <v>26924</v>
      </c>
      <c r="K1190" s="10">
        <f t="shared" ca="1" si="9"/>
        <v>52</v>
      </c>
      <c r="L1190" s="6"/>
      <c r="M1190" s="6"/>
      <c r="N1190" s="6"/>
      <c r="O1190" s="6"/>
      <c r="P1190" s="6"/>
      <c r="Q1190" s="6"/>
      <c r="R1190" s="6"/>
      <c r="S1190" s="6"/>
      <c r="T1190" s="6"/>
      <c r="U1190" s="6"/>
      <c r="V1190" s="6"/>
      <c r="W1190" s="6"/>
      <c r="X1190" s="6"/>
      <c r="Y1190" s="6"/>
      <c r="Z1190" s="6"/>
    </row>
    <row r="1191" spans="1:26" ht="15.75" customHeight="1" x14ac:dyDescent="0.3">
      <c r="A1191" s="10" t="s">
        <v>2300</v>
      </c>
      <c r="B1191" s="10">
        <v>1972</v>
      </c>
      <c r="C1191" s="10" t="s">
        <v>4710</v>
      </c>
      <c r="D1191" s="10">
        <v>28</v>
      </c>
      <c r="E1191" s="10">
        <v>0</v>
      </c>
      <c r="F1191" s="24">
        <v>9819.25</v>
      </c>
      <c r="G1191" s="10" t="s">
        <v>4695</v>
      </c>
      <c r="H1191" s="10" t="s">
        <v>4695</v>
      </c>
      <c r="I1191" s="10" t="s">
        <v>4726</v>
      </c>
      <c r="J1191" s="17">
        <f t="shared" si="8"/>
        <v>26478</v>
      </c>
      <c r="K1191" s="10">
        <f t="shared" ca="1" si="9"/>
        <v>53</v>
      </c>
      <c r="L1191" s="6"/>
      <c r="M1191" s="6"/>
      <c r="N1191" s="6"/>
      <c r="O1191" s="6"/>
      <c r="P1191" s="6"/>
      <c r="Q1191" s="6"/>
      <c r="R1191" s="6"/>
      <c r="S1191" s="6"/>
      <c r="T1191" s="6"/>
      <c r="U1191" s="6"/>
      <c r="V1191" s="6"/>
      <c r="W1191" s="6"/>
      <c r="X1191" s="6"/>
      <c r="Y1191" s="6"/>
      <c r="Z1191" s="6"/>
    </row>
    <row r="1192" spans="1:26" ht="15.75" customHeight="1" x14ac:dyDescent="0.3">
      <c r="A1192" s="10" t="s">
        <v>2298</v>
      </c>
      <c r="B1192" s="10">
        <v>1972</v>
      </c>
      <c r="C1192" s="10" t="s">
        <v>4711</v>
      </c>
      <c r="D1192" s="10">
        <v>26</v>
      </c>
      <c r="E1192" s="10">
        <v>0</v>
      </c>
      <c r="F1192" s="24">
        <v>9836.2099999999991</v>
      </c>
      <c r="G1192" s="10" t="s">
        <v>4695</v>
      </c>
      <c r="H1192" s="10" t="s">
        <v>4696</v>
      </c>
      <c r="I1192" s="10" t="s">
        <v>4726</v>
      </c>
      <c r="J1192" s="17">
        <f t="shared" si="8"/>
        <v>26568</v>
      </c>
      <c r="K1192" s="10">
        <f t="shared" ca="1" si="9"/>
        <v>53</v>
      </c>
      <c r="L1192" s="6"/>
      <c r="M1192" s="6"/>
      <c r="N1192" s="6"/>
      <c r="O1192" s="6"/>
      <c r="P1192" s="6"/>
      <c r="Q1192" s="6"/>
      <c r="R1192" s="6"/>
      <c r="S1192" s="6"/>
      <c r="T1192" s="6"/>
      <c r="U1192" s="6"/>
      <c r="V1192" s="6"/>
      <c r="W1192" s="6"/>
      <c r="X1192" s="6"/>
      <c r="Y1192" s="6"/>
      <c r="Z1192" s="6"/>
    </row>
    <row r="1193" spans="1:26" ht="15.75" customHeight="1" x14ac:dyDescent="0.3">
      <c r="A1193" s="10" t="s">
        <v>2296</v>
      </c>
      <c r="B1193" s="10">
        <v>1992</v>
      </c>
      <c r="C1193" s="10" t="s">
        <v>4714</v>
      </c>
      <c r="D1193" s="10">
        <v>13</v>
      </c>
      <c r="E1193" s="10">
        <v>0</v>
      </c>
      <c r="F1193" s="24">
        <v>9844.4500000000007</v>
      </c>
      <c r="G1193" s="10" t="s">
        <v>4695</v>
      </c>
      <c r="H1193" s="10" t="s">
        <v>4694</v>
      </c>
      <c r="I1193" s="10" t="s">
        <v>4712</v>
      </c>
      <c r="J1193" s="17">
        <f t="shared" si="8"/>
        <v>33829</v>
      </c>
      <c r="K1193" s="10">
        <f t="shared" ca="1" si="9"/>
        <v>33</v>
      </c>
      <c r="L1193" s="6"/>
      <c r="M1193" s="6"/>
      <c r="N1193" s="6"/>
      <c r="O1193" s="6"/>
      <c r="P1193" s="6"/>
      <c r="Q1193" s="6"/>
      <c r="R1193" s="6"/>
      <c r="S1193" s="6"/>
      <c r="T1193" s="6"/>
      <c r="U1193" s="6"/>
      <c r="V1193" s="6"/>
      <c r="W1193" s="6"/>
      <c r="X1193" s="6"/>
      <c r="Y1193" s="6"/>
      <c r="Z1193" s="6"/>
    </row>
    <row r="1194" spans="1:26" ht="15.75" customHeight="1" x14ac:dyDescent="0.3">
      <c r="A1194" s="10" t="s">
        <v>2294</v>
      </c>
      <c r="B1194" s="10">
        <v>1968</v>
      </c>
      <c r="C1194" s="10" t="s">
        <v>4709</v>
      </c>
      <c r="D1194" s="10">
        <v>4</v>
      </c>
      <c r="E1194" s="10">
        <v>0</v>
      </c>
      <c r="F1194" s="24">
        <v>9850.43</v>
      </c>
      <c r="G1194" s="10" t="s">
        <v>4696</v>
      </c>
      <c r="H1194" s="10" t="s">
        <v>4696</v>
      </c>
      <c r="I1194" s="10" t="s">
        <v>4716</v>
      </c>
      <c r="J1194" s="17">
        <f t="shared" si="8"/>
        <v>25146</v>
      </c>
      <c r="K1194" s="10">
        <f t="shared" ca="1" si="9"/>
        <v>57</v>
      </c>
      <c r="L1194" s="6"/>
      <c r="M1194" s="6"/>
      <c r="N1194" s="6"/>
      <c r="O1194" s="6"/>
      <c r="P1194" s="6"/>
      <c r="Q1194" s="6"/>
      <c r="R1194" s="6"/>
      <c r="S1194" s="6"/>
      <c r="T1194" s="6"/>
      <c r="U1194" s="6"/>
      <c r="V1194" s="6"/>
      <c r="W1194" s="6"/>
      <c r="X1194" s="6"/>
      <c r="Y1194" s="6"/>
      <c r="Z1194" s="6"/>
    </row>
    <row r="1195" spans="1:26" ht="15.75" customHeight="1" x14ac:dyDescent="0.3">
      <c r="A1195" s="10" t="s">
        <v>2292</v>
      </c>
      <c r="B1195" s="10">
        <v>1971</v>
      </c>
      <c r="C1195" s="10" t="s">
        <v>4715</v>
      </c>
      <c r="D1195" s="10">
        <v>23</v>
      </c>
      <c r="E1195" s="10">
        <v>1</v>
      </c>
      <c r="F1195" s="24">
        <v>9855.1299999999992</v>
      </c>
      <c r="G1195" s="10" t="s">
        <v>4695</v>
      </c>
      <c r="H1195" s="10" t="s">
        <v>4696</v>
      </c>
      <c r="I1195" s="10" t="s">
        <v>4708</v>
      </c>
      <c r="J1195" s="17">
        <f t="shared" si="8"/>
        <v>26229</v>
      </c>
      <c r="K1195" s="10">
        <f t="shared" ca="1" si="9"/>
        <v>54</v>
      </c>
      <c r="L1195" s="6"/>
      <c r="M1195" s="6"/>
      <c r="N1195" s="6"/>
      <c r="O1195" s="6"/>
      <c r="P1195" s="6"/>
      <c r="Q1195" s="6"/>
      <c r="R1195" s="6"/>
      <c r="S1195" s="6"/>
      <c r="T1195" s="6"/>
      <c r="U1195" s="6"/>
      <c r="V1195" s="6"/>
      <c r="W1195" s="6"/>
      <c r="X1195" s="6"/>
      <c r="Y1195" s="6"/>
      <c r="Z1195" s="6"/>
    </row>
    <row r="1196" spans="1:26" ht="15.75" customHeight="1" x14ac:dyDescent="0.3">
      <c r="A1196" s="10" t="s">
        <v>2290</v>
      </c>
      <c r="B1196" s="10">
        <v>1971</v>
      </c>
      <c r="C1196" s="10" t="s">
        <v>4707</v>
      </c>
      <c r="D1196" s="10">
        <v>17</v>
      </c>
      <c r="E1196" s="10">
        <v>1</v>
      </c>
      <c r="F1196" s="24">
        <v>9861.0300000000007</v>
      </c>
      <c r="G1196" s="10" t="s">
        <v>4695</v>
      </c>
      <c r="H1196" s="10" t="s">
        <v>4695</v>
      </c>
      <c r="I1196" s="10" t="s">
        <v>4716</v>
      </c>
      <c r="J1196" s="17">
        <f t="shared" si="8"/>
        <v>26131</v>
      </c>
      <c r="K1196" s="10">
        <f t="shared" ca="1" si="9"/>
        <v>54</v>
      </c>
      <c r="L1196" s="6"/>
      <c r="M1196" s="6"/>
      <c r="N1196" s="6"/>
      <c r="O1196" s="6"/>
      <c r="P1196" s="6"/>
      <c r="Q1196" s="6"/>
      <c r="R1196" s="6"/>
      <c r="S1196" s="6"/>
      <c r="T1196" s="6"/>
      <c r="U1196" s="6"/>
      <c r="V1196" s="6"/>
      <c r="W1196" s="6"/>
      <c r="X1196" s="6"/>
      <c r="Y1196" s="6"/>
      <c r="Z1196" s="6"/>
    </row>
    <row r="1197" spans="1:26" ht="15.75" customHeight="1" x14ac:dyDescent="0.3">
      <c r="A1197" s="10" t="s">
        <v>2288</v>
      </c>
      <c r="B1197" s="10">
        <v>1969</v>
      </c>
      <c r="C1197" s="10" t="s">
        <v>4715</v>
      </c>
      <c r="D1197" s="10">
        <v>20</v>
      </c>
      <c r="E1197" s="10">
        <v>0</v>
      </c>
      <c r="F1197" s="24">
        <v>9863.4699999999993</v>
      </c>
      <c r="G1197" s="10" t="s">
        <v>4696</v>
      </c>
      <c r="H1197" s="10" t="s">
        <v>4696</v>
      </c>
      <c r="I1197" s="10" t="s">
        <v>4712</v>
      </c>
      <c r="J1197" s="17">
        <f t="shared" si="8"/>
        <v>25496</v>
      </c>
      <c r="K1197" s="10">
        <f t="shared" ca="1" si="9"/>
        <v>56</v>
      </c>
      <c r="L1197" s="6"/>
      <c r="M1197" s="6"/>
      <c r="N1197" s="6"/>
      <c r="O1197" s="6"/>
      <c r="P1197" s="6"/>
      <c r="Q1197" s="6"/>
      <c r="R1197" s="6"/>
      <c r="S1197" s="6"/>
      <c r="T1197" s="6"/>
      <c r="U1197" s="6"/>
      <c r="V1197" s="6"/>
      <c r="W1197" s="6"/>
      <c r="X1197" s="6"/>
      <c r="Y1197" s="6"/>
      <c r="Z1197" s="6"/>
    </row>
    <row r="1198" spans="1:26" ht="15.75" customHeight="1" x14ac:dyDescent="0.3">
      <c r="A1198" s="10" t="s">
        <v>2286</v>
      </c>
      <c r="B1198" s="10">
        <v>1971</v>
      </c>
      <c r="C1198" s="10" t="s">
        <v>4709</v>
      </c>
      <c r="D1198" s="10">
        <v>9</v>
      </c>
      <c r="E1198" s="10">
        <v>0</v>
      </c>
      <c r="F1198" s="24">
        <v>9866.2999999999993</v>
      </c>
      <c r="G1198" s="10" t="s">
        <v>4695</v>
      </c>
      <c r="H1198" s="10" t="s">
        <v>4696</v>
      </c>
      <c r="I1198" s="10" t="s">
        <v>4723</v>
      </c>
      <c r="J1198" s="17">
        <f t="shared" si="8"/>
        <v>26246</v>
      </c>
      <c r="K1198" s="10">
        <f t="shared" ca="1" si="9"/>
        <v>54</v>
      </c>
      <c r="L1198" s="6"/>
      <c r="M1198" s="6"/>
      <c r="N1198" s="6"/>
      <c r="O1198" s="6"/>
      <c r="P1198" s="6"/>
      <c r="Q1198" s="6"/>
      <c r="R1198" s="6"/>
      <c r="S1198" s="6"/>
      <c r="T1198" s="6"/>
      <c r="U1198" s="6"/>
      <c r="V1198" s="6"/>
      <c r="W1198" s="6"/>
      <c r="X1198" s="6"/>
      <c r="Y1198" s="6"/>
      <c r="Z1198" s="6"/>
    </row>
    <row r="1199" spans="1:26" ht="15.75" customHeight="1" x14ac:dyDescent="0.3">
      <c r="A1199" s="10" t="s">
        <v>2284</v>
      </c>
      <c r="B1199" s="10">
        <v>1969</v>
      </c>
      <c r="C1199" s="10" t="s">
        <v>4714</v>
      </c>
      <c r="D1199" s="10">
        <v>13</v>
      </c>
      <c r="E1199" s="10">
        <v>0</v>
      </c>
      <c r="F1199" s="24">
        <v>9869.81</v>
      </c>
      <c r="G1199" s="10" t="s">
        <v>4696</v>
      </c>
      <c r="H1199" s="10" t="s">
        <v>4696</v>
      </c>
      <c r="I1199" s="10" t="s">
        <v>4712</v>
      </c>
      <c r="J1199" s="17">
        <f t="shared" si="8"/>
        <v>25428</v>
      </c>
      <c r="K1199" s="10">
        <f t="shared" ca="1" si="9"/>
        <v>56</v>
      </c>
      <c r="L1199" s="6"/>
      <c r="M1199" s="6"/>
      <c r="N1199" s="6"/>
      <c r="O1199" s="6"/>
      <c r="P1199" s="6"/>
      <c r="Q1199" s="6"/>
      <c r="R1199" s="6"/>
      <c r="S1199" s="6"/>
      <c r="T1199" s="6"/>
      <c r="U1199" s="6"/>
      <c r="V1199" s="6"/>
      <c r="W1199" s="6"/>
      <c r="X1199" s="6"/>
      <c r="Y1199" s="6"/>
      <c r="Z1199" s="6"/>
    </row>
    <row r="1200" spans="1:26" ht="15.75" customHeight="1" x14ac:dyDescent="0.3">
      <c r="A1200" s="10" t="s">
        <v>2282</v>
      </c>
      <c r="B1200" s="10">
        <v>1998</v>
      </c>
      <c r="C1200" s="10" t="s">
        <v>4707</v>
      </c>
      <c r="D1200" s="10">
        <v>6</v>
      </c>
      <c r="E1200" s="10">
        <v>0</v>
      </c>
      <c r="F1200" s="24">
        <v>9870.59</v>
      </c>
      <c r="G1200" s="10" t="s">
        <v>4695</v>
      </c>
      <c r="H1200" s="10" t="s">
        <v>4695</v>
      </c>
      <c r="I1200" s="10" t="s">
        <v>4724</v>
      </c>
      <c r="J1200" s="17">
        <f t="shared" si="8"/>
        <v>35982</v>
      </c>
      <c r="K1200" s="10">
        <f t="shared" ca="1" si="9"/>
        <v>27</v>
      </c>
      <c r="L1200" s="6"/>
      <c r="M1200" s="6"/>
      <c r="N1200" s="6"/>
      <c r="O1200" s="6"/>
      <c r="P1200" s="6"/>
      <c r="Q1200" s="6"/>
      <c r="R1200" s="6"/>
      <c r="S1200" s="6"/>
      <c r="T1200" s="6"/>
      <c r="U1200" s="6"/>
      <c r="V1200" s="6"/>
      <c r="W1200" s="6"/>
      <c r="X1200" s="6"/>
      <c r="Y1200" s="6"/>
      <c r="Z1200" s="6"/>
    </row>
    <row r="1201" spans="1:26" ht="15.75" customHeight="1" x14ac:dyDescent="0.3">
      <c r="A1201" s="10" t="s">
        <v>2280</v>
      </c>
      <c r="B1201" s="10">
        <v>1971</v>
      </c>
      <c r="C1201" s="10" t="s">
        <v>4713</v>
      </c>
      <c r="D1201" s="10">
        <v>22</v>
      </c>
      <c r="E1201" s="10">
        <v>1</v>
      </c>
      <c r="F1201" s="24">
        <v>9872.7000000000007</v>
      </c>
      <c r="G1201" s="10" t="s">
        <v>4695</v>
      </c>
      <c r="H1201" s="10" t="s">
        <v>4695</v>
      </c>
      <c r="I1201" s="10" t="s">
        <v>4716</v>
      </c>
      <c r="J1201" s="17">
        <f t="shared" si="8"/>
        <v>26289</v>
      </c>
      <c r="K1201" s="10">
        <f t="shared" ca="1" si="9"/>
        <v>53</v>
      </c>
      <c r="L1201" s="6"/>
      <c r="M1201" s="6"/>
      <c r="N1201" s="6"/>
      <c r="O1201" s="6"/>
      <c r="P1201" s="6"/>
      <c r="Q1201" s="6"/>
      <c r="R1201" s="6"/>
      <c r="S1201" s="6"/>
      <c r="T1201" s="6"/>
      <c r="U1201" s="6"/>
      <c r="V1201" s="6"/>
      <c r="W1201" s="6"/>
      <c r="X1201" s="6"/>
      <c r="Y1201" s="6"/>
      <c r="Z1201" s="6"/>
    </row>
    <row r="1202" spans="1:26" ht="15.75" customHeight="1" x14ac:dyDescent="0.3">
      <c r="A1202" s="10" t="s">
        <v>2278</v>
      </c>
      <c r="B1202" s="10">
        <v>1971</v>
      </c>
      <c r="C1202" s="10" t="s">
        <v>4707</v>
      </c>
      <c r="D1202" s="10">
        <v>3</v>
      </c>
      <c r="E1202" s="10">
        <v>0</v>
      </c>
      <c r="F1202" s="24">
        <v>9875.68</v>
      </c>
      <c r="G1202" s="10" t="s">
        <v>4695</v>
      </c>
      <c r="H1202" s="10" t="s">
        <v>4696</v>
      </c>
      <c r="I1202" s="10" t="s">
        <v>4723</v>
      </c>
      <c r="J1202" s="17">
        <f t="shared" si="8"/>
        <v>26117</v>
      </c>
      <c r="K1202" s="10">
        <f t="shared" ca="1" si="9"/>
        <v>54</v>
      </c>
      <c r="L1202" s="6"/>
      <c r="M1202" s="6"/>
      <c r="N1202" s="6"/>
      <c r="O1202" s="6"/>
      <c r="P1202" s="6"/>
      <c r="Q1202" s="6"/>
      <c r="R1202" s="6"/>
      <c r="S1202" s="6"/>
      <c r="T1202" s="6"/>
      <c r="U1202" s="6"/>
      <c r="V1202" s="6"/>
      <c r="W1202" s="6"/>
      <c r="X1202" s="6"/>
      <c r="Y1202" s="6"/>
      <c r="Z1202" s="6"/>
    </row>
    <row r="1203" spans="1:26" ht="15.75" customHeight="1" x14ac:dyDescent="0.3">
      <c r="A1203" s="10" t="s">
        <v>2276</v>
      </c>
      <c r="B1203" s="10">
        <v>1971</v>
      </c>
      <c r="C1203" s="10" t="s">
        <v>4715</v>
      </c>
      <c r="D1203" s="10">
        <v>3</v>
      </c>
      <c r="E1203" s="10">
        <v>1</v>
      </c>
      <c r="F1203" s="24">
        <v>9877.61</v>
      </c>
      <c r="G1203" s="10" t="s">
        <v>4695</v>
      </c>
      <c r="H1203" s="10" t="s">
        <v>4694</v>
      </c>
      <c r="I1203" s="10" t="s">
        <v>4708</v>
      </c>
      <c r="J1203" s="17">
        <f t="shared" si="8"/>
        <v>26209</v>
      </c>
      <c r="K1203" s="10">
        <f t="shared" ca="1" si="9"/>
        <v>54</v>
      </c>
      <c r="L1203" s="6"/>
      <c r="M1203" s="6"/>
      <c r="N1203" s="6"/>
      <c r="O1203" s="6"/>
      <c r="P1203" s="6"/>
      <c r="Q1203" s="6"/>
      <c r="R1203" s="6"/>
      <c r="S1203" s="6"/>
      <c r="T1203" s="6"/>
      <c r="U1203" s="6"/>
      <c r="V1203" s="6"/>
      <c r="W1203" s="6"/>
      <c r="X1203" s="6"/>
      <c r="Y1203" s="6"/>
      <c r="Z1203" s="6"/>
    </row>
    <row r="1204" spans="1:26" ht="15.75" customHeight="1" x14ac:dyDescent="0.3">
      <c r="A1204" s="10" t="s">
        <v>2274</v>
      </c>
      <c r="B1204" s="10">
        <v>1971</v>
      </c>
      <c r="C1204" s="10" t="s">
        <v>4709</v>
      </c>
      <c r="D1204" s="10">
        <v>8</v>
      </c>
      <c r="E1204" s="10">
        <v>1</v>
      </c>
      <c r="F1204" s="24">
        <v>9880.07</v>
      </c>
      <c r="G1204" s="10" t="s">
        <v>4695</v>
      </c>
      <c r="H1204" s="10" t="s">
        <v>4696</v>
      </c>
      <c r="I1204" s="10" t="s">
        <v>4716</v>
      </c>
      <c r="J1204" s="17">
        <f t="shared" si="8"/>
        <v>26245</v>
      </c>
      <c r="K1204" s="10">
        <f t="shared" ca="1" si="9"/>
        <v>54</v>
      </c>
      <c r="L1204" s="6"/>
      <c r="M1204" s="6"/>
      <c r="N1204" s="6"/>
      <c r="O1204" s="6"/>
      <c r="P1204" s="6"/>
      <c r="Q1204" s="6"/>
      <c r="R1204" s="6"/>
      <c r="S1204" s="6"/>
      <c r="T1204" s="6"/>
      <c r="U1204" s="6"/>
      <c r="V1204" s="6"/>
      <c r="W1204" s="6"/>
      <c r="X1204" s="6"/>
      <c r="Y1204" s="6"/>
      <c r="Z1204" s="6"/>
    </row>
    <row r="1205" spans="1:26" ht="15.75" customHeight="1" x14ac:dyDescent="0.3">
      <c r="A1205" s="10" t="s">
        <v>2272</v>
      </c>
      <c r="B1205" s="10">
        <v>1966</v>
      </c>
      <c r="C1205" s="10" t="s">
        <v>4709</v>
      </c>
      <c r="D1205" s="10">
        <v>5</v>
      </c>
      <c r="E1205" s="10">
        <v>0</v>
      </c>
      <c r="F1205" s="24">
        <v>9890.23</v>
      </c>
      <c r="G1205" s="10" t="s">
        <v>4696</v>
      </c>
      <c r="H1205" s="10" t="s">
        <v>4696</v>
      </c>
      <c r="I1205" s="10" t="s">
        <v>4708</v>
      </c>
      <c r="J1205" s="17">
        <f t="shared" si="8"/>
        <v>24416</v>
      </c>
      <c r="K1205" s="10">
        <f t="shared" ca="1" si="9"/>
        <v>59</v>
      </c>
      <c r="L1205" s="6"/>
      <c r="M1205" s="6"/>
      <c r="N1205" s="6"/>
      <c r="O1205" s="6"/>
      <c r="P1205" s="6"/>
      <c r="Q1205" s="6"/>
      <c r="R1205" s="6"/>
      <c r="S1205" s="6"/>
      <c r="T1205" s="6"/>
      <c r="U1205" s="6"/>
      <c r="V1205" s="6"/>
      <c r="W1205" s="6"/>
      <c r="X1205" s="6"/>
      <c r="Y1205" s="6"/>
      <c r="Z1205" s="6"/>
    </row>
    <row r="1206" spans="1:26" ht="15.75" customHeight="1" x14ac:dyDescent="0.3">
      <c r="A1206" s="10" t="s">
        <v>2270</v>
      </c>
      <c r="B1206" s="10">
        <v>1996</v>
      </c>
      <c r="C1206" s="10" t="s">
        <v>4707</v>
      </c>
      <c r="D1206" s="10">
        <v>8</v>
      </c>
      <c r="E1206" s="10">
        <v>0</v>
      </c>
      <c r="F1206" s="24">
        <v>9894.69</v>
      </c>
      <c r="G1206" s="10" t="s">
        <v>4695</v>
      </c>
      <c r="H1206" s="10" t="s">
        <v>4696</v>
      </c>
      <c r="I1206" s="10" t="s">
        <v>4712</v>
      </c>
      <c r="J1206" s="17">
        <f t="shared" si="8"/>
        <v>35254</v>
      </c>
      <c r="K1206" s="10">
        <f t="shared" ca="1" si="9"/>
        <v>29</v>
      </c>
      <c r="L1206" s="6"/>
      <c r="M1206" s="6"/>
      <c r="N1206" s="6"/>
      <c r="O1206" s="6"/>
      <c r="P1206" s="6"/>
      <c r="Q1206" s="6"/>
      <c r="R1206" s="6"/>
      <c r="S1206" s="6"/>
      <c r="T1206" s="6"/>
      <c r="U1206" s="6"/>
      <c r="V1206" s="6"/>
      <c r="W1206" s="6"/>
      <c r="X1206" s="6"/>
      <c r="Y1206" s="6"/>
      <c r="Z1206" s="6"/>
    </row>
    <row r="1207" spans="1:26" ht="15.75" customHeight="1" x14ac:dyDescent="0.3">
      <c r="A1207" s="10" t="s">
        <v>2268</v>
      </c>
      <c r="B1207" s="10">
        <v>1962</v>
      </c>
      <c r="C1207" s="10" t="s">
        <v>4714</v>
      </c>
      <c r="D1207" s="10">
        <v>17</v>
      </c>
      <c r="E1207" s="10">
        <v>0</v>
      </c>
      <c r="F1207" s="24">
        <v>9907.83</v>
      </c>
      <c r="G1207" s="10" t="s">
        <v>4696</v>
      </c>
      <c r="H1207" s="10" t="s">
        <v>4695</v>
      </c>
      <c r="I1207" s="10" t="s">
        <v>4708</v>
      </c>
      <c r="J1207" s="17">
        <f t="shared" si="8"/>
        <v>22875</v>
      </c>
      <c r="K1207" s="10">
        <f t="shared" ca="1" si="9"/>
        <v>63</v>
      </c>
      <c r="L1207" s="6"/>
      <c r="M1207" s="6"/>
      <c r="N1207" s="6"/>
      <c r="O1207" s="6"/>
      <c r="P1207" s="6"/>
      <c r="Q1207" s="6"/>
      <c r="R1207" s="6"/>
      <c r="S1207" s="6"/>
      <c r="T1207" s="6"/>
      <c r="U1207" s="6"/>
      <c r="V1207" s="6"/>
      <c r="W1207" s="6"/>
      <c r="X1207" s="6"/>
      <c r="Y1207" s="6"/>
      <c r="Z1207" s="6"/>
    </row>
    <row r="1208" spans="1:26" ht="15.75" customHeight="1" x14ac:dyDescent="0.3">
      <c r="A1208" s="10" t="s">
        <v>2266</v>
      </c>
      <c r="B1208" s="10">
        <v>1972</v>
      </c>
      <c r="C1208" s="10" t="s">
        <v>4711</v>
      </c>
      <c r="D1208" s="10">
        <v>14</v>
      </c>
      <c r="E1208" s="10">
        <v>1</v>
      </c>
      <c r="F1208" s="24">
        <v>9910.36</v>
      </c>
      <c r="G1208" s="10" t="s">
        <v>4695</v>
      </c>
      <c r="H1208" s="10" t="s">
        <v>4696</v>
      </c>
      <c r="I1208" s="10" t="s">
        <v>4712</v>
      </c>
      <c r="J1208" s="17">
        <f t="shared" si="8"/>
        <v>26556</v>
      </c>
      <c r="K1208" s="10">
        <f t="shared" ca="1" si="9"/>
        <v>53</v>
      </c>
      <c r="L1208" s="6"/>
      <c r="M1208" s="6"/>
      <c r="N1208" s="6"/>
      <c r="O1208" s="6"/>
      <c r="P1208" s="6"/>
      <c r="Q1208" s="6"/>
      <c r="R1208" s="6"/>
      <c r="S1208" s="6"/>
      <c r="T1208" s="6"/>
      <c r="U1208" s="6"/>
      <c r="V1208" s="6"/>
      <c r="W1208" s="6"/>
      <c r="X1208" s="6"/>
      <c r="Y1208" s="6"/>
      <c r="Z1208" s="6"/>
    </row>
    <row r="1209" spans="1:26" ht="15.75" customHeight="1" x14ac:dyDescent="0.3">
      <c r="A1209" s="10" t="s">
        <v>2264</v>
      </c>
      <c r="B1209" s="10">
        <v>1985</v>
      </c>
      <c r="C1209" s="10" t="s">
        <v>4714</v>
      </c>
      <c r="D1209" s="10">
        <v>19</v>
      </c>
      <c r="E1209" s="10">
        <v>3</v>
      </c>
      <c r="F1209" s="24">
        <v>9930.64</v>
      </c>
      <c r="G1209" s="10" t="s">
        <v>4695</v>
      </c>
      <c r="H1209" s="10" t="s">
        <v>4696</v>
      </c>
      <c r="I1209" s="10" t="s">
        <v>4722</v>
      </c>
      <c r="J1209" s="17">
        <f t="shared" si="8"/>
        <v>31278</v>
      </c>
      <c r="K1209" s="10">
        <f t="shared" ca="1" si="9"/>
        <v>40</v>
      </c>
      <c r="L1209" s="6"/>
      <c r="M1209" s="6"/>
      <c r="N1209" s="6"/>
      <c r="O1209" s="6"/>
      <c r="P1209" s="6"/>
      <c r="Q1209" s="6"/>
      <c r="R1209" s="6"/>
      <c r="S1209" s="6"/>
      <c r="T1209" s="6"/>
      <c r="U1209" s="6"/>
      <c r="V1209" s="6"/>
      <c r="W1209" s="6"/>
      <c r="X1209" s="6"/>
      <c r="Y1209" s="6"/>
      <c r="Z1209" s="6"/>
    </row>
    <row r="1210" spans="1:26" ht="15.75" customHeight="1" x14ac:dyDescent="0.3">
      <c r="A1210" s="10" t="s">
        <v>2262</v>
      </c>
      <c r="B1210" s="10">
        <v>1983</v>
      </c>
      <c r="C1210" s="10" t="s">
        <v>4713</v>
      </c>
      <c r="D1210" s="10">
        <v>3</v>
      </c>
      <c r="E1210" s="10">
        <v>3</v>
      </c>
      <c r="F1210" s="24">
        <v>9931.9599999999991</v>
      </c>
      <c r="G1210" s="10" t="s">
        <v>4695</v>
      </c>
      <c r="H1210" s="10" t="s">
        <v>4695</v>
      </c>
      <c r="I1210" s="10" t="s">
        <v>4712</v>
      </c>
      <c r="J1210" s="17">
        <f t="shared" si="8"/>
        <v>30653</v>
      </c>
      <c r="K1210" s="10">
        <f t="shared" ca="1" si="9"/>
        <v>41</v>
      </c>
      <c r="L1210" s="6"/>
      <c r="M1210" s="6"/>
      <c r="N1210" s="6"/>
      <c r="O1210" s="6"/>
      <c r="P1210" s="6"/>
      <c r="Q1210" s="6"/>
      <c r="R1210" s="6"/>
      <c r="S1210" s="6"/>
      <c r="T1210" s="6"/>
      <c r="U1210" s="6"/>
      <c r="V1210" s="6"/>
      <c r="W1210" s="6"/>
      <c r="X1210" s="6"/>
      <c r="Y1210" s="6"/>
      <c r="Z1210" s="6"/>
    </row>
    <row r="1211" spans="1:26" ht="15.75" customHeight="1" x14ac:dyDescent="0.3">
      <c r="A1211" s="10" t="s">
        <v>2260</v>
      </c>
      <c r="B1211" s="10">
        <v>1964</v>
      </c>
      <c r="C1211" s="10" t="s">
        <v>4711</v>
      </c>
      <c r="D1211" s="10">
        <v>11</v>
      </c>
      <c r="E1211" s="10">
        <v>0</v>
      </c>
      <c r="F1211" s="24">
        <v>9933.44</v>
      </c>
      <c r="G1211" s="10" t="s">
        <v>4696</v>
      </c>
      <c r="H1211" s="10" t="s">
        <v>4696</v>
      </c>
      <c r="I1211" s="10" t="s">
        <v>4708</v>
      </c>
      <c r="J1211" s="17">
        <f t="shared" si="8"/>
        <v>23631</v>
      </c>
      <c r="K1211" s="10">
        <f t="shared" ca="1" si="9"/>
        <v>61</v>
      </c>
      <c r="L1211" s="6"/>
      <c r="M1211" s="6"/>
      <c r="N1211" s="6"/>
      <c r="O1211" s="6"/>
      <c r="P1211" s="6"/>
      <c r="Q1211" s="6"/>
      <c r="R1211" s="6"/>
      <c r="S1211" s="6"/>
      <c r="T1211" s="6"/>
      <c r="U1211" s="6"/>
      <c r="V1211" s="6"/>
      <c r="W1211" s="6"/>
      <c r="X1211" s="6"/>
      <c r="Y1211" s="6"/>
      <c r="Z1211" s="6"/>
    </row>
    <row r="1212" spans="1:26" ht="15.75" customHeight="1" x14ac:dyDescent="0.3">
      <c r="A1212" s="10" t="s">
        <v>2258</v>
      </c>
      <c r="B1212" s="10">
        <v>1971</v>
      </c>
      <c r="C1212" s="10" t="s">
        <v>4713</v>
      </c>
      <c r="D1212" s="10">
        <v>26</v>
      </c>
      <c r="E1212" s="10">
        <v>1</v>
      </c>
      <c r="F1212" s="24">
        <v>9957.7199999999993</v>
      </c>
      <c r="G1212" s="10" t="s">
        <v>4695</v>
      </c>
      <c r="H1212" s="10" t="s">
        <v>4696</v>
      </c>
      <c r="I1212" s="10" t="s">
        <v>4721</v>
      </c>
      <c r="J1212" s="17">
        <f t="shared" si="8"/>
        <v>26293</v>
      </c>
      <c r="K1212" s="10">
        <f t="shared" ca="1" si="9"/>
        <v>53</v>
      </c>
      <c r="L1212" s="6"/>
      <c r="M1212" s="6"/>
      <c r="N1212" s="6"/>
      <c r="O1212" s="6"/>
      <c r="P1212" s="6"/>
      <c r="Q1212" s="6"/>
      <c r="R1212" s="6"/>
      <c r="S1212" s="6"/>
      <c r="T1212" s="6"/>
      <c r="U1212" s="6"/>
      <c r="V1212" s="6"/>
      <c r="W1212" s="6"/>
      <c r="X1212" s="6"/>
      <c r="Y1212" s="6"/>
      <c r="Z1212" s="6"/>
    </row>
    <row r="1213" spans="1:26" ht="15.75" customHeight="1" x14ac:dyDescent="0.3">
      <c r="A1213" s="10" t="s">
        <v>2256</v>
      </c>
      <c r="B1213" s="10">
        <v>1971</v>
      </c>
      <c r="C1213" s="10" t="s">
        <v>4715</v>
      </c>
      <c r="D1213" s="10">
        <v>6</v>
      </c>
      <c r="E1213" s="10">
        <v>1</v>
      </c>
      <c r="F1213" s="24">
        <v>9964.06</v>
      </c>
      <c r="G1213" s="10" t="s">
        <v>4695</v>
      </c>
      <c r="H1213" s="10" t="s">
        <v>4695</v>
      </c>
      <c r="I1213" s="10" t="s">
        <v>4719</v>
      </c>
      <c r="J1213" s="17">
        <f t="shared" si="8"/>
        <v>26212</v>
      </c>
      <c r="K1213" s="10">
        <f t="shared" ca="1" si="9"/>
        <v>54</v>
      </c>
      <c r="L1213" s="6"/>
      <c r="M1213" s="6"/>
      <c r="N1213" s="6"/>
      <c r="O1213" s="6"/>
      <c r="P1213" s="6"/>
      <c r="Q1213" s="6"/>
      <c r="R1213" s="6"/>
      <c r="S1213" s="6"/>
      <c r="T1213" s="6"/>
      <c r="U1213" s="6"/>
      <c r="V1213" s="6"/>
      <c r="W1213" s="6"/>
      <c r="X1213" s="6"/>
      <c r="Y1213" s="6"/>
      <c r="Z1213" s="6"/>
    </row>
    <row r="1214" spans="1:26" ht="15.75" customHeight="1" x14ac:dyDescent="0.3">
      <c r="A1214" s="10" t="s">
        <v>2254</v>
      </c>
      <c r="B1214" s="10">
        <v>1970</v>
      </c>
      <c r="C1214" s="10" t="s">
        <v>4714</v>
      </c>
      <c r="D1214" s="10">
        <v>11</v>
      </c>
      <c r="E1214" s="10">
        <v>0</v>
      </c>
      <c r="F1214" s="24">
        <v>9991.0400000000009</v>
      </c>
      <c r="G1214" s="10" t="s">
        <v>4695</v>
      </c>
      <c r="H1214" s="10" t="s">
        <v>4696</v>
      </c>
      <c r="I1214" s="10" t="s">
        <v>4712</v>
      </c>
      <c r="J1214" s="17">
        <f t="shared" si="8"/>
        <v>25791</v>
      </c>
      <c r="K1214" s="10">
        <f t="shared" ca="1" si="9"/>
        <v>55</v>
      </c>
      <c r="L1214" s="6"/>
      <c r="M1214" s="6"/>
      <c r="N1214" s="6"/>
      <c r="O1214" s="6"/>
      <c r="P1214" s="6"/>
      <c r="Q1214" s="6"/>
      <c r="R1214" s="6"/>
      <c r="S1214" s="6"/>
      <c r="T1214" s="6"/>
      <c r="U1214" s="6"/>
      <c r="V1214" s="6"/>
      <c r="W1214" s="6"/>
      <c r="X1214" s="6"/>
      <c r="Y1214" s="6"/>
      <c r="Z1214" s="6"/>
    </row>
    <row r="1215" spans="1:26" ht="15.75" customHeight="1" x14ac:dyDescent="0.3">
      <c r="A1215" s="10" t="s">
        <v>2252</v>
      </c>
      <c r="B1215" s="10">
        <v>1988</v>
      </c>
      <c r="C1215" s="10" t="s">
        <v>4707</v>
      </c>
      <c r="D1215" s="10">
        <v>3</v>
      </c>
      <c r="E1215" s="10">
        <v>3</v>
      </c>
      <c r="F1215" s="24">
        <v>10011.44</v>
      </c>
      <c r="G1215" s="10" t="s">
        <v>4696</v>
      </c>
      <c r="H1215" s="10" t="s">
        <v>4696</v>
      </c>
      <c r="I1215" s="10" t="s">
        <v>4729</v>
      </c>
      <c r="J1215" s="17">
        <f t="shared" si="8"/>
        <v>32327</v>
      </c>
      <c r="K1215" s="10">
        <f t="shared" ca="1" si="9"/>
        <v>37</v>
      </c>
      <c r="L1215" s="6"/>
      <c r="M1215" s="6"/>
      <c r="N1215" s="6"/>
      <c r="O1215" s="6"/>
      <c r="P1215" s="6"/>
      <c r="Q1215" s="6"/>
      <c r="R1215" s="6"/>
      <c r="S1215" s="6"/>
      <c r="T1215" s="6"/>
      <c r="U1215" s="6"/>
      <c r="V1215" s="6"/>
      <c r="W1215" s="6"/>
      <c r="X1215" s="6"/>
      <c r="Y1215" s="6"/>
      <c r="Z1215" s="6"/>
    </row>
    <row r="1216" spans="1:26" ht="15.75" customHeight="1" x14ac:dyDescent="0.3">
      <c r="A1216" s="10" t="s">
        <v>2250</v>
      </c>
      <c r="B1216" s="10">
        <v>1979</v>
      </c>
      <c r="C1216" s="10" t="s">
        <v>4713</v>
      </c>
      <c r="D1216" s="10">
        <v>28</v>
      </c>
      <c r="E1216" s="10">
        <v>2</v>
      </c>
      <c r="F1216" s="24">
        <v>10027.15</v>
      </c>
      <c r="G1216" s="10" t="s">
        <v>4696</v>
      </c>
      <c r="H1216" s="10" t="s">
        <v>4694</v>
      </c>
      <c r="I1216" s="10" t="s">
        <v>4726</v>
      </c>
      <c r="J1216" s="17">
        <f t="shared" si="8"/>
        <v>29217</v>
      </c>
      <c r="K1216" s="10">
        <f t="shared" ca="1" si="9"/>
        <v>45</v>
      </c>
      <c r="L1216" s="6"/>
      <c r="M1216" s="6"/>
      <c r="N1216" s="6"/>
      <c r="O1216" s="6"/>
      <c r="P1216" s="6"/>
      <c r="Q1216" s="6"/>
      <c r="R1216" s="6"/>
      <c r="S1216" s="6"/>
      <c r="T1216" s="6"/>
      <c r="U1216" s="6"/>
      <c r="V1216" s="6"/>
      <c r="W1216" s="6"/>
      <c r="X1216" s="6"/>
      <c r="Y1216" s="6"/>
      <c r="Z1216" s="6"/>
    </row>
    <row r="1217" spans="1:26" ht="15.75" customHeight="1" x14ac:dyDescent="0.3">
      <c r="A1217" s="10" t="s">
        <v>2248</v>
      </c>
      <c r="B1217" s="10">
        <v>1974</v>
      </c>
      <c r="C1217" s="10" t="s">
        <v>4714</v>
      </c>
      <c r="D1217" s="10">
        <v>30</v>
      </c>
      <c r="E1217" s="10">
        <v>2</v>
      </c>
      <c r="F1217" s="24">
        <v>10043.25</v>
      </c>
      <c r="G1217" s="10" t="s">
        <v>4696</v>
      </c>
      <c r="H1217" s="10" t="s">
        <v>4695</v>
      </c>
      <c r="I1217" s="10" t="s">
        <v>4723</v>
      </c>
      <c r="J1217" s="17">
        <f t="shared" si="8"/>
        <v>27271</v>
      </c>
      <c r="K1217" s="10">
        <f t="shared" ca="1" si="9"/>
        <v>51</v>
      </c>
      <c r="L1217" s="6"/>
      <c r="M1217" s="6"/>
      <c r="N1217" s="6"/>
      <c r="O1217" s="6"/>
      <c r="P1217" s="6"/>
      <c r="Q1217" s="6"/>
      <c r="R1217" s="6"/>
      <c r="S1217" s="6"/>
      <c r="T1217" s="6"/>
      <c r="U1217" s="6"/>
      <c r="V1217" s="6"/>
      <c r="W1217" s="6"/>
      <c r="X1217" s="6"/>
      <c r="Y1217" s="6"/>
      <c r="Z1217" s="6"/>
    </row>
    <row r="1218" spans="1:26" ht="15.75" customHeight="1" x14ac:dyDescent="0.3">
      <c r="A1218" s="10" t="s">
        <v>2246</v>
      </c>
      <c r="B1218" s="10">
        <v>1969</v>
      </c>
      <c r="C1218" s="10" t="s">
        <v>4714</v>
      </c>
      <c r="D1218" s="10">
        <v>22</v>
      </c>
      <c r="E1218" s="10">
        <v>1</v>
      </c>
      <c r="F1218" s="24">
        <v>10065.41</v>
      </c>
      <c r="G1218" s="10" t="s">
        <v>4696</v>
      </c>
      <c r="H1218" s="10" t="s">
        <v>4695</v>
      </c>
      <c r="I1218" s="10" t="s">
        <v>4716</v>
      </c>
      <c r="J1218" s="17">
        <f t="shared" si="8"/>
        <v>25437</v>
      </c>
      <c r="K1218" s="10">
        <f t="shared" ca="1" si="9"/>
        <v>56</v>
      </c>
      <c r="L1218" s="6"/>
      <c r="M1218" s="6"/>
      <c r="N1218" s="6"/>
      <c r="O1218" s="6"/>
      <c r="P1218" s="6"/>
      <c r="Q1218" s="6"/>
      <c r="R1218" s="6"/>
      <c r="S1218" s="6"/>
      <c r="T1218" s="6"/>
      <c r="U1218" s="6"/>
      <c r="V1218" s="6"/>
      <c r="W1218" s="6"/>
      <c r="X1218" s="6"/>
      <c r="Y1218" s="6"/>
      <c r="Z1218" s="6"/>
    </row>
    <row r="1219" spans="1:26" ht="15.75" customHeight="1" x14ac:dyDescent="0.3">
      <c r="A1219" s="10" t="s">
        <v>2244</v>
      </c>
      <c r="B1219" s="10">
        <v>1969</v>
      </c>
      <c r="C1219" s="10" t="s">
        <v>4715</v>
      </c>
      <c r="D1219" s="10">
        <v>27</v>
      </c>
      <c r="E1219" s="10">
        <v>0</v>
      </c>
      <c r="F1219" s="24">
        <v>10072.06</v>
      </c>
      <c r="G1219" s="10" t="s">
        <v>4696</v>
      </c>
      <c r="H1219" s="10" t="s">
        <v>4694</v>
      </c>
      <c r="I1219" s="10" t="s">
        <v>4727</v>
      </c>
      <c r="J1219" s="17">
        <f t="shared" si="8"/>
        <v>25503</v>
      </c>
      <c r="K1219" s="10">
        <f t="shared" ca="1" si="9"/>
        <v>56</v>
      </c>
      <c r="L1219" s="6"/>
      <c r="M1219" s="6"/>
      <c r="N1219" s="6"/>
      <c r="O1219" s="6"/>
      <c r="P1219" s="6"/>
      <c r="Q1219" s="6"/>
      <c r="R1219" s="6"/>
      <c r="S1219" s="6"/>
      <c r="T1219" s="6"/>
      <c r="U1219" s="6"/>
      <c r="V1219" s="6"/>
      <c r="W1219" s="6"/>
      <c r="X1219" s="6"/>
      <c r="Y1219" s="6"/>
      <c r="Z1219" s="6"/>
    </row>
    <row r="1220" spans="1:26" ht="15.75" customHeight="1" x14ac:dyDescent="0.3">
      <c r="A1220" s="10" t="s">
        <v>2242</v>
      </c>
      <c r="B1220" s="10">
        <v>1969</v>
      </c>
      <c r="C1220" s="10" t="s">
        <v>4707</v>
      </c>
      <c r="D1220" s="10">
        <v>3</v>
      </c>
      <c r="E1220" s="10">
        <v>1</v>
      </c>
      <c r="F1220" s="24">
        <v>10085.85</v>
      </c>
      <c r="G1220" s="10" t="s">
        <v>4696</v>
      </c>
      <c r="H1220" s="10" t="s">
        <v>4696</v>
      </c>
      <c r="I1220" s="10" t="s">
        <v>4716</v>
      </c>
      <c r="J1220" s="17">
        <f t="shared" si="8"/>
        <v>25387</v>
      </c>
      <c r="K1220" s="10">
        <f t="shared" ca="1" si="9"/>
        <v>56</v>
      </c>
      <c r="L1220" s="6"/>
      <c r="M1220" s="6"/>
      <c r="N1220" s="6"/>
      <c r="O1220" s="6"/>
      <c r="P1220" s="6"/>
      <c r="Q1220" s="6"/>
      <c r="R1220" s="6"/>
      <c r="S1220" s="6"/>
      <c r="T1220" s="6"/>
      <c r="U1220" s="6"/>
      <c r="V1220" s="6"/>
      <c r="W1220" s="6"/>
      <c r="X1220" s="6"/>
      <c r="Y1220" s="6"/>
      <c r="Z1220" s="6"/>
    </row>
    <row r="1221" spans="1:26" ht="15.75" customHeight="1" x14ac:dyDescent="0.3">
      <c r="A1221" s="10" t="s">
        <v>2240</v>
      </c>
      <c r="B1221" s="10">
        <v>1976</v>
      </c>
      <c r="C1221" s="10" t="s">
        <v>4713</v>
      </c>
      <c r="D1221" s="10">
        <v>19</v>
      </c>
      <c r="E1221" s="10">
        <v>5</v>
      </c>
      <c r="F1221" s="24">
        <v>10096.969999999999</v>
      </c>
      <c r="G1221" s="10" t="s">
        <v>4696</v>
      </c>
      <c r="H1221" s="10" t="s">
        <v>4695</v>
      </c>
      <c r="I1221" s="10" t="s">
        <v>4716</v>
      </c>
      <c r="J1221" s="17">
        <f t="shared" si="8"/>
        <v>28113</v>
      </c>
      <c r="K1221" s="10">
        <f t="shared" ca="1" si="9"/>
        <v>48</v>
      </c>
      <c r="L1221" s="6"/>
      <c r="M1221" s="6"/>
      <c r="N1221" s="6"/>
      <c r="O1221" s="6"/>
      <c r="P1221" s="6"/>
      <c r="Q1221" s="6"/>
      <c r="R1221" s="6"/>
      <c r="S1221" s="6"/>
      <c r="T1221" s="6"/>
      <c r="U1221" s="6"/>
      <c r="V1221" s="6"/>
      <c r="W1221" s="6"/>
      <c r="X1221" s="6"/>
      <c r="Y1221" s="6"/>
      <c r="Z1221" s="6"/>
    </row>
    <row r="1222" spans="1:26" ht="15.75" customHeight="1" x14ac:dyDescent="0.3">
      <c r="A1222" s="10" t="s">
        <v>2238</v>
      </c>
      <c r="B1222" s="10">
        <v>1972</v>
      </c>
      <c r="C1222" s="10" t="s">
        <v>4715</v>
      </c>
      <c r="D1222" s="10">
        <v>19</v>
      </c>
      <c r="E1222" s="10">
        <v>1</v>
      </c>
      <c r="F1222" s="24">
        <v>10106.129999999999</v>
      </c>
      <c r="G1222" s="10" t="s">
        <v>4696</v>
      </c>
      <c r="H1222" s="10" t="s">
        <v>4694</v>
      </c>
      <c r="I1222" s="10" t="s">
        <v>4723</v>
      </c>
      <c r="J1222" s="17">
        <f t="shared" si="8"/>
        <v>26591</v>
      </c>
      <c r="K1222" s="10">
        <f t="shared" ca="1" si="9"/>
        <v>53</v>
      </c>
      <c r="L1222" s="6"/>
      <c r="M1222" s="6"/>
      <c r="N1222" s="6"/>
      <c r="O1222" s="6"/>
      <c r="P1222" s="6"/>
      <c r="Q1222" s="6"/>
      <c r="R1222" s="6"/>
      <c r="S1222" s="6"/>
      <c r="T1222" s="6"/>
      <c r="U1222" s="6"/>
      <c r="V1222" s="6"/>
      <c r="W1222" s="6"/>
      <c r="X1222" s="6"/>
      <c r="Y1222" s="6"/>
      <c r="Z1222" s="6"/>
    </row>
    <row r="1223" spans="1:26" ht="15.75" customHeight="1" x14ac:dyDescent="0.3">
      <c r="A1223" s="10" t="s">
        <v>2236</v>
      </c>
      <c r="B1223" s="10">
        <v>1972</v>
      </c>
      <c r="C1223" s="10" t="s">
        <v>4714</v>
      </c>
      <c r="D1223" s="10">
        <v>8</v>
      </c>
      <c r="E1223" s="10">
        <v>2</v>
      </c>
      <c r="F1223" s="24">
        <v>10107.219999999999</v>
      </c>
      <c r="G1223" s="10" t="s">
        <v>4696</v>
      </c>
      <c r="H1223" s="10" t="s">
        <v>4694</v>
      </c>
      <c r="I1223" s="10" t="s">
        <v>4708</v>
      </c>
      <c r="J1223" s="17">
        <f t="shared" si="8"/>
        <v>26519</v>
      </c>
      <c r="K1223" s="10">
        <f t="shared" ca="1" si="9"/>
        <v>53</v>
      </c>
      <c r="L1223" s="6"/>
      <c r="M1223" s="6"/>
      <c r="N1223" s="6"/>
      <c r="O1223" s="6"/>
      <c r="P1223" s="6"/>
      <c r="Q1223" s="6"/>
      <c r="R1223" s="6"/>
      <c r="S1223" s="6"/>
      <c r="T1223" s="6"/>
      <c r="U1223" s="6"/>
      <c r="V1223" s="6"/>
      <c r="W1223" s="6"/>
      <c r="X1223" s="6"/>
      <c r="Y1223" s="6"/>
      <c r="Z1223" s="6"/>
    </row>
    <row r="1224" spans="1:26" ht="15.75" customHeight="1" x14ac:dyDescent="0.3">
      <c r="A1224" s="10" t="s">
        <v>2234</v>
      </c>
      <c r="B1224" s="10">
        <v>1975</v>
      </c>
      <c r="C1224" s="10" t="s">
        <v>4707</v>
      </c>
      <c r="D1224" s="10">
        <v>2</v>
      </c>
      <c r="E1224" s="10">
        <v>3</v>
      </c>
      <c r="F1224" s="24">
        <v>10115.01</v>
      </c>
      <c r="G1224" s="10" t="s">
        <v>4696</v>
      </c>
      <c r="H1224" s="10" t="s">
        <v>4696</v>
      </c>
      <c r="I1224" s="10" t="s">
        <v>4712</v>
      </c>
      <c r="J1224" s="17">
        <f t="shared" si="8"/>
        <v>27577</v>
      </c>
      <c r="K1224" s="10">
        <f t="shared" ca="1" si="9"/>
        <v>50</v>
      </c>
      <c r="L1224" s="6"/>
      <c r="M1224" s="6"/>
      <c r="N1224" s="6"/>
      <c r="O1224" s="6"/>
      <c r="P1224" s="6"/>
      <c r="Q1224" s="6"/>
      <c r="R1224" s="6"/>
      <c r="S1224" s="6"/>
      <c r="T1224" s="6"/>
      <c r="U1224" s="6"/>
      <c r="V1224" s="6"/>
      <c r="W1224" s="6"/>
      <c r="X1224" s="6"/>
      <c r="Y1224" s="6"/>
      <c r="Z1224" s="6"/>
    </row>
    <row r="1225" spans="1:26" ht="15.75" customHeight="1" x14ac:dyDescent="0.3">
      <c r="A1225" s="10" t="s">
        <v>2232</v>
      </c>
      <c r="B1225" s="10">
        <v>1972</v>
      </c>
      <c r="C1225" s="10" t="s">
        <v>4709</v>
      </c>
      <c r="D1225" s="10">
        <v>16</v>
      </c>
      <c r="E1225" s="10">
        <v>2</v>
      </c>
      <c r="F1225" s="24">
        <v>10118.42</v>
      </c>
      <c r="G1225" s="10" t="s">
        <v>4696</v>
      </c>
      <c r="H1225" s="10" t="s">
        <v>4696</v>
      </c>
      <c r="I1225" s="10" t="s">
        <v>4716</v>
      </c>
      <c r="J1225" s="17">
        <f t="shared" si="8"/>
        <v>26619</v>
      </c>
      <c r="K1225" s="10">
        <f t="shared" ca="1" si="9"/>
        <v>53</v>
      </c>
      <c r="L1225" s="6"/>
      <c r="M1225" s="6"/>
      <c r="N1225" s="6"/>
      <c r="O1225" s="6"/>
      <c r="P1225" s="6"/>
      <c r="Q1225" s="6"/>
      <c r="R1225" s="6"/>
      <c r="S1225" s="6"/>
      <c r="T1225" s="6"/>
      <c r="U1225" s="6"/>
      <c r="V1225" s="6"/>
      <c r="W1225" s="6"/>
      <c r="X1225" s="6"/>
      <c r="Y1225" s="6"/>
      <c r="Z1225" s="6"/>
    </row>
    <row r="1226" spans="1:26" ht="15.75" customHeight="1" x14ac:dyDescent="0.3">
      <c r="A1226" s="10" t="s">
        <v>2230</v>
      </c>
      <c r="B1226" s="10">
        <v>1997</v>
      </c>
      <c r="C1226" s="10" t="s">
        <v>4711</v>
      </c>
      <c r="D1226" s="10">
        <v>5</v>
      </c>
      <c r="E1226" s="10">
        <v>0</v>
      </c>
      <c r="F1226" s="24">
        <v>10139.84</v>
      </c>
      <c r="G1226" s="10" t="s">
        <v>4696</v>
      </c>
      <c r="H1226" s="10" t="s">
        <v>4695</v>
      </c>
      <c r="I1226" s="10" t="s">
        <v>4712</v>
      </c>
      <c r="J1226" s="17">
        <f t="shared" si="8"/>
        <v>35678</v>
      </c>
      <c r="K1226" s="10">
        <f t="shared" ca="1" si="9"/>
        <v>28</v>
      </c>
      <c r="L1226" s="6"/>
      <c r="M1226" s="6"/>
      <c r="N1226" s="6"/>
      <c r="O1226" s="6"/>
      <c r="P1226" s="6"/>
      <c r="Q1226" s="6"/>
      <c r="R1226" s="6"/>
      <c r="S1226" s="6"/>
      <c r="T1226" s="6"/>
      <c r="U1226" s="6"/>
      <c r="V1226" s="6"/>
      <c r="W1226" s="6"/>
      <c r="X1226" s="6"/>
      <c r="Y1226" s="6"/>
      <c r="Z1226" s="6"/>
    </row>
    <row r="1227" spans="1:26" ht="15.75" customHeight="1" x14ac:dyDescent="0.3">
      <c r="A1227" s="10" t="s">
        <v>2228</v>
      </c>
      <c r="B1227" s="10">
        <v>1974</v>
      </c>
      <c r="C1227" s="10" t="s">
        <v>4713</v>
      </c>
      <c r="D1227" s="10">
        <v>30</v>
      </c>
      <c r="E1227" s="10">
        <v>3</v>
      </c>
      <c r="F1227" s="24">
        <v>10141.14</v>
      </c>
      <c r="G1227" s="10" t="s">
        <v>4696</v>
      </c>
      <c r="H1227" s="10" t="s">
        <v>4694</v>
      </c>
      <c r="I1227" s="10" t="s">
        <v>4720</v>
      </c>
      <c r="J1227" s="17">
        <f t="shared" si="8"/>
        <v>27393</v>
      </c>
      <c r="K1227" s="10">
        <f t="shared" ca="1" si="9"/>
        <v>50</v>
      </c>
      <c r="L1227" s="6"/>
      <c r="M1227" s="6"/>
      <c r="N1227" s="6"/>
      <c r="O1227" s="6"/>
      <c r="P1227" s="6"/>
      <c r="Q1227" s="6"/>
      <c r="R1227" s="6"/>
      <c r="S1227" s="6"/>
      <c r="T1227" s="6"/>
      <c r="U1227" s="6"/>
      <c r="V1227" s="6"/>
      <c r="W1227" s="6"/>
      <c r="X1227" s="6"/>
      <c r="Y1227" s="6"/>
      <c r="Z1227" s="6"/>
    </row>
    <row r="1228" spans="1:26" ht="15.75" customHeight="1" x14ac:dyDescent="0.3">
      <c r="A1228" s="10" t="s">
        <v>2226</v>
      </c>
      <c r="B1228" s="10">
        <v>1981</v>
      </c>
      <c r="C1228" s="10" t="s">
        <v>4710</v>
      </c>
      <c r="D1228" s="10">
        <v>12</v>
      </c>
      <c r="E1228" s="10">
        <v>1</v>
      </c>
      <c r="F1228" s="24">
        <v>10146.129999999999</v>
      </c>
      <c r="G1228" s="10" t="s">
        <v>4696</v>
      </c>
      <c r="H1228" s="10" t="s">
        <v>4694</v>
      </c>
      <c r="I1228" s="10" t="s">
        <v>4722</v>
      </c>
      <c r="J1228" s="17">
        <f t="shared" si="8"/>
        <v>29749</v>
      </c>
      <c r="K1228" s="10">
        <f t="shared" ca="1" si="9"/>
        <v>44</v>
      </c>
      <c r="L1228" s="6"/>
      <c r="M1228" s="6"/>
      <c r="N1228" s="6"/>
      <c r="O1228" s="6"/>
      <c r="P1228" s="6"/>
      <c r="Q1228" s="6"/>
      <c r="R1228" s="6"/>
      <c r="S1228" s="6"/>
      <c r="T1228" s="6"/>
      <c r="U1228" s="6"/>
      <c r="V1228" s="6"/>
      <c r="W1228" s="6"/>
      <c r="X1228" s="6"/>
      <c r="Y1228" s="6"/>
      <c r="Z1228" s="6"/>
    </row>
    <row r="1229" spans="1:26" ht="15.75" customHeight="1" x14ac:dyDescent="0.3">
      <c r="A1229" s="10" t="s">
        <v>2224</v>
      </c>
      <c r="B1229" s="10">
        <v>1973</v>
      </c>
      <c r="C1229" s="10" t="s">
        <v>4715</v>
      </c>
      <c r="D1229" s="10">
        <v>13</v>
      </c>
      <c r="E1229" s="10">
        <v>2</v>
      </c>
      <c r="F1229" s="24">
        <v>10156.780000000001</v>
      </c>
      <c r="G1229" s="10" t="s">
        <v>4696</v>
      </c>
      <c r="H1229" s="10" t="s">
        <v>4695</v>
      </c>
      <c r="I1229" s="10" t="s">
        <v>4712</v>
      </c>
      <c r="J1229" s="17">
        <f t="shared" si="8"/>
        <v>26950</v>
      </c>
      <c r="K1229" s="10">
        <f t="shared" ca="1" si="9"/>
        <v>52</v>
      </c>
      <c r="L1229" s="6"/>
      <c r="M1229" s="6"/>
      <c r="N1229" s="6"/>
      <c r="O1229" s="6"/>
      <c r="P1229" s="6"/>
      <c r="Q1229" s="6"/>
      <c r="R1229" s="6"/>
      <c r="S1229" s="6"/>
      <c r="T1229" s="6"/>
      <c r="U1229" s="6"/>
      <c r="V1229" s="6"/>
      <c r="W1229" s="6"/>
      <c r="X1229" s="6"/>
      <c r="Y1229" s="6"/>
      <c r="Z1229" s="6"/>
    </row>
    <row r="1230" spans="1:26" ht="15.75" customHeight="1" x14ac:dyDescent="0.3">
      <c r="A1230" s="10" t="s">
        <v>2222</v>
      </c>
      <c r="B1230" s="10">
        <v>1972</v>
      </c>
      <c r="C1230" s="10" t="s">
        <v>4707</v>
      </c>
      <c r="D1230" s="10">
        <v>10</v>
      </c>
      <c r="E1230" s="10">
        <v>0</v>
      </c>
      <c r="F1230" s="24">
        <v>10160.870000000001</v>
      </c>
      <c r="G1230" s="10" t="s">
        <v>4696</v>
      </c>
      <c r="H1230" s="10" t="s">
        <v>4696</v>
      </c>
      <c r="I1230" s="10" t="s">
        <v>4722</v>
      </c>
      <c r="J1230" s="17">
        <f t="shared" si="8"/>
        <v>26490</v>
      </c>
      <c r="K1230" s="10">
        <f t="shared" ca="1" si="9"/>
        <v>53</v>
      </c>
      <c r="L1230" s="6"/>
      <c r="M1230" s="6"/>
      <c r="N1230" s="6"/>
      <c r="O1230" s="6"/>
      <c r="P1230" s="6"/>
      <c r="Q1230" s="6"/>
      <c r="R1230" s="6"/>
      <c r="S1230" s="6"/>
      <c r="T1230" s="6"/>
      <c r="U1230" s="6"/>
      <c r="V1230" s="6"/>
      <c r="W1230" s="6"/>
      <c r="X1230" s="6"/>
      <c r="Y1230" s="6"/>
      <c r="Z1230" s="6"/>
    </row>
    <row r="1231" spans="1:26" ht="15.75" customHeight="1" x14ac:dyDescent="0.3">
      <c r="A1231" s="10" t="s">
        <v>2220</v>
      </c>
      <c r="B1231" s="10">
        <v>1985</v>
      </c>
      <c r="C1231" s="10" t="s">
        <v>4715</v>
      </c>
      <c r="D1231" s="10">
        <v>16</v>
      </c>
      <c r="E1231" s="10">
        <v>3</v>
      </c>
      <c r="F1231" s="24">
        <v>10191.82</v>
      </c>
      <c r="G1231" s="10" t="s">
        <v>4696</v>
      </c>
      <c r="H1231" s="10" t="s">
        <v>4695</v>
      </c>
      <c r="I1231" s="10" t="s">
        <v>4729</v>
      </c>
      <c r="J1231" s="17">
        <f t="shared" si="8"/>
        <v>31336</v>
      </c>
      <c r="K1231" s="10">
        <f t="shared" ca="1" si="9"/>
        <v>40</v>
      </c>
      <c r="L1231" s="6"/>
      <c r="M1231" s="6"/>
      <c r="N1231" s="6"/>
      <c r="O1231" s="6"/>
      <c r="P1231" s="6"/>
      <c r="Q1231" s="6"/>
      <c r="R1231" s="6"/>
      <c r="S1231" s="6"/>
      <c r="T1231" s="6"/>
      <c r="U1231" s="6"/>
      <c r="V1231" s="6"/>
      <c r="W1231" s="6"/>
      <c r="X1231" s="6"/>
      <c r="Y1231" s="6"/>
      <c r="Z1231" s="6"/>
    </row>
    <row r="1232" spans="1:26" ht="15.75" customHeight="1" x14ac:dyDescent="0.3">
      <c r="A1232" s="10" t="s">
        <v>2218</v>
      </c>
      <c r="B1232" s="10">
        <v>1970</v>
      </c>
      <c r="C1232" s="10" t="s">
        <v>4713</v>
      </c>
      <c r="D1232" s="10">
        <v>24</v>
      </c>
      <c r="E1232" s="10">
        <v>0</v>
      </c>
      <c r="F1232" s="24">
        <v>10197.77</v>
      </c>
      <c r="G1232" s="10" t="s">
        <v>4696</v>
      </c>
      <c r="H1232" s="10" t="s">
        <v>4694</v>
      </c>
      <c r="I1232" s="10" t="s">
        <v>4723</v>
      </c>
      <c r="J1232" s="17">
        <f t="shared" si="8"/>
        <v>25926</v>
      </c>
      <c r="K1232" s="10">
        <f t="shared" ca="1" si="9"/>
        <v>54</v>
      </c>
      <c r="L1232" s="6"/>
      <c r="M1232" s="6"/>
      <c r="N1232" s="6"/>
      <c r="O1232" s="6"/>
      <c r="P1232" s="6"/>
      <c r="Q1232" s="6"/>
      <c r="R1232" s="6"/>
      <c r="S1232" s="6"/>
      <c r="T1232" s="6"/>
      <c r="U1232" s="6"/>
      <c r="V1232" s="6"/>
      <c r="W1232" s="6"/>
      <c r="X1232" s="6"/>
      <c r="Y1232" s="6"/>
      <c r="Z1232" s="6"/>
    </row>
    <row r="1233" spans="1:26" ht="15.75" customHeight="1" x14ac:dyDescent="0.3">
      <c r="A1233" s="10" t="s">
        <v>2216</v>
      </c>
      <c r="B1233" s="10">
        <v>1967</v>
      </c>
      <c r="C1233" s="10" t="s">
        <v>4711</v>
      </c>
      <c r="D1233" s="10">
        <v>26</v>
      </c>
      <c r="E1233" s="10">
        <v>0</v>
      </c>
      <c r="F1233" s="24">
        <v>10214.64</v>
      </c>
      <c r="G1233" s="10" t="s">
        <v>4696</v>
      </c>
      <c r="H1233" s="10" t="s">
        <v>4695</v>
      </c>
      <c r="I1233" s="10" t="s">
        <v>4716</v>
      </c>
      <c r="J1233" s="17">
        <f t="shared" si="8"/>
        <v>24741</v>
      </c>
      <c r="K1233" s="10">
        <f t="shared" ca="1" si="9"/>
        <v>58</v>
      </c>
      <c r="L1233" s="6"/>
      <c r="M1233" s="6"/>
      <c r="N1233" s="6"/>
      <c r="O1233" s="6"/>
      <c r="P1233" s="6"/>
      <c r="Q1233" s="6"/>
      <c r="R1233" s="6"/>
      <c r="S1233" s="6"/>
      <c r="T1233" s="6"/>
      <c r="U1233" s="6"/>
      <c r="V1233" s="6"/>
      <c r="W1233" s="6"/>
      <c r="X1233" s="6"/>
      <c r="Y1233" s="6"/>
      <c r="Z1233" s="6"/>
    </row>
    <row r="1234" spans="1:26" ht="15.75" customHeight="1" x14ac:dyDescent="0.3">
      <c r="A1234" s="10" t="s">
        <v>2214</v>
      </c>
      <c r="B1234" s="10">
        <v>1967</v>
      </c>
      <c r="C1234" s="10" t="s">
        <v>4710</v>
      </c>
      <c r="D1234" s="10">
        <v>28</v>
      </c>
      <c r="E1234" s="10">
        <v>0</v>
      </c>
      <c r="F1234" s="24">
        <v>10226.280000000001</v>
      </c>
      <c r="G1234" s="10" t="s">
        <v>4696</v>
      </c>
      <c r="H1234" s="10" t="s">
        <v>4696</v>
      </c>
      <c r="I1234" s="10" t="s">
        <v>4708</v>
      </c>
      <c r="J1234" s="17">
        <f t="shared" si="8"/>
        <v>24651</v>
      </c>
      <c r="K1234" s="10">
        <f t="shared" ca="1" si="9"/>
        <v>58</v>
      </c>
      <c r="L1234" s="6"/>
      <c r="M1234" s="6"/>
      <c r="N1234" s="6"/>
      <c r="O1234" s="6"/>
      <c r="P1234" s="6"/>
      <c r="Q1234" s="6"/>
      <c r="R1234" s="6"/>
      <c r="S1234" s="6"/>
      <c r="T1234" s="6"/>
      <c r="U1234" s="6"/>
      <c r="V1234" s="6"/>
      <c r="W1234" s="6"/>
      <c r="X1234" s="6"/>
      <c r="Y1234" s="6"/>
      <c r="Z1234" s="6"/>
    </row>
    <row r="1235" spans="1:26" ht="15.75" customHeight="1" x14ac:dyDescent="0.3">
      <c r="A1235" s="10" t="s">
        <v>2212</v>
      </c>
      <c r="B1235" s="10">
        <v>1968</v>
      </c>
      <c r="C1235" s="10" t="s">
        <v>4711</v>
      </c>
      <c r="D1235" s="10">
        <v>23</v>
      </c>
      <c r="E1235" s="10">
        <v>0</v>
      </c>
      <c r="F1235" s="24">
        <v>10231.5</v>
      </c>
      <c r="G1235" s="10" t="s">
        <v>4696</v>
      </c>
      <c r="H1235" s="10" t="s">
        <v>4694</v>
      </c>
      <c r="I1235" s="10" t="s">
        <v>4712</v>
      </c>
      <c r="J1235" s="17">
        <f t="shared" si="8"/>
        <v>25104</v>
      </c>
      <c r="K1235" s="10">
        <f t="shared" ca="1" si="9"/>
        <v>57</v>
      </c>
      <c r="L1235" s="6"/>
      <c r="M1235" s="6"/>
      <c r="N1235" s="6"/>
      <c r="O1235" s="6"/>
      <c r="P1235" s="6"/>
      <c r="Q1235" s="6"/>
      <c r="R1235" s="6"/>
      <c r="S1235" s="6"/>
      <c r="T1235" s="6"/>
      <c r="U1235" s="6"/>
      <c r="V1235" s="6"/>
      <c r="W1235" s="6"/>
      <c r="X1235" s="6"/>
      <c r="Y1235" s="6"/>
      <c r="Z1235" s="6"/>
    </row>
    <row r="1236" spans="1:26" ht="15.75" customHeight="1" x14ac:dyDescent="0.3">
      <c r="A1236" s="10" t="s">
        <v>2210</v>
      </c>
      <c r="B1236" s="10">
        <v>1975</v>
      </c>
      <c r="C1236" s="10" t="s">
        <v>4714</v>
      </c>
      <c r="D1236" s="10">
        <v>15</v>
      </c>
      <c r="E1236" s="10">
        <v>1</v>
      </c>
      <c r="F1236" s="24">
        <v>10259.129999999999</v>
      </c>
      <c r="G1236" s="10" t="s">
        <v>4696</v>
      </c>
      <c r="H1236" s="10" t="s">
        <v>4695</v>
      </c>
      <c r="I1236" s="10" t="s">
        <v>4716</v>
      </c>
      <c r="J1236" s="17">
        <f t="shared" si="8"/>
        <v>27621</v>
      </c>
      <c r="K1236" s="10">
        <f t="shared" ca="1" si="9"/>
        <v>50</v>
      </c>
      <c r="L1236" s="6"/>
      <c r="M1236" s="6"/>
      <c r="N1236" s="6"/>
      <c r="O1236" s="6"/>
      <c r="P1236" s="6"/>
      <c r="Q1236" s="6"/>
      <c r="R1236" s="6"/>
      <c r="S1236" s="6"/>
      <c r="T1236" s="6"/>
      <c r="U1236" s="6"/>
      <c r="V1236" s="6"/>
      <c r="W1236" s="6"/>
      <c r="X1236" s="6"/>
      <c r="Y1236" s="6"/>
      <c r="Z1236" s="6"/>
    </row>
    <row r="1237" spans="1:26" ht="15.75" customHeight="1" x14ac:dyDescent="0.3">
      <c r="A1237" s="10" t="s">
        <v>2208</v>
      </c>
      <c r="B1237" s="10">
        <v>1973</v>
      </c>
      <c r="C1237" s="10" t="s">
        <v>4711</v>
      </c>
      <c r="D1237" s="10">
        <v>5</v>
      </c>
      <c r="E1237" s="10">
        <v>3</v>
      </c>
      <c r="F1237" s="24">
        <v>10264.44</v>
      </c>
      <c r="G1237" s="10" t="s">
        <v>4696</v>
      </c>
      <c r="H1237" s="10" t="s">
        <v>4695</v>
      </c>
      <c r="I1237" s="10" t="s">
        <v>4712</v>
      </c>
      <c r="J1237" s="17">
        <f t="shared" si="8"/>
        <v>26912</v>
      </c>
      <c r="K1237" s="10">
        <f t="shared" ca="1" si="9"/>
        <v>52</v>
      </c>
      <c r="L1237" s="6"/>
      <c r="M1237" s="6"/>
      <c r="N1237" s="6"/>
      <c r="O1237" s="6"/>
      <c r="P1237" s="6"/>
      <c r="Q1237" s="6"/>
      <c r="R1237" s="6"/>
      <c r="S1237" s="6"/>
      <c r="T1237" s="6"/>
      <c r="U1237" s="6"/>
      <c r="V1237" s="6"/>
      <c r="W1237" s="6"/>
      <c r="X1237" s="6"/>
      <c r="Y1237" s="6"/>
      <c r="Z1237" s="6"/>
    </row>
    <row r="1238" spans="1:26" ht="15.75" customHeight="1" x14ac:dyDescent="0.3">
      <c r="A1238" s="10" t="s">
        <v>2206</v>
      </c>
      <c r="B1238" s="10">
        <v>1973</v>
      </c>
      <c r="C1238" s="10" t="s">
        <v>4709</v>
      </c>
      <c r="D1238" s="10">
        <v>27</v>
      </c>
      <c r="E1238" s="10">
        <v>3</v>
      </c>
      <c r="F1238" s="24">
        <v>10269.459999999999</v>
      </c>
      <c r="G1238" s="10" t="s">
        <v>4696</v>
      </c>
      <c r="H1238" s="10" t="s">
        <v>4696</v>
      </c>
      <c r="I1238" s="10" t="s">
        <v>4712</v>
      </c>
      <c r="J1238" s="17">
        <f t="shared" si="8"/>
        <v>26995</v>
      </c>
      <c r="K1238" s="10">
        <f t="shared" ca="1" si="9"/>
        <v>52</v>
      </c>
      <c r="L1238" s="6"/>
      <c r="M1238" s="6"/>
      <c r="N1238" s="6"/>
      <c r="O1238" s="6"/>
      <c r="P1238" s="6"/>
      <c r="Q1238" s="6"/>
      <c r="R1238" s="6"/>
      <c r="S1238" s="6"/>
      <c r="T1238" s="6"/>
      <c r="U1238" s="6"/>
      <c r="V1238" s="6"/>
      <c r="W1238" s="6"/>
      <c r="X1238" s="6"/>
      <c r="Y1238" s="6"/>
      <c r="Z1238" s="6"/>
    </row>
    <row r="1239" spans="1:26" ht="15.75" customHeight="1" x14ac:dyDescent="0.3">
      <c r="A1239" s="10" t="s">
        <v>2204</v>
      </c>
      <c r="B1239" s="10">
        <v>1970</v>
      </c>
      <c r="C1239" s="10" t="s">
        <v>4710</v>
      </c>
      <c r="D1239" s="10">
        <v>21</v>
      </c>
      <c r="E1239" s="10">
        <v>0</v>
      </c>
      <c r="F1239" s="24">
        <v>10274.33</v>
      </c>
      <c r="G1239" s="10" t="s">
        <v>4696</v>
      </c>
      <c r="H1239" s="10" t="s">
        <v>4694</v>
      </c>
      <c r="I1239" s="10" t="s">
        <v>4723</v>
      </c>
      <c r="J1239" s="17">
        <f t="shared" si="8"/>
        <v>25740</v>
      </c>
      <c r="K1239" s="10">
        <f t="shared" ca="1" si="9"/>
        <v>55</v>
      </c>
      <c r="L1239" s="6"/>
      <c r="M1239" s="6"/>
      <c r="N1239" s="6"/>
      <c r="O1239" s="6"/>
      <c r="P1239" s="6"/>
      <c r="Q1239" s="6"/>
      <c r="R1239" s="6"/>
      <c r="S1239" s="6"/>
      <c r="T1239" s="6"/>
      <c r="U1239" s="6"/>
      <c r="V1239" s="6"/>
      <c r="W1239" s="6"/>
      <c r="X1239" s="6"/>
      <c r="Y1239" s="6"/>
      <c r="Z1239" s="6"/>
    </row>
    <row r="1240" spans="1:26" ht="15.75" customHeight="1" x14ac:dyDescent="0.3">
      <c r="A1240" s="10" t="s">
        <v>2202</v>
      </c>
      <c r="B1240" s="10">
        <v>1988</v>
      </c>
      <c r="C1240" s="10" t="s">
        <v>4711</v>
      </c>
      <c r="D1240" s="10">
        <v>14</v>
      </c>
      <c r="E1240" s="10">
        <v>3</v>
      </c>
      <c r="F1240" s="24">
        <v>10276.99</v>
      </c>
      <c r="G1240" s="10" t="s">
        <v>4696</v>
      </c>
      <c r="H1240" s="10" t="s">
        <v>4694</v>
      </c>
      <c r="I1240" s="10" t="s">
        <v>4726</v>
      </c>
      <c r="J1240" s="17">
        <f t="shared" si="8"/>
        <v>32400</v>
      </c>
      <c r="K1240" s="10">
        <f t="shared" ca="1" si="9"/>
        <v>37</v>
      </c>
      <c r="L1240" s="6"/>
      <c r="M1240" s="6"/>
      <c r="N1240" s="6"/>
      <c r="O1240" s="6"/>
      <c r="P1240" s="6"/>
      <c r="Q1240" s="6"/>
      <c r="R1240" s="6"/>
      <c r="S1240" s="6"/>
      <c r="T1240" s="6"/>
      <c r="U1240" s="6"/>
      <c r="V1240" s="6"/>
      <c r="W1240" s="6"/>
      <c r="X1240" s="6"/>
      <c r="Y1240" s="6"/>
      <c r="Z1240" s="6"/>
    </row>
    <row r="1241" spans="1:26" ht="15.75" customHeight="1" x14ac:dyDescent="0.3">
      <c r="A1241" s="10" t="s">
        <v>2200</v>
      </c>
      <c r="B1241" s="10">
        <v>1963</v>
      </c>
      <c r="C1241" s="10" t="s">
        <v>4711</v>
      </c>
      <c r="D1241" s="10">
        <v>24</v>
      </c>
      <c r="E1241" s="10">
        <v>0</v>
      </c>
      <c r="F1241" s="24">
        <v>10308.040000000001</v>
      </c>
      <c r="G1241" s="10" t="s">
        <v>4696</v>
      </c>
      <c r="H1241" s="10" t="s">
        <v>4694</v>
      </c>
      <c r="I1241" s="10" t="s">
        <v>4708</v>
      </c>
      <c r="J1241" s="17">
        <f t="shared" si="8"/>
        <v>23278</v>
      </c>
      <c r="K1241" s="10">
        <f t="shared" ca="1" si="9"/>
        <v>62</v>
      </c>
      <c r="L1241" s="6"/>
      <c r="M1241" s="6"/>
      <c r="N1241" s="6"/>
      <c r="O1241" s="6"/>
      <c r="P1241" s="6"/>
      <c r="Q1241" s="6"/>
      <c r="R1241" s="6"/>
      <c r="S1241" s="6"/>
      <c r="T1241" s="6"/>
      <c r="U1241" s="6"/>
      <c r="V1241" s="6"/>
      <c r="W1241" s="6"/>
      <c r="X1241" s="6"/>
      <c r="Y1241" s="6"/>
      <c r="Z1241" s="6"/>
    </row>
    <row r="1242" spans="1:26" ht="15.75" customHeight="1" x14ac:dyDescent="0.3">
      <c r="A1242" s="10" t="s">
        <v>2198</v>
      </c>
      <c r="B1242" s="10">
        <v>1962</v>
      </c>
      <c r="C1242" s="10" t="s">
        <v>4707</v>
      </c>
      <c r="D1242" s="10">
        <v>12</v>
      </c>
      <c r="E1242" s="10">
        <v>0</v>
      </c>
      <c r="F1242" s="24">
        <v>10310.780000000001</v>
      </c>
      <c r="G1242" s="10" t="s">
        <v>4696</v>
      </c>
      <c r="H1242" s="10" t="s">
        <v>4696</v>
      </c>
      <c r="I1242" s="10" t="s">
        <v>4712</v>
      </c>
      <c r="J1242" s="17">
        <f t="shared" si="8"/>
        <v>22839</v>
      </c>
      <c r="K1242" s="10">
        <f t="shared" ca="1" si="9"/>
        <v>63</v>
      </c>
      <c r="L1242" s="6"/>
      <c r="M1242" s="6"/>
      <c r="N1242" s="6"/>
      <c r="O1242" s="6"/>
      <c r="P1242" s="6"/>
      <c r="Q1242" s="6"/>
      <c r="R1242" s="6"/>
      <c r="S1242" s="6"/>
      <c r="T1242" s="6"/>
      <c r="U1242" s="6"/>
      <c r="V1242" s="6"/>
      <c r="W1242" s="6"/>
      <c r="X1242" s="6"/>
      <c r="Y1242" s="6"/>
      <c r="Z1242" s="6"/>
    </row>
    <row r="1243" spans="1:26" ht="15.75" customHeight="1" x14ac:dyDescent="0.3">
      <c r="A1243" s="10" t="s">
        <v>2196</v>
      </c>
      <c r="B1243" s="10">
        <v>1991</v>
      </c>
      <c r="C1243" s="10" t="s">
        <v>4709</v>
      </c>
      <c r="D1243" s="10">
        <v>17</v>
      </c>
      <c r="E1243" s="10">
        <v>3</v>
      </c>
      <c r="F1243" s="24">
        <v>10315.91</v>
      </c>
      <c r="G1243" s="10" t="s">
        <v>4696</v>
      </c>
      <c r="H1243" s="10" t="s">
        <v>4695</v>
      </c>
      <c r="I1243" s="10" t="s">
        <v>4712</v>
      </c>
      <c r="J1243" s="17">
        <f t="shared" si="8"/>
        <v>33559</v>
      </c>
      <c r="K1243" s="10">
        <f t="shared" ca="1" si="9"/>
        <v>34</v>
      </c>
      <c r="L1243" s="6"/>
      <c r="M1243" s="6"/>
      <c r="N1243" s="6"/>
      <c r="O1243" s="6"/>
      <c r="P1243" s="6"/>
      <c r="Q1243" s="6"/>
      <c r="R1243" s="6"/>
      <c r="S1243" s="6"/>
      <c r="T1243" s="6"/>
      <c r="U1243" s="6"/>
      <c r="V1243" s="6"/>
      <c r="W1243" s="6"/>
      <c r="X1243" s="6"/>
      <c r="Y1243" s="6"/>
      <c r="Z1243" s="6"/>
    </row>
    <row r="1244" spans="1:26" ht="15.75" customHeight="1" x14ac:dyDescent="0.3">
      <c r="A1244" s="10" t="s">
        <v>2194</v>
      </c>
      <c r="B1244" s="10">
        <v>1991</v>
      </c>
      <c r="C1244" s="10" t="s">
        <v>4714</v>
      </c>
      <c r="D1244" s="10">
        <v>21</v>
      </c>
      <c r="E1244" s="10">
        <v>3</v>
      </c>
      <c r="F1244" s="24">
        <v>10322.9</v>
      </c>
      <c r="G1244" s="10" t="s">
        <v>4696</v>
      </c>
      <c r="H1244" s="10" t="s">
        <v>4694</v>
      </c>
      <c r="I1244" s="10" t="s">
        <v>4729</v>
      </c>
      <c r="J1244" s="17">
        <f t="shared" si="8"/>
        <v>33471</v>
      </c>
      <c r="K1244" s="10">
        <f t="shared" ca="1" si="9"/>
        <v>34</v>
      </c>
      <c r="L1244" s="6"/>
      <c r="M1244" s="6"/>
      <c r="N1244" s="6"/>
      <c r="O1244" s="6"/>
      <c r="P1244" s="6"/>
      <c r="Q1244" s="6"/>
      <c r="R1244" s="6"/>
      <c r="S1244" s="6"/>
      <c r="T1244" s="6"/>
      <c r="U1244" s="6"/>
      <c r="V1244" s="6"/>
      <c r="W1244" s="6"/>
      <c r="X1244" s="6"/>
      <c r="Y1244" s="6"/>
      <c r="Z1244" s="6"/>
    </row>
    <row r="1245" spans="1:26" ht="15.75" customHeight="1" x14ac:dyDescent="0.3">
      <c r="A1245" s="10" t="s">
        <v>2192</v>
      </c>
      <c r="B1245" s="10">
        <v>1970</v>
      </c>
      <c r="C1245" s="10" t="s">
        <v>4713</v>
      </c>
      <c r="D1245" s="10">
        <v>1</v>
      </c>
      <c r="E1245" s="10">
        <v>2</v>
      </c>
      <c r="F1245" s="24">
        <v>10325.209999999999</v>
      </c>
      <c r="G1245" s="10" t="s">
        <v>4696</v>
      </c>
      <c r="H1245" s="10" t="s">
        <v>4696</v>
      </c>
      <c r="I1245" s="10" t="s">
        <v>4716</v>
      </c>
      <c r="J1245" s="17">
        <f t="shared" si="8"/>
        <v>25903</v>
      </c>
      <c r="K1245" s="10">
        <f t="shared" ca="1" si="9"/>
        <v>54</v>
      </c>
      <c r="L1245" s="6"/>
      <c r="M1245" s="6"/>
      <c r="N1245" s="6"/>
      <c r="O1245" s="6"/>
      <c r="P1245" s="6"/>
      <c r="Q1245" s="6"/>
      <c r="R1245" s="6"/>
      <c r="S1245" s="6"/>
      <c r="T1245" s="6"/>
      <c r="U1245" s="6"/>
      <c r="V1245" s="6"/>
      <c r="W1245" s="6"/>
      <c r="X1245" s="6"/>
      <c r="Y1245" s="6"/>
      <c r="Z1245" s="6"/>
    </row>
    <row r="1246" spans="1:26" ht="15.75" customHeight="1" x14ac:dyDescent="0.3">
      <c r="A1246" s="10" t="s">
        <v>2190</v>
      </c>
      <c r="B1246" s="10">
        <v>1982</v>
      </c>
      <c r="C1246" s="10" t="s">
        <v>4707</v>
      </c>
      <c r="D1246" s="10">
        <v>21</v>
      </c>
      <c r="E1246" s="10">
        <v>3</v>
      </c>
      <c r="F1246" s="24">
        <v>10329.06</v>
      </c>
      <c r="G1246" s="10" t="s">
        <v>4696</v>
      </c>
      <c r="H1246" s="10" t="s">
        <v>4694</v>
      </c>
      <c r="I1246" s="10" t="s">
        <v>4726</v>
      </c>
      <c r="J1246" s="17">
        <f t="shared" si="8"/>
        <v>30153</v>
      </c>
      <c r="K1246" s="10">
        <f t="shared" ca="1" si="9"/>
        <v>43</v>
      </c>
      <c r="L1246" s="6"/>
      <c r="M1246" s="6"/>
      <c r="N1246" s="6"/>
      <c r="O1246" s="6"/>
      <c r="P1246" s="6"/>
      <c r="Q1246" s="6"/>
      <c r="R1246" s="6"/>
      <c r="S1246" s="6"/>
      <c r="T1246" s="6"/>
      <c r="U1246" s="6"/>
      <c r="V1246" s="6"/>
      <c r="W1246" s="6"/>
      <c r="X1246" s="6"/>
      <c r="Y1246" s="6"/>
      <c r="Z1246" s="6"/>
    </row>
    <row r="1247" spans="1:26" ht="15.75" customHeight="1" x14ac:dyDescent="0.3">
      <c r="A1247" s="10" t="s">
        <v>2188</v>
      </c>
      <c r="B1247" s="10">
        <v>1968</v>
      </c>
      <c r="C1247" s="10" t="s">
        <v>4707</v>
      </c>
      <c r="D1247" s="10">
        <v>19</v>
      </c>
      <c r="E1247" s="10">
        <v>0</v>
      </c>
      <c r="F1247" s="24">
        <v>10338.93</v>
      </c>
      <c r="G1247" s="10" t="s">
        <v>4696</v>
      </c>
      <c r="H1247" s="10" t="s">
        <v>4694</v>
      </c>
      <c r="I1247" s="10" t="s">
        <v>4708</v>
      </c>
      <c r="J1247" s="17">
        <f t="shared" si="8"/>
        <v>25038</v>
      </c>
      <c r="K1247" s="10">
        <f t="shared" ca="1" si="9"/>
        <v>57</v>
      </c>
      <c r="L1247" s="6"/>
      <c r="M1247" s="6"/>
      <c r="N1247" s="6"/>
      <c r="O1247" s="6"/>
      <c r="P1247" s="6"/>
      <c r="Q1247" s="6"/>
      <c r="R1247" s="6"/>
      <c r="S1247" s="6"/>
      <c r="T1247" s="6"/>
      <c r="U1247" s="6"/>
      <c r="V1247" s="6"/>
      <c r="W1247" s="6"/>
      <c r="X1247" s="6"/>
      <c r="Y1247" s="6"/>
      <c r="Z1247" s="6"/>
    </row>
    <row r="1248" spans="1:26" ht="15.75" customHeight="1" x14ac:dyDescent="0.3">
      <c r="A1248" s="10" t="s">
        <v>2186</v>
      </c>
      <c r="B1248" s="10">
        <v>1973</v>
      </c>
      <c r="C1248" s="10" t="s">
        <v>4714</v>
      </c>
      <c r="D1248" s="10">
        <v>8</v>
      </c>
      <c r="E1248" s="10">
        <v>0</v>
      </c>
      <c r="F1248" s="24">
        <v>10345.93</v>
      </c>
      <c r="G1248" s="10" t="s">
        <v>4696</v>
      </c>
      <c r="H1248" s="10" t="s">
        <v>4695</v>
      </c>
      <c r="I1248" s="10" t="s">
        <v>4726</v>
      </c>
      <c r="J1248" s="17">
        <f t="shared" si="8"/>
        <v>26884</v>
      </c>
      <c r="K1248" s="10">
        <f t="shared" ca="1" si="9"/>
        <v>52</v>
      </c>
      <c r="L1248" s="6"/>
      <c r="M1248" s="6"/>
      <c r="N1248" s="6"/>
      <c r="O1248" s="6"/>
      <c r="P1248" s="6"/>
      <c r="Q1248" s="6"/>
      <c r="R1248" s="6"/>
      <c r="S1248" s="6"/>
      <c r="T1248" s="6"/>
      <c r="U1248" s="6"/>
      <c r="V1248" s="6"/>
      <c r="W1248" s="6"/>
      <c r="X1248" s="6"/>
      <c r="Y1248" s="6"/>
      <c r="Z1248" s="6"/>
    </row>
    <row r="1249" spans="1:26" ht="15.75" customHeight="1" x14ac:dyDescent="0.3">
      <c r="A1249" s="10" t="s">
        <v>2184</v>
      </c>
      <c r="B1249" s="10">
        <v>1974</v>
      </c>
      <c r="C1249" s="10" t="s">
        <v>4711</v>
      </c>
      <c r="D1249" s="10">
        <v>29</v>
      </c>
      <c r="E1249" s="10">
        <v>0</v>
      </c>
      <c r="F1249" s="24">
        <v>10352.48</v>
      </c>
      <c r="G1249" s="10" t="s">
        <v>4696</v>
      </c>
      <c r="H1249" s="10" t="s">
        <v>4694</v>
      </c>
      <c r="I1249" s="10" t="s">
        <v>4712</v>
      </c>
      <c r="J1249" s="17">
        <f t="shared" si="8"/>
        <v>27301</v>
      </c>
      <c r="K1249" s="10">
        <f t="shared" ca="1" si="9"/>
        <v>51</v>
      </c>
      <c r="L1249" s="6"/>
      <c r="M1249" s="6"/>
      <c r="N1249" s="6"/>
      <c r="O1249" s="6"/>
      <c r="P1249" s="6"/>
      <c r="Q1249" s="6"/>
      <c r="R1249" s="6"/>
      <c r="S1249" s="6"/>
      <c r="T1249" s="6"/>
      <c r="U1249" s="6"/>
      <c r="V1249" s="6"/>
      <c r="W1249" s="6"/>
      <c r="X1249" s="6"/>
      <c r="Y1249" s="6"/>
      <c r="Z1249" s="6"/>
    </row>
    <row r="1250" spans="1:26" ht="15.75" customHeight="1" x14ac:dyDescent="0.3">
      <c r="A1250" s="10" t="s">
        <v>2182</v>
      </c>
      <c r="B1250" s="10">
        <v>1969</v>
      </c>
      <c r="C1250" s="10" t="s">
        <v>4710</v>
      </c>
      <c r="D1250" s="10">
        <v>17</v>
      </c>
      <c r="E1250" s="10">
        <v>0</v>
      </c>
      <c r="F1250" s="24">
        <v>10355.64</v>
      </c>
      <c r="G1250" s="10" t="s">
        <v>4696</v>
      </c>
      <c r="H1250" s="10" t="s">
        <v>4694</v>
      </c>
      <c r="I1250" s="10" t="s">
        <v>4712</v>
      </c>
      <c r="J1250" s="17">
        <f t="shared" si="8"/>
        <v>25371</v>
      </c>
      <c r="K1250" s="10">
        <f t="shared" ca="1" si="9"/>
        <v>56</v>
      </c>
      <c r="L1250" s="6"/>
      <c r="M1250" s="6"/>
      <c r="N1250" s="6"/>
      <c r="O1250" s="6"/>
      <c r="P1250" s="6"/>
      <c r="Q1250" s="6"/>
      <c r="R1250" s="6"/>
      <c r="S1250" s="6"/>
      <c r="T1250" s="6"/>
      <c r="U1250" s="6"/>
      <c r="V1250" s="6"/>
      <c r="W1250" s="6"/>
      <c r="X1250" s="6"/>
      <c r="Y1250" s="6"/>
      <c r="Z1250" s="6"/>
    </row>
    <row r="1251" spans="1:26" ht="15.75" customHeight="1" x14ac:dyDescent="0.3">
      <c r="A1251" s="10" t="s">
        <v>2180</v>
      </c>
      <c r="B1251" s="10">
        <v>1971</v>
      </c>
      <c r="C1251" s="10" t="s">
        <v>4711</v>
      </c>
      <c r="D1251" s="10">
        <v>6</v>
      </c>
      <c r="E1251" s="10">
        <v>0</v>
      </c>
      <c r="F1251" s="24">
        <v>10356.67</v>
      </c>
      <c r="G1251" s="10" t="s">
        <v>4696</v>
      </c>
      <c r="H1251" s="10" t="s">
        <v>4694</v>
      </c>
      <c r="I1251" s="10" t="s">
        <v>4722</v>
      </c>
      <c r="J1251" s="17">
        <f t="shared" si="8"/>
        <v>26182</v>
      </c>
      <c r="K1251" s="10">
        <f t="shared" ca="1" si="9"/>
        <v>54</v>
      </c>
      <c r="L1251" s="6"/>
      <c r="M1251" s="6"/>
      <c r="N1251" s="6"/>
      <c r="O1251" s="6"/>
      <c r="P1251" s="6"/>
      <c r="Q1251" s="6"/>
      <c r="R1251" s="6"/>
      <c r="S1251" s="6"/>
      <c r="T1251" s="6"/>
      <c r="U1251" s="6"/>
      <c r="V1251" s="6"/>
      <c r="W1251" s="6"/>
      <c r="X1251" s="6"/>
      <c r="Y1251" s="6"/>
      <c r="Z1251" s="6"/>
    </row>
    <row r="1252" spans="1:26" ht="15.75" customHeight="1" x14ac:dyDescent="0.3">
      <c r="A1252" s="10" t="s">
        <v>2178</v>
      </c>
      <c r="B1252" s="10">
        <v>1973</v>
      </c>
      <c r="C1252" s="10" t="s">
        <v>4711</v>
      </c>
      <c r="D1252" s="10">
        <v>29</v>
      </c>
      <c r="E1252" s="10">
        <v>2</v>
      </c>
      <c r="F1252" s="24">
        <v>10370.91</v>
      </c>
      <c r="G1252" s="10" t="s">
        <v>4696</v>
      </c>
      <c r="H1252" s="10" t="s">
        <v>4696</v>
      </c>
      <c r="I1252" s="10" t="s">
        <v>4723</v>
      </c>
      <c r="J1252" s="17">
        <f t="shared" si="8"/>
        <v>26936</v>
      </c>
      <c r="K1252" s="10">
        <f t="shared" ca="1" si="9"/>
        <v>52</v>
      </c>
      <c r="L1252" s="6"/>
      <c r="M1252" s="6"/>
      <c r="N1252" s="6"/>
      <c r="O1252" s="6"/>
      <c r="P1252" s="6"/>
      <c r="Q1252" s="6"/>
      <c r="R1252" s="6"/>
      <c r="S1252" s="6"/>
      <c r="T1252" s="6"/>
      <c r="U1252" s="6"/>
      <c r="V1252" s="6"/>
      <c r="W1252" s="6"/>
      <c r="X1252" s="6"/>
      <c r="Y1252" s="6"/>
      <c r="Z1252" s="6"/>
    </row>
    <row r="1253" spans="1:26" ht="15.75" customHeight="1" x14ac:dyDescent="0.3">
      <c r="A1253" s="10" t="s">
        <v>2176</v>
      </c>
      <c r="B1253" s="10">
        <v>1973</v>
      </c>
      <c r="C1253" s="10" t="s">
        <v>4711</v>
      </c>
      <c r="D1253" s="10">
        <v>19</v>
      </c>
      <c r="E1253" s="10">
        <v>3</v>
      </c>
      <c r="F1253" s="24">
        <v>10381.48</v>
      </c>
      <c r="G1253" s="10" t="s">
        <v>4696</v>
      </c>
      <c r="H1253" s="10" t="s">
        <v>4696</v>
      </c>
      <c r="I1253" s="10" t="s">
        <v>4708</v>
      </c>
      <c r="J1253" s="17">
        <f t="shared" si="8"/>
        <v>26926</v>
      </c>
      <c r="K1253" s="10">
        <f t="shared" ca="1" si="9"/>
        <v>52</v>
      </c>
      <c r="L1253" s="6"/>
      <c r="M1253" s="6"/>
      <c r="N1253" s="6"/>
      <c r="O1253" s="6"/>
      <c r="P1253" s="6"/>
      <c r="Q1253" s="6"/>
      <c r="R1253" s="6"/>
      <c r="S1253" s="6"/>
      <c r="T1253" s="6"/>
      <c r="U1253" s="6"/>
      <c r="V1253" s="6"/>
      <c r="W1253" s="6"/>
      <c r="X1253" s="6"/>
      <c r="Y1253" s="6"/>
      <c r="Z1253" s="6"/>
    </row>
    <row r="1254" spans="1:26" ht="15.75" customHeight="1" x14ac:dyDescent="0.3">
      <c r="A1254" s="10" t="s">
        <v>2174</v>
      </c>
      <c r="B1254" s="10">
        <v>1969</v>
      </c>
      <c r="C1254" s="10" t="s">
        <v>4707</v>
      </c>
      <c r="D1254" s="10">
        <v>7</v>
      </c>
      <c r="E1254" s="10">
        <v>0</v>
      </c>
      <c r="F1254" s="24">
        <v>10403.27</v>
      </c>
      <c r="G1254" s="10" t="s">
        <v>4696</v>
      </c>
      <c r="H1254" s="10" t="s">
        <v>4695</v>
      </c>
      <c r="I1254" s="10" t="s">
        <v>4728</v>
      </c>
      <c r="J1254" s="17">
        <f t="shared" si="8"/>
        <v>25391</v>
      </c>
      <c r="K1254" s="10">
        <f t="shared" ca="1" si="9"/>
        <v>56</v>
      </c>
      <c r="L1254" s="6"/>
      <c r="M1254" s="6"/>
      <c r="N1254" s="6"/>
      <c r="O1254" s="6"/>
      <c r="P1254" s="6"/>
      <c r="Q1254" s="6"/>
      <c r="R1254" s="6"/>
      <c r="S1254" s="6"/>
      <c r="T1254" s="6"/>
      <c r="U1254" s="6"/>
      <c r="V1254" s="6"/>
      <c r="W1254" s="6"/>
      <c r="X1254" s="6"/>
      <c r="Y1254" s="6"/>
      <c r="Z1254" s="6"/>
    </row>
    <row r="1255" spans="1:26" ht="15.75" customHeight="1" x14ac:dyDescent="0.3">
      <c r="A1255" s="10" t="s">
        <v>2172</v>
      </c>
      <c r="B1255" s="10">
        <v>1975</v>
      </c>
      <c r="C1255" s="10" t="s">
        <v>4710</v>
      </c>
      <c r="D1255" s="10">
        <v>5</v>
      </c>
      <c r="E1255" s="10">
        <v>4</v>
      </c>
      <c r="F1255" s="24">
        <v>10407.09</v>
      </c>
      <c r="G1255" s="10" t="s">
        <v>4696</v>
      </c>
      <c r="H1255" s="10" t="s">
        <v>4694</v>
      </c>
      <c r="I1255" s="10" t="s">
        <v>4718</v>
      </c>
      <c r="J1255" s="17">
        <f t="shared" si="8"/>
        <v>27550</v>
      </c>
      <c r="K1255" s="10">
        <f t="shared" ca="1" si="9"/>
        <v>50</v>
      </c>
      <c r="L1255" s="6"/>
      <c r="M1255" s="6"/>
      <c r="N1255" s="6"/>
      <c r="O1255" s="6"/>
      <c r="P1255" s="6"/>
      <c r="Q1255" s="6"/>
      <c r="R1255" s="6"/>
      <c r="S1255" s="6"/>
      <c r="T1255" s="6"/>
      <c r="U1255" s="6"/>
      <c r="V1255" s="6"/>
      <c r="W1255" s="6"/>
      <c r="X1255" s="6"/>
      <c r="Y1255" s="6"/>
      <c r="Z1255" s="6"/>
    </row>
    <row r="1256" spans="1:26" ht="15.75" customHeight="1" x14ac:dyDescent="0.3">
      <c r="A1256" s="10" t="s">
        <v>2170</v>
      </c>
      <c r="B1256" s="10">
        <v>1980</v>
      </c>
      <c r="C1256" s="10" t="s">
        <v>4715</v>
      </c>
      <c r="D1256" s="10">
        <v>24</v>
      </c>
      <c r="E1256" s="10">
        <v>2</v>
      </c>
      <c r="F1256" s="24">
        <v>10407.98</v>
      </c>
      <c r="G1256" s="10" t="s">
        <v>4696</v>
      </c>
      <c r="H1256" s="10" t="s">
        <v>4694</v>
      </c>
      <c r="I1256" s="10" t="s">
        <v>4726</v>
      </c>
      <c r="J1256" s="17">
        <f t="shared" si="8"/>
        <v>29518</v>
      </c>
      <c r="K1256" s="10">
        <f t="shared" ca="1" si="9"/>
        <v>45</v>
      </c>
      <c r="L1256" s="6"/>
      <c r="M1256" s="6"/>
      <c r="N1256" s="6"/>
      <c r="O1256" s="6"/>
      <c r="P1256" s="6"/>
      <c r="Q1256" s="6"/>
      <c r="R1256" s="6"/>
      <c r="S1256" s="6"/>
      <c r="T1256" s="6"/>
      <c r="U1256" s="6"/>
      <c r="V1256" s="6"/>
      <c r="W1256" s="6"/>
      <c r="X1256" s="6"/>
      <c r="Y1256" s="6"/>
      <c r="Z1256" s="6"/>
    </row>
    <row r="1257" spans="1:26" ht="15.75" customHeight="1" x14ac:dyDescent="0.3">
      <c r="A1257" s="10" t="s">
        <v>2168</v>
      </c>
      <c r="B1257" s="10">
        <v>1973</v>
      </c>
      <c r="C1257" s="10" t="s">
        <v>4715</v>
      </c>
      <c r="D1257" s="10">
        <v>11</v>
      </c>
      <c r="E1257" s="10">
        <v>0</v>
      </c>
      <c r="F1257" s="24">
        <v>10419.59</v>
      </c>
      <c r="G1257" s="10" t="s">
        <v>4696</v>
      </c>
      <c r="H1257" s="10" t="s">
        <v>4695</v>
      </c>
      <c r="I1257" s="10" t="s">
        <v>4722</v>
      </c>
      <c r="J1257" s="17">
        <f t="shared" si="8"/>
        <v>26948</v>
      </c>
      <c r="K1257" s="10">
        <f t="shared" ca="1" si="9"/>
        <v>52</v>
      </c>
      <c r="L1257" s="6"/>
      <c r="M1257" s="6"/>
      <c r="N1257" s="6"/>
      <c r="O1257" s="6"/>
      <c r="P1257" s="6"/>
      <c r="Q1257" s="6"/>
      <c r="R1257" s="6"/>
      <c r="S1257" s="6"/>
      <c r="T1257" s="6"/>
      <c r="U1257" s="6"/>
      <c r="V1257" s="6"/>
      <c r="W1257" s="6"/>
      <c r="X1257" s="6"/>
      <c r="Y1257" s="6"/>
      <c r="Z1257" s="6"/>
    </row>
    <row r="1258" spans="1:26" ht="15.75" customHeight="1" x14ac:dyDescent="0.3">
      <c r="A1258" s="10" t="s">
        <v>2166</v>
      </c>
      <c r="B1258" s="10">
        <v>1979</v>
      </c>
      <c r="C1258" s="10" t="s">
        <v>4709</v>
      </c>
      <c r="D1258" s="10">
        <v>25</v>
      </c>
      <c r="E1258" s="10">
        <v>2</v>
      </c>
      <c r="F1258" s="24">
        <v>10419.65</v>
      </c>
      <c r="G1258" s="10" t="s">
        <v>4696</v>
      </c>
      <c r="H1258" s="10" t="s">
        <v>4695</v>
      </c>
      <c r="I1258" s="10" t="s">
        <v>4722</v>
      </c>
      <c r="J1258" s="17">
        <f t="shared" si="8"/>
        <v>29184</v>
      </c>
      <c r="K1258" s="10">
        <f t="shared" ca="1" si="9"/>
        <v>46</v>
      </c>
      <c r="L1258" s="6"/>
      <c r="M1258" s="6"/>
      <c r="N1258" s="6"/>
      <c r="O1258" s="6"/>
      <c r="P1258" s="6"/>
      <c r="Q1258" s="6"/>
      <c r="R1258" s="6"/>
      <c r="S1258" s="6"/>
      <c r="T1258" s="6"/>
      <c r="U1258" s="6"/>
      <c r="V1258" s="6"/>
      <c r="W1258" s="6"/>
      <c r="X1258" s="6"/>
      <c r="Y1258" s="6"/>
      <c r="Z1258" s="6"/>
    </row>
    <row r="1259" spans="1:26" ht="15.75" customHeight="1" x14ac:dyDescent="0.3">
      <c r="A1259" s="10" t="s">
        <v>2164</v>
      </c>
      <c r="B1259" s="10">
        <v>1968</v>
      </c>
      <c r="C1259" s="10" t="s">
        <v>4713</v>
      </c>
      <c r="D1259" s="10">
        <v>27</v>
      </c>
      <c r="E1259" s="10">
        <v>0</v>
      </c>
      <c r="F1259" s="24">
        <v>10422.92</v>
      </c>
      <c r="G1259" s="10" t="s">
        <v>4696</v>
      </c>
      <c r="H1259" s="10" t="s">
        <v>4694</v>
      </c>
      <c r="I1259" s="10" t="s">
        <v>4727</v>
      </c>
      <c r="J1259" s="17">
        <f t="shared" si="8"/>
        <v>25199</v>
      </c>
      <c r="K1259" s="10">
        <f t="shared" ca="1" si="9"/>
        <v>56</v>
      </c>
      <c r="L1259" s="6"/>
      <c r="M1259" s="6"/>
      <c r="N1259" s="6"/>
      <c r="O1259" s="6"/>
      <c r="P1259" s="6"/>
      <c r="Q1259" s="6"/>
      <c r="R1259" s="6"/>
      <c r="S1259" s="6"/>
      <c r="T1259" s="6"/>
      <c r="U1259" s="6"/>
      <c r="V1259" s="6"/>
      <c r="W1259" s="6"/>
      <c r="X1259" s="6"/>
      <c r="Y1259" s="6"/>
      <c r="Z1259" s="6"/>
    </row>
    <row r="1260" spans="1:26" ht="15.75" customHeight="1" x14ac:dyDescent="0.3">
      <c r="A1260" s="10" t="s">
        <v>2162</v>
      </c>
      <c r="B1260" s="10">
        <v>1968</v>
      </c>
      <c r="C1260" s="10" t="s">
        <v>4714</v>
      </c>
      <c r="D1260" s="10">
        <v>23</v>
      </c>
      <c r="E1260" s="10">
        <v>0</v>
      </c>
      <c r="F1260" s="24">
        <v>10435.07</v>
      </c>
      <c r="G1260" s="10" t="s">
        <v>4696</v>
      </c>
      <c r="H1260" s="10" t="s">
        <v>4694</v>
      </c>
      <c r="I1260" s="10" t="s">
        <v>4720</v>
      </c>
      <c r="J1260" s="17">
        <f t="shared" si="8"/>
        <v>25073</v>
      </c>
      <c r="K1260" s="10">
        <f t="shared" ca="1" si="9"/>
        <v>57</v>
      </c>
      <c r="L1260" s="6"/>
      <c r="M1260" s="6"/>
      <c r="N1260" s="6"/>
      <c r="O1260" s="6"/>
      <c r="P1260" s="6"/>
      <c r="Q1260" s="6"/>
      <c r="R1260" s="6"/>
      <c r="S1260" s="6"/>
      <c r="T1260" s="6"/>
      <c r="U1260" s="6"/>
      <c r="V1260" s="6"/>
      <c r="W1260" s="6"/>
      <c r="X1260" s="6"/>
      <c r="Y1260" s="6"/>
      <c r="Z1260" s="6"/>
    </row>
    <row r="1261" spans="1:26" ht="15.75" customHeight="1" x14ac:dyDescent="0.3">
      <c r="A1261" s="10" t="s">
        <v>2160</v>
      </c>
      <c r="B1261" s="10">
        <v>1968</v>
      </c>
      <c r="C1261" s="10" t="s">
        <v>4714</v>
      </c>
      <c r="D1261" s="10">
        <v>29</v>
      </c>
      <c r="E1261" s="10">
        <v>1</v>
      </c>
      <c r="F1261" s="24">
        <v>10436.1</v>
      </c>
      <c r="G1261" s="10" t="s">
        <v>4696</v>
      </c>
      <c r="H1261" s="10" t="s">
        <v>4696</v>
      </c>
      <c r="I1261" s="10" t="s">
        <v>4716</v>
      </c>
      <c r="J1261" s="17">
        <f t="shared" si="8"/>
        <v>25079</v>
      </c>
      <c r="K1261" s="10">
        <f t="shared" ca="1" si="9"/>
        <v>57</v>
      </c>
      <c r="L1261" s="6"/>
      <c r="M1261" s="6"/>
      <c r="N1261" s="6"/>
      <c r="O1261" s="6"/>
      <c r="P1261" s="6"/>
      <c r="Q1261" s="6"/>
      <c r="R1261" s="6"/>
      <c r="S1261" s="6"/>
      <c r="T1261" s="6"/>
      <c r="U1261" s="6"/>
      <c r="V1261" s="6"/>
      <c r="W1261" s="6"/>
      <c r="X1261" s="6"/>
      <c r="Y1261" s="6"/>
      <c r="Z1261" s="6"/>
    </row>
    <row r="1262" spans="1:26" ht="15.75" customHeight="1" x14ac:dyDescent="0.3">
      <c r="A1262" s="10" t="s">
        <v>2158</v>
      </c>
      <c r="B1262" s="10">
        <v>1968</v>
      </c>
      <c r="C1262" s="10" t="s">
        <v>4709</v>
      </c>
      <c r="D1262" s="10">
        <v>8</v>
      </c>
      <c r="E1262" s="10">
        <v>1</v>
      </c>
      <c r="F1262" s="24">
        <v>10450.549999999999</v>
      </c>
      <c r="G1262" s="10" t="s">
        <v>4696</v>
      </c>
      <c r="H1262" s="10" t="s">
        <v>4694</v>
      </c>
      <c r="I1262" s="10" t="s">
        <v>4716</v>
      </c>
      <c r="J1262" s="17">
        <f t="shared" si="8"/>
        <v>25150</v>
      </c>
      <c r="K1262" s="10">
        <f t="shared" ca="1" si="9"/>
        <v>57</v>
      </c>
      <c r="L1262" s="6"/>
      <c r="M1262" s="6"/>
      <c r="N1262" s="6"/>
      <c r="O1262" s="6"/>
      <c r="P1262" s="6"/>
      <c r="Q1262" s="6"/>
      <c r="R1262" s="6"/>
      <c r="S1262" s="6"/>
      <c r="T1262" s="6"/>
      <c r="U1262" s="6"/>
      <c r="V1262" s="6"/>
      <c r="W1262" s="6"/>
      <c r="X1262" s="6"/>
      <c r="Y1262" s="6"/>
      <c r="Z1262" s="6"/>
    </row>
    <row r="1263" spans="1:26" ht="15.75" customHeight="1" x14ac:dyDescent="0.3">
      <c r="A1263" s="10" t="s">
        <v>2156</v>
      </c>
      <c r="B1263" s="10">
        <v>1964</v>
      </c>
      <c r="C1263" s="10" t="s">
        <v>4715</v>
      </c>
      <c r="D1263" s="10">
        <v>14</v>
      </c>
      <c r="E1263" s="10">
        <v>0</v>
      </c>
      <c r="F1263" s="24">
        <v>10455.1</v>
      </c>
      <c r="G1263" s="10" t="s">
        <v>4696</v>
      </c>
      <c r="H1263" s="10" t="s">
        <v>4694</v>
      </c>
      <c r="I1263" s="10" t="s">
        <v>4712</v>
      </c>
      <c r="J1263" s="17">
        <f t="shared" si="8"/>
        <v>23664</v>
      </c>
      <c r="K1263" s="10">
        <f t="shared" ca="1" si="9"/>
        <v>61</v>
      </c>
      <c r="L1263" s="6"/>
      <c r="M1263" s="6"/>
      <c r="N1263" s="6"/>
      <c r="O1263" s="6"/>
      <c r="P1263" s="6"/>
      <c r="Q1263" s="6"/>
      <c r="R1263" s="6"/>
      <c r="S1263" s="6"/>
      <c r="T1263" s="6"/>
      <c r="U1263" s="6"/>
      <c r="V1263" s="6"/>
      <c r="W1263" s="6"/>
      <c r="X1263" s="6"/>
      <c r="Y1263" s="6"/>
      <c r="Z1263" s="6"/>
    </row>
    <row r="1264" spans="1:26" ht="15.75" customHeight="1" x14ac:dyDescent="0.3">
      <c r="A1264" s="10" t="s">
        <v>2154</v>
      </c>
      <c r="B1264" s="10">
        <v>1976</v>
      </c>
      <c r="C1264" s="10" t="s">
        <v>4714</v>
      </c>
      <c r="D1264" s="10">
        <v>3</v>
      </c>
      <c r="E1264" s="10">
        <v>2</v>
      </c>
      <c r="F1264" s="24">
        <v>10455.14</v>
      </c>
      <c r="G1264" s="10" t="s">
        <v>4696</v>
      </c>
      <c r="H1264" s="10" t="s">
        <v>4695</v>
      </c>
      <c r="I1264" s="10" t="s">
        <v>4726</v>
      </c>
      <c r="J1264" s="17">
        <f t="shared" si="8"/>
        <v>27975</v>
      </c>
      <c r="K1264" s="10">
        <f t="shared" ca="1" si="9"/>
        <v>49</v>
      </c>
      <c r="L1264" s="6"/>
      <c r="M1264" s="6"/>
      <c r="N1264" s="6"/>
      <c r="O1264" s="6"/>
      <c r="P1264" s="6"/>
      <c r="Q1264" s="6"/>
      <c r="R1264" s="6"/>
      <c r="S1264" s="6"/>
      <c r="T1264" s="6"/>
      <c r="U1264" s="6"/>
      <c r="V1264" s="6"/>
      <c r="W1264" s="6"/>
      <c r="X1264" s="6"/>
      <c r="Y1264" s="6"/>
      <c r="Z1264" s="6"/>
    </row>
    <row r="1265" spans="1:26" ht="15.75" customHeight="1" x14ac:dyDescent="0.3">
      <c r="A1265" s="10" t="s">
        <v>2152</v>
      </c>
      <c r="B1265" s="10">
        <v>1964</v>
      </c>
      <c r="C1265" s="10" t="s">
        <v>4707</v>
      </c>
      <c r="D1265" s="10">
        <v>27</v>
      </c>
      <c r="E1265" s="10">
        <v>0</v>
      </c>
      <c r="F1265" s="24">
        <v>10459.19</v>
      </c>
      <c r="G1265" s="10" t="s">
        <v>4696</v>
      </c>
      <c r="H1265" s="10" t="s">
        <v>4694</v>
      </c>
      <c r="I1265" s="10" t="s">
        <v>4708</v>
      </c>
      <c r="J1265" s="17">
        <f t="shared" si="8"/>
        <v>23585</v>
      </c>
      <c r="K1265" s="10">
        <f t="shared" ca="1" si="9"/>
        <v>61</v>
      </c>
      <c r="L1265" s="6"/>
      <c r="M1265" s="6"/>
      <c r="N1265" s="6"/>
      <c r="O1265" s="6"/>
      <c r="P1265" s="6"/>
      <c r="Q1265" s="6"/>
      <c r="R1265" s="6"/>
      <c r="S1265" s="6"/>
      <c r="T1265" s="6"/>
      <c r="U1265" s="6"/>
      <c r="V1265" s="6"/>
      <c r="W1265" s="6"/>
      <c r="X1265" s="6"/>
      <c r="Y1265" s="6"/>
      <c r="Z1265" s="6"/>
    </row>
    <row r="1266" spans="1:26" ht="15.75" customHeight="1" x14ac:dyDescent="0.3">
      <c r="A1266" s="10" t="s">
        <v>2150</v>
      </c>
      <c r="B1266" s="10">
        <v>1969</v>
      </c>
      <c r="C1266" s="10" t="s">
        <v>4711</v>
      </c>
      <c r="D1266" s="10">
        <v>22</v>
      </c>
      <c r="E1266" s="10">
        <v>1</v>
      </c>
      <c r="F1266" s="24">
        <v>10461.98</v>
      </c>
      <c r="G1266" s="10" t="s">
        <v>4696</v>
      </c>
      <c r="H1266" s="10" t="s">
        <v>4694</v>
      </c>
      <c r="I1266" s="10" t="s">
        <v>4712</v>
      </c>
      <c r="J1266" s="17">
        <f t="shared" si="8"/>
        <v>25468</v>
      </c>
      <c r="K1266" s="10">
        <f t="shared" ca="1" si="9"/>
        <v>56</v>
      </c>
      <c r="L1266" s="6"/>
      <c r="M1266" s="6"/>
      <c r="N1266" s="6"/>
      <c r="O1266" s="6"/>
      <c r="P1266" s="6"/>
      <c r="Q1266" s="6"/>
      <c r="R1266" s="6"/>
      <c r="S1266" s="6"/>
      <c r="T1266" s="6"/>
      <c r="U1266" s="6"/>
      <c r="V1266" s="6"/>
      <c r="W1266" s="6"/>
      <c r="X1266" s="6"/>
      <c r="Y1266" s="6"/>
      <c r="Z1266" s="6"/>
    </row>
    <row r="1267" spans="1:26" ht="15.75" customHeight="1" x14ac:dyDescent="0.3">
      <c r="A1267" s="10" t="s">
        <v>2148</v>
      </c>
      <c r="B1267" s="10">
        <v>1987</v>
      </c>
      <c r="C1267" s="10" t="s">
        <v>4710</v>
      </c>
      <c r="D1267" s="10">
        <v>28</v>
      </c>
      <c r="E1267" s="10">
        <v>3</v>
      </c>
      <c r="F1267" s="24">
        <v>10464.83</v>
      </c>
      <c r="G1267" s="10" t="s">
        <v>4696</v>
      </c>
      <c r="H1267" s="10" t="s">
        <v>4694</v>
      </c>
      <c r="I1267" s="10" t="s">
        <v>4712</v>
      </c>
      <c r="J1267" s="17">
        <f t="shared" si="8"/>
        <v>31956</v>
      </c>
      <c r="K1267" s="10">
        <f t="shared" ca="1" si="9"/>
        <v>38</v>
      </c>
      <c r="L1267" s="6"/>
      <c r="M1267" s="6"/>
      <c r="N1267" s="6"/>
      <c r="O1267" s="6"/>
      <c r="P1267" s="6"/>
      <c r="Q1267" s="6"/>
      <c r="R1267" s="6"/>
      <c r="S1267" s="6"/>
      <c r="T1267" s="6"/>
      <c r="U1267" s="6"/>
      <c r="V1267" s="6"/>
      <c r="W1267" s="6"/>
      <c r="X1267" s="6"/>
      <c r="Y1267" s="6"/>
      <c r="Z1267" s="6"/>
    </row>
    <row r="1268" spans="1:26" ht="15.75" customHeight="1" x14ac:dyDescent="0.3">
      <c r="A1268" s="10" t="s">
        <v>2146</v>
      </c>
      <c r="B1268" s="10">
        <v>1978</v>
      </c>
      <c r="C1268" s="10" t="s">
        <v>4714</v>
      </c>
      <c r="D1268" s="10">
        <v>21</v>
      </c>
      <c r="E1268" s="10">
        <v>2</v>
      </c>
      <c r="F1268" s="24">
        <v>10486.55</v>
      </c>
      <c r="G1268" s="10" t="s">
        <v>4696</v>
      </c>
      <c r="H1268" s="10" t="s">
        <v>4696</v>
      </c>
      <c r="I1268" s="10" t="s">
        <v>4722</v>
      </c>
      <c r="J1268" s="17">
        <f t="shared" si="8"/>
        <v>28723</v>
      </c>
      <c r="K1268" s="10">
        <f t="shared" ca="1" si="9"/>
        <v>47</v>
      </c>
      <c r="L1268" s="6"/>
      <c r="M1268" s="6"/>
      <c r="N1268" s="6"/>
      <c r="O1268" s="6"/>
      <c r="P1268" s="6"/>
      <c r="Q1268" s="6"/>
      <c r="R1268" s="6"/>
      <c r="S1268" s="6"/>
      <c r="T1268" s="6"/>
      <c r="U1268" s="6"/>
      <c r="V1268" s="6"/>
      <c r="W1268" s="6"/>
      <c r="X1268" s="6"/>
      <c r="Y1268" s="6"/>
      <c r="Z1268" s="6"/>
    </row>
    <row r="1269" spans="1:26" ht="15.75" customHeight="1" x14ac:dyDescent="0.3">
      <c r="A1269" s="10" t="s">
        <v>2144</v>
      </c>
      <c r="B1269" s="10">
        <v>1972</v>
      </c>
      <c r="C1269" s="10" t="s">
        <v>4715</v>
      </c>
      <c r="D1269" s="10">
        <v>19</v>
      </c>
      <c r="E1269" s="10">
        <v>2</v>
      </c>
      <c r="F1269" s="24">
        <v>10493.95</v>
      </c>
      <c r="G1269" s="10" t="s">
        <v>4696</v>
      </c>
      <c r="H1269" s="10" t="s">
        <v>4694</v>
      </c>
      <c r="I1269" s="10" t="s">
        <v>4712</v>
      </c>
      <c r="J1269" s="17">
        <f t="shared" si="8"/>
        <v>26591</v>
      </c>
      <c r="K1269" s="10">
        <f t="shared" ca="1" si="9"/>
        <v>53</v>
      </c>
      <c r="L1269" s="6"/>
      <c r="M1269" s="6"/>
      <c r="N1269" s="6"/>
      <c r="O1269" s="6"/>
      <c r="P1269" s="6"/>
      <c r="Q1269" s="6"/>
      <c r="R1269" s="6"/>
      <c r="S1269" s="6"/>
      <c r="T1269" s="6"/>
      <c r="U1269" s="6"/>
      <c r="V1269" s="6"/>
      <c r="W1269" s="6"/>
      <c r="X1269" s="6"/>
      <c r="Y1269" s="6"/>
      <c r="Z1269" s="6"/>
    </row>
    <row r="1270" spans="1:26" ht="15.75" customHeight="1" x14ac:dyDescent="0.3">
      <c r="A1270" s="10" t="s">
        <v>2142</v>
      </c>
      <c r="B1270" s="10">
        <v>1977</v>
      </c>
      <c r="C1270" s="10" t="s">
        <v>4715</v>
      </c>
      <c r="D1270" s="10">
        <v>25</v>
      </c>
      <c r="E1270" s="10">
        <v>2</v>
      </c>
      <c r="F1270" s="24">
        <v>10495.6</v>
      </c>
      <c r="G1270" s="10" t="s">
        <v>4696</v>
      </c>
      <c r="H1270" s="10" t="s">
        <v>4694</v>
      </c>
      <c r="I1270" s="10" t="s">
        <v>4712</v>
      </c>
      <c r="J1270" s="17">
        <f t="shared" si="8"/>
        <v>28423</v>
      </c>
      <c r="K1270" s="10">
        <f t="shared" ca="1" si="9"/>
        <v>48</v>
      </c>
      <c r="L1270" s="6"/>
      <c r="M1270" s="6"/>
      <c r="N1270" s="6"/>
      <c r="O1270" s="6"/>
      <c r="P1270" s="6"/>
      <c r="Q1270" s="6"/>
      <c r="R1270" s="6"/>
      <c r="S1270" s="6"/>
      <c r="T1270" s="6"/>
      <c r="U1270" s="6"/>
      <c r="V1270" s="6"/>
      <c r="W1270" s="6"/>
      <c r="X1270" s="6"/>
      <c r="Y1270" s="6"/>
      <c r="Z1270" s="6"/>
    </row>
    <row r="1271" spans="1:26" ht="15.75" customHeight="1" x14ac:dyDescent="0.3">
      <c r="A1271" s="10" t="s">
        <v>2140</v>
      </c>
      <c r="B1271" s="10">
        <v>1971</v>
      </c>
      <c r="C1271" s="10" t="s">
        <v>4711</v>
      </c>
      <c r="D1271" s="10">
        <v>26</v>
      </c>
      <c r="E1271" s="10">
        <v>0</v>
      </c>
      <c r="F1271" s="24">
        <v>10546.48</v>
      </c>
      <c r="G1271" s="10" t="s">
        <v>4696</v>
      </c>
      <c r="H1271" s="10" t="s">
        <v>4696</v>
      </c>
      <c r="I1271" s="10" t="s">
        <v>4716</v>
      </c>
      <c r="J1271" s="17">
        <f t="shared" si="8"/>
        <v>26202</v>
      </c>
      <c r="K1271" s="10">
        <f t="shared" ca="1" si="9"/>
        <v>54</v>
      </c>
      <c r="L1271" s="6"/>
      <c r="M1271" s="6"/>
      <c r="N1271" s="6"/>
      <c r="O1271" s="6"/>
      <c r="P1271" s="6"/>
      <c r="Q1271" s="6"/>
      <c r="R1271" s="6"/>
      <c r="S1271" s="6"/>
      <c r="T1271" s="6"/>
      <c r="U1271" s="6"/>
      <c r="V1271" s="6"/>
      <c r="W1271" s="6"/>
      <c r="X1271" s="6"/>
      <c r="Y1271" s="6"/>
      <c r="Z1271" s="6"/>
    </row>
    <row r="1272" spans="1:26" ht="15.75" customHeight="1" x14ac:dyDescent="0.3">
      <c r="A1272" s="10" t="s">
        <v>2138</v>
      </c>
      <c r="B1272" s="10">
        <v>1971</v>
      </c>
      <c r="C1272" s="10" t="s">
        <v>4710</v>
      </c>
      <c r="D1272" s="10">
        <v>29</v>
      </c>
      <c r="E1272" s="10">
        <v>3</v>
      </c>
      <c r="F1272" s="24">
        <v>10560.49</v>
      </c>
      <c r="G1272" s="10" t="s">
        <v>4696</v>
      </c>
      <c r="H1272" s="10" t="s">
        <v>4695</v>
      </c>
      <c r="I1272" s="10" t="s">
        <v>4708</v>
      </c>
      <c r="J1272" s="17">
        <f t="shared" si="8"/>
        <v>26113</v>
      </c>
      <c r="K1272" s="10">
        <f t="shared" ca="1" si="9"/>
        <v>54</v>
      </c>
      <c r="L1272" s="6"/>
      <c r="M1272" s="6"/>
      <c r="N1272" s="6"/>
      <c r="O1272" s="6"/>
      <c r="P1272" s="6"/>
      <c r="Q1272" s="6"/>
      <c r="R1272" s="6"/>
      <c r="S1272" s="6"/>
      <c r="T1272" s="6"/>
      <c r="U1272" s="6"/>
      <c r="V1272" s="6"/>
      <c r="W1272" s="6"/>
      <c r="X1272" s="6"/>
      <c r="Y1272" s="6"/>
      <c r="Z1272" s="6"/>
    </row>
    <row r="1273" spans="1:26" ht="15.75" customHeight="1" x14ac:dyDescent="0.3">
      <c r="A1273" s="10" t="s">
        <v>2136</v>
      </c>
      <c r="B1273" s="10">
        <v>1969</v>
      </c>
      <c r="C1273" s="10" t="s">
        <v>4707</v>
      </c>
      <c r="D1273" s="10">
        <v>17</v>
      </c>
      <c r="E1273" s="10">
        <v>0</v>
      </c>
      <c r="F1273" s="24">
        <v>10564.88</v>
      </c>
      <c r="G1273" s="10" t="s">
        <v>4696</v>
      </c>
      <c r="H1273" s="10" t="s">
        <v>4694</v>
      </c>
      <c r="I1273" s="10" t="s">
        <v>4723</v>
      </c>
      <c r="J1273" s="17">
        <f t="shared" si="8"/>
        <v>25401</v>
      </c>
      <c r="K1273" s="10">
        <f t="shared" ca="1" si="9"/>
        <v>56</v>
      </c>
      <c r="L1273" s="6"/>
      <c r="M1273" s="6"/>
      <c r="N1273" s="6"/>
      <c r="O1273" s="6"/>
      <c r="P1273" s="6"/>
      <c r="Q1273" s="6"/>
      <c r="R1273" s="6"/>
      <c r="S1273" s="6"/>
      <c r="T1273" s="6"/>
      <c r="U1273" s="6"/>
      <c r="V1273" s="6"/>
      <c r="W1273" s="6"/>
      <c r="X1273" s="6"/>
      <c r="Y1273" s="6"/>
      <c r="Z1273" s="6"/>
    </row>
    <row r="1274" spans="1:26" ht="15.75" customHeight="1" x14ac:dyDescent="0.3">
      <c r="A1274" s="10" t="s">
        <v>2134</v>
      </c>
      <c r="B1274" s="10">
        <v>1966</v>
      </c>
      <c r="C1274" s="10" t="s">
        <v>4713</v>
      </c>
      <c r="D1274" s="10">
        <v>11</v>
      </c>
      <c r="E1274" s="10">
        <v>0</v>
      </c>
      <c r="F1274" s="24">
        <v>10577.09</v>
      </c>
      <c r="G1274" s="10" t="s">
        <v>4696</v>
      </c>
      <c r="H1274" s="10" t="s">
        <v>4696</v>
      </c>
      <c r="I1274" s="10" t="s">
        <v>4716</v>
      </c>
      <c r="J1274" s="17">
        <f t="shared" si="8"/>
        <v>24452</v>
      </c>
      <c r="K1274" s="10">
        <f t="shared" ca="1" si="9"/>
        <v>58</v>
      </c>
      <c r="L1274" s="6"/>
      <c r="M1274" s="6"/>
      <c r="N1274" s="6"/>
      <c r="O1274" s="6"/>
      <c r="P1274" s="6"/>
      <c r="Q1274" s="6"/>
      <c r="R1274" s="6"/>
      <c r="S1274" s="6"/>
      <c r="T1274" s="6"/>
      <c r="U1274" s="6"/>
      <c r="V1274" s="6"/>
      <c r="W1274" s="6"/>
      <c r="X1274" s="6"/>
      <c r="Y1274" s="6"/>
      <c r="Z1274" s="6"/>
    </row>
    <row r="1275" spans="1:26" ht="15.75" customHeight="1" x14ac:dyDescent="0.3">
      <c r="A1275" s="10" t="s">
        <v>2132</v>
      </c>
      <c r="B1275" s="10">
        <v>1969</v>
      </c>
      <c r="C1275" s="10" t="s">
        <v>4713</v>
      </c>
      <c r="D1275" s="10">
        <v>25</v>
      </c>
      <c r="E1275" s="10">
        <v>1</v>
      </c>
      <c r="F1275" s="24">
        <v>10579.71</v>
      </c>
      <c r="G1275" s="10" t="s">
        <v>4696</v>
      </c>
      <c r="H1275" s="10" t="s">
        <v>4696</v>
      </c>
      <c r="I1275" s="10" t="s">
        <v>4708</v>
      </c>
      <c r="J1275" s="17">
        <f t="shared" si="8"/>
        <v>25562</v>
      </c>
      <c r="K1275" s="10">
        <f t="shared" ca="1" si="9"/>
        <v>55</v>
      </c>
      <c r="L1275" s="6"/>
      <c r="M1275" s="6"/>
      <c r="N1275" s="6"/>
      <c r="O1275" s="6"/>
      <c r="P1275" s="6"/>
      <c r="Q1275" s="6"/>
      <c r="R1275" s="6"/>
      <c r="S1275" s="6"/>
      <c r="T1275" s="6"/>
      <c r="U1275" s="6"/>
      <c r="V1275" s="6"/>
      <c r="W1275" s="6"/>
      <c r="X1275" s="6"/>
      <c r="Y1275" s="6"/>
      <c r="Z1275" s="6"/>
    </row>
    <row r="1276" spans="1:26" ht="15.75" customHeight="1" x14ac:dyDescent="0.3">
      <c r="A1276" s="10" t="s">
        <v>2130</v>
      </c>
      <c r="B1276" s="10">
        <v>1966</v>
      </c>
      <c r="C1276" s="10" t="s">
        <v>4709</v>
      </c>
      <c r="D1276" s="10">
        <v>3</v>
      </c>
      <c r="E1276" s="10">
        <v>0</v>
      </c>
      <c r="F1276" s="24">
        <v>10594.23</v>
      </c>
      <c r="G1276" s="10" t="s">
        <v>4696</v>
      </c>
      <c r="H1276" s="10" t="s">
        <v>4696</v>
      </c>
      <c r="I1276" s="10" t="s">
        <v>4708</v>
      </c>
      <c r="J1276" s="17">
        <f t="shared" si="8"/>
        <v>24414</v>
      </c>
      <c r="K1276" s="10">
        <f t="shared" ca="1" si="9"/>
        <v>59</v>
      </c>
      <c r="L1276" s="6"/>
      <c r="M1276" s="6"/>
      <c r="N1276" s="6"/>
      <c r="O1276" s="6"/>
      <c r="P1276" s="6"/>
      <c r="Q1276" s="6"/>
      <c r="R1276" s="6"/>
      <c r="S1276" s="6"/>
      <c r="T1276" s="6"/>
      <c r="U1276" s="6"/>
      <c r="V1276" s="6"/>
      <c r="W1276" s="6"/>
      <c r="X1276" s="6"/>
      <c r="Y1276" s="6"/>
      <c r="Z1276" s="6"/>
    </row>
    <row r="1277" spans="1:26" ht="15.75" customHeight="1" x14ac:dyDescent="0.3">
      <c r="A1277" s="10" t="s">
        <v>2128</v>
      </c>
      <c r="B1277" s="10">
        <v>1967</v>
      </c>
      <c r="C1277" s="10" t="s">
        <v>4709</v>
      </c>
      <c r="D1277" s="10">
        <v>29</v>
      </c>
      <c r="E1277" s="10">
        <v>0</v>
      </c>
      <c r="F1277" s="24">
        <v>10594.5</v>
      </c>
      <c r="G1277" s="10" t="s">
        <v>4696</v>
      </c>
      <c r="H1277" s="10" t="s">
        <v>4694</v>
      </c>
      <c r="I1277" s="10" t="s">
        <v>4712</v>
      </c>
      <c r="J1277" s="17">
        <f t="shared" ref="J1277:J1531" si="10">DATEVALUE(D1277&amp;"-"&amp;C1277&amp;" -"&amp;B1277)</f>
        <v>24805</v>
      </c>
      <c r="K1277" s="10">
        <f t="shared" ref="K1277:K1531" ca="1" si="11">DATEDIF(J1277,TODAY(),"Y")</f>
        <v>58</v>
      </c>
      <c r="L1277" s="6"/>
      <c r="M1277" s="6"/>
      <c r="N1277" s="6"/>
      <c r="O1277" s="6"/>
      <c r="P1277" s="6"/>
      <c r="Q1277" s="6"/>
      <c r="R1277" s="6"/>
      <c r="S1277" s="6"/>
      <c r="T1277" s="6"/>
      <c r="U1277" s="6"/>
      <c r="V1277" s="6"/>
      <c r="W1277" s="6"/>
      <c r="X1277" s="6"/>
      <c r="Y1277" s="6"/>
      <c r="Z1277" s="6"/>
    </row>
    <row r="1278" spans="1:26" ht="15.75" customHeight="1" x14ac:dyDescent="0.3">
      <c r="A1278" s="10" t="s">
        <v>2126</v>
      </c>
      <c r="B1278" s="10">
        <v>1972</v>
      </c>
      <c r="C1278" s="10" t="s">
        <v>4713</v>
      </c>
      <c r="D1278" s="10">
        <v>14</v>
      </c>
      <c r="E1278" s="10">
        <v>3</v>
      </c>
      <c r="F1278" s="24">
        <v>10600.55</v>
      </c>
      <c r="G1278" s="10" t="s">
        <v>4696</v>
      </c>
      <c r="H1278" s="10" t="s">
        <v>4694</v>
      </c>
      <c r="I1278" s="10" t="s">
        <v>4712</v>
      </c>
      <c r="J1278" s="17">
        <f t="shared" si="10"/>
        <v>26647</v>
      </c>
      <c r="K1278" s="10">
        <f t="shared" ca="1" si="11"/>
        <v>52</v>
      </c>
      <c r="L1278" s="6"/>
      <c r="M1278" s="6"/>
      <c r="N1278" s="6"/>
      <c r="O1278" s="6"/>
      <c r="P1278" s="6"/>
      <c r="Q1278" s="6"/>
      <c r="R1278" s="6"/>
      <c r="S1278" s="6"/>
      <c r="T1278" s="6"/>
      <c r="U1278" s="6"/>
      <c r="V1278" s="6"/>
      <c r="W1278" s="6"/>
      <c r="X1278" s="6"/>
      <c r="Y1278" s="6"/>
      <c r="Z1278" s="6"/>
    </row>
    <row r="1279" spans="1:26" ht="15.75" customHeight="1" x14ac:dyDescent="0.3">
      <c r="A1279" s="10" t="s">
        <v>2124</v>
      </c>
      <c r="B1279" s="10">
        <v>1966</v>
      </c>
      <c r="C1279" s="10" t="s">
        <v>4707</v>
      </c>
      <c r="D1279" s="10">
        <v>20</v>
      </c>
      <c r="E1279" s="10">
        <v>0</v>
      </c>
      <c r="F1279" s="24">
        <v>10601.41</v>
      </c>
      <c r="G1279" s="10" t="s">
        <v>4696</v>
      </c>
      <c r="H1279" s="10" t="s">
        <v>4695</v>
      </c>
      <c r="I1279" s="10" t="s">
        <v>4716</v>
      </c>
      <c r="J1279" s="17">
        <f t="shared" si="10"/>
        <v>24308</v>
      </c>
      <c r="K1279" s="10">
        <f t="shared" ca="1" si="11"/>
        <v>59</v>
      </c>
      <c r="L1279" s="6"/>
      <c r="M1279" s="6"/>
      <c r="N1279" s="6"/>
      <c r="O1279" s="6"/>
      <c r="P1279" s="6"/>
      <c r="Q1279" s="6"/>
      <c r="R1279" s="6"/>
      <c r="S1279" s="6"/>
      <c r="T1279" s="6"/>
      <c r="U1279" s="6"/>
      <c r="V1279" s="6"/>
      <c r="W1279" s="6"/>
      <c r="X1279" s="6"/>
      <c r="Y1279" s="6"/>
      <c r="Z1279" s="6"/>
    </row>
    <row r="1280" spans="1:26" ht="15.75" customHeight="1" x14ac:dyDescent="0.3">
      <c r="A1280" s="10" t="s">
        <v>2122</v>
      </c>
      <c r="B1280" s="10">
        <v>1967</v>
      </c>
      <c r="C1280" s="10" t="s">
        <v>4710</v>
      </c>
      <c r="D1280" s="10">
        <v>23</v>
      </c>
      <c r="E1280" s="10">
        <v>0</v>
      </c>
      <c r="F1280" s="24">
        <v>10601.63</v>
      </c>
      <c r="G1280" s="10" t="s">
        <v>4696</v>
      </c>
      <c r="H1280" s="10" t="s">
        <v>4695</v>
      </c>
      <c r="I1280" s="10" t="s">
        <v>4712</v>
      </c>
      <c r="J1280" s="17">
        <f t="shared" si="10"/>
        <v>24646</v>
      </c>
      <c r="K1280" s="10">
        <f t="shared" ca="1" si="11"/>
        <v>58</v>
      </c>
      <c r="L1280" s="6"/>
      <c r="M1280" s="6"/>
      <c r="N1280" s="6"/>
      <c r="O1280" s="6"/>
      <c r="P1280" s="6"/>
      <c r="Q1280" s="6"/>
      <c r="R1280" s="6"/>
      <c r="S1280" s="6"/>
      <c r="T1280" s="6"/>
      <c r="U1280" s="6"/>
      <c r="V1280" s="6"/>
      <c r="W1280" s="6"/>
      <c r="X1280" s="6"/>
      <c r="Y1280" s="6"/>
      <c r="Z1280" s="6"/>
    </row>
    <row r="1281" spans="1:26" ht="15.75" customHeight="1" x14ac:dyDescent="0.3">
      <c r="A1281" s="10" t="s">
        <v>2120</v>
      </c>
      <c r="B1281" s="10">
        <v>1966</v>
      </c>
      <c r="C1281" s="10" t="s">
        <v>4707</v>
      </c>
      <c r="D1281" s="10">
        <v>2</v>
      </c>
      <c r="E1281" s="10">
        <v>0</v>
      </c>
      <c r="F1281" s="24">
        <v>10602.39</v>
      </c>
      <c r="G1281" s="10" t="s">
        <v>4696</v>
      </c>
      <c r="H1281" s="10" t="s">
        <v>4696</v>
      </c>
      <c r="I1281" s="10" t="s">
        <v>4716</v>
      </c>
      <c r="J1281" s="17">
        <f t="shared" si="10"/>
        <v>24290</v>
      </c>
      <c r="K1281" s="10">
        <f t="shared" ca="1" si="11"/>
        <v>59</v>
      </c>
      <c r="L1281" s="6"/>
      <c r="M1281" s="6"/>
      <c r="N1281" s="6"/>
      <c r="O1281" s="6"/>
      <c r="P1281" s="6"/>
      <c r="Q1281" s="6"/>
      <c r="R1281" s="6"/>
      <c r="S1281" s="6"/>
      <c r="T1281" s="6"/>
      <c r="U1281" s="6"/>
      <c r="V1281" s="6"/>
      <c r="W1281" s="6"/>
      <c r="X1281" s="6"/>
      <c r="Y1281" s="6"/>
      <c r="Z1281" s="6"/>
    </row>
    <row r="1282" spans="1:26" ht="15.75" customHeight="1" x14ac:dyDescent="0.3">
      <c r="A1282" s="10" t="s">
        <v>2118</v>
      </c>
      <c r="B1282" s="10">
        <v>1965</v>
      </c>
      <c r="C1282" s="10" t="s">
        <v>4710</v>
      </c>
      <c r="D1282" s="10">
        <v>27</v>
      </c>
      <c r="E1282" s="10">
        <v>0</v>
      </c>
      <c r="F1282" s="24">
        <v>10608.67</v>
      </c>
      <c r="G1282" s="10" t="s">
        <v>4696</v>
      </c>
      <c r="H1282" s="10" t="s">
        <v>4696</v>
      </c>
      <c r="I1282" s="10" t="s">
        <v>4712</v>
      </c>
      <c r="J1282" s="17">
        <f t="shared" si="10"/>
        <v>23920</v>
      </c>
      <c r="K1282" s="10">
        <f t="shared" ca="1" si="11"/>
        <v>60</v>
      </c>
      <c r="L1282" s="6"/>
      <c r="M1282" s="6"/>
      <c r="N1282" s="6"/>
      <c r="O1282" s="6"/>
      <c r="P1282" s="6"/>
      <c r="Q1282" s="6"/>
      <c r="R1282" s="6"/>
      <c r="S1282" s="6"/>
      <c r="T1282" s="6"/>
      <c r="U1282" s="6"/>
      <c r="V1282" s="6"/>
      <c r="W1282" s="6"/>
      <c r="X1282" s="6"/>
      <c r="Y1282" s="6"/>
      <c r="Z1282" s="6"/>
    </row>
    <row r="1283" spans="1:26" ht="15.75" customHeight="1" x14ac:dyDescent="0.3">
      <c r="A1283" s="10" t="s">
        <v>2116</v>
      </c>
      <c r="B1283" s="10">
        <v>1992</v>
      </c>
      <c r="C1283" s="10" t="s">
        <v>4707</v>
      </c>
      <c r="D1283" s="10">
        <v>23</v>
      </c>
      <c r="E1283" s="10">
        <v>0</v>
      </c>
      <c r="F1283" s="24">
        <v>10617.04</v>
      </c>
      <c r="G1283" s="10" t="s">
        <v>4696</v>
      </c>
      <c r="H1283" s="10" t="s">
        <v>4696</v>
      </c>
      <c r="I1283" s="10" t="s">
        <v>4729</v>
      </c>
      <c r="J1283" s="17">
        <f t="shared" si="10"/>
        <v>33808</v>
      </c>
      <c r="K1283" s="10">
        <f t="shared" ca="1" si="11"/>
        <v>33</v>
      </c>
      <c r="L1283" s="6"/>
      <c r="M1283" s="6"/>
      <c r="N1283" s="6"/>
      <c r="O1283" s="6"/>
      <c r="P1283" s="6"/>
      <c r="Q1283" s="6"/>
      <c r="R1283" s="6"/>
      <c r="S1283" s="6"/>
      <c r="T1283" s="6"/>
      <c r="U1283" s="6"/>
      <c r="V1283" s="6"/>
      <c r="W1283" s="6"/>
      <c r="X1283" s="6"/>
      <c r="Y1283" s="6"/>
      <c r="Z1283" s="6"/>
    </row>
    <row r="1284" spans="1:26" ht="15.75" customHeight="1" x14ac:dyDescent="0.3">
      <c r="A1284" s="10" t="s">
        <v>2114</v>
      </c>
      <c r="B1284" s="10">
        <v>1990</v>
      </c>
      <c r="C1284" s="10" t="s">
        <v>4707</v>
      </c>
      <c r="D1284" s="10">
        <v>6</v>
      </c>
      <c r="E1284" s="10">
        <v>3</v>
      </c>
      <c r="F1284" s="24">
        <v>10620.26</v>
      </c>
      <c r="G1284" s="10" t="s">
        <v>4696</v>
      </c>
      <c r="H1284" s="10" t="s">
        <v>4696</v>
      </c>
      <c r="I1284" s="10" t="s">
        <v>4712</v>
      </c>
      <c r="J1284" s="17">
        <f t="shared" si="10"/>
        <v>33060</v>
      </c>
      <c r="K1284" s="10">
        <f t="shared" ca="1" si="11"/>
        <v>35</v>
      </c>
      <c r="L1284" s="6"/>
      <c r="M1284" s="6"/>
      <c r="N1284" s="6"/>
      <c r="O1284" s="6"/>
      <c r="P1284" s="6"/>
      <c r="Q1284" s="6"/>
      <c r="R1284" s="6"/>
      <c r="S1284" s="6"/>
      <c r="T1284" s="6"/>
      <c r="U1284" s="6"/>
      <c r="V1284" s="6"/>
      <c r="W1284" s="6"/>
      <c r="X1284" s="6"/>
      <c r="Y1284" s="6"/>
      <c r="Z1284" s="6"/>
    </row>
    <row r="1285" spans="1:26" ht="15.75" customHeight="1" x14ac:dyDescent="0.3">
      <c r="A1285" s="10" t="s">
        <v>2112</v>
      </c>
      <c r="B1285" s="10">
        <v>1964</v>
      </c>
      <c r="C1285" s="10" t="s">
        <v>4714</v>
      </c>
      <c r="D1285" s="10">
        <v>8</v>
      </c>
      <c r="E1285" s="10">
        <v>0</v>
      </c>
      <c r="F1285" s="24">
        <v>10627.81</v>
      </c>
      <c r="G1285" s="10" t="s">
        <v>4696</v>
      </c>
      <c r="H1285" s="10" t="s">
        <v>4696</v>
      </c>
      <c r="I1285" s="10" t="s">
        <v>4708</v>
      </c>
      <c r="J1285" s="17">
        <f t="shared" si="10"/>
        <v>23597</v>
      </c>
      <c r="K1285" s="10">
        <f t="shared" ca="1" si="11"/>
        <v>61</v>
      </c>
      <c r="L1285" s="6"/>
      <c r="M1285" s="6"/>
      <c r="N1285" s="6"/>
      <c r="O1285" s="6"/>
      <c r="P1285" s="6"/>
      <c r="Q1285" s="6"/>
      <c r="R1285" s="6"/>
      <c r="S1285" s="6"/>
      <c r="T1285" s="6"/>
      <c r="U1285" s="6"/>
      <c r="V1285" s="6"/>
      <c r="W1285" s="6"/>
      <c r="X1285" s="6"/>
      <c r="Y1285" s="6"/>
      <c r="Z1285" s="6"/>
    </row>
    <row r="1286" spans="1:26" ht="15.75" customHeight="1" x14ac:dyDescent="0.3">
      <c r="A1286" s="10" t="s">
        <v>2110</v>
      </c>
      <c r="B1286" s="10">
        <v>1976</v>
      </c>
      <c r="C1286" s="10" t="s">
        <v>4709</v>
      </c>
      <c r="D1286" s="10">
        <v>22</v>
      </c>
      <c r="E1286" s="10">
        <v>2</v>
      </c>
      <c r="F1286" s="24">
        <v>10665.44</v>
      </c>
      <c r="G1286" s="10" t="s">
        <v>4696</v>
      </c>
      <c r="H1286" s="10" t="s">
        <v>4695</v>
      </c>
      <c r="I1286" s="10" t="s">
        <v>4726</v>
      </c>
      <c r="J1286" s="17">
        <f t="shared" si="10"/>
        <v>28086</v>
      </c>
      <c r="K1286" s="10">
        <f t="shared" ca="1" si="11"/>
        <v>49</v>
      </c>
      <c r="L1286" s="6"/>
      <c r="M1286" s="6"/>
      <c r="N1286" s="6"/>
      <c r="O1286" s="6"/>
      <c r="P1286" s="6"/>
      <c r="Q1286" s="6"/>
      <c r="R1286" s="6"/>
      <c r="S1286" s="6"/>
      <c r="T1286" s="6"/>
      <c r="U1286" s="6"/>
      <c r="V1286" s="6"/>
      <c r="W1286" s="6"/>
      <c r="X1286" s="6"/>
      <c r="Y1286" s="6"/>
      <c r="Z1286" s="6"/>
    </row>
    <row r="1287" spans="1:26" ht="15.75" customHeight="1" x14ac:dyDescent="0.3">
      <c r="A1287" s="10" t="s">
        <v>2108</v>
      </c>
      <c r="B1287" s="10">
        <v>1962</v>
      </c>
      <c r="C1287" s="10" t="s">
        <v>4711</v>
      </c>
      <c r="D1287" s="10">
        <v>7</v>
      </c>
      <c r="E1287" s="10">
        <v>0</v>
      </c>
      <c r="F1287" s="24">
        <v>10676.83</v>
      </c>
      <c r="G1287" s="10" t="s">
        <v>4696</v>
      </c>
      <c r="H1287" s="10" t="s">
        <v>4696</v>
      </c>
      <c r="I1287" s="10" t="s">
        <v>4708</v>
      </c>
      <c r="J1287" s="17">
        <f t="shared" si="10"/>
        <v>22896</v>
      </c>
      <c r="K1287" s="10">
        <f t="shared" ca="1" si="11"/>
        <v>63</v>
      </c>
      <c r="L1287" s="6"/>
      <c r="M1287" s="6"/>
      <c r="N1287" s="6"/>
      <c r="O1287" s="6"/>
      <c r="P1287" s="6"/>
      <c r="Q1287" s="6"/>
      <c r="R1287" s="6"/>
      <c r="S1287" s="6"/>
      <c r="T1287" s="6"/>
      <c r="U1287" s="6"/>
      <c r="V1287" s="6"/>
      <c r="W1287" s="6"/>
      <c r="X1287" s="6"/>
      <c r="Y1287" s="6"/>
      <c r="Z1287" s="6"/>
    </row>
    <row r="1288" spans="1:26" ht="15.75" customHeight="1" x14ac:dyDescent="0.3">
      <c r="A1288" s="10" t="s">
        <v>2106</v>
      </c>
      <c r="B1288" s="10">
        <v>1977</v>
      </c>
      <c r="C1288" s="10" t="s">
        <v>4714</v>
      </c>
      <c r="D1288" s="10">
        <v>2</v>
      </c>
      <c r="E1288" s="10">
        <v>2</v>
      </c>
      <c r="F1288" s="24">
        <v>10690.11</v>
      </c>
      <c r="G1288" s="10" t="s">
        <v>4696</v>
      </c>
      <c r="H1288" s="10" t="s">
        <v>4695</v>
      </c>
      <c r="I1288" s="10" t="s">
        <v>4726</v>
      </c>
      <c r="J1288" s="17">
        <f t="shared" si="10"/>
        <v>28339</v>
      </c>
      <c r="K1288" s="10">
        <f t="shared" ca="1" si="11"/>
        <v>48</v>
      </c>
      <c r="L1288" s="6"/>
      <c r="M1288" s="6"/>
      <c r="N1288" s="6"/>
      <c r="O1288" s="6"/>
      <c r="P1288" s="6"/>
      <c r="Q1288" s="6"/>
      <c r="R1288" s="6"/>
      <c r="S1288" s="6"/>
      <c r="T1288" s="6"/>
      <c r="U1288" s="6"/>
      <c r="V1288" s="6"/>
      <c r="W1288" s="6"/>
      <c r="X1288" s="6"/>
      <c r="Y1288" s="6"/>
      <c r="Z1288" s="6"/>
    </row>
    <row r="1289" spans="1:26" ht="15.75" customHeight="1" x14ac:dyDescent="0.3">
      <c r="A1289" s="10" t="s">
        <v>2104</v>
      </c>
      <c r="B1289" s="10">
        <v>1976</v>
      </c>
      <c r="C1289" s="10" t="s">
        <v>4711</v>
      </c>
      <c r="D1289" s="10">
        <v>30</v>
      </c>
      <c r="E1289" s="10">
        <v>2</v>
      </c>
      <c r="F1289" s="24">
        <v>10698.38</v>
      </c>
      <c r="G1289" s="10" t="s">
        <v>4696</v>
      </c>
      <c r="H1289" s="10" t="s">
        <v>4694</v>
      </c>
      <c r="I1289" s="10" t="s">
        <v>4722</v>
      </c>
      <c r="J1289" s="17">
        <f t="shared" si="10"/>
        <v>28033</v>
      </c>
      <c r="K1289" s="10">
        <f t="shared" ca="1" si="11"/>
        <v>49</v>
      </c>
      <c r="L1289" s="6"/>
      <c r="M1289" s="6"/>
      <c r="N1289" s="6"/>
      <c r="O1289" s="6"/>
      <c r="P1289" s="6"/>
      <c r="Q1289" s="6"/>
      <c r="R1289" s="6"/>
      <c r="S1289" s="6"/>
      <c r="T1289" s="6"/>
      <c r="U1289" s="6"/>
      <c r="V1289" s="6"/>
      <c r="W1289" s="6"/>
      <c r="X1289" s="6"/>
      <c r="Y1289" s="6"/>
      <c r="Z1289" s="6"/>
    </row>
    <row r="1290" spans="1:26" ht="15.75" customHeight="1" x14ac:dyDescent="0.3">
      <c r="A1290" s="10" t="s">
        <v>2102</v>
      </c>
      <c r="B1290" s="10">
        <v>1972</v>
      </c>
      <c r="C1290" s="10" t="s">
        <v>4715</v>
      </c>
      <c r="D1290" s="10">
        <v>24</v>
      </c>
      <c r="E1290" s="10">
        <v>3</v>
      </c>
      <c r="F1290" s="24">
        <v>10702.64</v>
      </c>
      <c r="G1290" s="10" t="s">
        <v>4696</v>
      </c>
      <c r="H1290" s="10" t="s">
        <v>4696</v>
      </c>
      <c r="I1290" s="10" t="s">
        <v>4708</v>
      </c>
      <c r="J1290" s="17">
        <f t="shared" si="10"/>
        <v>26596</v>
      </c>
      <c r="K1290" s="10">
        <f t="shared" ca="1" si="11"/>
        <v>53</v>
      </c>
      <c r="L1290" s="6"/>
      <c r="M1290" s="6"/>
      <c r="N1290" s="6"/>
      <c r="O1290" s="6"/>
      <c r="P1290" s="6"/>
      <c r="Q1290" s="6"/>
      <c r="R1290" s="6"/>
      <c r="S1290" s="6"/>
      <c r="T1290" s="6"/>
      <c r="U1290" s="6"/>
      <c r="V1290" s="6"/>
      <c r="W1290" s="6"/>
      <c r="X1290" s="6"/>
      <c r="Y1290" s="6"/>
      <c r="Z1290" s="6"/>
    </row>
    <row r="1291" spans="1:26" ht="15.75" customHeight="1" x14ac:dyDescent="0.3">
      <c r="A1291" s="10" t="s">
        <v>2100</v>
      </c>
      <c r="B1291" s="10">
        <v>1967</v>
      </c>
      <c r="C1291" s="10" t="s">
        <v>4707</v>
      </c>
      <c r="D1291" s="10">
        <v>30</v>
      </c>
      <c r="E1291" s="10">
        <v>0</v>
      </c>
      <c r="F1291" s="24">
        <v>10704.47</v>
      </c>
      <c r="G1291" s="10" t="s">
        <v>4696</v>
      </c>
      <c r="H1291" s="10" t="s">
        <v>4695</v>
      </c>
      <c r="I1291" s="10" t="s">
        <v>4716</v>
      </c>
      <c r="J1291" s="17">
        <f t="shared" si="10"/>
        <v>24683</v>
      </c>
      <c r="K1291" s="10">
        <f t="shared" ca="1" si="11"/>
        <v>58</v>
      </c>
      <c r="L1291" s="6"/>
      <c r="M1291" s="6"/>
      <c r="N1291" s="6"/>
      <c r="O1291" s="6"/>
      <c r="P1291" s="6"/>
      <c r="Q1291" s="6"/>
      <c r="R1291" s="6"/>
      <c r="S1291" s="6"/>
      <c r="T1291" s="6"/>
      <c r="U1291" s="6"/>
      <c r="V1291" s="6"/>
      <c r="W1291" s="6"/>
      <c r="X1291" s="6"/>
      <c r="Y1291" s="6"/>
      <c r="Z1291" s="6"/>
    </row>
    <row r="1292" spans="1:26" ht="15.75" customHeight="1" x14ac:dyDescent="0.3">
      <c r="A1292" s="10" t="s">
        <v>2098</v>
      </c>
      <c r="B1292" s="10">
        <v>1967</v>
      </c>
      <c r="C1292" s="10" t="s">
        <v>4715</v>
      </c>
      <c r="D1292" s="10">
        <v>5</v>
      </c>
      <c r="E1292" s="10">
        <v>0</v>
      </c>
      <c r="F1292" s="24">
        <v>10713.64</v>
      </c>
      <c r="G1292" s="10" t="s">
        <v>4696</v>
      </c>
      <c r="H1292" s="10" t="s">
        <v>4696</v>
      </c>
      <c r="I1292" s="10" t="s">
        <v>4716</v>
      </c>
      <c r="J1292" s="17">
        <f t="shared" si="10"/>
        <v>24750</v>
      </c>
      <c r="K1292" s="10">
        <f t="shared" ca="1" si="11"/>
        <v>58</v>
      </c>
      <c r="L1292" s="6"/>
      <c r="M1292" s="6"/>
      <c r="N1292" s="6"/>
      <c r="O1292" s="6"/>
      <c r="P1292" s="6"/>
      <c r="Q1292" s="6"/>
      <c r="R1292" s="6"/>
      <c r="S1292" s="6"/>
      <c r="T1292" s="6"/>
      <c r="U1292" s="6"/>
      <c r="V1292" s="6"/>
      <c r="W1292" s="6"/>
      <c r="X1292" s="6"/>
      <c r="Y1292" s="6"/>
      <c r="Z1292" s="6"/>
    </row>
    <row r="1293" spans="1:26" ht="15.75" customHeight="1" x14ac:dyDescent="0.3">
      <c r="A1293" s="10" t="s">
        <v>2096</v>
      </c>
      <c r="B1293" s="10">
        <v>1992</v>
      </c>
      <c r="C1293" s="10" t="s">
        <v>4710</v>
      </c>
      <c r="D1293" s="10">
        <v>25</v>
      </c>
      <c r="E1293" s="10">
        <v>0</v>
      </c>
      <c r="F1293" s="24">
        <v>10719.57</v>
      </c>
      <c r="G1293" s="10" t="s">
        <v>4696</v>
      </c>
      <c r="H1293" s="10" t="s">
        <v>4694</v>
      </c>
      <c r="I1293" s="10" t="s">
        <v>4712</v>
      </c>
      <c r="J1293" s="17">
        <f t="shared" si="10"/>
        <v>33780</v>
      </c>
      <c r="K1293" s="10">
        <f t="shared" ca="1" si="11"/>
        <v>33</v>
      </c>
      <c r="L1293" s="6"/>
      <c r="M1293" s="6"/>
      <c r="N1293" s="6"/>
      <c r="O1293" s="6"/>
      <c r="P1293" s="6"/>
      <c r="Q1293" s="6"/>
      <c r="R1293" s="6"/>
      <c r="S1293" s="6"/>
      <c r="T1293" s="6"/>
      <c r="U1293" s="6"/>
      <c r="V1293" s="6"/>
      <c r="W1293" s="6"/>
      <c r="X1293" s="6"/>
      <c r="Y1293" s="6"/>
      <c r="Z1293" s="6"/>
    </row>
    <row r="1294" spans="1:26" ht="15.75" customHeight="1" x14ac:dyDescent="0.3">
      <c r="A1294" s="10" t="s">
        <v>2094</v>
      </c>
      <c r="B1294" s="10">
        <v>1974</v>
      </c>
      <c r="C1294" s="10" t="s">
        <v>4713</v>
      </c>
      <c r="D1294" s="10">
        <v>9</v>
      </c>
      <c r="E1294" s="10">
        <v>4</v>
      </c>
      <c r="F1294" s="24">
        <v>10736.87</v>
      </c>
      <c r="G1294" s="10" t="s">
        <v>4696</v>
      </c>
      <c r="H1294" s="10" t="s">
        <v>4694</v>
      </c>
      <c r="I1294" s="10" t="s">
        <v>4720</v>
      </c>
      <c r="J1294" s="17">
        <f t="shared" si="10"/>
        <v>27372</v>
      </c>
      <c r="K1294" s="10">
        <f t="shared" ca="1" si="11"/>
        <v>50</v>
      </c>
      <c r="L1294" s="6"/>
      <c r="M1294" s="6"/>
      <c r="N1294" s="6"/>
      <c r="O1294" s="6"/>
      <c r="P1294" s="6"/>
      <c r="Q1294" s="6"/>
      <c r="R1294" s="6"/>
      <c r="S1294" s="6"/>
      <c r="T1294" s="6"/>
      <c r="U1294" s="6"/>
      <c r="V1294" s="6"/>
      <c r="W1294" s="6"/>
      <c r="X1294" s="6"/>
      <c r="Y1294" s="6"/>
      <c r="Z1294" s="6"/>
    </row>
    <row r="1295" spans="1:26" ht="15.75" customHeight="1" x14ac:dyDescent="0.3">
      <c r="A1295" s="10" t="s">
        <v>2092</v>
      </c>
      <c r="B1295" s="10">
        <v>1986</v>
      </c>
      <c r="C1295" s="10" t="s">
        <v>4714</v>
      </c>
      <c r="D1295" s="10">
        <v>29</v>
      </c>
      <c r="E1295" s="10">
        <v>3</v>
      </c>
      <c r="F1295" s="24">
        <v>10749.02</v>
      </c>
      <c r="G1295" s="10" t="s">
        <v>4696</v>
      </c>
      <c r="H1295" s="10" t="s">
        <v>4694</v>
      </c>
      <c r="I1295" s="10" t="s">
        <v>4729</v>
      </c>
      <c r="J1295" s="17">
        <f t="shared" si="10"/>
        <v>31653</v>
      </c>
      <c r="K1295" s="10">
        <f t="shared" ca="1" si="11"/>
        <v>39</v>
      </c>
      <c r="L1295" s="6"/>
      <c r="M1295" s="6"/>
      <c r="N1295" s="6"/>
      <c r="O1295" s="6"/>
      <c r="P1295" s="6"/>
      <c r="Q1295" s="6"/>
      <c r="R1295" s="6"/>
      <c r="S1295" s="6"/>
      <c r="T1295" s="6"/>
      <c r="U1295" s="6"/>
      <c r="V1295" s="6"/>
      <c r="W1295" s="6"/>
      <c r="X1295" s="6"/>
      <c r="Y1295" s="6"/>
      <c r="Z1295" s="6"/>
    </row>
    <row r="1296" spans="1:26" ht="15.75" customHeight="1" x14ac:dyDescent="0.3">
      <c r="A1296" s="10" t="s">
        <v>2090</v>
      </c>
      <c r="B1296" s="10">
        <v>1989</v>
      </c>
      <c r="C1296" s="10" t="s">
        <v>4709</v>
      </c>
      <c r="D1296" s="10">
        <v>25</v>
      </c>
      <c r="E1296" s="10">
        <v>3</v>
      </c>
      <c r="F1296" s="24">
        <v>10769.75</v>
      </c>
      <c r="G1296" s="10" t="s">
        <v>4696</v>
      </c>
      <c r="H1296" s="10" t="s">
        <v>4695</v>
      </c>
      <c r="I1296" s="10" t="s">
        <v>4730</v>
      </c>
      <c r="J1296" s="17">
        <f t="shared" si="10"/>
        <v>32837</v>
      </c>
      <c r="K1296" s="10">
        <f t="shared" ca="1" si="11"/>
        <v>36</v>
      </c>
      <c r="L1296" s="6"/>
      <c r="M1296" s="6"/>
      <c r="N1296" s="6"/>
      <c r="O1296" s="6"/>
      <c r="P1296" s="6"/>
      <c r="Q1296" s="6"/>
      <c r="R1296" s="6"/>
      <c r="S1296" s="6"/>
      <c r="T1296" s="6"/>
      <c r="U1296" s="6"/>
      <c r="V1296" s="6"/>
      <c r="W1296" s="6"/>
      <c r="X1296" s="6"/>
      <c r="Y1296" s="6"/>
      <c r="Z1296" s="6"/>
    </row>
    <row r="1297" spans="1:26" ht="15.75" customHeight="1" x14ac:dyDescent="0.3">
      <c r="A1297" s="10" t="s">
        <v>2088</v>
      </c>
      <c r="B1297" s="10">
        <v>1967</v>
      </c>
      <c r="C1297" s="10" t="s">
        <v>4709</v>
      </c>
      <c r="D1297" s="10">
        <v>11</v>
      </c>
      <c r="E1297" s="10">
        <v>1</v>
      </c>
      <c r="F1297" s="24">
        <v>10791.96</v>
      </c>
      <c r="G1297" s="10" t="s">
        <v>4696</v>
      </c>
      <c r="H1297" s="10" t="s">
        <v>4695</v>
      </c>
      <c r="I1297" s="10" t="s">
        <v>4716</v>
      </c>
      <c r="J1297" s="17">
        <f t="shared" si="10"/>
        <v>24787</v>
      </c>
      <c r="K1297" s="10">
        <f t="shared" ca="1" si="11"/>
        <v>58</v>
      </c>
      <c r="L1297" s="6"/>
      <c r="M1297" s="6"/>
      <c r="N1297" s="6"/>
      <c r="O1297" s="6"/>
      <c r="P1297" s="6"/>
      <c r="Q1297" s="6"/>
      <c r="R1297" s="6"/>
      <c r="S1297" s="6"/>
      <c r="T1297" s="6"/>
      <c r="U1297" s="6"/>
      <c r="V1297" s="6"/>
      <c r="W1297" s="6"/>
      <c r="X1297" s="6"/>
      <c r="Y1297" s="6"/>
      <c r="Z1297" s="6"/>
    </row>
    <row r="1298" spans="1:26" ht="15.75" customHeight="1" x14ac:dyDescent="0.3">
      <c r="A1298" s="10" t="s">
        <v>2086</v>
      </c>
      <c r="B1298" s="10">
        <v>1999</v>
      </c>
      <c r="C1298" s="10" t="s">
        <v>4713</v>
      </c>
      <c r="D1298" s="10">
        <v>24</v>
      </c>
      <c r="E1298" s="10">
        <v>0</v>
      </c>
      <c r="F1298" s="24">
        <v>10795.94</v>
      </c>
      <c r="G1298" s="10" t="s">
        <v>4696</v>
      </c>
      <c r="H1298" s="10" t="s">
        <v>4694</v>
      </c>
      <c r="I1298" s="10" t="s">
        <v>4716</v>
      </c>
      <c r="J1298" s="17">
        <f t="shared" si="10"/>
        <v>36518</v>
      </c>
      <c r="K1298" s="10">
        <f t="shared" ca="1" si="11"/>
        <v>25</v>
      </c>
      <c r="L1298" s="6"/>
      <c r="M1298" s="6"/>
      <c r="N1298" s="6"/>
      <c r="O1298" s="6"/>
      <c r="P1298" s="6"/>
      <c r="Q1298" s="6"/>
      <c r="R1298" s="6"/>
      <c r="S1298" s="6"/>
      <c r="T1298" s="6"/>
      <c r="U1298" s="6"/>
      <c r="V1298" s="6"/>
      <c r="W1298" s="6"/>
      <c r="X1298" s="6"/>
      <c r="Y1298" s="6"/>
      <c r="Z1298" s="6"/>
    </row>
    <row r="1299" spans="1:26" ht="15.75" customHeight="1" x14ac:dyDescent="0.3">
      <c r="A1299" s="10" t="s">
        <v>2084</v>
      </c>
      <c r="B1299" s="10">
        <v>1967</v>
      </c>
      <c r="C1299" s="10" t="s">
        <v>4715</v>
      </c>
      <c r="D1299" s="10">
        <v>23</v>
      </c>
      <c r="E1299" s="10">
        <v>0</v>
      </c>
      <c r="F1299" s="24">
        <v>10796.35</v>
      </c>
      <c r="G1299" s="10" t="s">
        <v>4696</v>
      </c>
      <c r="H1299" s="10" t="s">
        <v>4694</v>
      </c>
      <c r="I1299" s="10" t="s">
        <v>4719</v>
      </c>
      <c r="J1299" s="17">
        <f t="shared" si="10"/>
        <v>24768</v>
      </c>
      <c r="K1299" s="10">
        <f t="shared" ca="1" si="11"/>
        <v>58</v>
      </c>
      <c r="L1299" s="6"/>
      <c r="M1299" s="6"/>
      <c r="N1299" s="6"/>
      <c r="O1299" s="6"/>
      <c r="P1299" s="6"/>
      <c r="Q1299" s="6"/>
      <c r="R1299" s="6"/>
      <c r="S1299" s="6"/>
      <c r="T1299" s="6"/>
      <c r="U1299" s="6"/>
      <c r="V1299" s="6"/>
      <c r="W1299" s="6"/>
      <c r="X1299" s="6"/>
      <c r="Y1299" s="6"/>
      <c r="Z1299" s="6"/>
    </row>
    <row r="1300" spans="1:26" ht="15.75" customHeight="1" x14ac:dyDescent="0.3">
      <c r="A1300" s="10" t="s">
        <v>2082</v>
      </c>
      <c r="B1300" s="10">
        <v>1970</v>
      </c>
      <c r="C1300" s="10" t="s">
        <v>4715</v>
      </c>
      <c r="D1300" s="10">
        <v>28</v>
      </c>
      <c r="E1300" s="10">
        <v>1</v>
      </c>
      <c r="F1300" s="24">
        <v>10797.34</v>
      </c>
      <c r="G1300" s="10" t="s">
        <v>4696</v>
      </c>
      <c r="H1300" s="10" t="s">
        <v>4695</v>
      </c>
      <c r="I1300" s="10" t="s">
        <v>4724</v>
      </c>
      <c r="J1300" s="17">
        <f t="shared" si="10"/>
        <v>25869</v>
      </c>
      <c r="K1300" s="10">
        <f t="shared" ca="1" si="11"/>
        <v>55</v>
      </c>
      <c r="L1300" s="6"/>
      <c r="M1300" s="6"/>
      <c r="N1300" s="6"/>
      <c r="O1300" s="6"/>
      <c r="P1300" s="6"/>
      <c r="Q1300" s="6"/>
      <c r="R1300" s="6"/>
      <c r="S1300" s="6"/>
      <c r="T1300" s="6"/>
      <c r="U1300" s="6"/>
      <c r="V1300" s="6"/>
      <c r="W1300" s="6"/>
      <c r="X1300" s="6"/>
      <c r="Y1300" s="6"/>
      <c r="Z1300" s="6"/>
    </row>
    <row r="1301" spans="1:26" ht="15.75" customHeight="1" x14ac:dyDescent="0.3">
      <c r="A1301" s="10" t="s">
        <v>2080</v>
      </c>
      <c r="B1301" s="10">
        <v>1970</v>
      </c>
      <c r="C1301" s="10" t="s">
        <v>4713</v>
      </c>
      <c r="D1301" s="10">
        <v>18</v>
      </c>
      <c r="E1301" s="10">
        <v>2</v>
      </c>
      <c r="F1301" s="24">
        <v>10806.84</v>
      </c>
      <c r="G1301" s="10" t="s">
        <v>4696</v>
      </c>
      <c r="H1301" s="10" t="s">
        <v>4695</v>
      </c>
      <c r="I1301" s="10" t="s">
        <v>4716</v>
      </c>
      <c r="J1301" s="17">
        <f t="shared" si="10"/>
        <v>25920</v>
      </c>
      <c r="K1301" s="10">
        <f t="shared" ca="1" si="11"/>
        <v>54</v>
      </c>
      <c r="L1301" s="6"/>
      <c r="M1301" s="6"/>
      <c r="N1301" s="6"/>
      <c r="O1301" s="6"/>
      <c r="P1301" s="6"/>
      <c r="Q1301" s="6"/>
      <c r="R1301" s="6"/>
      <c r="S1301" s="6"/>
      <c r="T1301" s="6"/>
      <c r="U1301" s="6"/>
      <c r="V1301" s="6"/>
      <c r="W1301" s="6"/>
      <c r="X1301" s="6"/>
      <c r="Y1301" s="6"/>
      <c r="Z1301" s="6"/>
    </row>
    <row r="1302" spans="1:26" ht="15.75" customHeight="1" x14ac:dyDescent="0.3">
      <c r="A1302" s="10" t="s">
        <v>2078</v>
      </c>
      <c r="B1302" s="10">
        <v>1967</v>
      </c>
      <c r="C1302" s="10" t="s">
        <v>4715</v>
      </c>
      <c r="D1302" s="10">
        <v>2</v>
      </c>
      <c r="E1302" s="10">
        <v>1</v>
      </c>
      <c r="F1302" s="24">
        <v>10807.49</v>
      </c>
      <c r="G1302" s="10" t="s">
        <v>4696</v>
      </c>
      <c r="H1302" s="10" t="s">
        <v>4695</v>
      </c>
      <c r="I1302" s="10" t="s">
        <v>4708</v>
      </c>
      <c r="J1302" s="17">
        <f t="shared" si="10"/>
        <v>24747</v>
      </c>
      <c r="K1302" s="10">
        <f t="shared" ca="1" si="11"/>
        <v>58</v>
      </c>
      <c r="L1302" s="6"/>
      <c r="M1302" s="6"/>
      <c r="N1302" s="6"/>
      <c r="O1302" s="6"/>
      <c r="P1302" s="6"/>
      <c r="Q1302" s="6"/>
      <c r="R1302" s="6"/>
      <c r="S1302" s="6"/>
      <c r="T1302" s="6"/>
      <c r="U1302" s="6"/>
      <c r="V1302" s="6"/>
      <c r="W1302" s="6"/>
      <c r="X1302" s="6"/>
      <c r="Y1302" s="6"/>
      <c r="Z1302" s="6"/>
    </row>
    <row r="1303" spans="1:26" ht="15.75" customHeight="1" x14ac:dyDescent="0.3">
      <c r="A1303" s="10" t="s">
        <v>2076</v>
      </c>
      <c r="B1303" s="10">
        <v>1968</v>
      </c>
      <c r="C1303" s="10" t="s">
        <v>4707</v>
      </c>
      <c r="D1303" s="10">
        <v>28</v>
      </c>
      <c r="E1303" s="10">
        <v>1</v>
      </c>
      <c r="F1303" s="24">
        <v>10825.25</v>
      </c>
      <c r="G1303" s="10" t="s">
        <v>4696</v>
      </c>
      <c r="H1303" s="10" t="s">
        <v>4696</v>
      </c>
      <c r="I1303" s="10" t="s">
        <v>4712</v>
      </c>
      <c r="J1303" s="17">
        <f t="shared" si="10"/>
        <v>25047</v>
      </c>
      <c r="K1303" s="10">
        <f t="shared" ca="1" si="11"/>
        <v>57</v>
      </c>
      <c r="L1303" s="6"/>
      <c r="M1303" s="6"/>
      <c r="N1303" s="6"/>
      <c r="O1303" s="6"/>
      <c r="P1303" s="6"/>
      <c r="Q1303" s="6"/>
      <c r="R1303" s="6"/>
      <c r="S1303" s="6"/>
      <c r="T1303" s="6"/>
      <c r="U1303" s="6"/>
      <c r="V1303" s="6"/>
      <c r="W1303" s="6"/>
      <c r="X1303" s="6"/>
      <c r="Y1303" s="6"/>
      <c r="Z1303" s="6"/>
    </row>
    <row r="1304" spans="1:26" ht="15.75" customHeight="1" x14ac:dyDescent="0.3">
      <c r="A1304" s="10" t="s">
        <v>2074</v>
      </c>
      <c r="B1304" s="10">
        <v>1971</v>
      </c>
      <c r="C1304" s="10" t="s">
        <v>4713</v>
      </c>
      <c r="D1304" s="10">
        <v>20</v>
      </c>
      <c r="E1304" s="10">
        <v>2</v>
      </c>
      <c r="F1304" s="24">
        <v>10848.13</v>
      </c>
      <c r="G1304" s="10" t="s">
        <v>4696</v>
      </c>
      <c r="H1304" s="10" t="s">
        <v>4696</v>
      </c>
      <c r="I1304" s="10" t="s">
        <v>4712</v>
      </c>
      <c r="J1304" s="17">
        <f t="shared" si="10"/>
        <v>26287</v>
      </c>
      <c r="K1304" s="10">
        <f t="shared" ca="1" si="11"/>
        <v>53</v>
      </c>
      <c r="L1304" s="6"/>
      <c r="M1304" s="6"/>
      <c r="N1304" s="6"/>
      <c r="O1304" s="6"/>
      <c r="P1304" s="6"/>
      <c r="Q1304" s="6"/>
      <c r="R1304" s="6"/>
      <c r="S1304" s="6"/>
      <c r="T1304" s="6"/>
      <c r="U1304" s="6"/>
      <c r="V1304" s="6"/>
      <c r="W1304" s="6"/>
      <c r="X1304" s="6"/>
      <c r="Y1304" s="6"/>
      <c r="Z1304" s="6"/>
    </row>
    <row r="1305" spans="1:26" ht="15.75" customHeight="1" x14ac:dyDescent="0.3">
      <c r="A1305" s="10" t="s">
        <v>2072</v>
      </c>
      <c r="B1305" s="10">
        <v>1994</v>
      </c>
      <c r="C1305" s="10" t="s">
        <v>4711</v>
      </c>
      <c r="D1305" s="10">
        <v>6</v>
      </c>
      <c r="E1305" s="10">
        <v>0</v>
      </c>
      <c r="F1305" s="24">
        <v>10886.66</v>
      </c>
      <c r="G1305" s="10" t="s">
        <v>4696</v>
      </c>
      <c r="H1305" s="10" t="s">
        <v>4696</v>
      </c>
      <c r="I1305" s="10" t="s">
        <v>4712</v>
      </c>
      <c r="J1305" s="17">
        <f t="shared" si="10"/>
        <v>34583</v>
      </c>
      <c r="K1305" s="10">
        <f t="shared" ca="1" si="11"/>
        <v>31</v>
      </c>
      <c r="L1305" s="6"/>
      <c r="M1305" s="6"/>
      <c r="N1305" s="6"/>
      <c r="O1305" s="6"/>
      <c r="P1305" s="6"/>
      <c r="Q1305" s="6"/>
      <c r="R1305" s="6"/>
      <c r="S1305" s="6"/>
      <c r="T1305" s="6"/>
      <c r="U1305" s="6"/>
      <c r="V1305" s="6"/>
      <c r="W1305" s="6"/>
      <c r="X1305" s="6"/>
      <c r="Y1305" s="6"/>
      <c r="Z1305" s="6"/>
    </row>
    <row r="1306" spans="1:26" ht="15.75" customHeight="1" x14ac:dyDescent="0.3">
      <c r="A1306" s="10" t="s">
        <v>2070</v>
      </c>
      <c r="B1306" s="10">
        <v>1968</v>
      </c>
      <c r="C1306" s="10" t="s">
        <v>4709</v>
      </c>
      <c r="D1306" s="10">
        <v>13</v>
      </c>
      <c r="E1306" s="10">
        <v>0</v>
      </c>
      <c r="F1306" s="24">
        <v>10923.93</v>
      </c>
      <c r="G1306" s="10" t="s">
        <v>4696</v>
      </c>
      <c r="H1306" s="10" t="s">
        <v>4694</v>
      </c>
      <c r="I1306" s="10" t="s">
        <v>4723</v>
      </c>
      <c r="J1306" s="17">
        <f t="shared" si="10"/>
        <v>25155</v>
      </c>
      <c r="K1306" s="10">
        <f t="shared" ca="1" si="11"/>
        <v>57</v>
      </c>
      <c r="L1306" s="6"/>
      <c r="M1306" s="6"/>
      <c r="N1306" s="6"/>
      <c r="O1306" s="6"/>
      <c r="P1306" s="6"/>
      <c r="Q1306" s="6"/>
      <c r="R1306" s="6"/>
      <c r="S1306" s="6"/>
      <c r="T1306" s="6"/>
      <c r="U1306" s="6"/>
      <c r="V1306" s="6"/>
      <c r="W1306" s="6"/>
      <c r="X1306" s="6"/>
      <c r="Y1306" s="6"/>
      <c r="Z1306" s="6"/>
    </row>
    <row r="1307" spans="1:26" ht="15.75" customHeight="1" x14ac:dyDescent="0.3">
      <c r="A1307" s="10" t="s">
        <v>2068</v>
      </c>
      <c r="B1307" s="10">
        <v>1968</v>
      </c>
      <c r="C1307" s="10" t="s">
        <v>4709</v>
      </c>
      <c r="D1307" s="10">
        <v>12</v>
      </c>
      <c r="E1307" s="10">
        <v>1</v>
      </c>
      <c r="F1307" s="24">
        <v>10928.85</v>
      </c>
      <c r="G1307" s="10" t="s">
        <v>4696</v>
      </c>
      <c r="H1307" s="10" t="s">
        <v>4696</v>
      </c>
      <c r="I1307" s="10" t="s">
        <v>4708</v>
      </c>
      <c r="J1307" s="17">
        <f t="shared" si="10"/>
        <v>25154</v>
      </c>
      <c r="K1307" s="10">
        <f t="shared" ca="1" si="11"/>
        <v>57</v>
      </c>
      <c r="L1307" s="6"/>
      <c r="M1307" s="6"/>
      <c r="N1307" s="6"/>
      <c r="O1307" s="6"/>
      <c r="P1307" s="6"/>
      <c r="Q1307" s="6"/>
      <c r="R1307" s="6"/>
      <c r="S1307" s="6"/>
      <c r="T1307" s="6"/>
      <c r="U1307" s="6"/>
      <c r="V1307" s="6"/>
      <c r="W1307" s="6"/>
      <c r="X1307" s="6"/>
      <c r="Y1307" s="6"/>
      <c r="Z1307" s="6"/>
    </row>
    <row r="1308" spans="1:26" ht="15.75" customHeight="1" x14ac:dyDescent="0.3">
      <c r="A1308" s="10" t="s">
        <v>2066</v>
      </c>
      <c r="B1308" s="10">
        <v>1969</v>
      </c>
      <c r="C1308" s="10" t="s">
        <v>4709</v>
      </c>
      <c r="D1308" s="10">
        <v>10</v>
      </c>
      <c r="E1308" s="10">
        <v>1</v>
      </c>
      <c r="F1308" s="24">
        <v>10942.13</v>
      </c>
      <c r="G1308" s="10" t="s">
        <v>4696</v>
      </c>
      <c r="H1308" s="10" t="s">
        <v>4696</v>
      </c>
      <c r="I1308" s="10" t="s">
        <v>4712</v>
      </c>
      <c r="J1308" s="17">
        <f t="shared" si="10"/>
        <v>25517</v>
      </c>
      <c r="K1308" s="10">
        <f t="shared" ca="1" si="11"/>
        <v>56</v>
      </c>
      <c r="L1308" s="6"/>
      <c r="M1308" s="6"/>
      <c r="N1308" s="6"/>
      <c r="O1308" s="6"/>
      <c r="P1308" s="6"/>
      <c r="Q1308" s="6"/>
      <c r="R1308" s="6"/>
      <c r="S1308" s="6"/>
      <c r="T1308" s="6"/>
      <c r="U1308" s="6"/>
      <c r="V1308" s="6"/>
      <c r="W1308" s="6"/>
      <c r="X1308" s="6"/>
      <c r="Y1308" s="6"/>
      <c r="Z1308" s="6"/>
    </row>
    <row r="1309" spans="1:26" ht="15.75" customHeight="1" x14ac:dyDescent="0.3">
      <c r="A1309" s="10" t="s">
        <v>2064</v>
      </c>
      <c r="B1309" s="10">
        <v>1965</v>
      </c>
      <c r="C1309" s="10" t="s">
        <v>4713</v>
      </c>
      <c r="D1309" s="10">
        <v>4</v>
      </c>
      <c r="E1309" s="10">
        <v>0</v>
      </c>
      <c r="F1309" s="24">
        <v>10959.33</v>
      </c>
      <c r="G1309" s="10" t="s">
        <v>4696</v>
      </c>
      <c r="H1309" s="10" t="s">
        <v>4696</v>
      </c>
      <c r="I1309" s="10" t="s">
        <v>4716</v>
      </c>
      <c r="J1309" s="17">
        <f t="shared" si="10"/>
        <v>24080</v>
      </c>
      <c r="K1309" s="10">
        <f t="shared" ca="1" si="11"/>
        <v>59</v>
      </c>
      <c r="L1309" s="6"/>
      <c r="M1309" s="6"/>
      <c r="N1309" s="6"/>
      <c r="O1309" s="6"/>
      <c r="P1309" s="6"/>
      <c r="Q1309" s="6"/>
      <c r="R1309" s="6"/>
      <c r="S1309" s="6"/>
      <c r="T1309" s="6"/>
      <c r="U1309" s="6"/>
      <c r="V1309" s="6"/>
      <c r="W1309" s="6"/>
      <c r="X1309" s="6"/>
      <c r="Y1309" s="6"/>
      <c r="Z1309" s="6"/>
    </row>
    <row r="1310" spans="1:26" ht="15.75" customHeight="1" x14ac:dyDescent="0.3">
      <c r="A1310" s="10" t="s">
        <v>2062</v>
      </c>
      <c r="B1310" s="10">
        <v>1969</v>
      </c>
      <c r="C1310" s="10" t="s">
        <v>4714</v>
      </c>
      <c r="D1310" s="10">
        <v>14</v>
      </c>
      <c r="E1310" s="10">
        <v>1</v>
      </c>
      <c r="F1310" s="24">
        <v>10959.69</v>
      </c>
      <c r="G1310" s="10" t="s">
        <v>4696</v>
      </c>
      <c r="H1310" s="10" t="s">
        <v>4696</v>
      </c>
      <c r="I1310" s="10" t="s">
        <v>4712</v>
      </c>
      <c r="J1310" s="17">
        <f t="shared" si="10"/>
        <v>25429</v>
      </c>
      <c r="K1310" s="10">
        <f t="shared" ca="1" si="11"/>
        <v>56</v>
      </c>
      <c r="L1310" s="6"/>
      <c r="M1310" s="6"/>
      <c r="N1310" s="6"/>
      <c r="O1310" s="6"/>
      <c r="P1310" s="6"/>
      <c r="Q1310" s="6"/>
      <c r="R1310" s="6"/>
      <c r="S1310" s="6"/>
      <c r="T1310" s="6"/>
      <c r="U1310" s="6"/>
      <c r="V1310" s="6"/>
      <c r="W1310" s="6"/>
      <c r="X1310" s="6"/>
      <c r="Y1310" s="6"/>
      <c r="Z1310" s="6"/>
    </row>
    <row r="1311" spans="1:26" ht="15.75" customHeight="1" x14ac:dyDescent="0.3">
      <c r="A1311" s="10" t="s">
        <v>2060</v>
      </c>
      <c r="B1311" s="10">
        <v>1965</v>
      </c>
      <c r="C1311" s="10" t="s">
        <v>4710</v>
      </c>
      <c r="D1311" s="10">
        <v>19</v>
      </c>
      <c r="E1311" s="10">
        <v>0</v>
      </c>
      <c r="F1311" s="24">
        <v>10965.45</v>
      </c>
      <c r="G1311" s="10" t="s">
        <v>4696</v>
      </c>
      <c r="H1311" s="10" t="s">
        <v>4695</v>
      </c>
      <c r="I1311" s="10" t="s">
        <v>4716</v>
      </c>
      <c r="J1311" s="17">
        <f t="shared" si="10"/>
        <v>23912</v>
      </c>
      <c r="K1311" s="10">
        <f t="shared" ca="1" si="11"/>
        <v>60</v>
      </c>
      <c r="L1311" s="6"/>
      <c r="M1311" s="6"/>
      <c r="N1311" s="6"/>
      <c r="O1311" s="6"/>
      <c r="P1311" s="6"/>
      <c r="Q1311" s="6"/>
      <c r="R1311" s="6"/>
      <c r="S1311" s="6"/>
      <c r="T1311" s="6"/>
      <c r="U1311" s="6"/>
      <c r="V1311" s="6"/>
      <c r="W1311" s="6"/>
      <c r="X1311" s="6"/>
      <c r="Y1311" s="6"/>
      <c r="Z1311" s="6"/>
    </row>
    <row r="1312" spans="1:26" ht="15.75" customHeight="1" x14ac:dyDescent="0.3">
      <c r="A1312" s="10" t="s">
        <v>2058</v>
      </c>
      <c r="B1312" s="10">
        <v>1966</v>
      </c>
      <c r="C1312" s="10" t="s">
        <v>4707</v>
      </c>
      <c r="D1312" s="10">
        <v>9</v>
      </c>
      <c r="E1312" s="10">
        <v>0</v>
      </c>
      <c r="F1312" s="24">
        <v>10976.25</v>
      </c>
      <c r="G1312" s="10" t="s">
        <v>4696</v>
      </c>
      <c r="H1312" s="10" t="s">
        <v>4695</v>
      </c>
      <c r="I1312" s="10" t="s">
        <v>4712</v>
      </c>
      <c r="J1312" s="17">
        <f t="shared" si="10"/>
        <v>24297</v>
      </c>
      <c r="K1312" s="10">
        <f t="shared" ca="1" si="11"/>
        <v>59</v>
      </c>
      <c r="L1312" s="6"/>
      <c r="M1312" s="6"/>
      <c r="N1312" s="6"/>
      <c r="O1312" s="6"/>
      <c r="P1312" s="6"/>
      <c r="Q1312" s="6"/>
      <c r="R1312" s="6"/>
      <c r="S1312" s="6"/>
      <c r="T1312" s="6"/>
      <c r="U1312" s="6"/>
      <c r="V1312" s="6"/>
      <c r="W1312" s="6"/>
      <c r="X1312" s="6"/>
      <c r="Y1312" s="6"/>
      <c r="Z1312" s="6"/>
    </row>
    <row r="1313" spans="1:26" ht="15.75" customHeight="1" x14ac:dyDescent="0.3">
      <c r="A1313" s="10" t="s">
        <v>2056</v>
      </c>
      <c r="B1313" s="10">
        <v>1973</v>
      </c>
      <c r="C1313" s="10" t="s">
        <v>4715</v>
      </c>
      <c r="D1313" s="10">
        <v>21</v>
      </c>
      <c r="E1313" s="10">
        <v>4</v>
      </c>
      <c r="F1313" s="24">
        <v>10977.21</v>
      </c>
      <c r="G1313" s="10" t="s">
        <v>4696</v>
      </c>
      <c r="H1313" s="10" t="s">
        <v>4694</v>
      </c>
      <c r="I1313" s="10" t="s">
        <v>4708</v>
      </c>
      <c r="J1313" s="17">
        <f t="shared" si="10"/>
        <v>26958</v>
      </c>
      <c r="K1313" s="10">
        <f t="shared" ca="1" si="11"/>
        <v>52</v>
      </c>
      <c r="L1313" s="6"/>
      <c r="M1313" s="6"/>
      <c r="N1313" s="6"/>
      <c r="O1313" s="6"/>
      <c r="P1313" s="6"/>
      <c r="Q1313" s="6"/>
      <c r="R1313" s="6"/>
      <c r="S1313" s="6"/>
      <c r="T1313" s="6"/>
      <c r="U1313" s="6"/>
      <c r="V1313" s="6"/>
      <c r="W1313" s="6"/>
      <c r="X1313" s="6"/>
      <c r="Y1313" s="6"/>
      <c r="Z1313" s="6"/>
    </row>
    <row r="1314" spans="1:26" ht="15.75" customHeight="1" x14ac:dyDescent="0.3">
      <c r="A1314" s="10" t="s">
        <v>2054</v>
      </c>
      <c r="B1314" s="10">
        <v>1965</v>
      </c>
      <c r="C1314" s="10" t="s">
        <v>4713</v>
      </c>
      <c r="D1314" s="10">
        <v>18</v>
      </c>
      <c r="E1314" s="10">
        <v>0</v>
      </c>
      <c r="F1314" s="24">
        <v>10982.5</v>
      </c>
      <c r="G1314" s="10" t="s">
        <v>4696</v>
      </c>
      <c r="H1314" s="10" t="s">
        <v>4696</v>
      </c>
      <c r="I1314" s="10" t="s">
        <v>4708</v>
      </c>
      <c r="J1314" s="17">
        <f t="shared" si="10"/>
        <v>24094</v>
      </c>
      <c r="K1314" s="10">
        <f t="shared" ca="1" si="11"/>
        <v>59</v>
      </c>
      <c r="L1314" s="6"/>
      <c r="M1314" s="6"/>
      <c r="N1314" s="6"/>
      <c r="O1314" s="6"/>
      <c r="P1314" s="6"/>
      <c r="Q1314" s="6"/>
      <c r="R1314" s="6"/>
      <c r="S1314" s="6"/>
      <c r="T1314" s="6"/>
      <c r="U1314" s="6"/>
      <c r="V1314" s="6"/>
      <c r="W1314" s="6"/>
      <c r="X1314" s="6"/>
      <c r="Y1314" s="6"/>
      <c r="Z1314" s="6"/>
    </row>
    <row r="1315" spans="1:26" ht="15.75" customHeight="1" x14ac:dyDescent="0.3">
      <c r="A1315" s="10" t="s">
        <v>2052</v>
      </c>
      <c r="B1315" s="10">
        <v>2000</v>
      </c>
      <c r="C1315" s="10" t="s">
        <v>4711</v>
      </c>
      <c r="D1315" s="10">
        <v>17</v>
      </c>
      <c r="E1315" s="10">
        <v>0</v>
      </c>
      <c r="F1315" s="24">
        <v>10991.58</v>
      </c>
      <c r="G1315" s="10" t="s">
        <v>4696</v>
      </c>
      <c r="H1315" s="10" t="s">
        <v>4696</v>
      </c>
      <c r="I1315" s="10" t="s">
        <v>4712</v>
      </c>
      <c r="J1315" s="17">
        <f t="shared" si="10"/>
        <v>36786</v>
      </c>
      <c r="K1315" s="10">
        <f t="shared" ca="1" si="11"/>
        <v>25</v>
      </c>
      <c r="L1315" s="6"/>
      <c r="M1315" s="6"/>
      <c r="N1315" s="6"/>
      <c r="O1315" s="6"/>
      <c r="P1315" s="6"/>
      <c r="Q1315" s="6"/>
      <c r="R1315" s="6"/>
      <c r="S1315" s="6"/>
      <c r="T1315" s="6"/>
      <c r="U1315" s="6"/>
      <c r="V1315" s="6"/>
      <c r="W1315" s="6"/>
      <c r="X1315" s="6"/>
      <c r="Y1315" s="6"/>
      <c r="Z1315" s="6"/>
    </row>
    <row r="1316" spans="1:26" ht="15.75" customHeight="1" x14ac:dyDescent="0.3">
      <c r="A1316" s="10" t="s">
        <v>2050</v>
      </c>
      <c r="B1316" s="10">
        <v>1968</v>
      </c>
      <c r="C1316" s="10" t="s">
        <v>4715</v>
      </c>
      <c r="D1316" s="10">
        <v>24</v>
      </c>
      <c r="E1316" s="10">
        <v>2</v>
      </c>
      <c r="F1316" s="24">
        <v>11013.71</v>
      </c>
      <c r="G1316" s="10" t="s">
        <v>4696</v>
      </c>
      <c r="H1316" s="10" t="s">
        <v>4694</v>
      </c>
      <c r="I1316" s="10" t="s">
        <v>4708</v>
      </c>
      <c r="J1316" s="17">
        <f t="shared" si="10"/>
        <v>25135</v>
      </c>
      <c r="K1316" s="10">
        <f t="shared" ca="1" si="11"/>
        <v>57</v>
      </c>
      <c r="L1316" s="6"/>
      <c r="M1316" s="6"/>
      <c r="N1316" s="6"/>
      <c r="O1316" s="6"/>
      <c r="P1316" s="6"/>
      <c r="Q1316" s="6"/>
      <c r="R1316" s="6"/>
      <c r="S1316" s="6"/>
      <c r="T1316" s="6"/>
      <c r="U1316" s="6"/>
      <c r="V1316" s="6"/>
      <c r="W1316" s="6"/>
      <c r="X1316" s="6"/>
      <c r="Y1316" s="6"/>
      <c r="Z1316" s="6"/>
    </row>
    <row r="1317" spans="1:26" ht="15.75" customHeight="1" x14ac:dyDescent="0.3">
      <c r="A1317" s="10" t="s">
        <v>2048</v>
      </c>
      <c r="B1317" s="10">
        <v>1974</v>
      </c>
      <c r="C1317" s="10" t="s">
        <v>4713</v>
      </c>
      <c r="D1317" s="10">
        <v>15</v>
      </c>
      <c r="E1317" s="10">
        <v>4</v>
      </c>
      <c r="F1317" s="24">
        <v>11015.17</v>
      </c>
      <c r="G1317" s="10" t="s">
        <v>4696</v>
      </c>
      <c r="H1317" s="10" t="s">
        <v>4694</v>
      </c>
      <c r="I1317" s="10" t="s">
        <v>4712</v>
      </c>
      <c r="J1317" s="17">
        <f t="shared" si="10"/>
        <v>27378</v>
      </c>
      <c r="K1317" s="10">
        <f t="shared" ca="1" si="11"/>
        <v>50</v>
      </c>
      <c r="L1317" s="6"/>
      <c r="M1317" s="6"/>
      <c r="N1317" s="6"/>
      <c r="O1317" s="6"/>
      <c r="P1317" s="6"/>
      <c r="Q1317" s="6"/>
      <c r="R1317" s="6"/>
      <c r="S1317" s="6"/>
      <c r="T1317" s="6"/>
      <c r="U1317" s="6"/>
      <c r="V1317" s="6"/>
      <c r="W1317" s="6"/>
      <c r="X1317" s="6"/>
      <c r="Y1317" s="6"/>
      <c r="Z1317" s="6"/>
    </row>
    <row r="1318" spans="1:26" ht="15.75" customHeight="1" x14ac:dyDescent="0.3">
      <c r="A1318" s="10" t="s">
        <v>2046</v>
      </c>
      <c r="B1318" s="10">
        <v>1991</v>
      </c>
      <c r="C1318" s="10" t="s">
        <v>4710</v>
      </c>
      <c r="D1318" s="10">
        <v>26</v>
      </c>
      <c r="E1318" s="10">
        <v>3</v>
      </c>
      <c r="F1318" s="24">
        <v>11018.05</v>
      </c>
      <c r="G1318" s="10" t="s">
        <v>4696</v>
      </c>
      <c r="H1318" s="10" t="s">
        <v>4695</v>
      </c>
      <c r="I1318" s="10" t="s">
        <v>4712</v>
      </c>
      <c r="J1318" s="17">
        <f t="shared" si="10"/>
        <v>33415</v>
      </c>
      <c r="K1318" s="10">
        <f t="shared" ca="1" si="11"/>
        <v>34</v>
      </c>
      <c r="L1318" s="6"/>
      <c r="M1318" s="6"/>
      <c r="N1318" s="6"/>
      <c r="O1318" s="6"/>
      <c r="P1318" s="6"/>
      <c r="Q1318" s="6"/>
      <c r="R1318" s="6"/>
      <c r="S1318" s="6"/>
      <c r="T1318" s="6"/>
      <c r="U1318" s="6"/>
      <c r="V1318" s="6"/>
      <c r="W1318" s="6"/>
      <c r="X1318" s="6"/>
      <c r="Y1318" s="6"/>
      <c r="Z1318" s="6"/>
    </row>
    <row r="1319" spans="1:26" ht="15.75" customHeight="1" x14ac:dyDescent="0.3">
      <c r="A1319" s="10" t="s">
        <v>2044</v>
      </c>
      <c r="B1319" s="10">
        <v>1996</v>
      </c>
      <c r="C1319" s="10" t="s">
        <v>4707</v>
      </c>
      <c r="D1319" s="10">
        <v>21</v>
      </c>
      <c r="E1319" s="10">
        <v>0</v>
      </c>
      <c r="F1319" s="24">
        <v>11028.56</v>
      </c>
      <c r="G1319" s="10" t="s">
        <v>4696</v>
      </c>
      <c r="H1319" s="10" t="s">
        <v>4696</v>
      </c>
      <c r="I1319" s="10" t="s">
        <v>4712</v>
      </c>
      <c r="J1319" s="17">
        <f t="shared" si="10"/>
        <v>35267</v>
      </c>
      <c r="K1319" s="10">
        <f t="shared" ca="1" si="11"/>
        <v>29</v>
      </c>
      <c r="L1319" s="6"/>
      <c r="M1319" s="6"/>
      <c r="N1319" s="6"/>
      <c r="O1319" s="6"/>
      <c r="P1319" s="6"/>
      <c r="Q1319" s="6"/>
      <c r="R1319" s="6"/>
      <c r="S1319" s="6"/>
      <c r="T1319" s="6"/>
      <c r="U1319" s="6"/>
      <c r="V1319" s="6"/>
      <c r="W1319" s="6"/>
      <c r="X1319" s="6"/>
      <c r="Y1319" s="6"/>
      <c r="Z1319" s="6"/>
    </row>
    <row r="1320" spans="1:26" ht="15.75" customHeight="1" x14ac:dyDescent="0.3">
      <c r="A1320" s="10" t="s">
        <v>2042</v>
      </c>
      <c r="B1320" s="10">
        <v>1974</v>
      </c>
      <c r="C1320" s="10" t="s">
        <v>4713</v>
      </c>
      <c r="D1320" s="10">
        <v>10</v>
      </c>
      <c r="E1320" s="10">
        <v>4</v>
      </c>
      <c r="F1320" s="24">
        <v>11033.66</v>
      </c>
      <c r="G1320" s="10" t="s">
        <v>4696</v>
      </c>
      <c r="H1320" s="10" t="s">
        <v>4696</v>
      </c>
      <c r="I1320" s="10" t="s">
        <v>4712</v>
      </c>
      <c r="J1320" s="17">
        <f t="shared" si="10"/>
        <v>27373</v>
      </c>
      <c r="K1320" s="10">
        <f t="shared" ca="1" si="11"/>
        <v>50</v>
      </c>
      <c r="L1320" s="6"/>
      <c r="M1320" s="6"/>
      <c r="N1320" s="6"/>
      <c r="O1320" s="6"/>
      <c r="P1320" s="6"/>
      <c r="Q1320" s="6"/>
      <c r="R1320" s="6"/>
      <c r="S1320" s="6"/>
      <c r="T1320" s="6"/>
      <c r="U1320" s="6"/>
      <c r="V1320" s="6"/>
      <c r="W1320" s="6"/>
      <c r="X1320" s="6"/>
      <c r="Y1320" s="6"/>
      <c r="Z1320" s="6"/>
    </row>
    <row r="1321" spans="1:26" ht="15.75" customHeight="1" x14ac:dyDescent="0.3">
      <c r="A1321" s="10" t="s">
        <v>2040</v>
      </c>
      <c r="B1321" s="10">
        <v>1989</v>
      </c>
      <c r="C1321" s="10" t="s">
        <v>4715</v>
      </c>
      <c r="D1321" s="10">
        <v>25</v>
      </c>
      <c r="E1321" s="10">
        <v>3</v>
      </c>
      <c r="F1321" s="24">
        <v>11037.51</v>
      </c>
      <c r="G1321" s="10" t="s">
        <v>4696</v>
      </c>
      <c r="H1321" s="10" t="s">
        <v>4694</v>
      </c>
      <c r="I1321" s="10" t="s">
        <v>4712</v>
      </c>
      <c r="J1321" s="17">
        <f t="shared" si="10"/>
        <v>32806</v>
      </c>
      <c r="K1321" s="10">
        <f t="shared" ca="1" si="11"/>
        <v>36</v>
      </c>
      <c r="L1321" s="6"/>
      <c r="M1321" s="6"/>
      <c r="N1321" s="6"/>
      <c r="O1321" s="6"/>
      <c r="P1321" s="6"/>
      <c r="Q1321" s="6"/>
      <c r="R1321" s="6"/>
      <c r="S1321" s="6"/>
      <c r="T1321" s="6"/>
      <c r="U1321" s="6"/>
      <c r="V1321" s="6"/>
      <c r="W1321" s="6"/>
      <c r="X1321" s="6"/>
      <c r="Y1321" s="6"/>
      <c r="Z1321" s="6"/>
    </row>
    <row r="1322" spans="1:26" ht="15.75" customHeight="1" x14ac:dyDescent="0.3">
      <c r="A1322" s="10" t="s">
        <v>2038</v>
      </c>
      <c r="B1322" s="10">
        <v>1974</v>
      </c>
      <c r="C1322" s="10" t="s">
        <v>4714</v>
      </c>
      <c r="D1322" s="10">
        <v>30</v>
      </c>
      <c r="E1322" s="10">
        <v>0</v>
      </c>
      <c r="F1322" s="24">
        <v>11037.85</v>
      </c>
      <c r="G1322" s="10" t="s">
        <v>4696</v>
      </c>
      <c r="H1322" s="10" t="s">
        <v>4695</v>
      </c>
      <c r="I1322" s="10" t="s">
        <v>4722</v>
      </c>
      <c r="J1322" s="17">
        <f t="shared" si="10"/>
        <v>27271</v>
      </c>
      <c r="K1322" s="10">
        <f t="shared" ca="1" si="11"/>
        <v>51</v>
      </c>
      <c r="L1322" s="6"/>
      <c r="M1322" s="6"/>
      <c r="N1322" s="6"/>
      <c r="O1322" s="6"/>
      <c r="P1322" s="6"/>
      <c r="Q1322" s="6"/>
      <c r="R1322" s="6"/>
      <c r="S1322" s="6"/>
      <c r="T1322" s="6"/>
      <c r="U1322" s="6"/>
      <c r="V1322" s="6"/>
      <c r="W1322" s="6"/>
      <c r="X1322" s="6"/>
      <c r="Y1322" s="6"/>
      <c r="Z1322" s="6"/>
    </row>
    <row r="1323" spans="1:26" ht="15.75" customHeight="1" x14ac:dyDescent="0.3">
      <c r="A1323" s="10" t="s">
        <v>2036</v>
      </c>
      <c r="B1323" s="10">
        <v>2001</v>
      </c>
      <c r="C1323" s="10" t="s">
        <v>4713</v>
      </c>
      <c r="D1323" s="10">
        <v>17</v>
      </c>
      <c r="E1323" s="10">
        <v>0</v>
      </c>
      <c r="F1323" s="24">
        <v>11046.02</v>
      </c>
      <c r="G1323" s="10" t="s">
        <v>4696</v>
      </c>
      <c r="H1323" s="10" t="s">
        <v>4694</v>
      </c>
      <c r="I1323" s="10" t="s">
        <v>4729</v>
      </c>
      <c r="J1323" s="17">
        <f t="shared" si="10"/>
        <v>37242</v>
      </c>
      <c r="K1323" s="10">
        <f t="shared" ca="1" si="11"/>
        <v>23</v>
      </c>
      <c r="L1323" s="6"/>
      <c r="M1323" s="6"/>
      <c r="N1323" s="6"/>
      <c r="O1323" s="6"/>
      <c r="P1323" s="6"/>
      <c r="Q1323" s="6"/>
      <c r="R1323" s="6"/>
      <c r="S1323" s="6"/>
      <c r="T1323" s="6"/>
      <c r="U1323" s="6"/>
      <c r="V1323" s="6"/>
      <c r="W1323" s="6"/>
      <c r="X1323" s="6"/>
      <c r="Y1323" s="6"/>
      <c r="Z1323" s="6"/>
    </row>
    <row r="1324" spans="1:26" ht="15.75" customHeight="1" x14ac:dyDescent="0.3">
      <c r="A1324" s="10" t="s">
        <v>2034</v>
      </c>
      <c r="B1324" s="10">
        <v>2000</v>
      </c>
      <c r="C1324" s="10" t="s">
        <v>4711</v>
      </c>
      <c r="D1324" s="10">
        <v>18</v>
      </c>
      <c r="E1324" s="10">
        <v>0</v>
      </c>
      <c r="F1324" s="24">
        <v>11068.7</v>
      </c>
      <c r="G1324" s="10" t="s">
        <v>4696</v>
      </c>
      <c r="H1324" s="10" t="s">
        <v>4694</v>
      </c>
      <c r="I1324" s="10" t="s">
        <v>4716</v>
      </c>
      <c r="J1324" s="17">
        <f t="shared" si="10"/>
        <v>36787</v>
      </c>
      <c r="K1324" s="10">
        <f t="shared" ca="1" si="11"/>
        <v>25</v>
      </c>
      <c r="L1324" s="6"/>
      <c r="M1324" s="6"/>
      <c r="N1324" s="6"/>
      <c r="O1324" s="6"/>
      <c r="P1324" s="6"/>
      <c r="Q1324" s="6"/>
      <c r="R1324" s="6"/>
      <c r="S1324" s="6"/>
      <c r="T1324" s="6"/>
      <c r="U1324" s="6"/>
      <c r="V1324" s="6"/>
      <c r="W1324" s="6"/>
      <c r="X1324" s="6"/>
      <c r="Y1324" s="6"/>
      <c r="Z1324" s="6"/>
    </row>
    <row r="1325" spans="1:26" ht="15.75" customHeight="1" x14ac:dyDescent="0.3">
      <c r="A1325" s="10" t="s">
        <v>2032</v>
      </c>
      <c r="B1325" s="10">
        <v>1971</v>
      </c>
      <c r="C1325" s="10" t="s">
        <v>4709</v>
      </c>
      <c r="D1325" s="10">
        <v>9</v>
      </c>
      <c r="E1325" s="10">
        <v>0</v>
      </c>
      <c r="F1325" s="24">
        <v>11068.77</v>
      </c>
      <c r="G1325" s="10" t="s">
        <v>4696</v>
      </c>
      <c r="H1325" s="10" t="s">
        <v>4695</v>
      </c>
      <c r="I1325" s="10" t="s">
        <v>4712</v>
      </c>
      <c r="J1325" s="17">
        <f t="shared" si="10"/>
        <v>26246</v>
      </c>
      <c r="K1325" s="10">
        <f t="shared" ca="1" si="11"/>
        <v>54</v>
      </c>
      <c r="L1325" s="6"/>
      <c r="M1325" s="6"/>
      <c r="N1325" s="6"/>
      <c r="O1325" s="6"/>
      <c r="P1325" s="6"/>
      <c r="Q1325" s="6"/>
      <c r="R1325" s="6"/>
      <c r="S1325" s="6"/>
      <c r="T1325" s="6"/>
      <c r="U1325" s="6"/>
      <c r="V1325" s="6"/>
      <c r="W1325" s="6"/>
      <c r="X1325" s="6"/>
      <c r="Y1325" s="6"/>
      <c r="Z1325" s="6"/>
    </row>
    <row r="1326" spans="1:26" ht="15.75" customHeight="1" x14ac:dyDescent="0.3">
      <c r="A1326" s="10" t="s">
        <v>2030</v>
      </c>
      <c r="B1326" s="10">
        <v>1966</v>
      </c>
      <c r="C1326" s="10" t="s">
        <v>4709</v>
      </c>
      <c r="D1326" s="10">
        <v>7</v>
      </c>
      <c r="E1326" s="10">
        <v>0</v>
      </c>
      <c r="F1326" s="24">
        <v>11070.54</v>
      </c>
      <c r="G1326" s="10" t="s">
        <v>4696</v>
      </c>
      <c r="H1326" s="10" t="s">
        <v>4696</v>
      </c>
      <c r="I1326" s="10" t="s">
        <v>4716</v>
      </c>
      <c r="J1326" s="17">
        <f t="shared" si="10"/>
        <v>24418</v>
      </c>
      <c r="K1326" s="10">
        <f t="shared" ca="1" si="11"/>
        <v>59</v>
      </c>
      <c r="L1326" s="6"/>
      <c r="M1326" s="6"/>
      <c r="N1326" s="6"/>
      <c r="O1326" s="6"/>
      <c r="P1326" s="6"/>
      <c r="Q1326" s="6"/>
      <c r="R1326" s="6"/>
      <c r="S1326" s="6"/>
      <c r="T1326" s="6"/>
      <c r="U1326" s="6"/>
      <c r="V1326" s="6"/>
      <c r="W1326" s="6"/>
      <c r="X1326" s="6"/>
      <c r="Y1326" s="6"/>
      <c r="Z1326" s="6"/>
    </row>
    <row r="1327" spans="1:26" ht="15.75" customHeight="1" x14ac:dyDescent="0.3">
      <c r="A1327" s="10" t="s">
        <v>2028</v>
      </c>
      <c r="B1327" s="10">
        <v>1966</v>
      </c>
      <c r="C1327" s="10" t="s">
        <v>4709</v>
      </c>
      <c r="D1327" s="10">
        <v>20</v>
      </c>
      <c r="E1327" s="10">
        <v>0</v>
      </c>
      <c r="F1327" s="24">
        <v>11073.18</v>
      </c>
      <c r="G1327" s="10" t="s">
        <v>4696</v>
      </c>
      <c r="H1327" s="10" t="s">
        <v>4696</v>
      </c>
      <c r="I1327" s="10" t="s">
        <v>4716</v>
      </c>
      <c r="J1327" s="17">
        <f t="shared" si="10"/>
        <v>24431</v>
      </c>
      <c r="K1327" s="10">
        <f t="shared" ca="1" si="11"/>
        <v>59</v>
      </c>
      <c r="L1327" s="6"/>
      <c r="M1327" s="6"/>
      <c r="N1327" s="6"/>
      <c r="O1327" s="6"/>
      <c r="P1327" s="6"/>
      <c r="Q1327" s="6"/>
      <c r="R1327" s="6"/>
      <c r="S1327" s="6"/>
      <c r="T1327" s="6"/>
      <c r="U1327" s="6"/>
      <c r="V1327" s="6"/>
      <c r="W1327" s="6"/>
      <c r="X1327" s="6"/>
      <c r="Y1327" s="6"/>
      <c r="Z1327" s="6"/>
    </row>
    <row r="1328" spans="1:26" ht="15.75" customHeight="1" x14ac:dyDescent="0.3">
      <c r="A1328" s="10" t="s">
        <v>2026</v>
      </c>
      <c r="B1328" s="10">
        <v>1967</v>
      </c>
      <c r="C1328" s="10" t="s">
        <v>4711</v>
      </c>
      <c r="D1328" s="10">
        <v>4</v>
      </c>
      <c r="E1328" s="10">
        <v>0</v>
      </c>
      <c r="F1328" s="24">
        <v>11082.58</v>
      </c>
      <c r="G1328" s="10" t="s">
        <v>4696</v>
      </c>
      <c r="H1328" s="10" t="s">
        <v>4695</v>
      </c>
      <c r="I1328" s="10" t="s">
        <v>4712</v>
      </c>
      <c r="J1328" s="17">
        <f t="shared" si="10"/>
        <v>24719</v>
      </c>
      <c r="K1328" s="10">
        <f t="shared" ca="1" si="11"/>
        <v>58</v>
      </c>
      <c r="L1328" s="6"/>
      <c r="M1328" s="6"/>
      <c r="N1328" s="6"/>
      <c r="O1328" s="6"/>
      <c r="P1328" s="6"/>
      <c r="Q1328" s="6"/>
      <c r="R1328" s="6"/>
      <c r="S1328" s="6"/>
      <c r="T1328" s="6"/>
      <c r="U1328" s="6"/>
      <c r="V1328" s="6"/>
      <c r="W1328" s="6"/>
      <c r="X1328" s="6"/>
      <c r="Y1328" s="6"/>
      <c r="Z1328" s="6"/>
    </row>
    <row r="1329" spans="1:26" ht="15.75" customHeight="1" x14ac:dyDescent="0.3">
      <c r="A1329" s="10" t="s">
        <v>2024</v>
      </c>
      <c r="B1329" s="10">
        <v>1972</v>
      </c>
      <c r="C1329" s="10" t="s">
        <v>4715</v>
      </c>
      <c r="D1329" s="10">
        <v>7</v>
      </c>
      <c r="E1329" s="10">
        <v>3</v>
      </c>
      <c r="F1329" s="24">
        <v>11085.59</v>
      </c>
      <c r="G1329" s="10" t="s">
        <v>4696</v>
      </c>
      <c r="H1329" s="10" t="s">
        <v>4695</v>
      </c>
      <c r="I1329" s="10" t="s">
        <v>4712</v>
      </c>
      <c r="J1329" s="17">
        <f t="shared" si="10"/>
        <v>26579</v>
      </c>
      <c r="K1329" s="10">
        <f t="shared" ca="1" si="11"/>
        <v>53</v>
      </c>
      <c r="L1329" s="6"/>
      <c r="M1329" s="6"/>
      <c r="N1329" s="6"/>
      <c r="O1329" s="6"/>
      <c r="P1329" s="6"/>
      <c r="Q1329" s="6"/>
      <c r="R1329" s="6"/>
      <c r="S1329" s="6"/>
      <c r="T1329" s="6"/>
      <c r="U1329" s="6"/>
      <c r="V1329" s="6"/>
      <c r="W1329" s="6"/>
      <c r="X1329" s="6"/>
      <c r="Y1329" s="6"/>
      <c r="Z1329" s="6"/>
    </row>
    <row r="1330" spans="1:26" ht="15.75" customHeight="1" x14ac:dyDescent="0.3">
      <c r="A1330" s="10" t="s">
        <v>2022</v>
      </c>
      <c r="B1330" s="10">
        <v>1966</v>
      </c>
      <c r="C1330" s="10" t="s">
        <v>4711</v>
      </c>
      <c r="D1330" s="10">
        <v>9</v>
      </c>
      <c r="E1330" s="10">
        <v>0</v>
      </c>
      <c r="F1330" s="24">
        <v>11090.72</v>
      </c>
      <c r="G1330" s="10" t="s">
        <v>4696</v>
      </c>
      <c r="H1330" s="10" t="s">
        <v>4694</v>
      </c>
      <c r="I1330" s="10" t="s">
        <v>4708</v>
      </c>
      <c r="J1330" s="17">
        <f t="shared" si="10"/>
        <v>24359</v>
      </c>
      <c r="K1330" s="10">
        <f t="shared" ca="1" si="11"/>
        <v>59</v>
      </c>
      <c r="L1330" s="6"/>
      <c r="M1330" s="6"/>
      <c r="N1330" s="6"/>
      <c r="O1330" s="6"/>
      <c r="P1330" s="6"/>
      <c r="Q1330" s="6"/>
      <c r="R1330" s="6"/>
      <c r="S1330" s="6"/>
      <c r="T1330" s="6"/>
      <c r="U1330" s="6"/>
      <c r="V1330" s="6"/>
      <c r="W1330" s="6"/>
      <c r="X1330" s="6"/>
      <c r="Y1330" s="6"/>
      <c r="Z1330" s="6"/>
    </row>
    <row r="1331" spans="1:26" ht="15.75" customHeight="1" x14ac:dyDescent="0.3">
      <c r="A1331" s="10" t="s">
        <v>2020</v>
      </c>
      <c r="B1331" s="10">
        <v>1966</v>
      </c>
      <c r="C1331" s="10" t="s">
        <v>4707</v>
      </c>
      <c r="D1331" s="10">
        <v>5</v>
      </c>
      <c r="E1331" s="10">
        <v>0</v>
      </c>
      <c r="F1331" s="24">
        <v>11093.62</v>
      </c>
      <c r="G1331" s="10" t="s">
        <v>4696</v>
      </c>
      <c r="H1331" s="10" t="s">
        <v>4694</v>
      </c>
      <c r="I1331" s="10" t="s">
        <v>4708</v>
      </c>
      <c r="J1331" s="17">
        <f t="shared" si="10"/>
        <v>24293</v>
      </c>
      <c r="K1331" s="10">
        <f t="shared" ca="1" si="11"/>
        <v>59</v>
      </c>
      <c r="L1331" s="6"/>
      <c r="M1331" s="6"/>
      <c r="N1331" s="6"/>
      <c r="O1331" s="6"/>
      <c r="P1331" s="6"/>
      <c r="Q1331" s="6"/>
      <c r="R1331" s="6"/>
      <c r="S1331" s="6"/>
      <c r="T1331" s="6"/>
      <c r="U1331" s="6"/>
      <c r="V1331" s="6"/>
      <c r="W1331" s="6"/>
      <c r="X1331" s="6"/>
      <c r="Y1331" s="6"/>
      <c r="Z1331" s="6"/>
    </row>
    <row r="1332" spans="1:26" ht="15.75" customHeight="1" x14ac:dyDescent="0.3">
      <c r="A1332" s="10" t="s">
        <v>2018</v>
      </c>
      <c r="B1332" s="10">
        <v>1980</v>
      </c>
      <c r="C1332" s="10" t="s">
        <v>4714</v>
      </c>
      <c r="D1332" s="10">
        <v>20</v>
      </c>
      <c r="E1332" s="10">
        <v>2</v>
      </c>
      <c r="F1332" s="24">
        <v>11103.33</v>
      </c>
      <c r="G1332" s="10" t="s">
        <v>4696</v>
      </c>
      <c r="H1332" s="10" t="s">
        <v>4694</v>
      </c>
      <c r="I1332" s="10" t="s">
        <v>4726</v>
      </c>
      <c r="J1332" s="17">
        <f t="shared" si="10"/>
        <v>29453</v>
      </c>
      <c r="K1332" s="10">
        <f t="shared" ca="1" si="11"/>
        <v>45</v>
      </c>
      <c r="L1332" s="6"/>
      <c r="M1332" s="6"/>
      <c r="N1332" s="6"/>
      <c r="O1332" s="6"/>
      <c r="P1332" s="6"/>
      <c r="Q1332" s="6"/>
      <c r="R1332" s="6"/>
      <c r="S1332" s="6"/>
      <c r="T1332" s="6"/>
      <c r="U1332" s="6"/>
      <c r="V1332" s="6"/>
      <c r="W1332" s="6"/>
      <c r="X1332" s="6"/>
      <c r="Y1332" s="6"/>
      <c r="Z1332" s="6"/>
    </row>
    <row r="1333" spans="1:26" ht="15.75" customHeight="1" x14ac:dyDescent="0.3">
      <c r="A1333" s="10" t="s">
        <v>2016</v>
      </c>
      <c r="B1333" s="10">
        <v>1969</v>
      </c>
      <c r="C1333" s="10" t="s">
        <v>4709</v>
      </c>
      <c r="D1333" s="10">
        <v>30</v>
      </c>
      <c r="E1333" s="10">
        <v>2</v>
      </c>
      <c r="F1333" s="24">
        <v>11150.78</v>
      </c>
      <c r="G1333" s="10" t="s">
        <v>4696</v>
      </c>
      <c r="H1333" s="10" t="s">
        <v>4695</v>
      </c>
      <c r="I1333" s="10" t="s">
        <v>4716</v>
      </c>
      <c r="J1333" s="17">
        <f t="shared" si="10"/>
        <v>25537</v>
      </c>
      <c r="K1333" s="10">
        <f t="shared" ca="1" si="11"/>
        <v>55</v>
      </c>
      <c r="L1333" s="6"/>
      <c r="M1333" s="6"/>
      <c r="N1333" s="6"/>
      <c r="O1333" s="6"/>
      <c r="P1333" s="6"/>
      <c r="Q1333" s="6"/>
      <c r="R1333" s="6"/>
      <c r="S1333" s="6"/>
      <c r="T1333" s="6"/>
      <c r="U1333" s="6"/>
      <c r="V1333" s="6"/>
      <c r="W1333" s="6"/>
      <c r="X1333" s="6"/>
      <c r="Y1333" s="6"/>
      <c r="Z1333" s="6"/>
    </row>
    <row r="1334" spans="1:26" ht="15.75" customHeight="1" x14ac:dyDescent="0.3">
      <c r="A1334" s="10" t="s">
        <v>2014</v>
      </c>
      <c r="B1334" s="10">
        <v>1969</v>
      </c>
      <c r="C1334" s="10" t="s">
        <v>4710</v>
      </c>
      <c r="D1334" s="10">
        <v>25</v>
      </c>
      <c r="E1334" s="10">
        <v>2</v>
      </c>
      <c r="F1334" s="24">
        <v>11163.57</v>
      </c>
      <c r="G1334" s="10" t="s">
        <v>4696</v>
      </c>
      <c r="H1334" s="10" t="s">
        <v>4695</v>
      </c>
      <c r="I1334" s="10" t="s">
        <v>4716</v>
      </c>
      <c r="J1334" s="17">
        <f t="shared" si="10"/>
        <v>25379</v>
      </c>
      <c r="K1334" s="10">
        <f t="shared" ca="1" si="11"/>
        <v>56</v>
      </c>
      <c r="L1334" s="6"/>
      <c r="M1334" s="6"/>
      <c r="N1334" s="6"/>
      <c r="O1334" s="6"/>
      <c r="P1334" s="6"/>
      <c r="Q1334" s="6"/>
      <c r="R1334" s="6"/>
      <c r="S1334" s="6"/>
      <c r="T1334" s="6"/>
      <c r="U1334" s="6"/>
      <c r="V1334" s="6"/>
      <c r="W1334" s="6"/>
      <c r="X1334" s="6"/>
      <c r="Y1334" s="6"/>
      <c r="Z1334" s="6"/>
    </row>
    <row r="1335" spans="1:26" ht="15.75" customHeight="1" x14ac:dyDescent="0.3">
      <c r="A1335" s="10" t="s">
        <v>2012</v>
      </c>
      <c r="B1335" s="10">
        <v>1966</v>
      </c>
      <c r="C1335" s="10" t="s">
        <v>4714</v>
      </c>
      <c r="D1335" s="10">
        <v>6</v>
      </c>
      <c r="E1335" s="10">
        <v>0</v>
      </c>
      <c r="F1335" s="24">
        <v>11165.42</v>
      </c>
      <c r="G1335" s="10" t="s">
        <v>4696</v>
      </c>
      <c r="H1335" s="10" t="s">
        <v>4694</v>
      </c>
      <c r="I1335" s="10" t="s">
        <v>4720</v>
      </c>
      <c r="J1335" s="17">
        <f t="shared" si="10"/>
        <v>24325</v>
      </c>
      <c r="K1335" s="10">
        <f t="shared" ca="1" si="11"/>
        <v>59</v>
      </c>
      <c r="L1335" s="6"/>
      <c r="M1335" s="6"/>
      <c r="N1335" s="6"/>
      <c r="O1335" s="6"/>
      <c r="P1335" s="6"/>
      <c r="Q1335" s="6"/>
      <c r="R1335" s="6"/>
      <c r="S1335" s="6"/>
      <c r="T1335" s="6"/>
      <c r="U1335" s="6"/>
      <c r="V1335" s="6"/>
      <c r="W1335" s="6"/>
      <c r="X1335" s="6"/>
      <c r="Y1335" s="6"/>
      <c r="Z1335" s="6"/>
    </row>
    <row r="1336" spans="1:26" ht="15.75" customHeight="1" x14ac:dyDescent="0.3">
      <c r="A1336" s="10" t="s">
        <v>2010</v>
      </c>
      <c r="B1336" s="10">
        <v>1972</v>
      </c>
      <c r="C1336" s="10" t="s">
        <v>4711</v>
      </c>
      <c r="D1336" s="10">
        <v>3</v>
      </c>
      <c r="E1336" s="10">
        <v>0</v>
      </c>
      <c r="F1336" s="24">
        <v>11186.2</v>
      </c>
      <c r="G1336" s="10" t="s">
        <v>4696</v>
      </c>
      <c r="H1336" s="10" t="s">
        <v>4695</v>
      </c>
      <c r="I1336" s="10" t="s">
        <v>4726</v>
      </c>
      <c r="J1336" s="17">
        <f t="shared" si="10"/>
        <v>26545</v>
      </c>
      <c r="K1336" s="10">
        <f t="shared" ca="1" si="11"/>
        <v>53</v>
      </c>
      <c r="L1336" s="6"/>
      <c r="M1336" s="6"/>
      <c r="N1336" s="6"/>
      <c r="O1336" s="6"/>
      <c r="P1336" s="6"/>
      <c r="Q1336" s="6"/>
      <c r="R1336" s="6"/>
      <c r="S1336" s="6"/>
      <c r="T1336" s="6"/>
      <c r="U1336" s="6"/>
      <c r="V1336" s="6"/>
      <c r="W1336" s="6"/>
      <c r="X1336" s="6"/>
      <c r="Y1336" s="6"/>
      <c r="Z1336" s="6"/>
    </row>
    <row r="1337" spans="1:26" ht="15.75" customHeight="1" x14ac:dyDescent="0.3">
      <c r="A1337" s="10" t="s">
        <v>2008</v>
      </c>
      <c r="B1337" s="10">
        <v>1970</v>
      </c>
      <c r="C1337" s="10" t="s">
        <v>4710</v>
      </c>
      <c r="D1337" s="10">
        <v>14</v>
      </c>
      <c r="E1337" s="10">
        <v>2</v>
      </c>
      <c r="F1337" s="24">
        <v>11187.66</v>
      </c>
      <c r="G1337" s="10" t="s">
        <v>4696</v>
      </c>
      <c r="H1337" s="10" t="s">
        <v>4695</v>
      </c>
      <c r="I1337" s="10" t="s">
        <v>4712</v>
      </c>
      <c r="J1337" s="17">
        <f t="shared" si="10"/>
        <v>25733</v>
      </c>
      <c r="K1337" s="10">
        <f t="shared" ca="1" si="11"/>
        <v>55</v>
      </c>
      <c r="L1337" s="6"/>
      <c r="M1337" s="6"/>
      <c r="N1337" s="6"/>
      <c r="O1337" s="6"/>
      <c r="P1337" s="6"/>
      <c r="Q1337" s="6"/>
      <c r="R1337" s="6"/>
      <c r="S1337" s="6"/>
      <c r="T1337" s="6"/>
      <c r="U1337" s="6"/>
      <c r="V1337" s="6"/>
      <c r="W1337" s="6"/>
      <c r="X1337" s="6"/>
      <c r="Y1337" s="6"/>
      <c r="Z1337" s="6"/>
    </row>
    <row r="1338" spans="1:26" ht="15.75" customHeight="1" x14ac:dyDescent="0.3">
      <c r="A1338" s="10" t="s">
        <v>2006</v>
      </c>
      <c r="B1338" s="10">
        <v>1976</v>
      </c>
      <c r="C1338" s="10" t="s">
        <v>4710</v>
      </c>
      <c r="D1338" s="10">
        <v>28</v>
      </c>
      <c r="E1338" s="10">
        <v>2</v>
      </c>
      <c r="F1338" s="24">
        <v>11217.35</v>
      </c>
      <c r="G1338" s="10" t="s">
        <v>4696</v>
      </c>
      <c r="H1338" s="10" t="s">
        <v>4695</v>
      </c>
      <c r="I1338" s="10" t="s">
        <v>4722</v>
      </c>
      <c r="J1338" s="17">
        <f t="shared" si="10"/>
        <v>27939</v>
      </c>
      <c r="K1338" s="10">
        <f t="shared" ca="1" si="11"/>
        <v>49</v>
      </c>
      <c r="L1338" s="6"/>
      <c r="M1338" s="6"/>
      <c r="N1338" s="6"/>
      <c r="O1338" s="6"/>
      <c r="P1338" s="6"/>
      <c r="Q1338" s="6"/>
      <c r="R1338" s="6"/>
      <c r="S1338" s="6"/>
      <c r="T1338" s="6"/>
      <c r="U1338" s="6"/>
      <c r="V1338" s="6"/>
      <c r="W1338" s="6"/>
      <c r="X1338" s="6"/>
      <c r="Y1338" s="6"/>
      <c r="Z1338" s="6"/>
    </row>
    <row r="1339" spans="1:26" ht="15.75" customHeight="1" x14ac:dyDescent="0.3">
      <c r="A1339" s="10" t="s">
        <v>2004</v>
      </c>
      <c r="B1339" s="10">
        <v>1969</v>
      </c>
      <c r="C1339" s="10" t="s">
        <v>4713</v>
      </c>
      <c r="D1339" s="10">
        <v>30</v>
      </c>
      <c r="E1339" s="10">
        <v>2</v>
      </c>
      <c r="F1339" s="24">
        <v>11244.38</v>
      </c>
      <c r="G1339" s="10" t="s">
        <v>4696</v>
      </c>
      <c r="H1339" s="10" t="s">
        <v>4694</v>
      </c>
      <c r="I1339" s="10" t="s">
        <v>4720</v>
      </c>
      <c r="J1339" s="17">
        <f t="shared" si="10"/>
        <v>25567</v>
      </c>
      <c r="K1339" s="10">
        <f t="shared" ca="1" si="11"/>
        <v>55</v>
      </c>
      <c r="L1339" s="6"/>
      <c r="M1339" s="6"/>
      <c r="N1339" s="6"/>
      <c r="O1339" s="6"/>
      <c r="P1339" s="6"/>
      <c r="Q1339" s="6"/>
      <c r="R1339" s="6"/>
      <c r="S1339" s="6"/>
      <c r="T1339" s="6"/>
      <c r="U1339" s="6"/>
      <c r="V1339" s="6"/>
      <c r="W1339" s="6"/>
      <c r="X1339" s="6"/>
      <c r="Y1339" s="6"/>
      <c r="Z1339" s="6"/>
    </row>
    <row r="1340" spans="1:26" ht="15.75" customHeight="1" x14ac:dyDescent="0.3">
      <c r="A1340" s="10" t="s">
        <v>2002</v>
      </c>
      <c r="B1340" s="10">
        <v>1989</v>
      </c>
      <c r="C1340" s="10" t="s">
        <v>4713</v>
      </c>
      <c r="D1340" s="10">
        <v>17</v>
      </c>
      <c r="E1340" s="10">
        <v>3</v>
      </c>
      <c r="F1340" s="24">
        <v>11250.43</v>
      </c>
      <c r="G1340" s="10" t="s">
        <v>4696</v>
      </c>
      <c r="H1340" s="10" t="s">
        <v>4695</v>
      </c>
      <c r="I1340" s="10" t="s">
        <v>4729</v>
      </c>
      <c r="J1340" s="17">
        <f t="shared" si="10"/>
        <v>32859</v>
      </c>
      <c r="K1340" s="10">
        <f t="shared" ca="1" si="11"/>
        <v>35</v>
      </c>
      <c r="L1340" s="6"/>
      <c r="M1340" s="6"/>
      <c r="N1340" s="6"/>
      <c r="O1340" s="6"/>
      <c r="P1340" s="6"/>
      <c r="Q1340" s="6"/>
      <c r="R1340" s="6"/>
      <c r="S1340" s="6"/>
      <c r="T1340" s="6"/>
      <c r="U1340" s="6"/>
      <c r="V1340" s="6"/>
      <c r="W1340" s="6"/>
      <c r="X1340" s="6"/>
      <c r="Y1340" s="6"/>
      <c r="Z1340" s="6"/>
    </row>
    <row r="1341" spans="1:26" ht="15.75" customHeight="1" x14ac:dyDescent="0.3">
      <c r="A1341" s="10" t="s">
        <v>2000</v>
      </c>
      <c r="B1341" s="10">
        <v>1969</v>
      </c>
      <c r="C1341" s="10" t="s">
        <v>4714</v>
      </c>
      <c r="D1341" s="10">
        <v>20</v>
      </c>
      <c r="E1341" s="10">
        <v>3</v>
      </c>
      <c r="F1341" s="24">
        <v>11253.42</v>
      </c>
      <c r="G1341" s="10" t="s">
        <v>4696</v>
      </c>
      <c r="H1341" s="10" t="s">
        <v>4694</v>
      </c>
      <c r="I1341" s="10" t="s">
        <v>4716</v>
      </c>
      <c r="J1341" s="17">
        <f t="shared" si="10"/>
        <v>25435</v>
      </c>
      <c r="K1341" s="10">
        <f t="shared" ca="1" si="11"/>
        <v>56</v>
      </c>
      <c r="L1341" s="6"/>
      <c r="M1341" s="6"/>
      <c r="N1341" s="6"/>
      <c r="O1341" s="6"/>
      <c r="P1341" s="6"/>
      <c r="Q1341" s="6"/>
      <c r="R1341" s="6"/>
      <c r="S1341" s="6"/>
      <c r="T1341" s="6"/>
      <c r="U1341" s="6"/>
      <c r="V1341" s="6"/>
      <c r="W1341" s="6"/>
      <c r="X1341" s="6"/>
      <c r="Y1341" s="6"/>
      <c r="Z1341" s="6"/>
    </row>
    <row r="1342" spans="1:26" ht="15.75" customHeight="1" x14ac:dyDescent="0.3">
      <c r="A1342" s="10" t="s">
        <v>1998</v>
      </c>
      <c r="B1342" s="10">
        <v>1981</v>
      </c>
      <c r="C1342" s="10" t="s">
        <v>4715</v>
      </c>
      <c r="D1342" s="10">
        <v>2</v>
      </c>
      <c r="E1342" s="10">
        <v>1</v>
      </c>
      <c r="F1342" s="24">
        <v>11255.29</v>
      </c>
      <c r="G1342" s="10" t="s">
        <v>4696</v>
      </c>
      <c r="H1342" s="10" t="s">
        <v>4694</v>
      </c>
      <c r="I1342" s="10" t="s">
        <v>4729</v>
      </c>
      <c r="J1342" s="17">
        <f t="shared" si="10"/>
        <v>29861</v>
      </c>
      <c r="K1342" s="10">
        <f t="shared" ca="1" si="11"/>
        <v>44</v>
      </c>
      <c r="L1342" s="6"/>
      <c r="M1342" s="6"/>
      <c r="N1342" s="6"/>
      <c r="O1342" s="6"/>
      <c r="P1342" s="6"/>
      <c r="Q1342" s="6"/>
      <c r="R1342" s="6"/>
      <c r="S1342" s="6"/>
      <c r="T1342" s="6"/>
      <c r="U1342" s="6"/>
      <c r="V1342" s="6"/>
      <c r="W1342" s="6"/>
      <c r="X1342" s="6"/>
      <c r="Y1342" s="6"/>
      <c r="Z1342" s="6"/>
    </row>
    <row r="1343" spans="1:26" ht="15.75" customHeight="1" x14ac:dyDescent="0.3">
      <c r="A1343" s="10" t="s">
        <v>1996</v>
      </c>
      <c r="B1343" s="10">
        <v>1969</v>
      </c>
      <c r="C1343" s="10" t="s">
        <v>4715</v>
      </c>
      <c r="D1343" s="10">
        <v>11</v>
      </c>
      <c r="E1343" s="10">
        <v>3</v>
      </c>
      <c r="F1343" s="24">
        <v>11264.54</v>
      </c>
      <c r="G1343" s="10" t="s">
        <v>4696</v>
      </c>
      <c r="H1343" s="10" t="s">
        <v>4695</v>
      </c>
      <c r="I1343" s="10" t="s">
        <v>4716</v>
      </c>
      <c r="J1343" s="17">
        <f t="shared" si="10"/>
        <v>25487</v>
      </c>
      <c r="K1343" s="10">
        <f t="shared" ca="1" si="11"/>
        <v>56</v>
      </c>
      <c r="L1343" s="6"/>
      <c r="M1343" s="6"/>
      <c r="N1343" s="6"/>
      <c r="O1343" s="6"/>
      <c r="P1343" s="6"/>
      <c r="Q1343" s="6"/>
      <c r="R1343" s="6"/>
      <c r="S1343" s="6"/>
      <c r="T1343" s="6"/>
      <c r="U1343" s="6"/>
      <c r="V1343" s="6"/>
      <c r="W1343" s="6"/>
      <c r="X1343" s="6"/>
      <c r="Y1343" s="6"/>
      <c r="Z1343" s="6"/>
    </row>
    <row r="1344" spans="1:26" ht="15.75" customHeight="1" x14ac:dyDescent="0.3">
      <c r="A1344" s="10" t="s">
        <v>1994</v>
      </c>
      <c r="B1344" s="10">
        <v>1971</v>
      </c>
      <c r="C1344" s="10" t="s">
        <v>4713</v>
      </c>
      <c r="D1344" s="10">
        <v>26</v>
      </c>
      <c r="E1344" s="10">
        <v>0</v>
      </c>
      <c r="F1344" s="24">
        <v>11265.71</v>
      </c>
      <c r="G1344" s="10" t="s">
        <v>4696</v>
      </c>
      <c r="H1344" s="10" t="s">
        <v>4694</v>
      </c>
      <c r="I1344" s="10" t="s">
        <v>4722</v>
      </c>
      <c r="J1344" s="17">
        <f t="shared" si="10"/>
        <v>26293</v>
      </c>
      <c r="K1344" s="10">
        <f t="shared" ca="1" si="11"/>
        <v>53</v>
      </c>
      <c r="L1344" s="6"/>
      <c r="M1344" s="6"/>
      <c r="N1344" s="6"/>
      <c r="O1344" s="6"/>
      <c r="P1344" s="6"/>
      <c r="Q1344" s="6"/>
      <c r="R1344" s="6"/>
      <c r="S1344" s="6"/>
      <c r="T1344" s="6"/>
      <c r="U1344" s="6"/>
      <c r="V1344" s="6"/>
      <c r="W1344" s="6"/>
      <c r="X1344" s="6"/>
      <c r="Y1344" s="6"/>
      <c r="Z1344" s="6"/>
    </row>
    <row r="1345" spans="1:26" ht="15.75" customHeight="1" x14ac:dyDescent="0.3">
      <c r="A1345" s="10" t="s">
        <v>1992</v>
      </c>
      <c r="B1345" s="10">
        <v>2004</v>
      </c>
      <c r="C1345" s="10" t="s">
        <v>4715</v>
      </c>
      <c r="D1345" s="10">
        <v>4</v>
      </c>
      <c r="E1345" s="10">
        <v>1</v>
      </c>
      <c r="F1345" s="24">
        <v>11272.33</v>
      </c>
      <c r="G1345" s="10" t="s">
        <v>4696</v>
      </c>
      <c r="H1345" s="10" t="s">
        <v>4695</v>
      </c>
      <c r="I1345" s="10" t="s">
        <v>4719</v>
      </c>
      <c r="J1345" s="17">
        <f t="shared" si="10"/>
        <v>38264</v>
      </c>
      <c r="K1345" s="10">
        <f t="shared" ca="1" si="11"/>
        <v>21</v>
      </c>
      <c r="L1345" s="6"/>
      <c r="M1345" s="6"/>
      <c r="N1345" s="6"/>
      <c r="O1345" s="6"/>
      <c r="P1345" s="6"/>
      <c r="Q1345" s="6"/>
      <c r="R1345" s="6"/>
      <c r="S1345" s="6"/>
      <c r="T1345" s="6"/>
      <c r="U1345" s="6"/>
      <c r="V1345" s="6"/>
      <c r="W1345" s="6"/>
      <c r="X1345" s="6"/>
      <c r="Y1345" s="6"/>
      <c r="Z1345" s="6"/>
    </row>
    <row r="1346" spans="1:26" ht="15.75" customHeight="1" x14ac:dyDescent="0.3">
      <c r="A1346" s="10" t="s">
        <v>1990</v>
      </c>
      <c r="B1346" s="10">
        <v>1967</v>
      </c>
      <c r="C1346" s="10" t="s">
        <v>4710</v>
      </c>
      <c r="D1346" s="10">
        <v>14</v>
      </c>
      <c r="E1346" s="10">
        <v>0</v>
      </c>
      <c r="F1346" s="24">
        <v>11286.54</v>
      </c>
      <c r="G1346" s="10" t="s">
        <v>4696</v>
      </c>
      <c r="H1346" s="10" t="s">
        <v>4696</v>
      </c>
      <c r="I1346" s="10" t="s">
        <v>4723</v>
      </c>
      <c r="J1346" s="17">
        <f t="shared" si="10"/>
        <v>24637</v>
      </c>
      <c r="K1346" s="10">
        <f t="shared" ca="1" si="11"/>
        <v>58</v>
      </c>
      <c r="L1346" s="6"/>
      <c r="M1346" s="6"/>
      <c r="N1346" s="6"/>
      <c r="O1346" s="6"/>
      <c r="P1346" s="6"/>
      <c r="Q1346" s="6"/>
      <c r="R1346" s="6"/>
      <c r="S1346" s="6"/>
      <c r="T1346" s="6"/>
      <c r="U1346" s="6"/>
      <c r="V1346" s="6"/>
      <c r="W1346" s="6"/>
      <c r="X1346" s="6"/>
      <c r="Y1346" s="6"/>
      <c r="Z1346" s="6"/>
    </row>
    <row r="1347" spans="1:26" ht="15.75" customHeight="1" x14ac:dyDescent="0.3">
      <c r="A1347" s="10" t="s">
        <v>1988</v>
      </c>
      <c r="B1347" s="10">
        <v>1970</v>
      </c>
      <c r="C1347" s="10" t="s">
        <v>4710</v>
      </c>
      <c r="D1347" s="10">
        <v>22</v>
      </c>
      <c r="E1347" s="10">
        <v>3</v>
      </c>
      <c r="F1347" s="24">
        <v>11289.11</v>
      </c>
      <c r="G1347" s="10" t="s">
        <v>4696</v>
      </c>
      <c r="H1347" s="10" t="s">
        <v>4694</v>
      </c>
      <c r="I1347" s="10" t="s">
        <v>4712</v>
      </c>
      <c r="J1347" s="17">
        <f t="shared" si="10"/>
        <v>25741</v>
      </c>
      <c r="K1347" s="10">
        <f t="shared" ca="1" si="11"/>
        <v>55</v>
      </c>
      <c r="L1347" s="6"/>
      <c r="M1347" s="6"/>
      <c r="N1347" s="6"/>
      <c r="O1347" s="6"/>
      <c r="P1347" s="6"/>
      <c r="Q1347" s="6"/>
      <c r="R1347" s="6"/>
      <c r="S1347" s="6"/>
      <c r="T1347" s="6"/>
      <c r="U1347" s="6"/>
      <c r="V1347" s="6"/>
      <c r="W1347" s="6"/>
      <c r="X1347" s="6"/>
      <c r="Y1347" s="6"/>
      <c r="Z1347" s="6"/>
    </row>
    <row r="1348" spans="1:26" ht="15.75" customHeight="1" x14ac:dyDescent="0.3">
      <c r="A1348" s="10" t="s">
        <v>1986</v>
      </c>
      <c r="B1348" s="10">
        <v>1988</v>
      </c>
      <c r="C1348" s="10" t="s">
        <v>4709</v>
      </c>
      <c r="D1348" s="10">
        <v>14</v>
      </c>
      <c r="E1348" s="10">
        <v>3</v>
      </c>
      <c r="F1348" s="24">
        <v>11294.57</v>
      </c>
      <c r="G1348" s="10" t="s">
        <v>4696</v>
      </c>
      <c r="H1348" s="10" t="s">
        <v>4694</v>
      </c>
      <c r="I1348" s="10" t="s">
        <v>4730</v>
      </c>
      <c r="J1348" s="17">
        <f t="shared" si="10"/>
        <v>32461</v>
      </c>
      <c r="K1348" s="10">
        <f t="shared" ca="1" si="11"/>
        <v>37</v>
      </c>
      <c r="L1348" s="6"/>
      <c r="M1348" s="6"/>
      <c r="N1348" s="6"/>
      <c r="O1348" s="6"/>
      <c r="P1348" s="6"/>
      <c r="Q1348" s="6"/>
      <c r="R1348" s="6"/>
      <c r="S1348" s="6"/>
      <c r="T1348" s="6"/>
      <c r="U1348" s="6"/>
      <c r="V1348" s="6"/>
      <c r="W1348" s="6"/>
      <c r="X1348" s="6"/>
      <c r="Y1348" s="6"/>
      <c r="Z1348" s="6"/>
    </row>
    <row r="1349" spans="1:26" ht="15.75" customHeight="1" x14ac:dyDescent="0.3">
      <c r="A1349" s="10" t="s">
        <v>1984</v>
      </c>
      <c r="B1349" s="10">
        <v>1972</v>
      </c>
      <c r="C1349" s="10" t="s">
        <v>4711</v>
      </c>
      <c r="D1349" s="10">
        <v>25</v>
      </c>
      <c r="E1349" s="10">
        <v>4</v>
      </c>
      <c r="F1349" s="24">
        <v>11299.34</v>
      </c>
      <c r="G1349" s="10" t="s">
        <v>4696</v>
      </c>
      <c r="H1349" s="10" t="s">
        <v>4695</v>
      </c>
      <c r="I1349" s="10" t="s">
        <v>4716</v>
      </c>
      <c r="J1349" s="17">
        <f t="shared" si="10"/>
        <v>26567</v>
      </c>
      <c r="K1349" s="10">
        <f t="shared" ca="1" si="11"/>
        <v>53</v>
      </c>
      <c r="L1349" s="6"/>
      <c r="M1349" s="6"/>
      <c r="N1349" s="6"/>
      <c r="O1349" s="6"/>
      <c r="P1349" s="6"/>
      <c r="Q1349" s="6"/>
      <c r="R1349" s="6"/>
      <c r="S1349" s="6"/>
      <c r="T1349" s="6"/>
      <c r="U1349" s="6"/>
      <c r="V1349" s="6"/>
      <c r="W1349" s="6"/>
      <c r="X1349" s="6"/>
      <c r="Y1349" s="6"/>
      <c r="Z1349" s="6"/>
    </row>
    <row r="1350" spans="1:26" ht="15.75" customHeight="1" x14ac:dyDescent="0.3">
      <c r="A1350" s="10" t="s">
        <v>1982</v>
      </c>
      <c r="B1350" s="10">
        <v>1968</v>
      </c>
      <c r="C1350" s="10" t="s">
        <v>4715</v>
      </c>
      <c r="D1350" s="10">
        <v>6</v>
      </c>
      <c r="E1350" s="10">
        <v>1</v>
      </c>
      <c r="F1350" s="24">
        <v>11305.93</v>
      </c>
      <c r="G1350" s="10" t="s">
        <v>4696</v>
      </c>
      <c r="H1350" s="10" t="s">
        <v>4694</v>
      </c>
      <c r="I1350" s="10" t="s">
        <v>4712</v>
      </c>
      <c r="J1350" s="17">
        <f t="shared" si="10"/>
        <v>25117</v>
      </c>
      <c r="K1350" s="10">
        <f t="shared" ca="1" si="11"/>
        <v>57</v>
      </c>
      <c r="L1350" s="6"/>
      <c r="M1350" s="6"/>
      <c r="N1350" s="6"/>
      <c r="O1350" s="6"/>
      <c r="P1350" s="6"/>
      <c r="Q1350" s="6"/>
      <c r="R1350" s="6"/>
      <c r="S1350" s="6"/>
      <c r="T1350" s="6"/>
      <c r="U1350" s="6"/>
      <c r="V1350" s="6"/>
      <c r="W1350" s="6"/>
      <c r="X1350" s="6"/>
      <c r="Y1350" s="6"/>
      <c r="Z1350" s="6"/>
    </row>
    <row r="1351" spans="1:26" ht="15.75" customHeight="1" x14ac:dyDescent="0.3">
      <c r="A1351" s="10" t="s">
        <v>1980</v>
      </c>
      <c r="B1351" s="10">
        <v>1963</v>
      </c>
      <c r="C1351" s="10" t="s">
        <v>4709</v>
      </c>
      <c r="D1351" s="10">
        <v>22</v>
      </c>
      <c r="E1351" s="10">
        <v>0</v>
      </c>
      <c r="F1351" s="24">
        <v>11312.33</v>
      </c>
      <c r="G1351" s="10" t="s">
        <v>4696</v>
      </c>
      <c r="H1351" s="10" t="s">
        <v>4696</v>
      </c>
      <c r="I1351" s="10" t="s">
        <v>4712</v>
      </c>
      <c r="J1351" s="17">
        <f t="shared" si="10"/>
        <v>23337</v>
      </c>
      <c r="K1351" s="10">
        <f t="shared" ca="1" si="11"/>
        <v>62</v>
      </c>
      <c r="L1351" s="6"/>
      <c r="M1351" s="6"/>
      <c r="N1351" s="6"/>
      <c r="O1351" s="6"/>
      <c r="P1351" s="6"/>
      <c r="Q1351" s="6"/>
      <c r="R1351" s="6"/>
      <c r="S1351" s="6"/>
      <c r="T1351" s="6"/>
      <c r="U1351" s="6"/>
      <c r="V1351" s="6"/>
      <c r="W1351" s="6"/>
      <c r="X1351" s="6"/>
      <c r="Y1351" s="6"/>
      <c r="Z1351" s="6"/>
    </row>
    <row r="1352" spans="1:26" ht="15.75" customHeight="1" x14ac:dyDescent="0.3">
      <c r="A1352" s="10" t="s">
        <v>1978</v>
      </c>
      <c r="B1352" s="10">
        <v>1995</v>
      </c>
      <c r="C1352" s="10" t="s">
        <v>4713</v>
      </c>
      <c r="D1352" s="10">
        <v>10</v>
      </c>
      <c r="E1352" s="10">
        <v>0</v>
      </c>
      <c r="F1352" s="24">
        <v>11318.57</v>
      </c>
      <c r="G1352" s="10" t="s">
        <v>4696</v>
      </c>
      <c r="H1352" s="10" t="s">
        <v>4695</v>
      </c>
      <c r="I1352" s="10" t="s">
        <v>4729</v>
      </c>
      <c r="J1352" s="17">
        <f t="shared" si="10"/>
        <v>35043</v>
      </c>
      <c r="K1352" s="10">
        <f t="shared" ca="1" si="11"/>
        <v>29</v>
      </c>
      <c r="L1352" s="6"/>
      <c r="M1352" s="6"/>
      <c r="N1352" s="6"/>
      <c r="O1352" s="6"/>
      <c r="P1352" s="6"/>
      <c r="Q1352" s="6"/>
      <c r="R1352" s="6"/>
      <c r="S1352" s="6"/>
      <c r="T1352" s="6"/>
      <c r="U1352" s="6"/>
      <c r="V1352" s="6"/>
      <c r="W1352" s="6"/>
      <c r="X1352" s="6"/>
      <c r="Y1352" s="6"/>
      <c r="Z1352" s="6"/>
    </row>
    <row r="1353" spans="1:26" ht="15.75" customHeight="1" x14ac:dyDescent="0.3">
      <c r="A1353" s="10" t="s">
        <v>1976</v>
      </c>
      <c r="B1353" s="10">
        <v>1963</v>
      </c>
      <c r="C1353" s="10" t="s">
        <v>4707</v>
      </c>
      <c r="D1353" s="10">
        <v>11</v>
      </c>
      <c r="E1353" s="10">
        <v>0</v>
      </c>
      <c r="F1353" s="24">
        <v>11319.12</v>
      </c>
      <c r="G1353" s="10" t="s">
        <v>4696</v>
      </c>
      <c r="H1353" s="10" t="s">
        <v>4694</v>
      </c>
      <c r="I1353" s="10" t="s">
        <v>4712</v>
      </c>
      <c r="J1353" s="17">
        <f t="shared" si="10"/>
        <v>23203</v>
      </c>
      <c r="K1353" s="10">
        <f t="shared" ca="1" si="11"/>
        <v>62</v>
      </c>
      <c r="L1353" s="6"/>
      <c r="M1353" s="6"/>
      <c r="N1353" s="6"/>
      <c r="O1353" s="6"/>
      <c r="P1353" s="6"/>
      <c r="Q1353" s="6"/>
      <c r="R1353" s="6"/>
      <c r="S1353" s="6"/>
      <c r="T1353" s="6"/>
      <c r="U1353" s="6"/>
      <c r="V1353" s="6"/>
      <c r="W1353" s="6"/>
      <c r="X1353" s="6"/>
      <c r="Y1353" s="6"/>
      <c r="Z1353" s="6"/>
    </row>
    <row r="1354" spans="1:26" ht="15.75" customHeight="1" x14ac:dyDescent="0.3">
      <c r="A1354" s="10" t="s">
        <v>1974</v>
      </c>
      <c r="B1354" s="10">
        <v>2002</v>
      </c>
      <c r="C1354" s="10" t="s">
        <v>4711</v>
      </c>
      <c r="D1354" s="10">
        <v>20</v>
      </c>
      <c r="E1354" s="10">
        <v>0</v>
      </c>
      <c r="F1354" s="24">
        <v>11321.49</v>
      </c>
      <c r="G1354" s="10" t="s">
        <v>4696</v>
      </c>
      <c r="H1354" s="10" t="s">
        <v>4696</v>
      </c>
      <c r="I1354" s="10" t="s">
        <v>4712</v>
      </c>
      <c r="J1354" s="17">
        <f t="shared" si="10"/>
        <v>37519</v>
      </c>
      <c r="K1354" s="10">
        <f t="shared" ca="1" si="11"/>
        <v>23</v>
      </c>
      <c r="L1354" s="6"/>
      <c r="M1354" s="6"/>
      <c r="N1354" s="6"/>
      <c r="O1354" s="6"/>
      <c r="P1354" s="6"/>
      <c r="Q1354" s="6"/>
      <c r="R1354" s="6"/>
      <c r="S1354" s="6"/>
      <c r="T1354" s="6"/>
      <c r="U1354" s="6"/>
      <c r="V1354" s="6"/>
      <c r="W1354" s="6"/>
      <c r="X1354" s="6"/>
      <c r="Y1354" s="6"/>
      <c r="Z1354" s="6"/>
    </row>
    <row r="1355" spans="1:26" ht="15.75" customHeight="1" x14ac:dyDescent="0.3">
      <c r="A1355" s="10" t="s">
        <v>1972</v>
      </c>
      <c r="B1355" s="10">
        <v>1989</v>
      </c>
      <c r="C1355" s="10" t="s">
        <v>4714</v>
      </c>
      <c r="D1355" s="10">
        <v>19</v>
      </c>
      <c r="E1355" s="10">
        <v>1</v>
      </c>
      <c r="F1355" s="24">
        <v>11326.71</v>
      </c>
      <c r="G1355" s="10" t="s">
        <v>4696</v>
      </c>
      <c r="H1355" s="10" t="s">
        <v>4696</v>
      </c>
      <c r="I1355" s="10" t="s">
        <v>4708</v>
      </c>
      <c r="J1355" s="17">
        <f t="shared" si="10"/>
        <v>32739</v>
      </c>
      <c r="K1355" s="10">
        <f t="shared" ca="1" si="11"/>
        <v>36</v>
      </c>
      <c r="L1355" s="6"/>
      <c r="M1355" s="6"/>
      <c r="N1355" s="6"/>
      <c r="O1355" s="6"/>
      <c r="P1355" s="6"/>
      <c r="Q1355" s="6"/>
      <c r="R1355" s="6"/>
      <c r="S1355" s="6"/>
      <c r="T1355" s="6"/>
      <c r="U1355" s="6"/>
      <c r="V1355" s="6"/>
      <c r="W1355" s="6"/>
      <c r="X1355" s="6"/>
      <c r="Y1355" s="6"/>
      <c r="Z1355" s="6"/>
    </row>
    <row r="1356" spans="1:26" ht="15.75" customHeight="1" x14ac:dyDescent="0.3">
      <c r="A1356" s="10" t="s">
        <v>1970</v>
      </c>
      <c r="B1356" s="10">
        <v>1968</v>
      </c>
      <c r="C1356" s="10" t="s">
        <v>4709</v>
      </c>
      <c r="D1356" s="10">
        <v>2</v>
      </c>
      <c r="E1356" s="10">
        <v>0</v>
      </c>
      <c r="F1356" s="24">
        <v>11344.32</v>
      </c>
      <c r="G1356" s="10" t="s">
        <v>4696</v>
      </c>
      <c r="H1356" s="10" t="s">
        <v>4695</v>
      </c>
      <c r="I1356" s="10" t="s">
        <v>4722</v>
      </c>
      <c r="J1356" s="17">
        <f t="shared" si="10"/>
        <v>25144</v>
      </c>
      <c r="K1356" s="10">
        <f t="shared" ca="1" si="11"/>
        <v>57</v>
      </c>
      <c r="L1356" s="6"/>
      <c r="M1356" s="6"/>
      <c r="N1356" s="6"/>
      <c r="O1356" s="6"/>
      <c r="P1356" s="6"/>
      <c r="Q1356" s="6"/>
      <c r="R1356" s="6"/>
      <c r="S1356" s="6"/>
      <c r="T1356" s="6"/>
      <c r="U1356" s="6"/>
      <c r="V1356" s="6"/>
      <c r="W1356" s="6"/>
      <c r="X1356" s="6"/>
      <c r="Y1356" s="6"/>
      <c r="Z1356" s="6"/>
    </row>
    <row r="1357" spans="1:26" ht="15.75" customHeight="1" x14ac:dyDescent="0.3">
      <c r="A1357" s="10" t="s">
        <v>1968</v>
      </c>
      <c r="B1357" s="10">
        <v>1964</v>
      </c>
      <c r="C1357" s="10" t="s">
        <v>4707</v>
      </c>
      <c r="D1357" s="10">
        <v>12</v>
      </c>
      <c r="E1357" s="10">
        <v>0</v>
      </c>
      <c r="F1357" s="24">
        <v>11345.52</v>
      </c>
      <c r="G1357" s="10" t="s">
        <v>4696</v>
      </c>
      <c r="H1357" s="10" t="s">
        <v>4696</v>
      </c>
      <c r="I1357" s="10" t="s">
        <v>4716</v>
      </c>
      <c r="J1357" s="17">
        <f t="shared" si="10"/>
        <v>23570</v>
      </c>
      <c r="K1357" s="10">
        <f t="shared" ca="1" si="11"/>
        <v>61</v>
      </c>
      <c r="L1357" s="6"/>
      <c r="M1357" s="6"/>
      <c r="N1357" s="6"/>
      <c r="O1357" s="6"/>
      <c r="P1357" s="6"/>
      <c r="Q1357" s="6"/>
      <c r="R1357" s="6"/>
      <c r="S1357" s="6"/>
      <c r="T1357" s="6"/>
      <c r="U1357" s="6"/>
      <c r="V1357" s="6"/>
      <c r="W1357" s="6"/>
      <c r="X1357" s="6"/>
      <c r="Y1357" s="6"/>
      <c r="Z1357" s="6"/>
    </row>
    <row r="1358" spans="1:26" ht="15.75" customHeight="1" x14ac:dyDescent="0.3">
      <c r="A1358" s="10" t="s">
        <v>1966</v>
      </c>
      <c r="B1358" s="10">
        <v>1965</v>
      </c>
      <c r="C1358" s="10" t="s">
        <v>4709</v>
      </c>
      <c r="D1358" s="10">
        <v>29</v>
      </c>
      <c r="E1358" s="10">
        <v>0</v>
      </c>
      <c r="F1358" s="24">
        <v>11353.23</v>
      </c>
      <c r="G1358" s="10" t="s">
        <v>4696</v>
      </c>
      <c r="H1358" s="10" t="s">
        <v>4694</v>
      </c>
      <c r="I1358" s="10" t="s">
        <v>4712</v>
      </c>
      <c r="J1358" s="17">
        <f t="shared" si="10"/>
        <v>24075</v>
      </c>
      <c r="K1358" s="10">
        <f t="shared" ca="1" si="11"/>
        <v>60</v>
      </c>
      <c r="L1358" s="6"/>
      <c r="M1358" s="6"/>
      <c r="N1358" s="6"/>
      <c r="O1358" s="6"/>
      <c r="P1358" s="6"/>
      <c r="Q1358" s="6"/>
      <c r="R1358" s="6"/>
      <c r="S1358" s="6"/>
      <c r="T1358" s="6"/>
      <c r="U1358" s="6"/>
      <c r="V1358" s="6"/>
      <c r="W1358" s="6"/>
      <c r="X1358" s="6"/>
      <c r="Y1358" s="6"/>
      <c r="Z1358" s="6"/>
    </row>
    <row r="1359" spans="1:26" ht="15.75" customHeight="1" x14ac:dyDescent="0.3">
      <c r="A1359" s="10" t="s">
        <v>1964</v>
      </c>
      <c r="B1359" s="10">
        <v>1965</v>
      </c>
      <c r="C1359" s="10" t="s">
        <v>4711</v>
      </c>
      <c r="D1359" s="10">
        <v>26</v>
      </c>
      <c r="E1359" s="10">
        <v>0</v>
      </c>
      <c r="F1359" s="24">
        <v>11356.66</v>
      </c>
      <c r="G1359" s="10" t="s">
        <v>4696</v>
      </c>
      <c r="H1359" s="10" t="s">
        <v>4696</v>
      </c>
      <c r="I1359" s="10" t="s">
        <v>4712</v>
      </c>
      <c r="J1359" s="17">
        <f t="shared" si="10"/>
        <v>24011</v>
      </c>
      <c r="K1359" s="10">
        <f t="shared" ca="1" si="11"/>
        <v>60</v>
      </c>
      <c r="L1359" s="6"/>
      <c r="M1359" s="6"/>
      <c r="N1359" s="6"/>
      <c r="O1359" s="6"/>
      <c r="P1359" s="6"/>
      <c r="Q1359" s="6"/>
      <c r="R1359" s="6"/>
      <c r="S1359" s="6"/>
      <c r="T1359" s="6"/>
      <c r="U1359" s="6"/>
      <c r="V1359" s="6"/>
      <c r="W1359" s="6"/>
      <c r="X1359" s="6"/>
      <c r="Y1359" s="6"/>
      <c r="Z1359" s="6"/>
    </row>
    <row r="1360" spans="1:26" ht="15.75" customHeight="1" x14ac:dyDescent="0.3">
      <c r="A1360" s="10" t="s">
        <v>1962</v>
      </c>
      <c r="B1360" s="10">
        <v>1964</v>
      </c>
      <c r="C1360" s="10" t="s">
        <v>4707</v>
      </c>
      <c r="D1360" s="10">
        <v>4</v>
      </c>
      <c r="E1360" s="10">
        <v>0</v>
      </c>
      <c r="F1360" s="24">
        <v>11362.76</v>
      </c>
      <c r="G1360" s="10" t="s">
        <v>4696</v>
      </c>
      <c r="H1360" s="10" t="s">
        <v>4694</v>
      </c>
      <c r="I1360" s="10" t="s">
        <v>4716</v>
      </c>
      <c r="J1360" s="17">
        <f t="shared" si="10"/>
        <v>23562</v>
      </c>
      <c r="K1360" s="10">
        <f t="shared" ca="1" si="11"/>
        <v>61</v>
      </c>
      <c r="L1360" s="6"/>
      <c r="M1360" s="6"/>
      <c r="N1360" s="6"/>
      <c r="O1360" s="6"/>
      <c r="P1360" s="6"/>
      <c r="Q1360" s="6"/>
      <c r="R1360" s="6"/>
      <c r="S1360" s="6"/>
      <c r="T1360" s="6"/>
      <c r="U1360" s="6"/>
      <c r="V1360" s="6"/>
      <c r="W1360" s="6"/>
      <c r="X1360" s="6"/>
      <c r="Y1360" s="6"/>
      <c r="Z1360" s="6"/>
    </row>
    <row r="1361" spans="1:26" ht="15.75" customHeight="1" x14ac:dyDescent="0.3">
      <c r="A1361" s="10" t="s">
        <v>1960</v>
      </c>
      <c r="B1361" s="10">
        <v>1964</v>
      </c>
      <c r="C1361" s="10" t="s">
        <v>4707</v>
      </c>
      <c r="D1361" s="10">
        <v>3</v>
      </c>
      <c r="E1361" s="10">
        <v>0</v>
      </c>
      <c r="F1361" s="24">
        <v>11363.28</v>
      </c>
      <c r="G1361" s="10" t="s">
        <v>4696</v>
      </c>
      <c r="H1361" s="10" t="s">
        <v>4694</v>
      </c>
      <c r="I1361" s="10" t="s">
        <v>4708</v>
      </c>
      <c r="J1361" s="17">
        <f t="shared" si="10"/>
        <v>23561</v>
      </c>
      <c r="K1361" s="10">
        <f t="shared" ca="1" si="11"/>
        <v>61</v>
      </c>
      <c r="L1361" s="6"/>
      <c r="M1361" s="6"/>
      <c r="N1361" s="6"/>
      <c r="O1361" s="6"/>
      <c r="P1361" s="6"/>
      <c r="Q1361" s="6"/>
      <c r="R1361" s="6"/>
      <c r="S1361" s="6"/>
      <c r="T1361" s="6"/>
      <c r="U1361" s="6"/>
      <c r="V1361" s="6"/>
      <c r="W1361" s="6"/>
      <c r="X1361" s="6"/>
      <c r="Y1361" s="6"/>
      <c r="Z1361" s="6"/>
    </row>
    <row r="1362" spans="1:26" ht="15.75" customHeight="1" x14ac:dyDescent="0.3">
      <c r="A1362" s="10" t="s">
        <v>1958</v>
      </c>
      <c r="B1362" s="10">
        <v>1964</v>
      </c>
      <c r="C1362" s="10" t="s">
        <v>4713</v>
      </c>
      <c r="D1362" s="10">
        <v>13</v>
      </c>
      <c r="E1362" s="10">
        <v>0</v>
      </c>
      <c r="F1362" s="24">
        <v>11365.95</v>
      </c>
      <c r="G1362" s="10" t="s">
        <v>4696</v>
      </c>
      <c r="H1362" s="10" t="s">
        <v>4695</v>
      </c>
      <c r="I1362" s="10" t="s">
        <v>4716</v>
      </c>
      <c r="J1362" s="17">
        <f t="shared" si="10"/>
        <v>23724</v>
      </c>
      <c r="K1362" s="10">
        <f t="shared" ca="1" si="11"/>
        <v>60</v>
      </c>
      <c r="L1362" s="6"/>
      <c r="M1362" s="6"/>
      <c r="N1362" s="6"/>
      <c r="O1362" s="6"/>
      <c r="P1362" s="6"/>
      <c r="Q1362" s="6"/>
      <c r="R1362" s="6"/>
      <c r="S1362" s="6"/>
      <c r="T1362" s="6"/>
      <c r="U1362" s="6"/>
      <c r="V1362" s="6"/>
      <c r="W1362" s="6"/>
      <c r="X1362" s="6"/>
      <c r="Y1362" s="6"/>
      <c r="Z1362" s="6"/>
    </row>
    <row r="1363" spans="1:26" ht="15.75" customHeight="1" x14ac:dyDescent="0.3">
      <c r="A1363" s="10" t="s">
        <v>1956</v>
      </c>
      <c r="B1363" s="10">
        <v>1979</v>
      </c>
      <c r="C1363" s="10" t="s">
        <v>4710</v>
      </c>
      <c r="D1363" s="10">
        <v>7</v>
      </c>
      <c r="E1363" s="10">
        <v>2</v>
      </c>
      <c r="F1363" s="24">
        <v>11369.39</v>
      </c>
      <c r="G1363" s="10" t="s">
        <v>4696</v>
      </c>
      <c r="H1363" s="10" t="s">
        <v>4694</v>
      </c>
      <c r="I1363" s="10" t="s">
        <v>4729</v>
      </c>
      <c r="J1363" s="17">
        <f t="shared" si="10"/>
        <v>29013</v>
      </c>
      <c r="K1363" s="10">
        <f t="shared" ca="1" si="11"/>
        <v>46</v>
      </c>
      <c r="L1363" s="6"/>
      <c r="M1363" s="6"/>
      <c r="N1363" s="6"/>
      <c r="O1363" s="6"/>
      <c r="P1363" s="6"/>
      <c r="Q1363" s="6"/>
      <c r="R1363" s="6"/>
      <c r="S1363" s="6"/>
      <c r="T1363" s="6"/>
      <c r="U1363" s="6"/>
      <c r="V1363" s="6"/>
      <c r="W1363" s="6"/>
      <c r="X1363" s="6"/>
      <c r="Y1363" s="6"/>
      <c r="Z1363" s="6"/>
    </row>
    <row r="1364" spans="1:26" ht="15.75" customHeight="1" x14ac:dyDescent="0.3">
      <c r="A1364" s="10" t="s">
        <v>1954</v>
      </c>
      <c r="B1364" s="10">
        <v>1972</v>
      </c>
      <c r="C1364" s="10" t="s">
        <v>4713</v>
      </c>
      <c r="D1364" s="10">
        <v>6</v>
      </c>
      <c r="E1364" s="10">
        <v>0</v>
      </c>
      <c r="F1364" s="24">
        <v>11378.57</v>
      </c>
      <c r="G1364" s="10" t="s">
        <v>4696</v>
      </c>
      <c r="H1364" s="10" t="s">
        <v>4695</v>
      </c>
      <c r="I1364" s="10" t="s">
        <v>4722</v>
      </c>
      <c r="J1364" s="17">
        <f t="shared" si="10"/>
        <v>26639</v>
      </c>
      <c r="K1364" s="10">
        <f t="shared" ca="1" si="11"/>
        <v>52</v>
      </c>
      <c r="L1364" s="6"/>
      <c r="M1364" s="6"/>
      <c r="N1364" s="6"/>
      <c r="O1364" s="6"/>
      <c r="P1364" s="6"/>
      <c r="Q1364" s="6"/>
      <c r="R1364" s="6"/>
      <c r="S1364" s="6"/>
      <c r="T1364" s="6"/>
      <c r="U1364" s="6"/>
      <c r="V1364" s="6"/>
      <c r="W1364" s="6"/>
      <c r="X1364" s="6"/>
      <c r="Y1364" s="6"/>
      <c r="Z1364" s="6"/>
    </row>
    <row r="1365" spans="1:26" ht="15.75" customHeight="1" x14ac:dyDescent="0.3">
      <c r="A1365" s="10" t="s">
        <v>1952</v>
      </c>
      <c r="B1365" s="10">
        <v>1964</v>
      </c>
      <c r="C1365" s="10" t="s">
        <v>4710</v>
      </c>
      <c r="D1365" s="10">
        <v>13</v>
      </c>
      <c r="E1365" s="10">
        <v>0</v>
      </c>
      <c r="F1365" s="24">
        <v>11381.33</v>
      </c>
      <c r="G1365" s="10" t="s">
        <v>4696</v>
      </c>
      <c r="H1365" s="10" t="s">
        <v>4695</v>
      </c>
      <c r="I1365" s="10" t="s">
        <v>4708</v>
      </c>
      <c r="J1365" s="17">
        <f t="shared" si="10"/>
        <v>23541</v>
      </c>
      <c r="K1365" s="10">
        <f t="shared" ca="1" si="11"/>
        <v>61</v>
      </c>
      <c r="L1365" s="6"/>
      <c r="M1365" s="6"/>
      <c r="N1365" s="6"/>
      <c r="O1365" s="6"/>
      <c r="P1365" s="6"/>
      <c r="Q1365" s="6"/>
      <c r="R1365" s="6"/>
      <c r="S1365" s="6"/>
      <c r="T1365" s="6"/>
      <c r="U1365" s="6"/>
      <c r="V1365" s="6"/>
      <c r="W1365" s="6"/>
      <c r="X1365" s="6"/>
      <c r="Y1365" s="6"/>
      <c r="Z1365" s="6"/>
    </row>
    <row r="1366" spans="1:26" ht="15.75" customHeight="1" x14ac:dyDescent="0.3">
      <c r="A1366" s="10" t="s">
        <v>1950</v>
      </c>
      <c r="B1366" s="10">
        <v>1997</v>
      </c>
      <c r="C1366" s="10" t="s">
        <v>4707</v>
      </c>
      <c r="D1366" s="10">
        <v>28</v>
      </c>
      <c r="E1366" s="10">
        <v>0</v>
      </c>
      <c r="F1366" s="24">
        <v>11388.27</v>
      </c>
      <c r="G1366" s="10" t="s">
        <v>4696</v>
      </c>
      <c r="H1366" s="10" t="s">
        <v>4695</v>
      </c>
      <c r="I1366" s="10" t="s">
        <v>4729</v>
      </c>
      <c r="J1366" s="17">
        <f t="shared" si="10"/>
        <v>35639</v>
      </c>
      <c r="K1366" s="10">
        <f t="shared" ca="1" si="11"/>
        <v>28</v>
      </c>
      <c r="L1366" s="6"/>
      <c r="M1366" s="6"/>
      <c r="N1366" s="6"/>
      <c r="O1366" s="6"/>
      <c r="P1366" s="6"/>
      <c r="Q1366" s="6"/>
      <c r="R1366" s="6"/>
      <c r="S1366" s="6"/>
      <c r="T1366" s="6"/>
      <c r="U1366" s="6"/>
      <c r="V1366" s="6"/>
      <c r="W1366" s="6"/>
      <c r="X1366" s="6"/>
      <c r="Y1366" s="6"/>
      <c r="Z1366" s="6"/>
    </row>
    <row r="1367" spans="1:26" ht="15.75" customHeight="1" x14ac:dyDescent="0.3">
      <c r="A1367" s="10" t="s">
        <v>1948</v>
      </c>
      <c r="B1367" s="10">
        <v>1967</v>
      </c>
      <c r="C1367" s="10" t="s">
        <v>4713</v>
      </c>
      <c r="D1367" s="10">
        <v>19</v>
      </c>
      <c r="E1367" s="10">
        <v>1</v>
      </c>
      <c r="F1367" s="24">
        <v>11394.07</v>
      </c>
      <c r="G1367" s="10" t="s">
        <v>4696</v>
      </c>
      <c r="H1367" s="10" t="s">
        <v>4694</v>
      </c>
      <c r="I1367" s="10" t="s">
        <v>4721</v>
      </c>
      <c r="J1367" s="17">
        <f t="shared" si="10"/>
        <v>24825</v>
      </c>
      <c r="K1367" s="10">
        <f t="shared" ca="1" si="11"/>
        <v>57</v>
      </c>
      <c r="L1367" s="6"/>
      <c r="M1367" s="6"/>
      <c r="N1367" s="6"/>
      <c r="O1367" s="6"/>
      <c r="P1367" s="6"/>
      <c r="Q1367" s="6"/>
      <c r="R1367" s="6"/>
      <c r="S1367" s="6"/>
      <c r="T1367" s="6"/>
      <c r="U1367" s="6"/>
      <c r="V1367" s="6"/>
      <c r="W1367" s="6"/>
      <c r="X1367" s="6"/>
      <c r="Y1367" s="6"/>
      <c r="Z1367" s="6"/>
    </row>
    <row r="1368" spans="1:26" ht="15.75" customHeight="1" x14ac:dyDescent="0.3">
      <c r="A1368" s="10" t="s">
        <v>1946</v>
      </c>
      <c r="B1368" s="10">
        <v>1970</v>
      </c>
      <c r="C1368" s="10" t="s">
        <v>4715</v>
      </c>
      <c r="D1368" s="10">
        <v>2</v>
      </c>
      <c r="E1368" s="10">
        <v>2</v>
      </c>
      <c r="F1368" s="24">
        <v>11396.9</v>
      </c>
      <c r="G1368" s="10" t="s">
        <v>4696</v>
      </c>
      <c r="H1368" s="10" t="s">
        <v>4696</v>
      </c>
      <c r="I1368" s="10" t="s">
        <v>4723</v>
      </c>
      <c r="J1368" s="17">
        <f t="shared" si="10"/>
        <v>25843</v>
      </c>
      <c r="K1368" s="10">
        <f t="shared" ca="1" si="11"/>
        <v>55</v>
      </c>
      <c r="L1368" s="6"/>
      <c r="M1368" s="6"/>
      <c r="N1368" s="6"/>
      <c r="O1368" s="6"/>
      <c r="P1368" s="6"/>
      <c r="Q1368" s="6"/>
      <c r="R1368" s="6"/>
      <c r="S1368" s="6"/>
      <c r="T1368" s="6"/>
      <c r="U1368" s="6"/>
      <c r="V1368" s="6"/>
      <c r="W1368" s="6"/>
      <c r="X1368" s="6"/>
      <c r="Y1368" s="6"/>
      <c r="Z1368" s="6"/>
    </row>
    <row r="1369" spans="1:26" ht="15.75" customHeight="1" x14ac:dyDescent="0.3">
      <c r="A1369" s="10" t="s">
        <v>1944</v>
      </c>
      <c r="B1369" s="10">
        <v>1970</v>
      </c>
      <c r="C1369" s="10" t="s">
        <v>4715</v>
      </c>
      <c r="D1369" s="10">
        <v>7</v>
      </c>
      <c r="E1369" s="10">
        <v>3</v>
      </c>
      <c r="F1369" s="24">
        <v>11411.69</v>
      </c>
      <c r="G1369" s="10" t="s">
        <v>4696</v>
      </c>
      <c r="H1369" s="10" t="s">
        <v>4695</v>
      </c>
      <c r="I1369" s="10" t="s">
        <v>4716</v>
      </c>
      <c r="J1369" s="17">
        <f t="shared" si="10"/>
        <v>25848</v>
      </c>
      <c r="K1369" s="10">
        <f t="shared" ca="1" si="11"/>
        <v>55</v>
      </c>
      <c r="L1369" s="6"/>
      <c r="M1369" s="6"/>
      <c r="N1369" s="6"/>
      <c r="O1369" s="6"/>
      <c r="P1369" s="6"/>
      <c r="Q1369" s="6"/>
      <c r="R1369" s="6"/>
      <c r="S1369" s="6"/>
      <c r="T1369" s="6"/>
      <c r="U1369" s="6"/>
      <c r="V1369" s="6"/>
      <c r="W1369" s="6"/>
      <c r="X1369" s="6"/>
      <c r="Y1369" s="6"/>
      <c r="Z1369" s="6"/>
    </row>
    <row r="1370" spans="1:26" ht="15.75" customHeight="1" x14ac:dyDescent="0.3">
      <c r="A1370" s="10" t="s">
        <v>1942</v>
      </c>
      <c r="B1370" s="10">
        <v>1983</v>
      </c>
      <c r="C1370" s="10" t="s">
        <v>4715</v>
      </c>
      <c r="D1370" s="10">
        <v>23</v>
      </c>
      <c r="E1370" s="10">
        <v>3</v>
      </c>
      <c r="F1370" s="24">
        <v>11412.02</v>
      </c>
      <c r="G1370" s="10" t="s">
        <v>4696</v>
      </c>
      <c r="H1370" s="10" t="s">
        <v>4694</v>
      </c>
      <c r="I1370" s="10" t="s">
        <v>4726</v>
      </c>
      <c r="J1370" s="17">
        <f t="shared" si="10"/>
        <v>30612</v>
      </c>
      <c r="K1370" s="10">
        <f t="shared" ca="1" si="11"/>
        <v>42</v>
      </c>
      <c r="L1370" s="6"/>
      <c r="M1370" s="6"/>
      <c r="N1370" s="6"/>
      <c r="O1370" s="6"/>
      <c r="P1370" s="6"/>
      <c r="Q1370" s="6"/>
      <c r="R1370" s="6"/>
      <c r="S1370" s="6"/>
      <c r="T1370" s="6"/>
      <c r="U1370" s="6"/>
      <c r="V1370" s="6"/>
      <c r="W1370" s="6"/>
      <c r="X1370" s="6"/>
      <c r="Y1370" s="6"/>
      <c r="Z1370" s="6"/>
    </row>
    <row r="1371" spans="1:26" ht="15.75" customHeight="1" x14ac:dyDescent="0.3">
      <c r="A1371" s="10" t="s">
        <v>1940</v>
      </c>
      <c r="B1371" s="10">
        <v>1985</v>
      </c>
      <c r="C1371" s="10" t="s">
        <v>4710</v>
      </c>
      <c r="D1371" s="10">
        <v>9</v>
      </c>
      <c r="E1371" s="10">
        <v>3</v>
      </c>
      <c r="F1371" s="24">
        <v>11419.49</v>
      </c>
      <c r="G1371" s="10" t="s">
        <v>4696</v>
      </c>
      <c r="H1371" s="10" t="s">
        <v>4694</v>
      </c>
      <c r="I1371" s="10" t="s">
        <v>4712</v>
      </c>
      <c r="J1371" s="17">
        <f t="shared" si="10"/>
        <v>31207</v>
      </c>
      <c r="K1371" s="10">
        <f t="shared" ca="1" si="11"/>
        <v>40</v>
      </c>
      <c r="L1371" s="6"/>
      <c r="M1371" s="6"/>
      <c r="N1371" s="6"/>
      <c r="O1371" s="6"/>
      <c r="P1371" s="6"/>
      <c r="Q1371" s="6"/>
      <c r="R1371" s="6"/>
      <c r="S1371" s="6"/>
      <c r="T1371" s="6"/>
      <c r="U1371" s="6"/>
      <c r="V1371" s="6"/>
      <c r="W1371" s="6"/>
      <c r="X1371" s="6"/>
      <c r="Y1371" s="6"/>
      <c r="Z1371" s="6"/>
    </row>
    <row r="1372" spans="1:26" ht="15.75" customHeight="1" x14ac:dyDescent="0.3">
      <c r="A1372" s="10" t="s">
        <v>1938</v>
      </c>
      <c r="B1372" s="10">
        <v>1980</v>
      </c>
      <c r="C1372" s="10" t="s">
        <v>4707</v>
      </c>
      <c r="D1372" s="10">
        <v>17</v>
      </c>
      <c r="E1372" s="10">
        <v>2</v>
      </c>
      <c r="F1372" s="24">
        <v>11435.74</v>
      </c>
      <c r="G1372" s="10" t="s">
        <v>4696</v>
      </c>
      <c r="H1372" s="10" t="s">
        <v>4696</v>
      </c>
      <c r="I1372" s="10" t="s">
        <v>4726</v>
      </c>
      <c r="J1372" s="17">
        <f t="shared" si="10"/>
        <v>29419</v>
      </c>
      <c r="K1372" s="10">
        <f t="shared" ca="1" si="11"/>
        <v>45</v>
      </c>
      <c r="L1372" s="6"/>
      <c r="M1372" s="6"/>
      <c r="N1372" s="6"/>
      <c r="O1372" s="6"/>
      <c r="P1372" s="6"/>
      <c r="Q1372" s="6"/>
      <c r="R1372" s="6"/>
      <c r="S1372" s="6"/>
      <c r="T1372" s="6"/>
      <c r="U1372" s="6"/>
      <c r="V1372" s="6"/>
      <c r="W1372" s="6"/>
      <c r="X1372" s="6"/>
      <c r="Y1372" s="6"/>
      <c r="Z1372" s="6"/>
    </row>
    <row r="1373" spans="1:26" ht="15.75" customHeight="1" x14ac:dyDescent="0.3">
      <c r="A1373" s="10" t="s">
        <v>1936</v>
      </c>
      <c r="B1373" s="10">
        <v>1971</v>
      </c>
      <c r="C1373" s="10" t="s">
        <v>4711</v>
      </c>
      <c r="D1373" s="10">
        <v>12</v>
      </c>
      <c r="E1373" s="10">
        <v>3</v>
      </c>
      <c r="F1373" s="24">
        <v>11436.74</v>
      </c>
      <c r="G1373" s="10" t="s">
        <v>4696</v>
      </c>
      <c r="H1373" s="10" t="s">
        <v>4696</v>
      </c>
      <c r="I1373" s="10" t="s">
        <v>4712</v>
      </c>
      <c r="J1373" s="17">
        <f t="shared" si="10"/>
        <v>26188</v>
      </c>
      <c r="K1373" s="10">
        <f t="shared" ca="1" si="11"/>
        <v>54</v>
      </c>
      <c r="L1373" s="6"/>
      <c r="M1373" s="6"/>
      <c r="N1373" s="6"/>
      <c r="O1373" s="6"/>
      <c r="P1373" s="6"/>
      <c r="Q1373" s="6"/>
      <c r="R1373" s="6"/>
      <c r="S1373" s="6"/>
      <c r="T1373" s="6"/>
      <c r="U1373" s="6"/>
      <c r="V1373" s="6"/>
      <c r="W1373" s="6"/>
      <c r="X1373" s="6"/>
      <c r="Y1373" s="6"/>
      <c r="Z1373" s="6"/>
    </row>
    <row r="1374" spans="1:26" ht="15.75" customHeight="1" x14ac:dyDescent="0.3">
      <c r="A1374" s="10" t="s">
        <v>1934</v>
      </c>
      <c r="B1374" s="10">
        <v>1966</v>
      </c>
      <c r="C1374" s="10" t="s">
        <v>4710</v>
      </c>
      <c r="D1374" s="10">
        <v>14</v>
      </c>
      <c r="E1374" s="10">
        <v>0</v>
      </c>
      <c r="F1374" s="24">
        <v>11454.02</v>
      </c>
      <c r="G1374" s="10" t="s">
        <v>4696</v>
      </c>
      <c r="H1374" s="10" t="s">
        <v>4694</v>
      </c>
      <c r="I1374" s="10" t="s">
        <v>4712</v>
      </c>
      <c r="J1374" s="17">
        <f t="shared" si="10"/>
        <v>24272</v>
      </c>
      <c r="K1374" s="10">
        <f t="shared" ca="1" si="11"/>
        <v>59</v>
      </c>
      <c r="L1374" s="6"/>
      <c r="M1374" s="6"/>
      <c r="N1374" s="6"/>
      <c r="O1374" s="6"/>
      <c r="P1374" s="6"/>
      <c r="Q1374" s="6"/>
      <c r="R1374" s="6"/>
      <c r="S1374" s="6"/>
      <c r="T1374" s="6"/>
      <c r="U1374" s="6"/>
      <c r="V1374" s="6"/>
      <c r="W1374" s="6"/>
      <c r="X1374" s="6"/>
      <c r="Y1374" s="6"/>
      <c r="Z1374" s="6"/>
    </row>
    <row r="1375" spans="1:26" ht="15.75" customHeight="1" x14ac:dyDescent="0.3">
      <c r="A1375" s="10" t="s">
        <v>1932</v>
      </c>
      <c r="B1375" s="10">
        <v>1965</v>
      </c>
      <c r="C1375" s="10" t="s">
        <v>4710</v>
      </c>
      <c r="D1375" s="10">
        <v>23</v>
      </c>
      <c r="E1375" s="10">
        <v>0</v>
      </c>
      <c r="F1375" s="24">
        <v>11455.28</v>
      </c>
      <c r="G1375" s="10" t="s">
        <v>4696</v>
      </c>
      <c r="H1375" s="10" t="s">
        <v>4695</v>
      </c>
      <c r="I1375" s="10" t="s">
        <v>4716</v>
      </c>
      <c r="J1375" s="17">
        <f t="shared" si="10"/>
        <v>23916</v>
      </c>
      <c r="K1375" s="10">
        <f t="shared" ca="1" si="11"/>
        <v>60</v>
      </c>
      <c r="L1375" s="6"/>
      <c r="M1375" s="6"/>
      <c r="N1375" s="6"/>
      <c r="O1375" s="6"/>
      <c r="P1375" s="6"/>
      <c r="Q1375" s="6"/>
      <c r="R1375" s="6"/>
      <c r="S1375" s="6"/>
      <c r="T1375" s="6"/>
      <c r="U1375" s="6"/>
      <c r="V1375" s="6"/>
      <c r="W1375" s="6"/>
      <c r="X1375" s="6"/>
      <c r="Y1375" s="6"/>
      <c r="Z1375" s="6"/>
    </row>
    <row r="1376" spans="1:26" ht="15.75" customHeight="1" x14ac:dyDescent="0.3">
      <c r="A1376" s="10" t="s">
        <v>1930</v>
      </c>
      <c r="B1376" s="10">
        <v>1966</v>
      </c>
      <c r="C1376" s="10" t="s">
        <v>4711</v>
      </c>
      <c r="D1376" s="10">
        <v>7</v>
      </c>
      <c r="E1376" s="10">
        <v>0</v>
      </c>
      <c r="F1376" s="24">
        <v>11478.14</v>
      </c>
      <c r="G1376" s="10" t="s">
        <v>4696</v>
      </c>
      <c r="H1376" s="10" t="s">
        <v>4695</v>
      </c>
      <c r="I1376" s="10" t="s">
        <v>4722</v>
      </c>
      <c r="J1376" s="17">
        <f t="shared" si="10"/>
        <v>24357</v>
      </c>
      <c r="K1376" s="10">
        <f t="shared" ca="1" si="11"/>
        <v>59</v>
      </c>
      <c r="L1376" s="6"/>
      <c r="M1376" s="6"/>
      <c r="N1376" s="6"/>
      <c r="O1376" s="6"/>
      <c r="P1376" s="6"/>
      <c r="Q1376" s="6"/>
      <c r="R1376" s="6"/>
      <c r="S1376" s="6"/>
      <c r="T1376" s="6"/>
      <c r="U1376" s="6"/>
      <c r="V1376" s="6"/>
      <c r="W1376" s="6"/>
      <c r="X1376" s="6"/>
      <c r="Y1376" s="6"/>
      <c r="Z1376" s="6"/>
    </row>
    <row r="1377" spans="1:26" ht="15.75" customHeight="1" x14ac:dyDescent="0.3">
      <c r="A1377" s="10" t="s">
        <v>1928</v>
      </c>
      <c r="B1377" s="10">
        <v>2004</v>
      </c>
      <c r="C1377" s="10" t="s">
        <v>4711</v>
      </c>
      <c r="D1377" s="10">
        <v>10</v>
      </c>
      <c r="E1377" s="10">
        <v>0</v>
      </c>
      <c r="F1377" s="24">
        <v>11482.63</v>
      </c>
      <c r="G1377" s="10" t="s">
        <v>4696</v>
      </c>
      <c r="H1377" s="10" t="s">
        <v>4695</v>
      </c>
      <c r="I1377" s="10" t="s">
        <v>4708</v>
      </c>
      <c r="J1377" s="17">
        <f t="shared" si="10"/>
        <v>38240</v>
      </c>
      <c r="K1377" s="10">
        <f t="shared" ca="1" si="11"/>
        <v>21</v>
      </c>
      <c r="L1377" s="6"/>
      <c r="M1377" s="6"/>
      <c r="N1377" s="6"/>
      <c r="O1377" s="6"/>
      <c r="P1377" s="6"/>
      <c r="Q1377" s="6"/>
      <c r="R1377" s="6"/>
      <c r="S1377" s="6"/>
      <c r="T1377" s="6"/>
      <c r="U1377" s="6"/>
      <c r="V1377" s="6"/>
      <c r="W1377" s="6"/>
      <c r="X1377" s="6"/>
      <c r="Y1377" s="6"/>
      <c r="Z1377" s="6"/>
    </row>
    <row r="1378" spans="1:26" ht="15.75" customHeight="1" x14ac:dyDescent="0.3">
      <c r="A1378" s="10" t="s">
        <v>1926</v>
      </c>
      <c r="B1378" s="10">
        <v>1970</v>
      </c>
      <c r="C1378" s="10" t="s">
        <v>4715</v>
      </c>
      <c r="D1378" s="10">
        <v>13</v>
      </c>
      <c r="E1378" s="10">
        <v>3</v>
      </c>
      <c r="F1378" s="24">
        <v>11488.32</v>
      </c>
      <c r="G1378" s="10" t="s">
        <v>4696</v>
      </c>
      <c r="H1378" s="10" t="s">
        <v>4694</v>
      </c>
      <c r="I1378" s="10" t="s">
        <v>4725</v>
      </c>
      <c r="J1378" s="17">
        <f t="shared" si="10"/>
        <v>25854</v>
      </c>
      <c r="K1378" s="10">
        <f t="shared" ca="1" si="11"/>
        <v>55</v>
      </c>
      <c r="L1378" s="6"/>
      <c r="M1378" s="6"/>
      <c r="N1378" s="6"/>
      <c r="O1378" s="6"/>
      <c r="P1378" s="6"/>
      <c r="Q1378" s="6"/>
      <c r="R1378" s="6"/>
      <c r="S1378" s="6"/>
      <c r="T1378" s="6"/>
      <c r="U1378" s="6"/>
      <c r="V1378" s="6"/>
      <c r="W1378" s="6"/>
      <c r="X1378" s="6"/>
      <c r="Y1378" s="6"/>
      <c r="Z1378" s="6"/>
    </row>
    <row r="1379" spans="1:26" ht="15.75" customHeight="1" x14ac:dyDescent="0.3">
      <c r="A1379" s="10" t="s">
        <v>1924</v>
      </c>
      <c r="B1379" s="10">
        <v>1983</v>
      </c>
      <c r="C1379" s="10" t="s">
        <v>4710</v>
      </c>
      <c r="D1379" s="10">
        <v>7</v>
      </c>
      <c r="E1379" s="10">
        <v>3</v>
      </c>
      <c r="F1379" s="24">
        <v>11492.46</v>
      </c>
      <c r="G1379" s="10" t="s">
        <v>4696</v>
      </c>
      <c r="H1379" s="10" t="s">
        <v>4696</v>
      </c>
      <c r="I1379" s="10" t="s">
        <v>4729</v>
      </c>
      <c r="J1379" s="17">
        <f t="shared" si="10"/>
        <v>30474</v>
      </c>
      <c r="K1379" s="10">
        <f t="shared" ca="1" si="11"/>
        <v>42</v>
      </c>
      <c r="L1379" s="6"/>
      <c r="M1379" s="6"/>
      <c r="N1379" s="6"/>
      <c r="O1379" s="6"/>
      <c r="P1379" s="6"/>
      <c r="Q1379" s="6"/>
      <c r="R1379" s="6"/>
      <c r="S1379" s="6"/>
      <c r="T1379" s="6"/>
      <c r="U1379" s="6"/>
      <c r="V1379" s="6"/>
      <c r="W1379" s="6"/>
      <c r="X1379" s="6"/>
      <c r="Y1379" s="6"/>
      <c r="Z1379" s="6"/>
    </row>
    <row r="1380" spans="1:26" ht="15.75" customHeight="1" x14ac:dyDescent="0.3">
      <c r="A1380" s="10" t="s">
        <v>1922</v>
      </c>
      <c r="B1380" s="10">
        <v>1969</v>
      </c>
      <c r="C1380" s="10" t="s">
        <v>4714</v>
      </c>
      <c r="D1380" s="10">
        <v>11</v>
      </c>
      <c r="E1380" s="10">
        <v>0</v>
      </c>
      <c r="F1380" s="24">
        <v>11497.69</v>
      </c>
      <c r="G1380" s="10" t="s">
        <v>4696</v>
      </c>
      <c r="H1380" s="10" t="s">
        <v>4694</v>
      </c>
      <c r="I1380" s="10" t="s">
        <v>4712</v>
      </c>
      <c r="J1380" s="17">
        <f t="shared" si="10"/>
        <v>25426</v>
      </c>
      <c r="K1380" s="10">
        <f t="shared" ca="1" si="11"/>
        <v>56</v>
      </c>
      <c r="L1380" s="6"/>
      <c r="M1380" s="6"/>
      <c r="N1380" s="6"/>
      <c r="O1380" s="6"/>
      <c r="P1380" s="6"/>
      <c r="Q1380" s="6"/>
      <c r="R1380" s="6"/>
      <c r="S1380" s="6"/>
      <c r="T1380" s="6"/>
      <c r="U1380" s="6"/>
      <c r="V1380" s="6"/>
      <c r="W1380" s="6"/>
      <c r="X1380" s="6"/>
      <c r="Y1380" s="6"/>
      <c r="Z1380" s="6"/>
    </row>
    <row r="1381" spans="1:26" ht="15.75" customHeight="1" x14ac:dyDescent="0.3">
      <c r="A1381" s="10" t="s">
        <v>1920</v>
      </c>
      <c r="B1381" s="10">
        <v>1989</v>
      </c>
      <c r="C1381" s="10" t="s">
        <v>4715</v>
      </c>
      <c r="D1381" s="10">
        <v>6</v>
      </c>
      <c r="E1381" s="10">
        <v>3</v>
      </c>
      <c r="F1381" s="24">
        <v>11511.61</v>
      </c>
      <c r="G1381" s="10" t="s">
        <v>4696</v>
      </c>
      <c r="H1381" s="10" t="s">
        <v>4696</v>
      </c>
      <c r="I1381" s="10" t="s">
        <v>4729</v>
      </c>
      <c r="J1381" s="17">
        <f t="shared" si="10"/>
        <v>32787</v>
      </c>
      <c r="K1381" s="10">
        <f t="shared" ca="1" si="11"/>
        <v>36</v>
      </c>
      <c r="L1381" s="6"/>
      <c r="M1381" s="6"/>
      <c r="N1381" s="6"/>
      <c r="O1381" s="6"/>
      <c r="P1381" s="6"/>
      <c r="Q1381" s="6"/>
      <c r="R1381" s="6"/>
      <c r="S1381" s="6"/>
      <c r="T1381" s="6"/>
      <c r="U1381" s="6"/>
      <c r="V1381" s="6"/>
      <c r="W1381" s="6"/>
      <c r="X1381" s="6"/>
      <c r="Y1381" s="6"/>
      <c r="Z1381" s="6"/>
    </row>
    <row r="1382" spans="1:26" ht="15.75" customHeight="1" x14ac:dyDescent="0.3">
      <c r="A1382" s="10" t="s">
        <v>1918</v>
      </c>
      <c r="B1382" s="10">
        <v>1968</v>
      </c>
      <c r="C1382" s="10" t="s">
        <v>4710</v>
      </c>
      <c r="D1382" s="10">
        <v>24</v>
      </c>
      <c r="E1382" s="10">
        <v>1</v>
      </c>
      <c r="F1382" s="24">
        <v>11512.41</v>
      </c>
      <c r="G1382" s="10" t="s">
        <v>4696</v>
      </c>
      <c r="H1382" s="10" t="s">
        <v>4694</v>
      </c>
      <c r="I1382" s="10" t="s">
        <v>4723</v>
      </c>
      <c r="J1382" s="17">
        <f t="shared" si="10"/>
        <v>25013</v>
      </c>
      <c r="K1382" s="10">
        <f t="shared" ca="1" si="11"/>
        <v>57</v>
      </c>
      <c r="L1382" s="6"/>
      <c r="M1382" s="6"/>
      <c r="N1382" s="6"/>
      <c r="O1382" s="6"/>
      <c r="P1382" s="6"/>
      <c r="Q1382" s="6"/>
      <c r="R1382" s="6"/>
      <c r="S1382" s="6"/>
      <c r="T1382" s="6"/>
      <c r="U1382" s="6"/>
      <c r="V1382" s="6"/>
      <c r="W1382" s="6"/>
      <c r="X1382" s="6"/>
      <c r="Y1382" s="6"/>
      <c r="Z1382" s="6"/>
    </row>
    <row r="1383" spans="1:26" ht="15.75" customHeight="1" x14ac:dyDescent="0.3">
      <c r="A1383" s="10" t="s">
        <v>1916</v>
      </c>
      <c r="B1383" s="10">
        <v>1971</v>
      </c>
      <c r="C1383" s="10" t="s">
        <v>4713</v>
      </c>
      <c r="D1383" s="10">
        <v>19</v>
      </c>
      <c r="E1383" s="10">
        <v>4</v>
      </c>
      <c r="F1383" s="24">
        <v>11520.1</v>
      </c>
      <c r="G1383" s="10" t="s">
        <v>4696</v>
      </c>
      <c r="H1383" s="10" t="s">
        <v>4694</v>
      </c>
      <c r="I1383" s="10" t="s">
        <v>4712</v>
      </c>
      <c r="J1383" s="17">
        <f t="shared" si="10"/>
        <v>26286</v>
      </c>
      <c r="K1383" s="10">
        <f t="shared" ca="1" si="11"/>
        <v>53</v>
      </c>
      <c r="L1383" s="6"/>
      <c r="M1383" s="6"/>
      <c r="N1383" s="6"/>
      <c r="O1383" s="6"/>
      <c r="P1383" s="6"/>
      <c r="Q1383" s="6"/>
      <c r="R1383" s="6"/>
      <c r="S1383" s="6"/>
      <c r="T1383" s="6"/>
      <c r="U1383" s="6"/>
      <c r="V1383" s="6"/>
      <c r="W1383" s="6"/>
      <c r="X1383" s="6"/>
      <c r="Y1383" s="6"/>
      <c r="Z1383" s="6"/>
    </row>
    <row r="1384" spans="1:26" ht="15.75" customHeight="1" x14ac:dyDescent="0.3">
      <c r="A1384" s="10" t="s">
        <v>1914</v>
      </c>
      <c r="B1384" s="10">
        <v>1988</v>
      </c>
      <c r="C1384" s="10" t="s">
        <v>4710</v>
      </c>
      <c r="D1384" s="10">
        <v>12</v>
      </c>
      <c r="E1384" s="10">
        <v>3</v>
      </c>
      <c r="F1384" s="24">
        <v>11524.25</v>
      </c>
      <c r="G1384" s="10" t="s">
        <v>4696</v>
      </c>
      <c r="H1384" s="10" t="s">
        <v>4694</v>
      </c>
      <c r="I1384" s="10" t="s">
        <v>4729</v>
      </c>
      <c r="J1384" s="17">
        <f t="shared" si="10"/>
        <v>32306</v>
      </c>
      <c r="K1384" s="10">
        <f t="shared" ca="1" si="11"/>
        <v>37</v>
      </c>
      <c r="L1384" s="6"/>
      <c r="M1384" s="6"/>
      <c r="N1384" s="6"/>
      <c r="O1384" s="6"/>
      <c r="P1384" s="6"/>
      <c r="Q1384" s="6"/>
      <c r="R1384" s="6"/>
      <c r="S1384" s="6"/>
      <c r="T1384" s="6"/>
      <c r="U1384" s="6"/>
      <c r="V1384" s="6"/>
      <c r="W1384" s="6"/>
      <c r="X1384" s="6"/>
      <c r="Y1384" s="6"/>
      <c r="Z1384" s="6"/>
    </row>
    <row r="1385" spans="1:26" ht="15.75" customHeight="1" x14ac:dyDescent="0.3">
      <c r="A1385" s="10" t="s">
        <v>1912</v>
      </c>
      <c r="B1385" s="10">
        <v>1970</v>
      </c>
      <c r="C1385" s="10" t="s">
        <v>4707</v>
      </c>
      <c r="D1385" s="10">
        <v>23</v>
      </c>
      <c r="E1385" s="10">
        <v>0</v>
      </c>
      <c r="F1385" s="24">
        <v>11530.12</v>
      </c>
      <c r="G1385" s="10" t="s">
        <v>4696</v>
      </c>
      <c r="H1385" s="10" t="s">
        <v>4694</v>
      </c>
      <c r="I1385" s="10" t="s">
        <v>4712</v>
      </c>
      <c r="J1385" s="17">
        <f t="shared" si="10"/>
        <v>25772</v>
      </c>
      <c r="K1385" s="10">
        <f t="shared" ca="1" si="11"/>
        <v>55</v>
      </c>
      <c r="L1385" s="6"/>
      <c r="M1385" s="6"/>
      <c r="N1385" s="6"/>
      <c r="O1385" s="6"/>
      <c r="P1385" s="6"/>
      <c r="Q1385" s="6"/>
      <c r="R1385" s="6"/>
      <c r="S1385" s="6"/>
      <c r="T1385" s="6"/>
      <c r="U1385" s="6"/>
      <c r="V1385" s="6"/>
      <c r="W1385" s="6"/>
      <c r="X1385" s="6"/>
      <c r="Y1385" s="6"/>
      <c r="Z1385" s="6"/>
    </row>
    <row r="1386" spans="1:26" ht="15.75" customHeight="1" x14ac:dyDescent="0.3">
      <c r="A1386" s="10" t="s">
        <v>1910</v>
      </c>
      <c r="B1386" s="10">
        <v>1965</v>
      </c>
      <c r="C1386" s="10" t="s">
        <v>4715</v>
      </c>
      <c r="D1386" s="10">
        <v>3</v>
      </c>
      <c r="E1386" s="10">
        <v>0</v>
      </c>
      <c r="F1386" s="24">
        <v>11534.87</v>
      </c>
      <c r="G1386" s="10" t="s">
        <v>4696</v>
      </c>
      <c r="H1386" s="10" t="s">
        <v>4694</v>
      </c>
      <c r="I1386" s="10" t="s">
        <v>4727</v>
      </c>
      <c r="J1386" s="17">
        <f t="shared" si="10"/>
        <v>24018</v>
      </c>
      <c r="K1386" s="10">
        <f t="shared" ca="1" si="11"/>
        <v>60</v>
      </c>
      <c r="L1386" s="6"/>
      <c r="M1386" s="6"/>
      <c r="N1386" s="6"/>
      <c r="O1386" s="6"/>
      <c r="P1386" s="6"/>
      <c r="Q1386" s="6"/>
      <c r="R1386" s="6"/>
      <c r="S1386" s="6"/>
      <c r="T1386" s="6"/>
      <c r="U1386" s="6"/>
      <c r="V1386" s="6"/>
      <c r="W1386" s="6"/>
      <c r="X1386" s="6"/>
      <c r="Y1386" s="6"/>
      <c r="Z1386" s="6"/>
    </row>
    <row r="1387" spans="1:26" ht="15.75" customHeight="1" x14ac:dyDescent="0.3">
      <c r="A1387" s="10" t="s">
        <v>1908</v>
      </c>
      <c r="B1387" s="10">
        <v>1968</v>
      </c>
      <c r="C1387" s="10" t="s">
        <v>4709</v>
      </c>
      <c r="D1387" s="10">
        <v>14</v>
      </c>
      <c r="E1387" s="10">
        <v>2</v>
      </c>
      <c r="F1387" s="24">
        <v>11538.42</v>
      </c>
      <c r="G1387" s="10" t="s">
        <v>4696</v>
      </c>
      <c r="H1387" s="10" t="s">
        <v>4694</v>
      </c>
      <c r="I1387" s="10" t="s">
        <v>4716</v>
      </c>
      <c r="J1387" s="17">
        <f t="shared" si="10"/>
        <v>25156</v>
      </c>
      <c r="K1387" s="10">
        <f t="shared" ca="1" si="11"/>
        <v>57</v>
      </c>
      <c r="L1387" s="6"/>
      <c r="M1387" s="6"/>
      <c r="N1387" s="6"/>
      <c r="O1387" s="6"/>
      <c r="P1387" s="6"/>
      <c r="Q1387" s="6"/>
      <c r="R1387" s="6"/>
      <c r="S1387" s="6"/>
      <c r="T1387" s="6"/>
      <c r="U1387" s="6"/>
      <c r="V1387" s="6"/>
      <c r="W1387" s="6"/>
      <c r="X1387" s="6"/>
      <c r="Y1387" s="6"/>
      <c r="Z1387" s="6"/>
    </row>
    <row r="1388" spans="1:26" ht="15.75" customHeight="1" x14ac:dyDescent="0.3">
      <c r="A1388" s="10" t="s">
        <v>1906</v>
      </c>
      <c r="B1388" s="10">
        <v>1971</v>
      </c>
      <c r="C1388" s="10" t="s">
        <v>4713</v>
      </c>
      <c r="D1388" s="10">
        <v>1</v>
      </c>
      <c r="E1388" s="10">
        <v>0</v>
      </c>
      <c r="F1388" s="24">
        <v>11540.25</v>
      </c>
      <c r="G1388" s="10" t="s">
        <v>4696</v>
      </c>
      <c r="H1388" s="10" t="s">
        <v>4694</v>
      </c>
      <c r="I1388" s="10" t="s">
        <v>4712</v>
      </c>
      <c r="J1388" s="17">
        <f t="shared" si="10"/>
        <v>26268</v>
      </c>
      <c r="K1388" s="10">
        <f t="shared" ca="1" si="11"/>
        <v>53</v>
      </c>
      <c r="L1388" s="6"/>
      <c r="M1388" s="6"/>
      <c r="N1388" s="6"/>
      <c r="O1388" s="6"/>
      <c r="P1388" s="6"/>
      <c r="Q1388" s="6"/>
      <c r="R1388" s="6"/>
      <c r="S1388" s="6"/>
      <c r="T1388" s="6"/>
      <c r="U1388" s="6"/>
      <c r="V1388" s="6"/>
      <c r="W1388" s="6"/>
      <c r="X1388" s="6"/>
      <c r="Y1388" s="6"/>
      <c r="Z1388" s="6"/>
    </row>
    <row r="1389" spans="1:26" ht="15.75" customHeight="1" x14ac:dyDescent="0.3">
      <c r="A1389" s="10" t="s">
        <v>1904</v>
      </c>
      <c r="B1389" s="10">
        <v>1973</v>
      </c>
      <c r="C1389" s="10" t="s">
        <v>4707</v>
      </c>
      <c r="D1389" s="10">
        <v>23</v>
      </c>
      <c r="E1389" s="10">
        <v>5</v>
      </c>
      <c r="F1389" s="24">
        <v>11552.9</v>
      </c>
      <c r="G1389" s="10" t="s">
        <v>4696</v>
      </c>
      <c r="H1389" s="10" t="s">
        <v>4695</v>
      </c>
      <c r="I1389" s="10" t="s">
        <v>4716</v>
      </c>
      <c r="J1389" s="17">
        <f t="shared" si="10"/>
        <v>26868</v>
      </c>
      <c r="K1389" s="10">
        <f t="shared" ca="1" si="11"/>
        <v>52</v>
      </c>
      <c r="L1389" s="6"/>
      <c r="M1389" s="6"/>
      <c r="N1389" s="6"/>
      <c r="O1389" s="6"/>
      <c r="P1389" s="6"/>
      <c r="Q1389" s="6"/>
      <c r="R1389" s="6"/>
      <c r="S1389" s="6"/>
      <c r="T1389" s="6"/>
      <c r="U1389" s="6"/>
      <c r="V1389" s="6"/>
      <c r="W1389" s="6"/>
      <c r="X1389" s="6"/>
      <c r="Y1389" s="6"/>
      <c r="Z1389" s="6"/>
    </row>
    <row r="1390" spans="1:26" ht="15.75" customHeight="1" x14ac:dyDescent="0.3">
      <c r="A1390" s="10" t="s">
        <v>1902</v>
      </c>
      <c r="B1390" s="10">
        <v>1965</v>
      </c>
      <c r="C1390" s="10" t="s">
        <v>4715</v>
      </c>
      <c r="D1390" s="10">
        <v>27</v>
      </c>
      <c r="E1390" s="10">
        <v>1</v>
      </c>
      <c r="F1390" s="24">
        <v>11554.22</v>
      </c>
      <c r="G1390" s="10" t="s">
        <v>4696</v>
      </c>
      <c r="H1390" s="10" t="s">
        <v>4694</v>
      </c>
      <c r="I1390" s="10" t="s">
        <v>4708</v>
      </c>
      <c r="J1390" s="17">
        <f t="shared" si="10"/>
        <v>24042</v>
      </c>
      <c r="K1390" s="10">
        <f t="shared" ca="1" si="11"/>
        <v>60</v>
      </c>
      <c r="L1390" s="6"/>
      <c r="M1390" s="6"/>
      <c r="N1390" s="6"/>
      <c r="O1390" s="6"/>
      <c r="P1390" s="6"/>
      <c r="Q1390" s="6"/>
      <c r="R1390" s="6"/>
      <c r="S1390" s="6"/>
      <c r="T1390" s="6"/>
      <c r="U1390" s="6"/>
      <c r="V1390" s="6"/>
      <c r="W1390" s="6"/>
      <c r="X1390" s="6"/>
      <c r="Y1390" s="6"/>
      <c r="Z1390" s="6"/>
    </row>
    <row r="1391" spans="1:26" ht="15.75" customHeight="1" x14ac:dyDescent="0.3">
      <c r="A1391" s="10" t="s">
        <v>1900</v>
      </c>
      <c r="B1391" s="10">
        <v>1965</v>
      </c>
      <c r="C1391" s="10" t="s">
        <v>4713</v>
      </c>
      <c r="D1391" s="10">
        <v>25</v>
      </c>
      <c r="E1391" s="10">
        <v>0</v>
      </c>
      <c r="F1391" s="24">
        <v>11566.3</v>
      </c>
      <c r="G1391" s="10" t="s">
        <v>4696</v>
      </c>
      <c r="H1391" s="10" t="s">
        <v>4696</v>
      </c>
      <c r="I1391" s="10" t="s">
        <v>4720</v>
      </c>
      <c r="J1391" s="17">
        <f t="shared" si="10"/>
        <v>24101</v>
      </c>
      <c r="K1391" s="10">
        <f t="shared" ca="1" si="11"/>
        <v>59</v>
      </c>
      <c r="L1391" s="6"/>
      <c r="M1391" s="6"/>
      <c r="N1391" s="6"/>
      <c r="O1391" s="6"/>
      <c r="P1391" s="6"/>
      <c r="Q1391" s="6"/>
      <c r="R1391" s="6"/>
      <c r="S1391" s="6"/>
      <c r="T1391" s="6"/>
      <c r="U1391" s="6"/>
      <c r="V1391" s="6"/>
      <c r="W1391" s="6"/>
      <c r="X1391" s="6"/>
      <c r="Y1391" s="6"/>
      <c r="Z1391" s="6"/>
    </row>
    <row r="1392" spans="1:26" ht="15.75" customHeight="1" x14ac:dyDescent="0.3">
      <c r="A1392" s="10" t="s">
        <v>1898</v>
      </c>
      <c r="B1392" s="10">
        <v>1965</v>
      </c>
      <c r="C1392" s="10" t="s">
        <v>4709</v>
      </c>
      <c r="D1392" s="10">
        <v>6</v>
      </c>
      <c r="E1392" s="10">
        <v>1</v>
      </c>
      <c r="F1392" s="24">
        <v>11576.13</v>
      </c>
      <c r="G1392" s="10" t="s">
        <v>4696</v>
      </c>
      <c r="H1392" s="10" t="s">
        <v>4696</v>
      </c>
      <c r="I1392" s="10" t="s">
        <v>4716</v>
      </c>
      <c r="J1392" s="17">
        <f t="shared" si="10"/>
        <v>24052</v>
      </c>
      <c r="K1392" s="10">
        <f t="shared" ca="1" si="11"/>
        <v>60</v>
      </c>
      <c r="L1392" s="6"/>
      <c r="M1392" s="6"/>
      <c r="N1392" s="6"/>
      <c r="O1392" s="6"/>
      <c r="P1392" s="6"/>
      <c r="Q1392" s="6"/>
      <c r="R1392" s="6"/>
      <c r="S1392" s="6"/>
      <c r="T1392" s="6"/>
      <c r="U1392" s="6"/>
      <c r="V1392" s="6"/>
      <c r="W1392" s="6"/>
      <c r="X1392" s="6"/>
      <c r="Y1392" s="6"/>
      <c r="Z1392" s="6"/>
    </row>
    <row r="1393" spans="1:26" ht="15.75" customHeight="1" x14ac:dyDescent="0.3">
      <c r="A1393" s="10" t="s">
        <v>1896</v>
      </c>
      <c r="B1393" s="10">
        <v>1964</v>
      </c>
      <c r="C1393" s="10" t="s">
        <v>4710</v>
      </c>
      <c r="D1393" s="10">
        <v>20</v>
      </c>
      <c r="E1393" s="10">
        <v>0</v>
      </c>
      <c r="F1393" s="24">
        <v>11602.75</v>
      </c>
      <c r="G1393" s="10" t="s">
        <v>4696</v>
      </c>
      <c r="H1393" s="10" t="s">
        <v>4694</v>
      </c>
      <c r="I1393" s="10" t="s">
        <v>4728</v>
      </c>
      <c r="J1393" s="17">
        <f t="shared" si="10"/>
        <v>23548</v>
      </c>
      <c r="K1393" s="10">
        <f t="shared" ca="1" si="11"/>
        <v>61</v>
      </c>
      <c r="L1393" s="6"/>
      <c r="M1393" s="6"/>
      <c r="N1393" s="6"/>
      <c r="O1393" s="6"/>
      <c r="P1393" s="6"/>
      <c r="Q1393" s="6"/>
      <c r="R1393" s="6"/>
      <c r="S1393" s="6"/>
      <c r="T1393" s="6"/>
      <c r="U1393" s="6"/>
      <c r="V1393" s="6"/>
      <c r="W1393" s="6"/>
      <c r="X1393" s="6"/>
      <c r="Y1393" s="6"/>
      <c r="Z1393" s="6"/>
    </row>
    <row r="1394" spans="1:26" ht="15.75" customHeight="1" x14ac:dyDescent="0.3">
      <c r="A1394" s="10" t="s">
        <v>1894</v>
      </c>
      <c r="B1394" s="10">
        <v>1986</v>
      </c>
      <c r="C1394" s="10" t="s">
        <v>4707</v>
      </c>
      <c r="D1394" s="10">
        <v>17</v>
      </c>
      <c r="E1394" s="10">
        <v>3</v>
      </c>
      <c r="F1394" s="24">
        <v>11625.11</v>
      </c>
      <c r="G1394" s="10" t="s">
        <v>4696</v>
      </c>
      <c r="H1394" s="10" t="s">
        <v>4696</v>
      </c>
      <c r="I1394" s="10" t="s">
        <v>4730</v>
      </c>
      <c r="J1394" s="17">
        <f t="shared" si="10"/>
        <v>31610</v>
      </c>
      <c r="K1394" s="10">
        <f t="shared" ca="1" si="11"/>
        <v>39</v>
      </c>
      <c r="L1394" s="6"/>
      <c r="M1394" s="6"/>
      <c r="N1394" s="6"/>
      <c r="O1394" s="6"/>
      <c r="P1394" s="6"/>
      <c r="Q1394" s="6"/>
      <c r="R1394" s="6"/>
      <c r="S1394" s="6"/>
      <c r="T1394" s="6"/>
      <c r="U1394" s="6"/>
      <c r="V1394" s="6"/>
      <c r="W1394" s="6"/>
      <c r="X1394" s="6"/>
      <c r="Y1394" s="6"/>
      <c r="Z1394" s="6"/>
    </row>
    <row r="1395" spans="1:26" ht="15.75" customHeight="1" x14ac:dyDescent="0.3">
      <c r="A1395" s="10" t="s">
        <v>1892</v>
      </c>
      <c r="B1395" s="10">
        <v>1966</v>
      </c>
      <c r="C1395" s="10" t="s">
        <v>4715</v>
      </c>
      <c r="D1395" s="10">
        <v>4</v>
      </c>
      <c r="E1395" s="10">
        <v>0</v>
      </c>
      <c r="F1395" s="24">
        <v>11657.72</v>
      </c>
      <c r="G1395" s="10" t="s">
        <v>4696</v>
      </c>
      <c r="H1395" s="10" t="s">
        <v>4695</v>
      </c>
      <c r="I1395" s="10" t="s">
        <v>4723</v>
      </c>
      <c r="J1395" s="17">
        <f t="shared" si="10"/>
        <v>24384</v>
      </c>
      <c r="K1395" s="10">
        <f t="shared" ca="1" si="11"/>
        <v>59</v>
      </c>
      <c r="L1395" s="6"/>
      <c r="M1395" s="6"/>
      <c r="N1395" s="6"/>
      <c r="O1395" s="6"/>
      <c r="P1395" s="6"/>
      <c r="Q1395" s="6"/>
      <c r="R1395" s="6"/>
      <c r="S1395" s="6"/>
      <c r="T1395" s="6"/>
      <c r="U1395" s="6"/>
      <c r="V1395" s="6"/>
      <c r="W1395" s="6"/>
      <c r="X1395" s="6"/>
      <c r="Y1395" s="6"/>
      <c r="Z1395" s="6"/>
    </row>
    <row r="1396" spans="1:26" ht="15.75" customHeight="1" x14ac:dyDescent="0.3">
      <c r="A1396" s="10" t="s">
        <v>1890</v>
      </c>
      <c r="B1396" s="10">
        <v>1994</v>
      </c>
      <c r="C1396" s="10" t="s">
        <v>4707</v>
      </c>
      <c r="D1396" s="10">
        <v>20</v>
      </c>
      <c r="E1396" s="10">
        <v>0</v>
      </c>
      <c r="F1396" s="24">
        <v>11657.81</v>
      </c>
      <c r="G1396" s="10" t="s">
        <v>4696</v>
      </c>
      <c r="H1396" s="10" t="s">
        <v>4695</v>
      </c>
      <c r="I1396" s="10" t="s">
        <v>4724</v>
      </c>
      <c r="J1396" s="17">
        <f t="shared" si="10"/>
        <v>34535</v>
      </c>
      <c r="K1396" s="10">
        <f t="shared" ca="1" si="11"/>
        <v>31</v>
      </c>
      <c r="L1396" s="6"/>
      <c r="M1396" s="6"/>
      <c r="N1396" s="6"/>
      <c r="O1396" s="6"/>
      <c r="P1396" s="6"/>
      <c r="Q1396" s="6"/>
      <c r="R1396" s="6"/>
      <c r="S1396" s="6"/>
      <c r="T1396" s="6"/>
      <c r="U1396" s="6"/>
      <c r="V1396" s="6"/>
      <c r="W1396" s="6"/>
      <c r="X1396" s="6"/>
      <c r="Y1396" s="6"/>
      <c r="Z1396" s="6"/>
    </row>
    <row r="1397" spans="1:26" ht="15.75" customHeight="1" x14ac:dyDescent="0.3">
      <c r="A1397" s="10" t="s">
        <v>1888</v>
      </c>
      <c r="B1397" s="10">
        <v>1966</v>
      </c>
      <c r="C1397" s="10" t="s">
        <v>4707</v>
      </c>
      <c r="D1397" s="10">
        <v>6</v>
      </c>
      <c r="E1397" s="10">
        <v>0</v>
      </c>
      <c r="F1397" s="24">
        <v>11658.12</v>
      </c>
      <c r="G1397" s="10" t="s">
        <v>4696</v>
      </c>
      <c r="H1397" s="10" t="s">
        <v>4694</v>
      </c>
      <c r="I1397" s="10" t="s">
        <v>4723</v>
      </c>
      <c r="J1397" s="17">
        <f t="shared" si="10"/>
        <v>24294</v>
      </c>
      <c r="K1397" s="10">
        <f t="shared" ca="1" si="11"/>
        <v>59</v>
      </c>
      <c r="L1397" s="6"/>
      <c r="M1397" s="6"/>
      <c r="N1397" s="6"/>
      <c r="O1397" s="6"/>
      <c r="P1397" s="6"/>
      <c r="Q1397" s="6"/>
      <c r="R1397" s="6"/>
      <c r="S1397" s="6"/>
      <c r="T1397" s="6"/>
      <c r="U1397" s="6"/>
      <c r="V1397" s="6"/>
      <c r="W1397" s="6"/>
      <c r="X1397" s="6"/>
      <c r="Y1397" s="6"/>
      <c r="Z1397" s="6"/>
    </row>
    <row r="1398" spans="1:26" ht="15.75" customHeight="1" x14ac:dyDescent="0.3">
      <c r="A1398" s="10" t="s">
        <v>1886</v>
      </c>
      <c r="B1398" s="10">
        <v>1966</v>
      </c>
      <c r="C1398" s="10" t="s">
        <v>4714</v>
      </c>
      <c r="D1398" s="10">
        <v>23</v>
      </c>
      <c r="E1398" s="10">
        <v>0</v>
      </c>
      <c r="F1398" s="24">
        <v>11658.38</v>
      </c>
      <c r="G1398" s="10" t="s">
        <v>4696</v>
      </c>
      <c r="H1398" s="10" t="s">
        <v>4696</v>
      </c>
      <c r="I1398" s="10" t="s">
        <v>4723</v>
      </c>
      <c r="J1398" s="17">
        <f t="shared" si="10"/>
        <v>24342</v>
      </c>
      <c r="K1398" s="10">
        <f t="shared" ca="1" si="11"/>
        <v>59</v>
      </c>
      <c r="L1398" s="6"/>
      <c r="M1398" s="6"/>
      <c r="N1398" s="6"/>
      <c r="O1398" s="6"/>
      <c r="P1398" s="6"/>
      <c r="Q1398" s="6"/>
      <c r="R1398" s="6"/>
      <c r="S1398" s="6"/>
      <c r="T1398" s="6"/>
      <c r="U1398" s="6"/>
      <c r="V1398" s="6"/>
      <c r="W1398" s="6"/>
      <c r="X1398" s="6"/>
      <c r="Y1398" s="6"/>
      <c r="Z1398" s="6"/>
    </row>
    <row r="1399" spans="1:26" ht="15.75" customHeight="1" x14ac:dyDescent="0.3">
      <c r="A1399" s="10" t="s">
        <v>1884</v>
      </c>
      <c r="B1399" s="10">
        <v>1966</v>
      </c>
      <c r="C1399" s="10" t="s">
        <v>4709</v>
      </c>
      <c r="D1399" s="10">
        <v>9</v>
      </c>
      <c r="E1399" s="10">
        <v>1</v>
      </c>
      <c r="F1399" s="24">
        <v>11674.13</v>
      </c>
      <c r="G1399" s="10" t="s">
        <v>4696</v>
      </c>
      <c r="H1399" s="10" t="s">
        <v>4694</v>
      </c>
      <c r="I1399" s="10" t="s">
        <v>4716</v>
      </c>
      <c r="J1399" s="17">
        <f t="shared" si="10"/>
        <v>24420</v>
      </c>
      <c r="K1399" s="10">
        <f t="shared" ca="1" si="11"/>
        <v>59</v>
      </c>
      <c r="L1399" s="6"/>
      <c r="M1399" s="6"/>
      <c r="N1399" s="6"/>
      <c r="O1399" s="6"/>
      <c r="P1399" s="6"/>
      <c r="Q1399" s="6"/>
      <c r="R1399" s="6"/>
      <c r="S1399" s="6"/>
      <c r="T1399" s="6"/>
      <c r="U1399" s="6"/>
      <c r="V1399" s="6"/>
      <c r="W1399" s="6"/>
      <c r="X1399" s="6"/>
      <c r="Y1399" s="6"/>
      <c r="Z1399" s="6"/>
    </row>
    <row r="1400" spans="1:26" ht="15.75" customHeight="1" x14ac:dyDescent="0.3">
      <c r="A1400" s="10" t="s">
        <v>1882</v>
      </c>
      <c r="B1400" s="10">
        <v>1970</v>
      </c>
      <c r="C1400" s="10" t="s">
        <v>4713</v>
      </c>
      <c r="D1400" s="10">
        <v>1</v>
      </c>
      <c r="E1400" s="10">
        <v>0</v>
      </c>
      <c r="F1400" s="24">
        <v>11696.52</v>
      </c>
      <c r="G1400" s="10" t="s">
        <v>4696</v>
      </c>
      <c r="H1400" s="10" t="s">
        <v>4694</v>
      </c>
      <c r="I1400" s="10" t="s">
        <v>4726</v>
      </c>
      <c r="J1400" s="17">
        <f t="shared" si="10"/>
        <v>25903</v>
      </c>
      <c r="K1400" s="10">
        <f t="shared" ca="1" si="11"/>
        <v>54</v>
      </c>
      <c r="L1400" s="6"/>
      <c r="M1400" s="6"/>
      <c r="N1400" s="6"/>
      <c r="O1400" s="6"/>
      <c r="P1400" s="6"/>
      <c r="Q1400" s="6"/>
      <c r="R1400" s="6"/>
      <c r="S1400" s="6"/>
      <c r="T1400" s="6"/>
      <c r="U1400" s="6"/>
      <c r="V1400" s="6"/>
      <c r="W1400" s="6"/>
      <c r="X1400" s="6"/>
      <c r="Y1400" s="6"/>
      <c r="Z1400" s="6"/>
    </row>
    <row r="1401" spans="1:26" ht="15.75" customHeight="1" x14ac:dyDescent="0.3">
      <c r="A1401" s="10" t="s">
        <v>1880</v>
      </c>
      <c r="B1401" s="10">
        <v>1982</v>
      </c>
      <c r="C1401" s="10" t="s">
        <v>4715</v>
      </c>
      <c r="D1401" s="10">
        <v>21</v>
      </c>
      <c r="E1401" s="10">
        <v>3</v>
      </c>
      <c r="F1401" s="24">
        <v>11712.97</v>
      </c>
      <c r="G1401" s="10" t="s">
        <v>4696</v>
      </c>
      <c r="H1401" s="10" t="s">
        <v>4695</v>
      </c>
      <c r="I1401" s="10" t="s">
        <v>4726</v>
      </c>
      <c r="J1401" s="17">
        <f t="shared" si="10"/>
        <v>30245</v>
      </c>
      <c r="K1401" s="10">
        <f t="shared" ca="1" si="11"/>
        <v>43</v>
      </c>
      <c r="L1401" s="6"/>
      <c r="M1401" s="6"/>
      <c r="N1401" s="6"/>
      <c r="O1401" s="6"/>
      <c r="P1401" s="6"/>
      <c r="Q1401" s="6"/>
      <c r="R1401" s="6"/>
      <c r="S1401" s="6"/>
      <c r="T1401" s="6"/>
      <c r="U1401" s="6"/>
      <c r="V1401" s="6"/>
      <c r="W1401" s="6"/>
      <c r="X1401" s="6"/>
      <c r="Y1401" s="6"/>
      <c r="Z1401" s="6"/>
    </row>
    <row r="1402" spans="1:26" ht="15.75" customHeight="1" x14ac:dyDescent="0.3">
      <c r="A1402" s="10" t="s">
        <v>1878</v>
      </c>
      <c r="B1402" s="10">
        <v>1969</v>
      </c>
      <c r="C1402" s="10" t="s">
        <v>4715</v>
      </c>
      <c r="D1402" s="10">
        <v>12</v>
      </c>
      <c r="E1402" s="10">
        <v>2</v>
      </c>
      <c r="F1402" s="24">
        <v>11729.68</v>
      </c>
      <c r="G1402" s="10" t="s">
        <v>4696</v>
      </c>
      <c r="H1402" s="10" t="s">
        <v>4694</v>
      </c>
      <c r="I1402" s="10" t="s">
        <v>4723</v>
      </c>
      <c r="J1402" s="17">
        <f t="shared" si="10"/>
        <v>25488</v>
      </c>
      <c r="K1402" s="10">
        <f t="shared" ca="1" si="11"/>
        <v>56</v>
      </c>
      <c r="L1402" s="6"/>
      <c r="M1402" s="6"/>
      <c r="N1402" s="6"/>
      <c r="O1402" s="6"/>
      <c r="P1402" s="6"/>
      <c r="Q1402" s="6"/>
      <c r="R1402" s="6"/>
      <c r="S1402" s="6"/>
      <c r="T1402" s="6"/>
      <c r="U1402" s="6"/>
      <c r="V1402" s="6"/>
      <c r="W1402" s="6"/>
      <c r="X1402" s="6"/>
      <c r="Y1402" s="6"/>
      <c r="Z1402" s="6"/>
    </row>
    <row r="1403" spans="1:26" ht="15.75" customHeight="1" x14ac:dyDescent="0.3">
      <c r="A1403" s="10" t="s">
        <v>1876</v>
      </c>
      <c r="B1403" s="10">
        <v>1984</v>
      </c>
      <c r="C1403" s="10" t="s">
        <v>4709</v>
      </c>
      <c r="D1403" s="10">
        <v>26</v>
      </c>
      <c r="E1403" s="10">
        <v>3</v>
      </c>
      <c r="F1403" s="24">
        <v>11730.82</v>
      </c>
      <c r="G1403" s="10" t="s">
        <v>4696</v>
      </c>
      <c r="H1403" s="10" t="s">
        <v>4696</v>
      </c>
      <c r="I1403" s="10" t="s">
        <v>4729</v>
      </c>
      <c r="J1403" s="17">
        <f t="shared" si="10"/>
        <v>31012</v>
      </c>
      <c r="K1403" s="10">
        <f t="shared" ca="1" si="11"/>
        <v>41</v>
      </c>
      <c r="L1403" s="6"/>
      <c r="M1403" s="6"/>
      <c r="N1403" s="6"/>
      <c r="O1403" s="6"/>
      <c r="P1403" s="6"/>
      <c r="Q1403" s="6"/>
      <c r="R1403" s="6"/>
      <c r="S1403" s="6"/>
      <c r="T1403" s="6"/>
      <c r="U1403" s="6"/>
      <c r="V1403" s="6"/>
      <c r="W1403" s="6"/>
      <c r="X1403" s="6"/>
      <c r="Y1403" s="6"/>
      <c r="Z1403" s="6"/>
    </row>
    <row r="1404" spans="1:26" ht="15.75" customHeight="1" x14ac:dyDescent="0.3">
      <c r="A1404" s="10" t="s">
        <v>1874</v>
      </c>
      <c r="B1404" s="10">
        <v>1964</v>
      </c>
      <c r="C1404" s="10" t="s">
        <v>4709</v>
      </c>
      <c r="D1404" s="10">
        <v>9</v>
      </c>
      <c r="E1404" s="10">
        <v>0</v>
      </c>
      <c r="F1404" s="24">
        <v>11735.88</v>
      </c>
      <c r="G1404" s="10" t="s">
        <v>4696</v>
      </c>
      <c r="H1404" s="10" t="s">
        <v>4694</v>
      </c>
      <c r="I1404" s="10" t="s">
        <v>4712</v>
      </c>
      <c r="J1404" s="17">
        <f t="shared" si="10"/>
        <v>23690</v>
      </c>
      <c r="K1404" s="10">
        <f t="shared" ca="1" si="11"/>
        <v>61</v>
      </c>
      <c r="L1404" s="6"/>
      <c r="M1404" s="6"/>
      <c r="N1404" s="6"/>
      <c r="O1404" s="6"/>
      <c r="P1404" s="6"/>
      <c r="Q1404" s="6"/>
      <c r="R1404" s="6"/>
      <c r="S1404" s="6"/>
      <c r="T1404" s="6"/>
      <c r="U1404" s="6"/>
      <c r="V1404" s="6"/>
      <c r="W1404" s="6"/>
      <c r="X1404" s="6"/>
      <c r="Y1404" s="6"/>
      <c r="Z1404" s="6"/>
    </row>
    <row r="1405" spans="1:26" ht="15.75" customHeight="1" x14ac:dyDescent="0.3">
      <c r="A1405" s="10" t="s">
        <v>1872</v>
      </c>
      <c r="B1405" s="10">
        <v>1988</v>
      </c>
      <c r="C1405" s="10" t="s">
        <v>4711</v>
      </c>
      <c r="D1405" s="10">
        <v>5</v>
      </c>
      <c r="E1405" s="10">
        <v>2</v>
      </c>
      <c r="F1405" s="24">
        <v>11737.85</v>
      </c>
      <c r="G1405" s="10" t="s">
        <v>4696</v>
      </c>
      <c r="H1405" s="10" t="s">
        <v>4694</v>
      </c>
      <c r="I1405" s="10" t="s">
        <v>4716</v>
      </c>
      <c r="J1405" s="17">
        <f t="shared" si="10"/>
        <v>32391</v>
      </c>
      <c r="K1405" s="10">
        <f t="shared" ca="1" si="11"/>
        <v>37</v>
      </c>
      <c r="L1405" s="6"/>
      <c r="M1405" s="6"/>
      <c r="N1405" s="6"/>
      <c r="O1405" s="6"/>
      <c r="P1405" s="6"/>
      <c r="Q1405" s="6"/>
      <c r="R1405" s="6"/>
      <c r="S1405" s="6"/>
      <c r="T1405" s="6"/>
      <c r="U1405" s="6"/>
      <c r="V1405" s="6"/>
      <c r="W1405" s="6"/>
      <c r="X1405" s="6"/>
      <c r="Y1405" s="6"/>
      <c r="Z1405" s="6"/>
    </row>
    <row r="1406" spans="1:26" ht="15.75" customHeight="1" x14ac:dyDescent="0.3">
      <c r="A1406" s="10" t="s">
        <v>1870</v>
      </c>
      <c r="B1406" s="10">
        <v>1969</v>
      </c>
      <c r="C1406" s="10" t="s">
        <v>4709</v>
      </c>
      <c r="D1406" s="10">
        <v>12</v>
      </c>
      <c r="E1406" s="10">
        <v>3</v>
      </c>
      <c r="F1406" s="24">
        <v>11741.73</v>
      </c>
      <c r="G1406" s="10" t="s">
        <v>4696</v>
      </c>
      <c r="H1406" s="10" t="s">
        <v>4694</v>
      </c>
      <c r="I1406" s="10" t="s">
        <v>4716</v>
      </c>
      <c r="J1406" s="17">
        <f t="shared" si="10"/>
        <v>25519</v>
      </c>
      <c r="K1406" s="10">
        <f t="shared" ca="1" si="11"/>
        <v>56</v>
      </c>
      <c r="L1406" s="6"/>
      <c r="M1406" s="6"/>
      <c r="N1406" s="6"/>
      <c r="O1406" s="6"/>
      <c r="P1406" s="6"/>
      <c r="Q1406" s="6"/>
      <c r="R1406" s="6"/>
      <c r="S1406" s="6"/>
      <c r="T1406" s="6"/>
      <c r="U1406" s="6"/>
      <c r="V1406" s="6"/>
      <c r="W1406" s="6"/>
      <c r="X1406" s="6"/>
      <c r="Y1406" s="6"/>
      <c r="Z1406" s="6"/>
    </row>
    <row r="1407" spans="1:26" ht="15.75" customHeight="1" x14ac:dyDescent="0.3">
      <c r="A1407" s="10" t="s">
        <v>1868</v>
      </c>
      <c r="B1407" s="10">
        <v>1963</v>
      </c>
      <c r="C1407" s="10" t="s">
        <v>4710</v>
      </c>
      <c r="D1407" s="10">
        <v>9</v>
      </c>
      <c r="E1407" s="10">
        <v>0</v>
      </c>
      <c r="F1407" s="24">
        <v>11743.3</v>
      </c>
      <c r="G1407" s="10" t="s">
        <v>4696</v>
      </c>
      <c r="H1407" s="10" t="s">
        <v>4696</v>
      </c>
      <c r="I1407" s="10" t="s">
        <v>4708</v>
      </c>
      <c r="J1407" s="17">
        <f t="shared" si="10"/>
        <v>23171</v>
      </c>
      <c r="K1407" s="10">
        <f t="shared" ca="1" si="11"/>
        <v>62</v>
      </c>
      <c r="L1407" s="6"/>
      <c r="M1407" s="6"/>
      <c r="N1407" s="6"/>
      <c r="O1407" s="6"/>
      <c r="P1407" s="6"/>
      <c r="Q1407" s="6"/>
      <c r="R1407" s="6"/>
      <c r="S1407" s="6"/>
      <c r="T1407" s="6"/>
      <c r="U1407" s="6"/>
      <c r="V1407" s="6"/>
      <c r="W1407" s="6"/>
      <c r="X1407" s="6"/>
      <c r="Y1407" s="6"/>
      <c r="Z1407" s="6"/>
    </row>
    <row r="1408" spans="1:26" ht="15.75" customHeight="1" x14ac:dyDescent="0.3">
      <c r="A1408" s="10" t="s">
        <v>1866</v>
      </c>
      <c r="B1408" s="10">
        <v>1964</v>
      </c>
      <c r="C1408" s="10" t="s">
        <v>4713</v>
      </c>
      <c r="D1408" s="10">
        <v>2</v>
      </c>
      <c r="E1408" s="10">
        <v>0</v>
      </c>
      <c r="F1408" s="24">
        <v>11743.93</v>
      </c>
      <c r="G1408" s="10" t="s">
        <v>4696</v>
      </c>
      <c r="H1408" s="10" t="s">
        <v>4694</v>
      </c>
      <c r="I1408" s="10" t="s">
        <v>4712</v>
      </c>
      <c r="J1408" s="17">
        <f t="shared" si="10"/>
        <v>23713</v>
      </c>
      <c r="K1408" s="10">
        <f t="shared" ca="1" si="11"/>
        <v>60</v>
      </c>
      <c r="L1408" s="6"/>
      <c r="M1408" s="6"/>
      <c r="N1408" s="6"/>
      <c r="O1408" s="6"/>
      <c r="P1408" s="6"/>
      <c r="Q1408" s="6"/>
      <c r="R1408" s="6"/>
      <c r="S1408" s="6"/>
      <c r="T1408" s="6"/>
      <c r="U1408" s="6"/>
      <c r="V1408" s="6"/>
      <c r="W1408" s="6"/>
      <c r="X1408" s="6"/>
      <c r="Y1408" s="6"/>
      <c r="Z1408" s="6"/>
    </row>
    <row r="1409" spans="1:26" ht="15.75" customHeight="1" x14ac:dyDescent="0.3">
      <c r="A1409" s="10" t="s">
        <v>1864</v>
      </c>
      <c r="B1409" s="10">
        <v>1979</v>
      </c>
      <c r="C1409" s="10" t="s">
        <v>4709</v>
      </c>
      <c r="D1409" s="10">
        <v>6</v>
      </c>
      <c r="E1409" s="10">
        <v>2</v>
      </c>
      <c r="F1409" s="24">
        <v>11752.68</v>
      </c>
      <c r="G1409" s="10" t="s">
        <v>4696</v>
      </c>
      <c r="H1409" s="10" t="s">
        <v>4694</v>
      </c>
      <c r="I1409" s="10" t="s">
        <v>4729</v>
      </c>
      <c r="J1409" s="17">
        <f t="shared" si="10"/>
        <v>29165</v>
      </c>
      <c r="K1409" s="10">
        <f t="shared" ca="1" si="11"/>
        <v>46</v>
      </c>
      <c r="L1409" s="6"/>
      <c r="M1409" s="6"/>
      <c r="N1409" s="6"/>
      <c r="O1409" s="6"/>
      <c r="P1409" s="6"/>
      <c r="Q1409" s="6"/>
      <c r="R1409" s="6"/>
      <c r="S1409" s="6"/>
      <c r="T1409" s="6"/>
      <c r="U1409" s="6"/>
      <c r="V1409" s="6"/>
      <c r="W1409" s="6"/>
      <c r="X1409" s="6"/>
      <c r="Y1409" s="6"/>
      <c r="Z1409" s="6"/>
    </row>
    <row r="1410" spans="1:26" ht="15.75" customHeight="1" x14ac:dyDescent="0.3">
      <c r="A1410" s="10" t="s">
        <v>1862</v>
      </c>
      <c r="B1410" s="10">
        <v>1966</v>
      </c>
      <c r="C1410" s="10" t="s">
        <v>4707</v>
      </c>
      <c r="D1410" s="10">
        <v>25</v>
      </c>
      <c r="E1410" s="10">
        <v>1</v>
      </c>
      <c r="F1410" s="24">
        <v>11763</v>
      </c>
      <c r="G1410" s="10" t="s">
        <v>4696</v>
      </c>
      <c r="H1410" s="10" t="s">
        <v>4696</v>
      </c>
      <c r="I1410" s="10" t="s">
        <v>4720</v>
      </c>
      <c r="J1410" s="17">
        <f t="shared" si="10"/>
        <v>24313</v>
      </c>
      <c r="K1410" s="10">
        <f t="shared" ca="1" si="11"/>
        <v>59</v>
      </c>
      <c r="L1410" s="6"/>
      <c r="M1410" s="6"/>
      <c r="N1410" s="6"/>
      <c r="O1410" s="6"/>
      <c r="P1410" s="6"/>
      <c r="Q1410" s="6"/>
      <c r="R1410" s="6"/>
      <c r="S1410" s="6"/>
      <c r="T1410" s="6"/>
      <c r="U1410" s="6"/>
      <c r="V1410" s="6"/>
      <c r="W1410" s="6"/>
      <c r="X1410" s="6"/>
      <c r="Y1410" s="6"/>
      <c r="Z1410" s="6"/>
    </row>
    <row r="1411" spans="1:26" ht="15.75" customHeight="1" x14ac:dyDescent="0.3">
      <c r="A1411" s="10" t="s">
        <v>1860</v>
      </c>
      <c r="B1411" s="10">
        <v>1982</v>
      </c>
      <c r="C1411" s="10" t="s">
        <v>4709</v>
      </c>
      <c r="D1411" s="10">
        <v>20</v>
      </c>
      <c r="E1411" s="10">
        <v>3</v>
      </c>
      <c r="F1411" s="24">
        <v>11773.06</v>
      </c>
      <c r="G1411" s="10" t="s">
        <v>4696</v>
      </c>
      <c r="H1411" s="10" t="s">
        <v>4696</v>
      </c>
      <c r="I1411" s="10" t="s">
        <v>4729</v>
      </c>
      <c r="J1411" s="17">
        <f t="shared" si="10"/>
        <v>30275</v>
      </c>
      <c r="K1411" s="10">
        <f t="shared" ca="1" si="11"/>
        <v>43</v>
      </c>
      <c r="L1411" s="6"/>
      <c r="M1411" s="6"/>
      <c r="N1411" s="6"/>
      <c r="O1411" s="6"/>
      <c r="P1411" s="6"/>
      <c r="Q1411" s="6"/>
      <c r="R1411" s="6"/>
      <c r="S1411" s="6"/>
      <c r="T1411" s="6"/>
      <c r="U1411" s="6"/>
      <c r="V1411" s="6"/>
      <c r="W1411" s="6"/>
      <c r="X1411" s="6"/>
      <c r="Y1411" s="6"/>
      <c r="Z1411" s="6"/>
    </row>
    <row r="1412" spans="1:26" ht="15.75" customHeight="1" x14ac:dyDescent="0.3">
      <c r="A1412" s="10" t="s">
        <v>1858</v>
      </c>
      <c r="B1412" s="10">
        <v>1965</v>
      </c>
      <c r="C1412" s="10" t="s">
        <v>4715</v>
      </c>
      <c r="D1412" s="10">
        <v>3</v>
      </c>
      <c r="E1412" s="10">
        <v>0</v>
      </c>
      <c r="F1412" s="24">
        <v>11830.61</v>
      </c>
      <c r="G1412" s="10" t="s">
        <v>4696</v>
      </c>
      <c r="H1412" s="10" t="s">
        <v>4694</v>
      </c>
      <c r="I1412" s="10" t="s">
        <v>4712</v>
      </c>
      <c r="J1412" s="17">
        <f t="shared" si="10"/>
        <v>24018</v>
      </c>
      <c r="K1412" s="10">
        <f t="shared" ca="1" si="11"/>
        <v>60</v>
      </c>
      <c r="L1412" s="6"/>
      <c r="M1412" s="6"/>
      <c r="N1412" s="6"/>
      <c r="O1412" s="6"/>
      <c r="P1412" s="6"/>
      <c r="Q1412" s="6"/>
      <c r="R1412" s="6"/>
      <c r="S1412" s="6"/>
      <c r="T1412" s="6"/>
      <c r="U1412" s="6"/>
      <c r="V1412" s="6"/>
      <c r="W1412" s="6"/>
      <c r="X1412" s="6"/>
      <c r="Y1412" s="6"/>
      <c r="Z1412" s="6"/>
    </row>
    <row r="1413" spans="1:26" ht="15.75" customHeight="1" x14ac:dyDescent="0.3">
      <c r="A1413" s="10" t="s">
        <v>1856</v>
      </c>
      <c r="B1413" s="10">
        <v>1964</v>
      </c>
      <c r="C1413" s="10" t="s">
        <v>4710</v>
      </c>
      <c r="D1413" s="10">
        <v>27</v>
      </c>
      <c r="E1413" s="10">
        <v>0</v>
      </c>
      <c r="F1413" s="24">
        <v>11833.78</v>
      </c>
      <c r="G1413" s="10" t="s">
        <v>4696</v>
      </c>
      <c r="H1413" s="10" t="s">
        <v>4696</v>
      </c>
      <c r="I1413" s="10" t="s">
        <v>4708</v>
      </c>
      <c r="J1413" s="17">
        <f t="shared" si="10"/>
        <v>23555</v>
      </c>
      <c r="K1413" s="10">
        <f t="shared" ca="1" si="11"/>
        <v>61</v>
      </c>
      <c r="L1413" s="6"/>
      <c r="M1413" s="6"/>
      <c r="N1413" s="6"/>
      <c r="O1413" s="6"/>
      <c r="P1413" s="6"/>
      <c r="Q1413" s="6"/>
      <c r="R1413" s="6"/>
      <c r="S1413" s="6"/>
      <c r="T1413" s="6"/>
      <c r="U1413" s="6"/>
      <c r="V1413" s="6"/>
      <c r="W1413" s="6"/>
      <c r="X1413" s="6"/>
      <c r="Y1413" s="6"/>
      <c r="Z1413" s="6"/>
    </row>
    <row r="1414" spans="1:26" ht="15.75" customHeight="1" x14ac:dyDescent="0.3">
      <c r="A1414" s="10" t="s">
        <v>1854</v>
      </c>
      <c r="B1414" s="10">
        <v>1964</v>
      </c>
      <c r="C1414" s="10" t="s">
        <v>4711</v>
      </c>
      <c r="D1414" s="10">
        <v>11</v>
      </c>
      <c r="E1414" s="10">
        <v>0</v>
      </c>
      <c r="F1414" s="24">
        <v>11837.16</v>
      </c>
      <c r="G1414" s="10" t="s">
        <v>4696</v>
      </c>
      <c r="H1414" s="10" t="s">
        <v>4696</v>
      </c>
      <c r="I1414" s="10" t="s">
        <v>4716</v>
      </c>
      <c r="J1414" s="17">
        <f t="shared" si="10"/>
        <v>23631</v>
      </c>
      <c r="K1414" s="10">
        <f t="shared" ca="1" si="11"/>
        <v>61</v>
      </c>
      <c r="L1414" s="6"/>
      <c r="M1414" s="6"/>
      <c r="N1414" s="6"/>
      <c r="O1414" s="6"/>
      <c r="P1414" s="6"/>
      <c r="Q1414" s="6"/>
      <c r="R1414" s="6"/>
      <c r="S1414" s="6"/>
      <c r="T1414" s="6"/>
      <c r="U1414" s="6"/>
      <c r="V1414" s="6"/>
      <c r="W1414" s="6"/>
      <c r="X1414" s="6"/>
      <c r="Y1414" s="6"/>
      <c r="Z1414" s="6"/>
    </row>
    <row r="1415" spans="1:26" ht="15.75" customHeight="1" x14ac:dyDescent="0.3">
      <c r="A1415" s="10" t="s">
        <v>1852</v>
      </c>
      <c r="B1415" s="10">
        <v>1965</v>
      </c>
      <c r="C1415" s="10" t="s">
        <v>4711</v>
      </c>
      <c r="D1415" s="10">
        <v>25</v>
      </c>
      <c r="E1415" s="10">
        <v>0</v>
      </c>
      <c r="F1415" s="24">
        <v>11840.78</v>
      </c>
      <c r="G1415" s="10" t="s">
        <v>4696</v>
      </c>
      <c r="H1415" s="10" t="s">
        <v>4695</v>
      </c>
      <c r="I1415" s="10" t="s">
        <v>4712</v>
      </c>
      <c r="J1415" s="17">
        <f t="shared" si="10"/>
        <v>24010</v>
      </c>
      <c r="K1415" s="10">
        <f t="shared" ca="1" si="11"/>
        <v>60</v>
      </c>
      <c r="L1415" s="6"/>
      <c r="M1415" s="6"/>
      <c r="N1415" s="6"/>
      <c r="O1415" s="6"/>
      <c r="P1415" s="6"/>
      <c r="Q1415" s="6"/>
      <c r="R1415" s="6"/>
      <c r="S1415" s="6"/>
      <c r="T1415" s="6"/>
      <c r="U1415" s="6"/>
      <c r="V1415" s="6"/>
      <c r="W1415" s="6"/>
      <c r="X1415" s="6"/>
      <c r="Y1415" s="6"/>
      <c r="Z1415" s="6"/>
    </row>
    <row r="1416" spans="1:26" ht="15.75" customHeight="1" x14ac:dyDescent="0.3">
      <c r="A1416" s="10" t="s">
        <v>1850</v>
      </c>
      <c r="B1416" s="10">
        <v>1964</v>
      </c>
      <c r="C1416" s="10" t="s">
        <v>4707</v>
      </c>
      <c r="D1416" s="10">
        <v>11</v>
      </c>
      <c r="E1416" s="10">
        <v>0</v>
      </c>
      <c r="F1416" s="24">
        <v>11842.44</v>
      </c>
      <c r="G1416" s="10" t="s">
        <v>4696</v>
      </c>
      <c r="H1416" s="10" t="s">
        <v>4695</v>
      </c>
      <c r="I1416" s="10" t="s">
        <v>4716</v>
      </c>
      <c r="J1416" s="17">
        <f t="shared" si="10"/>
        <v>23569</v>
      </c>
      <c r="K1416" s="10">
        <f t="shared" ca="1" si="11"/>
        <v>61</v>
      </c>
      <c r="L1416" s="6"/>
      <c r="M1416" s="6"/>
      <c r="N1416" s="6"/>
      <c r="O1416" s="6"/>
      <c r="P1416" s="6"/>
      <c r="Q1416" s="6"/>
      <c r="R1416" s="6"/>
      <c r="S1416" s="6"/>
      <c r="T1416" s="6"/>
      <c r="U1416" s="6"/>
      <c r="V1416" s="6"/>
      <c r="W1416" s="6"/>
      <c r="X1416" s="6"/>
      <c r="Y1416" s="6"/>
      <c r="Z1416" s="6"/>
    </row>
    <row r="1417" spans="1:26" ht="15.75" customHeight="1" x14ac:dyDescent="0.3">
      <c r="A1417" s="10" t="s">
        <v>1848</v>
      </c>
      <c r="B1417" s="10">
        <v>1965</v>
      </c>
      <c r="C1417" s="10" t="s">
        <v>4709</v>
      </c>
      <c r="D1417" s="10">
        <v>10</v>
      </c>
      <c r="E1417" s="10">
        <v>0</v>
      </c>
      <c r="F1417" s="24">
        <v>11842.62</v>
      </c>
      <c r="G1417" s="10" t="s">
        <v>4696</v>
      </c>
      <c r="H1417" s="10" t="s">
        <v>4696</v>
      </c>
      <c r="I1417" s="10" t="s">
        <v>4712</v>
      </c>
      <c r="J1417" s="17">
        <f t="shared" si="10"/>
        <v>24056</v>
      </c>
      <c r="K1417" s="10">
        <f t="shared" ca="1" si="11"/>
        <v>60</v>
      </c>
      <c r="L1417" s="6"/>
      <c r="M1417" s="6"/>
      <c r="N1417" s="6"/>
      <c r="O1417" s="6"/>
      <c r="P1417" s="6"/>
      <c r="Q1417" s="6"/>
      <c r="R1417" s="6"/>
      <c r="S1417" s="6"/>
      <c r="T1417" s="6"/>
      <c r="U1417" s="6"/>
      <c r="V1417" s="6"/>
      <c r="W1417" s="6"/>
      <c r="X1417" s="6"/>
      <c r="Y1417" s="6"/>
      <c r="Z1417" s="6"/>
    </row>
    <row r="1418" spans="1:26" ht="15.75" customHeight="1" x14ac:dyDescent="0.3">
      <c r="A1418" s="10" t="s">
        <v>1846</v>
      </c>
      <c r="B1418" s="10">
        <v>1964</v>
      </c>
      <c r="C1418" s="10" t="s">
        <v>4710</v>
      </c>
      <c r="D1418" s="10">
        <v>27</v>
      </c>
      <c r="E1418" s="10">
        <v>0</v>
      </c>
      <c r="F1418" s="24">
        <v>11848.14</v>
      </c>
      <c r="G1418" s="10" t="s">
        <v>4696</v>
      </c>
      <c r="H1418" s="10" t="s">
        <v>4695</v>
      </c>
      <c r="I1418" s="10" t="s">
        <v>4716</v>
      </c>
      <c r="J1418" s="17">
        <f t="shared" si="10"/>
        <v>23555</v>
      </c>
      <c r="K1418" s="10">
        <f t="shared" ca="1" si="11"/>
        <v>61</v>
      </c>
      <c r="L1418" s="6"/>
      <c r="M1418" s="6"/>
      <c r="N1418" s="6"/>
      <c r="O1418" s="6"/>
      <c r="P1418" s="6"/>
      <c r="Q1418" s="6"/>
      <c r="R1418" s="6"/>
      <c r="S1418" s="6"/>
      <c r="T1418" s="6"/>
      <c r="U1418" s="6"/>
      <c r="V1418" s="6"/>
      <c r="W1418" s="6"/>
      <c r="X1418" s="6"/>
      <c r="Y1418" s="6"/>
      <c r="Z1418" s="6"/>
    </row>
    <row r="1419" spans="1:26" ht="15.75" customHeight="1" x14ac:dyDescent="0.3">
      <c r="A1419" s="10" t="s">
        <v>1844</v>
      </c>
      <c r="B1419" s="10">
        <v>1964</v>
      </c>
      <c r="C1419" s="10" t="s">
        <v>4711</v>
      </c>
      <c r="D1419" s="10">
        <v>29</v>
      </c>
      <c r="E1419" s="10">
        <v>0</v>
      </c>
      <c r="F1419" s="24">
        <v>11856.41</v>
      </c>
      <c r="G1419" s="10" t="s">
        <v>4696</v>
      </c>
      <c r="H1419" s="10" t="s">
        <v>4695</v>
      </c>
      <c r="I1419" s="10" t="s">
        <v>4708</v>
      </c>
      <c r="J1419" s="17">
        <f t="shared" si="10"/>
        <v>23649</v>
      </c>
      <c r="K1419" s="10">
        <f t="shared" ca="1" si="11"/>
        <v>61</v>
      </c>
      <c r="L1419" s="6"/>
      <c r="M1419" s="6"/>
      <c r="N1419" s="6"/>
      <c r="O1419" s="6"/>
      <c r="P1419" s="6"/>
      <c r="Q1419" s="6"/>
      <c r="R1419" s="6"/>
      <c r="S1419" s="6"/>
      <c r="T1419" s="6"/>
      <c r="U1419" s="6"/>
      <c r="V1419" s="6"/>
      <c r="W1419" s="6"/>
      <c r="X1419" s="6"/>
      <c r="Y1419" s="6"/>
      <c r="Z1419" s="6"/>
    </row>
    <row r="1420" spans="1:26" ht="15.75" customHeight="1" x14ac:dyDescent="0.3">
      <c r="A1420" s="10" t="s">
        <v>1842</v>
      </c>
      <c r="B1420" s="10">
        <v>1974</v>
      </c>
      <c r="C1420" s="10" t="s">
        <v>4707</v>
      </c>
      <c r="D1420" s="10">
        <v>7</v>
      </c>
      <c r="E1420" s="10">
        <v>0</v>
      </c>
      <c r="F1420" s="24">
        <v>11858.56</v>
      </c>
      <c r="G1420" s="10" t="s">
        <v>4696</v>
      </c>
      <c r="H1420" s="10" t="s">
        <v>4696</v>
      </c>
      <c r="I1420" s="10" t="s">
        <v>4716</v>
      </c>
      <c r="J1420" s="17">
        <f t="shared" si="10"/>
        <v>27217</v>
      </c>
      <c r="K1420" s="10">
        <f t="shared" ca="1" si="11"/>
        <v>51</v>
      </c>
      <c r="L1420" s="6"/>
      <c r="M1420" s="6"/>
      <c r="N1420" s="6"/>
      <c r="O1420" s="6"/>
      <c r="P1420" s="6"/>
      <c r="Q1420" s="6"/>
      <c r="R1420" s="6"/>
      <c r="S1420" s="6"/>
      <c r="T1420" s="6"/>
      <c r="U1420" s="6"/>
      <c r="V1420" s="6"/>
      <c r="W1420" s="6"/>
      <c r="X1420" s="6"/>
      <c r="Y1420" s="6"/>
      <c r="Z1420" s="6"/>
    </row>
    <row r="1421" spans="1:26" ht="15.75" customHeight="1" x14ac:dyDescent="0.3">
      <c r="A1421" s="10" t="s">
        <v>1840</v>
      </c>
      <c r="B1421" s="10">
        <v>1967</v>
      </c>
      <c r="C1421" s="10" t="s">
        <v>4714</v>
      </c>
      <c r="D1421" s="10">
        <v>24</v>
      </c>
      <c r="E1421" s="10">
        <v>1</v>
      </c>
      <c r="F1421" s="24">
        <v>11879.1</v>
      </c>
      <c r="G1421" s="10" t="s">
        <v>4696</v>
      </c>
      <c r="H1421" s="10" t="s">
        <v>4696</v>
      </c>
      <c r="I1421" s="10" t="s">
        <v>4723</v>
      </c>
      <c r="J1421" s="17">
        <f t="shared" si="10"/>
        <v>24708</v>
      </c>
      <c r="K1421" s="10">
        <f t="shared" ca="1" si="11"/>
        <v>58</v>
      </c>
      <c r="L1421" s="6"/>
      <c r="M1421" s="6"/>
      <c r="N1421" s="6"/>
      <c r="O1421" s="6"/>
      <c r="P1421" s="6"/>
      <c r="Q1421" s="6"/>
      <c r="R1421" s="6"/>
      <c r="S1421" s="6"/>
      <c r="T1421" s="6"/>
      <c r="U1421" s="6"/>
      <c r="V1421" s="6"/>
      <c r="W1421" s="6"/>
      <c r="X1421" s="6"/>
      <c r="Y1421" s="6"/>
      <c r="Z1421" s="6"/>
    </row>
    <row r="1422" spans="1:26" ht="15.75" customHeight="1" x14ac:dyDescent="0.3">
      <c r="A1422" s="10" t="s">
        <v>1838</v>
      </c>
      <c r="B1422" s="10">
        <v>1967</v>
      </c>
      <c r="C1422" s="10" t="s">
        <v>4707</v>
      </c>
      <c r="D1422" s="10">
        <v>14</v>
      </c>
      <c r="E1422" s="10">
        <v>2</v>
      </c>
      <c r="F1422" s="24">
        <v>11881.36</v>
      </c>
      <c r="G1422" s="10" t="s">
        <v>4696</v>
      </c>
      <c r="H1422" s="10" t="s">
        <v>4695</v>
      </c>
      <c r="I1422" s="10" t="s">
        <v>4716</v>
      </c>
      <c r="J1422" s="17">
        <f t="shared" si="10"/>
        <v>24667</v>
      </c>
      <c r="K1422" s="10">
        <f t="shared" ca="1" si="11"/>
        <v>58</v>
      </c>
      <c r="L1422" s="6"/>
      <c r="M1422" s="6"/>
      <c r="N1422" s="6"/>
      <c r="O1422" s="6"/>
      <c r="P1422" s="6"/>
      <c r="Q1422" s="6"/>
      <c r="R1422" s="6"/>
      <c r="S1422" s="6"/>
      <c r="T1422" s="6"/>
      <c r="U1422" s="6"/>
      <c r="V1422" s="6"/>
      <c r="W1422" s="6"/>
      <c r="X1422" s="6"/>
      <c r="Y1422" s="6"/>
      <c r="Z1422" s="6"/>
    </row>
    <row r="1423" spans="1:26" ht="15.75" customHeight="1" x14ac:dyDescent="0.3">
      <c r="A1423" s="10" t="s">
        <v>1836</v>
      </c>
      <c r="B1423" s="10">
        <v>1967</v>
      </c>
      <c r="C1423" s="10" t="s">
        <v>4715</v>
      </c>
      <c r="D1423" s="10">
        <v>29</v>
      </c>
      <c r="E1423" s="10">
        <v>2</v>
      </c>
      <c r="F1423" s="24">
        <v>11881.97</v>
      </c>
      <c r="G1423" s="10" t="s">
        <v>4696</v>
      </c>
      <c r="H1423" s="10" t="s">
        <v>4694</v>
      </c>
      <c r="I1423" s="10" t="s">
        <v>4708</v>
      </c>
      <c r="J1423" s="17">
        <f t="shared" si="10"/>
        <v>24774</v>
      </c>
      <c r="K1423" s="10">
        <f t="shared" ca="1" si="11"/>
        <v>58</v>
      </c>
      <c r="L1423" s="6"/>
      <c r="M1423" s="6"/>
      <c r="N1423" s="6"/>
      <c r="O1423" s="6"/>
      <c r="P1423" s="6"/>
      <c r="Q1423" s="6"/>
      <c r="R1423" s="6"/>
      <c r="S1423" s="6"/>
      <c r="T1423" s="6"/>
      <c r="U1423" s="6"/>
      <c r="V1423" s="6"/>
      <c r="W1423" s="6"/>
      <c r="X1423" s="6"/>
      <c r="Y1423" s="6"/>
      <c r="Z1423" s="6"/>
    </row>
    <row r="1424" spans="1:26" ht="15.75" customHeight="1" x14ac:dyDescent="0.3">
      <c r="A1424" s="10" t="s">
        <v>1834</v>
      </c>
      <c r="B1424" s="10">
        <v>2004</v>
      </c>
      <c r="C1424" s="10" t="s">
        <v>4710</v>
      </c>
      <c r="D1424" s="10">
        <v>2</v>
      </c>
      <c r="E1424" s="10">
        <v>2</v>
      </c>
      <c r="F1424" s="24">
        <v>11884.05</v>
      </c>
      <c r="G1424" s="10" t="s">
        <v>4696</v>
      </c>
      <c r="H1424" s="10" t="s">
        <v>4696</v>
      </c>
      <c r="I1424" s="10" t="s">
        <v>4708</v>
      </c>
      <c r="J1424" s="17">
        <f t="shared" si="10"/>
        <v>38140</v>
      </c>
      <c r="K1424" s="10">
        <f t="shared" ca="1" si="11"/>
        <v>21</v>
      </c>
      <c r="L1424" s="6"/>
      <c r="M1424" s="6"/>
      <c r="N1424" s="6"/>
      <c r="O1424" s="6"/>
      <c r="P1424" s="6"/>
      <c r="Q1424" s="6"/>
      <c r="R1424" s="6"/>
      <c r="S1424" s="6"/>
      <c r="T1424" s="6"/>
      <c r="U1424" s="6"/>
      <c r="V1424" s="6"/>
      <c r="W1424" s="6"/>
      <c r="X1424" s="6"/>
      <c r="Y1424" s="6"/>
      <c r="Z1424" s="6"/>
    </row>
    <row r="1425" spans="1:26" ht="15.75" customHeight="1" x14ac:dyDescent="0.3">
      <c r="A1425" s="10" t="s">
        <v>1832</v>
      </c>
      <c r="B1425" s="10">
        <v>1964</v>
      </c>
      <c r="C1425" s="10" t="s">
        <v>4709</v>
      </c>
      <c r="D1425" s="10">
        <v>19</v>
      </c>
      <c r="E1425" s="10">
        <v>0</v>
      </c>
      <c r="F1425" s="24">
        <v>11918.2</v>
      </c>
      <c r="G1425" s="10" t="s">
        <v>4696</v>
      </c>
      <c r="H1425" s="10" t="s">
        <v>4694</v>
      </c>
      <c r="I1425" s="10" t="s">
        <v>4726</v>
      </c>
      <c r="J1425" s="17">
        <f t="shared" si="10"/>
        <v>23700</v>
      </c>
      <c r="K1425" s="10">
        <f t="shared" ca="1" si="11"/>
        <v>61</v>
      </c>
      <c r="L1425" s="6"/>
      <c r="M1425" s="6"/>
      <c r="N1425" s="6"/>
      <c r="O1425" s="6"/>
      <c r="P1425" s="6"/>
      <c r="Q1425" s="6"/>
      <c r="R1425" s="6"/>
      <c r="S1425" s="6"/>
      <c r="T1425" s="6"/>
      <c r="U1425" s="6"/>
      <c r="V1425" s="6"/>
      <c r="W1425" s="6"/>
      <c r="X1425" s="6"/>
      <c r="Y1425" s="6"/>
      <c r="Z1425" s="6"/>
    </row>
    <row r="1426" spans="1:26" ht="15.75" customHeight="1" x14ac:dyDescent="0.3">
      <c r="A1426" s="10" t="s">
        <v>1830</v>
      </c>
      <c r="B1426" s="10">
        <v>1964</v>
      </c>
      <c r="C1426" s="10" t="s">
        <v>4713</v>
      </c>
      <c r="D1426" s="10">
        <v>20</v>
      </c>
      <c r="E1426" s="10">
        <v>0</v>
      </c>
      <c r="F1426" s="24">
        <v>11931.13</v>
      </c>
      <c r="G1426" s="10" t="s">
        <v>4696</v>
      </c>
      <c r="H1426" s="10" t="s">
        <v>4694</v>
      </c>
      <c r="I1426" s="10" t="s">
        <v>4719</v>
      </c>
      <c r="J1426" s="17">
        <f t="shared" si="10"/>
        <v>23731</v>
      </c>
      <c r="K1426" s="10">
        <f t="shared" ca="1" si="11"/>
        <v>60</v>
      </c>
      <c r="L1426" s="6"/>
      <c r="M1426" s="6"/>
      <c r="N1426" s="6"/>
      <c r="O1426" s="6"/>
      <c r="P1426" s="6"/>
      <c r="Q1426" s="6"/>
      <c r="R1426" s="6"/>
      <c r="S1426" s="6"/>
      <c r="T1426" s="6"/>
      <c r="U1426" s="6"/>
      <c r="V1426" s="6"/>
      <c r="W1426" s="6"/>
      <c r="X1426" s="6"/>
      <c r="Y1426" s="6"/>
      <c r="Z1426" s="6"/>
    </row>
    <row r="1427" spans="1:26" ht="15.75" customHeight="1" x14ac:dyDescent="0.3">
      <c r="A1427" s="10" t="s">
        <v>1828</v>
      </c>
      <c r="B1427" s="10">
        <v>1964</v>
      </c>
      <c r="C1427" s="10" t="s">
        <v>4714</v>
      </c>
      <c r="D1427" s="10">
        <v>2</v>
      </c>
      <c r="E1427" s="10">
        <v>0</v>
      </c>
      <c r="F1427" s="24">
        <v>11938.26</v>
      </c>
      <c r="G1427" s="10" t="s">
        <v>4696</v>
      </c>
      <c r="H1427" s="10" t="s">
        <v>4696</v>
      </c>
      <c r="I1427" s="10" t="s">
        <v>4719</v>
      </c>
      <c r="J1427" s="17">
        <f t="shared" si="10"/>
        <v>23591</v>
      </c>
      <c r="K1427" s="10">
        <f t="shared" ca="1" si="11"/>
        <v>61</v>
      </c>
      <c r="L1427" s="6"/>
      <c r="M1427" s="6"/>
      <c r="N1427" s="6"/>
      <c r="O1427" s="6"/>
      <c r="P1427" s="6"/>
      <c r="Q1427" s="6"/>
      <c r="R1427" s="6"/>
      <c r="S1427" s="6"/>
      <c r="T1427" s="6"/>
      <c r="U1427" s="6"/>
      <c r="V1427" s="6"/>
      <c r="W1427" s="6"/>
      <c r="X1427" s="6"/>
      <c r="Y1427" s="6"/>
      <c r="Z1427" s="6"/>
    </row>
    <row r="1428" spans="1:26" ht="15.75" customHeight="1" x14ac:dyDescent="0.3">
      <c r="A1428" s="10" t="s">
        <v>1826</v>
      </c>
      <c r="B1428" s="10">
        <v>1991</v>
      </c>
      <c r="C1428" s="10" t="s">
        <v>4715</v>
      </c>
      <c r="D1428" s="10">
        <v>19</v>
      </c>
      <c r="E1428" s="10">
        <v>3</v>
      </c>
      <c r="F1428" s="24">
        <v>11941.83</v>
      </c>
      <c r="G1428" s="10" t="s">
        <v>4696</v>
      </c>
      <c r="H1428" s="10" t="s">
        <v>4694</v>
      </c>
      <c r="I1428" s="10" t="s">
        <v>4724</v>
      </c>
      <c r="J1428" s="17">
        <f t="shared" si="10"/>
        <v>33530</v>
      </c>
      <c r="K1428" s="10">
        <f t="shared" ca="1" si="11"/>
        <v>34</v>
      </c>
      <c r="L1428" s="6"/>
      <c r="M1428" s="6"/>
      <c r="N1428" s="6"/>
      <c r="O1428" s="6"/>
      <c r="P1428" s="6"/>
      <c r="Q1428" s="6"/>
      <c r="R1428" s="6"/>
      <c r="S1428" s="6"/>
      <c r="T1428" s="6"/>
      <c r="U1428" s="6"/>
      <c r="V1428" s="6"/>
      <c r="W1428" s="6"/>
      <c r="X1428" s="6"/>
      <c r="Y1428" s="6"/>
      <c r="Z1428" s="6"/>
    </row>
    <row r="1429" spans="1:26" ht="15.75" customHeight="1" x14ac:dyDescent="0.3">
      <c r="A1429" s="10" t="s">
        <v>1824</v>
      </c>
      <c r="B1429" s="10">
        <v>1964</v>
      </c>
      <c r="C1429" s="10" t="s">
        <v>4713</v>
      </c>
      <c r="D1429" s="10">
        <v>25</v>
      </c>
      <c r="E1429" s="10">
        <v>0</v>
      </c>
      <c r="F1429" s="24">
        <v>11944.59</v>
      </c>
      <c r="G1429" s="10" t="s">
        <v>4696</v>
      </c>
      <c r="H1429" s="10" t="s">
        <v>4695</v>
      </c>
      <c r="I1429" s="10" t="s">
        <v>4720</v>
      </c>
      <c r="J1429" s="17">
        <f t="shared" si="10"/>
        <v>23736</v>
      </c>
      <c r="K1429" s="10">
        <f t="shared" ca="1" si="11"/>
        <v>60</v>
      </c>
      <c r="L1429" s="6"/>
      <c r="M1429" s="6"/>
      <c r="N1429" s="6"/>
      <c r="O1429" s="6"/>
      <c r="P1429" s="6"/>
      <c r="Q1429" s="6"/>
      <c r="R1429" s="6"/>
      <c r="S1429" s="6"/>
      <c r="T1429" s="6"/>
      <c r="U1429" s="6"/>
      <c r="V1429" s="6"/>
      <c r="W1429" s="6"/>
      <c r="X1429" s="6"/>
      <c r="Y1429" s="6"/>
      <c r="Z1429" s="6"/>
    </row>
    <row r="1430" spans="1:26" ht="15.75" customHeight="1" x14ac:dyDescent="0.3">
      <c r="A1430" s="10" t="s">
        <v>1822</v>
      </c>
      <c r="B1430" s="10">
        <v>1965</v>
      </c>
      <c r="C1430" s="10" t="s">
        <v>4709</v>
      </c>
      <c r="D1430" s="10">
        <v>1</v>
      </c>
      <c r="E1430" s="10">
        <v>1</v>
      </c>
      <c r="F1430" s="24">
        <v>11945.13</v>
      </c>
      <c r="G1430" s="10" t="s">
        <v>4696</v>
      </c>
      <c r="H1430" s="10" t="s">
        <v>4695</v>
      </c>
      <c r="I1430" s="10" t="s">
        <v>4712</v>
      </c>
      <c r="J1430" s="17">
        <f t="shared" si="10"/>
        <v>24047</v>
      </c>
      <c r="K1430" s="10">
        <f t="shared" ca="1" si="11"/>
        <v>60</v>
      </c>
      <c r="L1430" s="6"/>
      <c r="M1430" s="6"/>
      <c r="N1430" s="6"/>
      <c r="O1430" s="6"/>
      <c r="P1430" s="6"/>
      <c r="Q1430" s="6"/>
      <c r="R1430" s="6"/>
      <c r="S1430" s="6"/>
      <c r="T1430" s="6"/>
      <c r="U1430" s="6"/>
      <c r="V1430" s="6"/>
      <c r="W1430" s="6"/>
      <c r="X1430" s="6"/>
      <c r="Y1430" s="6"/>
      <c r="Z1430" s="6"/>
    </row>
    <row r="1431" spans="1:26" ht="15.75" customHeight="1" x14ac:dyDescent="0.3">
      <c r="A1431" s="10" t="s">
        <v>1820</v>
      </c>
      <c r="B1431" s="10">
        <v>1964</v>
      </c>
      <c r="C1431" s="10" t="s">
        <v>4711</v>
      </c>
      <c r="D1431" s="10">
        <v>29</v>
      </c>
      <c r="E1431" s="10">
        <v>1</v>
      </c>
      <c r="F1431" s="24">
        <v>11946.63</v>
      </c>
      <c r="G1431" s="10" t="s">
        <v>4696</v>
      </c>
      <c r="H1431" s="10" t="s">
        <v>4695</v>
      </c>
      <c r="I1431" s="10" t="s">
        <v>4708</v>
      </c>
      <c r="J1431" s="17">
        <f t="shared" si="10"/>
        <v>23649</v>
      </c>
      <c r="K1431" s="10">
        <f t="shared" ca="1" si="11"/>
        <v>61</v>
      </c>
      <c r="L1431" s="6"/>
      <c r="M1431" s="6"/>
      <c r="N1431" s="6"/>
      <c r="O1431" s="6"/>
      <c r="P1431" s="6"/>
      <c r="Q1431" s="6"/>
      <c r="R1431" s="6"/>
      <c r="S1431" s="6"/>
      <c r="T1431" s="6"/>
      <c r="U1431" s="6"/>
      <c r="V1431" s="6"/>
      <c r="W1431" s="6"/>
      <c r="X1431" s="6"/>
      <c r="Y1431" s="6"/>
      <c r="Z1431" s="6"/>
    </row>
    <row r="1432" spans="1:26" ht="15.75" customHeight="1" x14ac:dyDescent="0.3">
      <c r="A1432" s="10" t="s">
        <v>1818</v>
      </c>
      <c r="B1432" s="10">
        <v>1967</v>
      </c>
      <c r="C1432" s="10" t="s">
        <v>4713</v>
      </c>
      <c r="D1432" s="10">
        <v>22</v>
      </c>
      <c r="E1432" s="10">
        <v>3</v>
      </c>
      <c r="F1432" s="24">
        <v>11987.17</v>
      </c>
      <c r="G1432" s="10" t="s">
        <v>4696</v>
      </c>
      <c r="H1432" s="10" t="s">
        <v>4696</v>
      </c>
      <c r="I1432" s="10" t="s">
        <v>4708</v>
      </c>
      <c r="J1432" s="17">
        <f t="shared" si="10"/>
        <v>24828</v>
      </c>
      <c r="K1432" s="10">
        <f t="shared" ca="1" si="11"/>
        <v>57</v>
      </c>
      <c r="L1432" s="6"/>
      <c r="M1432" s="6"/>
      <c r="N1432" s="6"/>
      <c r="O1432" s="6"/>
      <c r="P1432" s="6"/>
      <c r="Q1432" s="6"/>
      <c r="R1432" s="6"/>
      <c r="S1432" s="6"/>
      <c r="T1432" s="6"/>
      <c r="U1432" s="6"/>
      <c r="V1432" s="6"/>
      <c r="W1432" s="6"/>
      <c r="X1432" s="6"/>
      <c r="Y1432" s="6"/>
      <c r="Z1432" s="6"/>
    </row>
    <row r="1433" spans="1:26" ht="15.75" customHeight="1" x14ac:dyDescent="0.3">
      <c r="A1433" s="10" t="s">
        <v>1816</v>
      </c>
      <c r="B1433" s="10">
        <v>1983</v>
      </c>
      <c r="C1433" s="10" t="s">
        <v>4707</v>
      </c>
      <c r="D1433" s="10">
        <v>4</v>
      </c>
      <c r="E1433" s="10">
        <v>3</v>
      </c>
      <c r="F1433" s="24">
        <v>11987.68</v>
      </c>
      <c r="G1433" s="10" t="s">
        <v>4696</v>
      </c>
      <c r="H1433" s="10" t="s">
        <v>4695</v>
      </c>
      <c r="I1433" s="10" t="s">
        <v>4729</v>
      </c>
      <c r="J1433" s="17">
        <f t="shared" si="10"/>
        <v>30501</v>
      </c>
      <c r="K1433" s="10">
        <f t="shared" ca="1" si="11"/>
        <v>42</v>
      </c>
      <c r="L1433" s="6"/>
      <c r="M1433" s="6"/>
      <c r="N1433" s="6"/>
      <c r="O1433" s="6"/>
      <c r="P1433" s="6"/>
      <c r="Q1433" s="6"/>
      <c r="R1433" s="6"/>
      <c r="S1433" s="6"/>
      <c r="T1433" s="6"/>
      <c r="U1433" s="6"/>
      <c r="V1433" s="6"/>
      <c r="W1433" s="6"/>
      <c r="X1433" s="6"/>
      <c r="Y1433" s="6"/>
      <c r="Z1433" s="6"/>
    </row>
    <row r="1434" spans="1:26" ht="15.75" customHeight="1" x14ac:dyDescent="0.3">
      <c r="A1434" s="10" t="s">
        <v>1814</v>
      </c>
      <c r="B1434" s="10">
        <v>1993</v>
      </c>
      <c r="C1434" s="10" t="s">
        <v>4713</v>
      </c>
      <c r="D1434" s="10">
        <v>12</v>
      </c>
      <c r="E1434" s="10">
        <v>0</v>
      </c>
      <c r="F1434" s="24">
        <v>11994.89</v>
      </c>
      <c r="G1434" s="10" t="s">
        <v>4696</v>
      </c>
      <c r="H1434" s="10" t="s">
        <v>4695</v>
      </c>
      <c r="I1434" s="10" t="s">
        <v>4712</v>
      </c>
      <c r="J1434" s="17">
        <f t="shared" si="10"/>
        <v>34315</v>
      </c>
      <c r="K1434" s="10">
        <f t="shared" ca="1" si="11"/>
        <v>31</v>
      </c>
      <c r="L1434" s="6"/>
      <c r="M1434" s="6"/>
      <c r="N1434" s="6"/>
      <c r="O1434" s="6"/>
      <c r="P1434" s="6"/>
      <c r="Q1434" s="6"/>
      <c r="R1434" s="6"/>
      <c r="S1434" s="6"/>
      <c r="T1434" s="6"/>
      <c r="U1434" s="6"/>
      <c r="V1434" s="6"/>
      <c r="W1434" s="6"/>
      <c r="X1434" s="6"/>
      <c r="Y1434" s="6"/>
      <c r="Z1434" s="6"/>
    </row>
    <row r="1435" spans="1:26" ht="15.75" customHeight="1" x14ac:dyDescent="0.3">
      <c r="A1435" s="10" t="s">
        <v>1812</v>
      </c>
      <c r="B1435" s="10">
        <v>1982</v>
      </c>
      <c r="C1435" s="10" t="s">
        <v>4715</v>
      </c>
      <c r="D1435" s="10">
        <v>17</v>
      </c>
      <c r="E1435" s="10">
        <v>3</v>
      </c>
      <c r="F1435" s="24">
        <v>12001.29</v>
      </c>
      <c r="G1435" s="10" t="s">
        <v>4696</v>
      </c>
      <c r="H1435" s="10" t="s">
        <v>4696</v>
      </c>
      <c r="I1435" s="10" t="s">
        <v>4726</v>
      </c>
      <c r="J1435" s="17">
        <f t="shared" si="10"/>
        <v>30241</v>
      </c>
      <c r="K1435" s="10">
        <f t="shared" ca="1" si="11"/>
        <v>43</v>
      </c>
      <c r="L1435" s="6"/>
      <c r="M1435" s="6"/>
      <c r="N1435" s="6"/>
      <c r="O1435" s="6"/>
      <c r="P1435" s="6"/>
      <c r="Q1435" s="6"/>
      <c r="R1435" s="6"/>
      <c r="S1435" s="6"/>
      <c r="T1435" s="6"/>
      <c r="U1435" s="6"/>
      <c r="V1435" s="6"/>
      <c r="W1435" s="6"/>
      <c r="X1435" s="6"/>
      <c r="Y1435" s="6"/>
      <c r="Z1435" s="6"/>
    </row>
    <row r="1436" spans="1:26" ht="15.75" customHeight="1" x14ac:dyDescent="0.3">
      <c r="A1436" s="10" t="s">
        <v>1810</v>
      </c>
      <c r="B1436" s="10">
        <v>1965</v>
      </c>
      <c r="C1436" s="10" t="s">
        <v>4710</v>
      </c>
      <c r="D1436" s="10">
        <v>9</v>
      </c>
      <c r="E1436" s="10">
        <v>0</v>
      </c>
      <c r="F1436" s="24">
        <v>12029.29</v>
      </c>
      <c r="G1436" s="10" t="s">
        <v>4696</v>
      </c>
      <c r="H1436" s="10" t="s">
        <v>4695</v>
      </c>
      <c r="I1436" s="10" t="s">
        <v>4723</v>
      </c>
      <c r="J1436" s="17">
        <f t="shared" si="10"/>
        <v>23902</v>
      </c>
      <c r="K1436" s="10">
        <f t="shared" ca="1" si="11"/>
        <v>60</v>
      </c>
      <c r="L1436" s="6"/>
      <c r="M1436" s="6"/>
      <c r="N1436" s="6"/>
      <c r="O1436" s="6"/>
      <c r="P1436" s="6"/>
      <c r="Q1436" s="6"/>
      <c r="R1436" s="6"/>
      <c r="S1436" s="6"/>
      <c r="T1436" s="6"/>
      <c r="U1436" s="6"/>
      <c r="V1436" s="6"/>
      <c r="W1436" s="6"/>
      <c r="X1436" s="6"/>
      <c r="Y1436" s="6"/>
      <c r="Z1436" s="6"/>
    </row>
    <row r="1437" spans="1:26" ht="15.75" customHeight="1" x14ac:dyDescent="0.3">
      <c r="A1437" s="10" t="s">
        <v>1808</v>
      </c>
      <c r="B1437" s="10">
        <v>1965</v>
      </c>
      <c r="C1437" s="10" t="s">
        <v>4715</v>
      </c>
      <c r="D1437" s="10">
        <v>29</v>
      </c>
      <c r="E1437" s="10">
        <v>1</v>
      </c>
      <c r="F1437" s="24">
        <v>12032.33</v>
      </c>
      <c r="G1437" s="10" t="s">
        <v>4696</v>
      </c>
      <c r="H1437" s="10" t="s">
        <v>4694</v>
      </c>
      <c r="I1437" s="10" t="s">
        <v>4716</v>
      </c>
      <c r="J1437" s="17">
        <f t="shared" si="10"/>
        <v>24044</v>
      </c>
      <c r="K1437" s="10">
        <f t="shared" ca="1" si="11"/>
        <v>60</v>
      </c>
      <c r="L1437" s="6"/>
      <c r="M1437" s="6"/>
      <c r="N1437" s="6"/>
      <c r="O1437" s="6"/>
      <c r="P1437" s="6"/>
      <c r="Q1437" s="6"/>
      <c r="R1437" s="6"/>
      <c r="S1437" s="6"/>
      <c r="T1437" s="6"/>
      <c r="U1437" s="6"/>
      <c r="V1437" s="6"/>
      <c r="W1437" s="6"/>
      <c r="X1437" s="6"/>
      <c r="Y1437" s="6"/>
      <c r="Z1437" s="6"/>
    </row>
    <row r="1438" spans="1:26" ht="15.75" customHeight="1" x14ac:dyDescent="0.3">
      <c r="A1438" s="10" t="s">
        <v>1806</v>
      </c>
      <c r="B1438" s="10">
        <v>1979</v>
      </c>
      <c r="C1438" s="10" t="s">
        <v>4715</v>
      </c>
      <c r="D1438" s="10">
        <v>16</v>
      </c>
      <c r="E1438" s="10">
        <v>2</v>
      </c>
      <c r="F1438" s="24">
        <v>12035.18</v>
      </c>
      <c r="G1438" s="10" t="s">
        <v>4696</v>
      </c>
      <c r="H1438" s="10" t="s">
        <v>4696</v>
      </c>
      <c r="I1438" s="10" t="s">
        <v>4726</v>
      </c>
      <c r="J1438" s="17">
        <f t="shared" si="10"/>
        <v>29144</v>
      </c>
      <c r="K1438" s="10">
        <f t="shared" ca="1" si="11"/>
        <v>46</v>
      </c>
      <c r="L1438" s="6"/>
      <c r="M1438" s="6"/>
      <c r="N1438" s="6"/>
      <c r="O1438" s="6"/>
      <c r="P1438" s="6"/>
      <c r="Q1438" s="6"/>
      <c r="R1438" s="6"/>
      <c r="S1438" s="6"/>
      <c r="T1438" s="6"/>
      <c r="U1438" s="6"/>
      <c r="V1438" s="6"/>
      <c r="W1438" s="6"/>
      <c r="X1438" s="6"/>
      <c r="Y1438" s="6"/>
      <c r="Z1438" s="6"/>
    </row>
    <row r="1439" spans="1:26" ht="15.75" customHeight="1" x14ac:dyDescent="0.3">
      <c r="A1439" s="10" t="s">
        <v>1804</v>
      </c>
      <c r="B1439" s="10">
        <v>1966</v>
      </c>
      <c r="C1439" s="10" t="s">
        <v>4709</v>
      </c>
      <c r="D1439" s="10">
        <v>24</v>
      </c>
      <c r="E1439" s="10">
        <v>1</v>
      </c>
      <c r="F1439" s="24">
        <v>12044.34</v>
      </c>
      <c r="G1439" s="10" t="s">
        <v>4696</v>
      </c>
      <c r="H1439" s="10" t="s">
        <v>4694</v>
      </c>
      <c r="I1439" s="10" t="s">
        <v>4712</v>
      </c>
      <c r="J1439" s="17">
        <f t="shared" si="10"/>
        <v>24435</v>
      </c>
      <c r="K1439" s="10">
        <f t="shared" ca="1" si="11"/>
        <v>59</v>
      </c>
      <c r="L1439" s="6"/>
      <c r="M1439" s="6"/>
      <c r="N1439" s="6"/>
      <c r="O1439" s="6"/>
      <c r="P1439" s="6"/>
      <c r="Q1439" s="6"/>
      <c r="R1439" s="6"/>
      <c r="S1439" s="6"/>
      <c r="T1439" s="6"/>
      <c r="U1439" s="6"/>
      <c r="V1439" s="6"/>
      <c r="W1439" s="6"/>
      <c r="X1439" s="6"/>
      <c r="Y1439" s="6"/>
      <c r="Z1439" s="6"/>
    </row>
    <row r="1440" spans="1:26" ht="15.75" customHeight="1" x14ac:dyDescent="0.3">
      <c r="A1440" s="10" t="s">
        <v>1802</v>
      </c>
      <c r="B1440" s="10">
        <v>1986</v>
      </c>
      <c r="C1440" s="10" t="s">
        <v>4711</v>
      </c>
      <c r="D1440" s="10">
        <v>7</v>
      </c>
      <c r="E1440" s="10">
        <v>3</v>
      </c>
      <c r="F1440" s="24">
        <v>12048.13</v>
      </c>
      <c r="G1440" s="10" t="s">
        <v>4696</v>
      </c>
      <c r="H1440" s="10" t="s">
        <v>4695</v>
      </c>
      <c r="I1440" s="10" t="s">
        <v>4729</v>
      </c>
      <c r="J1440" s="17">
        <f t="shared" si="10"/>
        <v>31662</v>
      </c>
      <c r="K1440" s="10">
        <f t="shared" ca="1" si="11"/>
        <v>39</v>
      </c>
      <c r="L1440" s="6"/>
      <c r="M1440" s="6"/>
      <c r="N1440" s="6"/>
      <c r="O1440" s="6"/>
      <c r="P1440" s="6"/>
      <c r="Q1440" s="6"/>
      <c r="R1440" s="6"/>
      <c r="S1440" s="6"/>
      <c r="T1440" s="6"/>
      <c r="U1440" s="6"/>
      <c r="V1440" s="6"/>
      <c r="W1440" s="6"/>
      <c r="X1440" s="6"/>
      <c r="Y1440" s="6"/>
      <c r="Z1440" s="6"/>
    </row>
    <row r="1441" spans="1:26" ht="15.75" customHeight="1" x14ac:dyDescent="0.3">
      <c r="A1441" s="10" t="s">
        <v>1800</v>
      </c>
      <c r="B1441" s="10">
        <v>1984</v>
      </c>
      <c r="C1441" s="10" t="s">
        <v>4711</v>
      </c>
      <c r="D1441" s="10">
        <v>2</v>
      </c>
      <c r="E1441" s="10">
        <v>3</v>
      </c>
      <c r="F1441" s="24">
        <v>12091.34</v>
      </c>
      <c r="G1441" s="10" t="s">
        <v>4696</v>
      </c>
      <c r="H1441" s="10" t="s">
        <v>4695</v>
      </c>
      <c r="I1441" s="10" t="s">
        <v>4730</v>
      </c>
      <c r="J1441" s="17">
        <f t="shared" si="10"/>
        <v>30927</v>
      </c>
      <c r="K1441" s="10">
        <f t="shared" ca="1" si="11"/>
        <v>41</v>
      </c>
      <c r="L1441" s="6"/>
      <c r="M1441" s="6"/>
      <c r="N1441" s="6"/>
      <c r="O1441" s="6"/>
      <c r="P1441" s="6"/>
      <c r="Q1441" s="6"/>
      <c r="R1441" s="6"/>
      <c r="S1441" s="6"/>
      <c r="T1441" s="6"/>
      <c r="U1441" s="6"/>
      <c r="V1441" s="6"/>
      <c r="W1441" s="6"/>
      <c r="X1441" s="6"/>
      <c r="Y1441" s="6"/>
      <c r="Z1441" s="6"/>
    </row>
    <row r="1442" spans="1:26" ht="15.75" customHeight="1" x14ac:dyDescent="0.3">
      <c r="A1442" s="10" t="s">
        <v>1798</v>
      </c>
      <c r="B1442" s="10">
        <v>1968</v>
      </c>
      <c r="C1442" s="10" t="s">
        <v>4710</v>
      </c>
      <c r="D1442" s="10">
        <v>21</v>
      </c>
      <c r="E1442" s="10">
        <v>3</v>
      </c>
      <c r="F1442" s="24">
        <v>12094.48</v>
      </c>
      <c r="G1442" s="10" t="s">
        <v>4696</v>
      </c>
      <c r="H1442" s="10" t="s">
        <v>4696</v>
      </c>
      <c r="I1442" s="10" t="s">
        <v>4716</v>
      </c>
      <c r="J1442" s="17">
        <f t="shared" si="10"/>
        <v>25010</v>
      </c>
      <c r="K1442" s="10">
        <f t="shared" ca="1" si="11"/>
        <v>57</v>
      </c>
      <c r="L1442" s="6"/>
      <c r="M1442" s="6"/>
      <c r="N1442" s="6"/>
      <c r="O1442" s="6"/>
      <c r="P1442" s="6"/>
      <c r="Q1442" s="6"/>
      <c r="R1442" s="6"/>
      <c r="S1442" s="6"/>
      <c r="T1442" s="6"/>
      <c r="U1442" s="6"/>
      <c r="V1442" s="6"/>
      <c r="W1442" s="6"/>
      <c r="X1442" s="6"/>
      <c r="Y1442" s="6"/>
      <c r="Z1442" s="6"/>
    </row>
    <row r="1443" spans="1:26" ht="15.75" customHeight="1" x14ac:dyDescent="0.3">
      <c r="A1443" s="10" t="s">
        <v>1796</v>
      </c>
      <c r="B1443" s="10">
        <v>1968</v>
      </c>
      <c r="C1443" s="10" t="s">
        <v>4713</v>
      </c>
      <c r="D1443" s="10">
        <v>9</v>
      </c>
      <c r="E1443" s="10">
        <v>2</v>
      </c>
      <c r="F1443" s="24">
        <v>12096.65</v>
      </c>
      <c r="G1443" s="10" t="s">
        <v>4696</v>
      </c>
      <c r="H1443" s="10" t="s">
        <v>4694</v>
      </c>
      <c r="I1443" s="10" t="s">
        <v>4723</v>
      </c>
      <c r="J1443" s="17">
        <f t="shared" si="10"/>
        <v>25181</v>
      </c>
      <c r="K1443" s="10">
        <f t="shared" ca="1" si="11"/>
        <v>56</v>
      </c>
      <c r="L1443" s="6"/>
      <c r="M1443" s="6"/>
      <c r="N1443" s="6"/>
      <c r="O1443" s="6"/>
      <c r="P1443" s="6"/>
      <c r="Q1443" s="6"/>
      <c r="R1443" s="6"/>
      <c r="S1443" s="6"/>
      <c r="T1443" s="6"/>
      <c r="U1443" s="6"/>
      <c r="V1443" s="6"/>
      <c r="W1443" s="6"/>
      <c r="X1443" s="6"/>
      <c r="Y1443" s="6"/>
      <c r="Z1443" s="6"/>
    </row>
    <row r="1444" spans="1:26" ht="15.75" customHeight="1" x14ac:dyDescent="0.3">
      <c r="A1444" s="10" t="s">
        <v>1794</v>
      </c>
      <c r="B1444" s="10">
        <v>1968</v>
      </c>
      <c r="C1444" s="10" t="s">
        <v>4715</v>
      </c>
      <c r="D1444" s="10">
        <v>25</v>
      </c>
      <c r="E1444" s="10">
        <v>3</v>
      </c>
      <c r="F1444" s="24">
        <v>12105.32</v>
      </c>
      <c r="G1444" s="10" t="s">
        <v>4696</v>
      </c>
      <c r="H1444" s="10" t="s">
        <v>4696</v>
      </c>
      <c r="I1444" s="10" t="s">
        <v>4716</v>
      </c>
      <c r="J1444" s="17">
        <f t="shared" si="10"/>
        <v>25136</v>
      </c>
      <c r="K1444" s="10">
        <f t="shared" ca="1" si="11"/>
        <v>57</v>
      </c>
      <c r="L1444" s="6"/>
      <c r="M1444" s="6"/>
      <c r="N1444" s="6"/>
      <c r="O1444" s="6"/>
      <c r="P1444" s="6"/>
      <c r="Q1444" s="6"/>
      <c r="R1444" s="6"/>
      <c r="S1444" s="6"/>
      <c r="T1444" s="6"/>
      <c r="U1444" s="6"/>
      <c r="V1444" s="6"/>
      <c r="W1444" s="6"/>
      <c r="X1444" s="6"/>
      <c r="Y1444" s="6"/>
      <c r="Z1444" s="6"/>
    </row>
    <row r="1445" spans="1:26" ht="15.75" customHeight="1" x14ac:dyDescent="0.3">
      <c r="A1445" s="10" t="s">
        <v>1792</v>
      </c>
      <c r="B1445" s="10">
        <v>1963</v>
      </c>
      <c r="C1445" s="10" t="s">
        <v>4707</v>
      </c>
      <c r="D1445" s="10">
        <v>20</v>
      </c>
      <c r="E1445" s="10">
        <v>0</v>
      </c>
      <c r="F1445" s="24">
        <v>12124.99</v>
      </c>
      <c r="G1445" s="10" t="s">
        <v>4696</v>
      </c>
      <c r="H1445" s="10" t="s">
        <v>4694</v>
      </c>
      <c r="I1445" s="10" t="s">
        <v>4712</v>
      </c>
      <c r="J1445" s="17">
        <f t="shared" si="10"/>
        <v>23212</v>
      </c>
      <c r="K1445" s="10">
        <f t="shared" ca="1" si="11"/>
        <v>62</v>
      </c>
      <c r="L1445" s="6"/>
      <c r="M1445" s="6"/>
      <c r="N1445" s="6"/>
      <c r="O1445" s="6"/>
      <c r="P1445" s="6"/>
      <c r="Q1445" s="6"/>
      <c r="R1445" s="6"/>
      <c r="S1445" s="6"/>
      <c r="T1445" s="6"/>
      <c r="U1445" s="6"/>
      <c r="V1445" s="6"/>
      <c r="W1445" s="6"/>
      <c r="X1445" s="6"/>
      <c r="Y1445" s="6"/>
      <c r="Z1445" s="6"/>
    </row>
    <row r="1446" spans="1:26" ht="15.75" customHeight="1" x14ac:dyDescent="0.3">
      <c r="A1446" s="10" t="s">
        <v>1790</v>
      </c>
      <c r="B1446" s="10">
        <v>1963</v>
      </c>
      <c r="C1446" s="10" t="s">
        <v>4710</v>
      </c>
      <c r="D1446" s="10">
        <v>4</v>
      </c>
      <c r="E1446" s="10">
        <v>0</v>
      </c>
      <c r="F1446" s="24">
        <v>12129.61</v>
      </c>
      <c r="G1446" s="10" t="s">
        <v>4696</v>
      </c>
      <c r="H1446" s="10" t="s">
        <v>4694</v>
      </c>
      <c r="I1446" s="10" t="s">
        <v>4712</v>
      </c>
      <c r="J1446" s="17">
        <f t="shared" si="10"/>
        <v>23166</v>
      </c>
      <c r="K1446" s="10">
        <f t="shared" ca="1" si="11"/>
        <v>62</v>
      </c>
      <c r="L1446" s="6"/>
      <c r="M1446" s="6"/>
      <c r="N1446" s="6"/>
      <c r="O1446" s="6"/>
      <c r="P1446" s="6"/>
      <c r="Q1446" s="6"/>
      <c r="R1446" s="6"/>
      <c r="S1446" s="6"/>
      <c r="T1446" s="6"/>
      <c r="U1446" s="6"/>
      <c r="V1446" s="6"/>
      <c r="W1446" s="6"/>
      <c r="X1446" s="6"/>
      <c r="Y1446" s="6"/>
      <c r="Z1446" s="6"/>
    </row>
    <row r="1447" spans="1:26" ht="15.75" customHeight="1" x14ac:dyDescent="0.3">
      <c r="A1447" s="10" t="s">
        <v>1788</v>
      </c>
      <c r="B1447" s="10">
        <v>1991</v>
      </c>
      <c r="C1447" s="10" t="s">
        <v>4709</v>
      </c>
      <c r="D1447" s="10">
        <v>6</v>
      </c>
      <c r="E1447" s="10">
        <v>3</v>
      </c>
      <c r="F1447" s="24">
        <v>12130.8</v>
      </c>
      <c r="G1447" s="10" t="s">
        <v>4696</v>
      </c>
      <c r="H1447" s="10" t="s">
        <v>4696</v>
      </c>
      <c r="I1447" s="10" t="s">
        <v>4729</v>
      </c>
      <c r="J1447" s="17">
        <f t="shared" si="10"/>
        <v>33548</v>
      </c>
      <c r="K1447" s="10">
        <f t="shared" ca="1" si="11"/>
        <v>34</v>
      </c>
      <c r="L1447" s="6"/>
      <c r="M1447" s="6"/>
      <c r="N1447" s="6"/>
      <c r="O1447" s="6"/>
      <c r="P1447" s="6"/>
      <c r="Q1447" s="6"/>
      <c r="R1447" s="6"/>
      <c r="S1447" s="6"/>
      <c r="T1447" s="6"/>
      <c r="U1447" s="6"/>
      <c r="V1447" s="6"/>
      <c r="W1447" s="6"/>
      <c r="X1447" s="6"/>
      <c r="Y1447" s="6"/>
      <c r="Z1447" s="6"/>
    </row>
    <row r="1448" spans="1:26" ht="15.75" customHeight="1" x14ac:dyDescent="0.3">
      <c r="A1448" s="10" t="s">
        <v>1786</v>
      </c>
      <c r="B1448" s="10">
        <v>1974</v>
      </c>
      <c r="C1448" s="10" t="s">
        <v>4711</v>
      </c>
      <c r="D1448" s="10">
        <v>16</v>
      </c>
      <c r="E1448" s="10">
        <v>0</v>
      </c>
      <c r="F1448" s="24">
        <v>12137.6</v>
      </c>
      <c r="G1448" s="10" t="s">
        <v>4696</v>
      </c>
      <c r="H1448" s="10" t="s">
        <v>4696</v>
      </c>
      <c r="I1448" s="10" t="s">
        <v>4712</v>
      </c>
      <c r="J1448" s="17">
        <f t="shared" si="10"/>
        <v>27288</v>
      </c>
      <c r="K1448" s="10">
        <f t="shared" ca="1" si="11"/>
        <v>51</v>
      </c>
      <c r="L1448" s="6"/>
      <c r="M1448" s="6"/>
      <c r="N1448" s="6"/>
      <c r="O1448" s="6"/>
      <c r="P1448" s="6"/>
      <c r="Q1448" s="6"/>
      <c r="R1448" s="6"/>
      <c r="S1448" s="6"/>
      <c r="T1448" s="6"/>
      <c r="U1448" s="6"/>
      <c r="V1448" s="6"/>
      <c r="W1448" s="6"/>
      <c r="X1448" s="6"/>
      <c r="Y1448" s="6"/>
      <c r="Z1448" s="6"/>
    </row>
    <row r="1449" spans="1:26" ht="15.75" customHeight="1" x14ac:dyDescent="0.3">
      <c r="A1449" s="10" t="s">
        <v>1784</v>
      </c>
      <c r="B1449" s="10">
        <v>1962</v>
      </c>
      <c r="C1449" s="10" t="s">
        <v>4709</v>
      </c>
      <c r="D1449" s="10">
        <v>4</v>
      </c>
      <c r="E1449" s="10">
        <v>0</v>
      </c>
      <c r="F1449" s="24">
        <v>12142.58</v>
      </c>
      <c r="G1449" s="10" t="s">
        <v>4696</v>
      </c>
      <c r="H1449" s="10" t="s">
        <v>4695</v>
      </c>
      <c r="I1449" s="10" t="s">
        <v>4708</v>
      </c>
      <c r="J1449" s="17">
        <f t="shared" si="10"/>
        <v>22954</v>
      </c>
      <c r="K1449" s="10">
        <f t="shared" ca="1" si="11"/>
        <v>63</v>
      </c>
      <c r="L1449" s="6"/>
      <c r="M1449" s="6"/>
      <c r="N1449" s="6"/>
      <c r="O1449" s="6"/>
      <c r="P1449" s="6"/>
      <c r="Q1449" s="6"/>
      <c r="R1449" s="6"/>
      <c r="S1449" s="6"/>
      <c r="T1449" s="6"/>
      <c r="U1449" s="6"/>
      <c r="V1449" s="6"/>
      <c r="W1449" s="6"/>
      <c r="X1449" s="6"/>
      <c r="Y1449" s="6"/>
      <c r="Z1449" s="6"/>
    </row>
    <row r="1450" spans="1:26" ht="15.75" customHeight="1" x14ac:dyDescent="0.3">
      <c r="A1450" s="10" t="s">
        <v>1782</v>
      </c>
      <c r="B1450" s="10">
        <v>1962</v>
      </c>
      <c r="C1450" s="10" t="s">
        <v>4711</v>
      </c>
      <c r="D1450" s="10">
        <v>15</v>
      </c>
      <c r="E1450" s="10">
        <v>0</v>
      </c>
      <c r="F1450" s="24">
        <v>12146.97</v>
      </c>
      <c r="G1450" s="10" t="s">
        <v>4696</v>
      </c>
      <c r="H1450" s="10" t="s">
        <v>4696</v>
      </c>
      <c r="I1450" s="10" t="s">
        <v>4716</v>
      </c>
      <c r="J1450" s="17">
        <f t="shared" si="10"/>
        <v>22904</v>
      </c>
      <c r="K1450" s="10">
        <f t="shared" ca="1" si="11"/>
        <v>63</v>
      </c>
      <c r="L1450" s="6"/>
      <c r="M1450" s="6"/>
      <c r="N1450" s="6"/>
      <c r="O1450" s="6"/>
      <c r="P1450" s="6"/>
      <c r="Q1450" s="6"/>
      <c r="R1450" s="6"/>
      <c r="S1450" s="6"/>
      <c r="T1450" s="6"/>
      <c r="U1450" s="6"/>
      <c r="V1450" s="6"/>
      <c r="W1450" s="6"/>
      <c r="X1450" s="6"/>
      <c r="Y1450" s="6"/>
      <c r="Z1450" s="6"/>
    </row>
    <row r="1451" spans="1:26" ht="15.75" customHeight="1" x14ac:dyDescent="0.3">
      <c r="A1451" s="10" t="s">
        <v>1780</v>
      </c>
      <c r="B1451" s="10">
        <v>1987</v>
      </c>
      <c r="C1451" s="10" t="s">
        <v>4715</v>
      </c>
      <c r="D1451" s="10">
        <v>5</v>
      </c>
      <c r="E1451" s="10">
        <v>3</v>
      </c>
      <c r="F1451" s="24">
        <v>12148.2</v>
      </c>
      <c r="G1451" s="10" t="s">
        <v>4696</v>
      </c>
      <c r="H1451" s="10" t="s">
        <v>4696</v>
      </c>
      <c r="I1451" s="10" t="s">
        <v>4712</v>
      </c>
      <c r="J1451" s="17">
        <f t="shared" si="10"/>
        <v>32055</v>
      </c>
      <c r="K1451" s="10">
        <f t="shared" ca="1" si="11"/>
        <v>38</v>
      </c>
      <c r="L1451" s="6"/>
      <c r="M1451" s="6"/>
      <c r="N1451" s="6"/>
      <c r="O1451" s="6"/>
      <c r="P1451" s="6"/>
      <c r="Q1451" s="6"/>
      <c r="R1451" s="6"/>
      <c r="S1451" s="6"/>
      <c r="T1451" s="6"/>
      <c r="U1451" s="6"/>
      <c r="V1451" s="6"/>
      <c r="W1451" s="6"/>
      <c r="X1451" s="6"/>
      <c r="Y1451" s="6"/>
      <c r="Z1451" s="6"/>
    </row>
    <row r="1452" spans="1:26" ht="15.75" customHeight="1" x14ac:dyDescent="0.3">
      <c r="A1452" s="10" t="s">
        <v>1778</v>
      </c>
      <c r="B1452" s="10">
        <v>1991</v>
      </c>
      <c r="C1452" s="10" t="s">
        <v>4714</v>
      </c>
      <c r="D1452" s="10">
        <v>29</v>
      </c>
      <c r="E1452" s="10">
        <v>3</v>
      </c>
      <c r="F1452" s="24">
        <v>12198.64</v>
      </c>
      <c r="G1452" s="10" t="s">
        <v>4696</v>
      </c>
      <c r="H1452" s="10" t="s">
        <v>4696</v>
      </c>
      <c r="I1452" s="10" t="s">
        <v>4729</v>
      </c>
      <c r="J1452" s="17">
        <f t="shared" si="10"/>
        <v>33479</v>
      </c>
      <c r="K1452" s="10">
        <f t="shared" ca="1" si="11"/>
        <v>34</v>
      </c>
      <c r="L1452" s="6"/>
      <c r="M1452" s="6"/>
      <c r="N1452" s="6"/>
      <c r="O1452" s="6"/>
      <c r="P1452" s="6"/>
      <c r="Q1452" s="6"/>
      <c r="R1452" s="6"/>
      <c r="S1452" s="6"/>
      <c r="T1452" s="6"/>
      <c r="U1452" s="6"/>
      <c r="V1452" s="6"/>
      <c r="W1452" s="6"/>
      <c r="X1452" s="6"/>
      <c r="Y1452" s="6"/>
      <c r="Z1452" s="6"/>
    </row>
    <row r="1453" spans="1:26" ht="15.75" customHeight="1" x14ac:dyDescent="0.3">
      <c r="A1453" s="10" t="s">
        <v>1776</v>
      </c>
      <c r="B1453" s="10">
        <v>1977</v>
      </c>
      <c r="C1453" s="10" t="s">
        <v>4714</v>
      </c>
      <c r="D1453" s="10">
        <v>14</v>
      </c>
      <c r="E1453" s="10">
        <v>2</v>
      </c>
      <c r="F1453" s="24">
        <v>12218.7</v>
      </c>
      <c r="G1453" s="10" t="s">
        <v>4696</v>
      </c>
      <c r="H1453" s="10" t="s">
        <v>4694</v>
      </c>
      <c r="I1453" s="10" t="s">
        <v>4712</v>
      </c>
      <c r="J1453" s="17">
        <f t="shared" si="10"/>
        <v>28351</v>
      </c>
      <c r="K1453" s="10">
        <f t="shared" ca="1" si="11"/>
        <v>48</v>
      </c>
      <c r="L1453" s="6"/>
      <c r="M1453" s="6"/>
      <c r="N1453" s="6"/>
      <c r="O1453" s="6"/>
      <c r="P1453" s="6"/>
      <c r="Q1453" s="6"/>
      <c r="R1453" s="6"/>
      <c r="S1453" s="6"/>
      <c r="T1453" s="6"/>
      <c r="U1453" s="6"/>
      <c r="V1453" s="6"/>
      <c r="W1453" s="6"/>
      <c r="X1453" s="6"/>
      <c r="Y1453" s="6"/>
      <c r="Z1453" s="6"/>
    </row>
    <row r="1454" spans="1:26" ht="15.75" customHeight="1" x14ac:dyDescent="0.3">
      <c r="A1454" s="10" t="s">
        <v>1774</v>
      </c>
      <c r="B1454" s="10">
        <v>1964</v>
      </c>
      <c r="C1454" s="10" t="s">
        <v>4707</v>
      </c>
      <c r="D1454" s="10">
        <v>20</v>
      </c>
      <c r="E1454" s="10">
        <v>0</v>
      </c>
      <c r="F1454" s="24">
        <v>12222.9</v>
      </c>
      <c r="G1454" s="10" t="s">
        <v>4696</v>
      </c>
      <c r="H1454" s="10" t="s">
        <v>4695</v>
      </c>
      <c r="I1454" s="10" t="s">
        <v>4712</v>
      </c>
      <c r="J1454" s="17">
        <f t="shared" si="10"/>
        <v>23578</v>
      </c>
      <c r="K1454" s="10">
        <f t="shared" ca="1" si="11"/>
        <v>61</v>
      </c>
      <c r="L1454" s="6"/>
      <c r="M1454" s="6"/>
      <c r="N1454" s="6"/>
      <c r="O1454" s="6"/>
      <c r="P1454" s="6"/>
      <c r="Q1454" s="6"/>
      <c r="R1454" s="6"/>
      <c r="S1454" s="6"/>
      <c r="T1454" s="6"/>
      <c r="U1454" s="6"/>
      <c r="V1454" s="6"/>
      <c r="W1454" s="6"/>
      <c r="X1454" s="6"/>
      <c r="Y1454" s="6"/>
      <c r="Z1454" s="6"/>
    </row>
    <row r="1455" spans="1:26" ht="15.75" customHeight="1" x14ac:dyDescent="0.3">
      <c r="A1455" s="10" t="s">
        <v>1772</v>
      </c>
      <c r="B1455" s="10">
        <v>1964</v>
      </c>
      <c r="C1455" s="10" t="s">
        <v>4707</v>
      </c>
      <c r="D1455" s="10">
        <v>2</v>
      </c>
      <c r="E1455" s="10">
        <v>0</v>
      </c>
      <c r="F1455" s="24">
        <v>12224.35</v>
      </c>
      <c r="G1455" s="10" t="s">
        <v>4696</v>
      </c>
      <c r="H1455" s="10" t="s">
        <v>4694</v>
      </c>
      <c r="I1455" s="10" t="s">
        <v>4712</v>
      </c>
      <c r="J1455" s="17">
        <f t="shared" si="10"/>
        <v>23560</v>
      </c>
      <c r="K1455" s="10">
        <f t="shared" ca="1" si="11"/>
        <v>61</v>
      </c>
      <c r="L1455" s="6"/>
      <c r="M1455" s="6"/>
      <c r="N1455" s="6"/>
      <c r="O1455" s="6"/>
      <c r="P1455" s="6"/>
      <c r="Q1455" s="6"/>
      <c r="R1455" s="6"/>
      <c r="S1455" s="6"/>
      <c r="T1455" s="6"/>
      <c r="U1455" s="6"/>
      <c r="V1455" s="6"/>
      <c r="W1455" s="6"/>
      <c r="X1455" s="6"/>
      <c r="Y1455" s="6"/>
      <c r="Z1455" s="6"/>
    </row>
    <row r="1456" spans="1:26" ht="15.75" customHeight="1" x14ac:dyDescent="0.3">
      <c r="A1456" s="10" t="s">
        <v>1770</v>
      </c>
      <c r="B1456" s="10">
        <v>1964</v>
      </c>
      <c r="C1456" s="10" t="s">
        <v>4710</v>
      </c>
      <c r="D1456" s="10">
        <v>24</v>
      </c>
      <c r="E1456" s="10">
        <v>0</v>
      </c>
      <c r="F1456" s="24">
        <v>12231.61</v>
      </c>
      <c r="G1456" s="10" t="s">
        <v>4696</v>
      </c>
      <c r="H1456" s="10" t="s">
        <v>4696</v>
      </c>
      <c r="I1456" s="10" t="s">
        <v>4712</v>
      </c>
      <c r="J1456" s="17">
        <f t="shared" si="10"/>
        <v>23552</v>
      </c>
      <c r="K1456" s="10">
        <f t="shared" ca="1" si="11"/>
        <v>61</v>
      </c>
      <c r="L1456" s="6"/>
      <c r="M1456" s="6"/>
      <c r="N1456" s="6"/>
      <c r="O1456" s="6"/>
      <c r="P1456" s="6"/>
      <c r="Q1456" s="6"/>
      <c r="R1456" s="6"/>
      <c r="S1456" s="6"/>
      <c r="T1456" s="6"/>
      <c r="U1456" s="6"/>
      <c r="V1456" s="6"/>
      <c r="W1456" s="6"/>
      <c r="X1456" s="6"/>
      <c r="Y1456" s="6"/>
      <c r="Z1456" s="6"/>
    </row>
    <row r="1457" spans="1:26" ht="15.75" customHeight="1" x14ac:dyDescent="0.3">
      <c r="A1457" s="10" t="s">
        <v>1768</v>
      </c>
      <c r="B1457" s="10">
        <v>1963</v>
      </c>
      <c r="C1457" s="10" t="s">
        <v>4707</v>
      </c>
      <c r="D1457" s="10">
        <v>19</v>
      </c>
      <c r="E1457" s="10">
        <v>0</v>
      </c>
      <c r="F1457" s="24">
        <v>12233.83</v>
      </c>
      <c r="G1457" s="10" t="s">
        <v>4696</v>
      </c>
      <c r="H1457" s="10" t="s">
        <v>4694</v>
      </c>
      <c r="I1457" s="10" t="s">
        <v>4716</v>
      </c>
      <c r="J1457" s="17">
        <f t="shared" si="10"/>
        <v>23211</v>
      </c>
      <c r="K1457" s="10">
        <f t="shared" ca="1" si="11"/>
        <v>62</v>
      </c>
      <c r="L1457" s="6"/>
      <c r="M1457" s="6"/>
      <c r="N1457" s="6"/>
      <c r="O1457" s="6"/>
      <c r="P1457" s="6"/>
      <c r="Q1457" s="6"/>
      <c r="R1457" s="6"/>
      <c r="S1457" s="6"/>
      <c r="T1457" s="6"/>
      <c r="U1457" s="6"/>
      <c r="V1457" s="6"/>
      <c r="W1457" s="6"/>
      <c r="X1457" s="6"/>
      <c r="Y1457" s="6"/>
      <c r="Z1457" s="6"/>
    </row>
    <row r="1458" spans="1:26" ht="15.75" customHeight="1" x14ac:dyDescent="0.3">
      <c r="A1458" s="10" t="s">
        <v>1766</v>
      </c>
      <c r="B1458" s="10">
        <v>1964</v>
      </c>
      <c r="C1458" s="10" t="s">
        <v>4715</v>
      </c>
      <c r="D1458" s="10">
        <v>15</v>
      </c>
      <c r="E1458" s="10">
        <v>0</v>
      </c>
      <c r="F1458" s="24">
        <v>12235.84</v>
      </c>
      <c r="G1458" s="10" t="s">
        <v>4696</v>
      </c>
      <c r="H1458" s="10" t="s">
        <v>4696</v>
      </c>
      <c r="I1458" s="10" t="s">
        <v>4712</v>
      </c>
      <c r="J1458" s="17">
        <f t="shared" si="10"/>
        <v>23665</v>
      </c>
      <c r="K1458" s="10">
        <f t="shared" ca="1" si="11"/>
        <v>61</v>
      </c>
      <c r="L1458" s="6"/>
      <c r="M1458" s="6"/>
      <c r="N1458" s="6"/>
      <c r="O1458" s="6"/>
      <c r="P1458" s="6"/>
      <c r="Q1458" s="6"/>
      <c r="R1458" s="6"/>
      <c r="S1458" s="6"/>
      <c r="T1458" s="6"/>
      <c r="U1458" s="6"/>
      <c r="V1458" s="6"/>
      <c r="W1458" s="6"/>
      <c r="X1458" s="6"/>
      <c r="Y1458" s="6"/>
      <c r="Z1458" s="6"/>
    </row>
    <row r="1459" spans="1:26" ht="15.75" customHeight="1" x14ac:dyDescent="0.3">
      <c r="A1459" s="10" t="s">
        <v>1764</v>
      </c>
      <c r="B1459" s="10">
        <v>1966</v>
      </c>
      <c r="C1459" s="10" t="s">
        <v>4707</v>
      </c>
      <c r="D1459" s="10">
        <v>29</v>
      </c>
      <c r="E1459" s="10">
        <v>0</v>
      </c>
      <c r="F1459" s="24">
        <v>12237.73</v>
      </c>
      <c r="G1459" s="10" t="s">
        <v>4696</v>
      </c>
      <c r="H1459" s="10" t="s">
        <v>4696</v>
      </c>
      <c r="I1459" s="10" t="s">
        <v>4712</v>
      </c>
      <c r="J1459" s="17">
        <f t="shared" si="10"/>
        <v>24317</v>
      </c>
      <c r="K1459" s="10">
        <f t="shared" ca="1" si="11"/>
        <v>59</v>
      </c>
      <c r="L1459" s="6"/>
      <c r="M1459" s="6"/>
      <c r="N1459" s="6"/>
      <c r="O1459" s="6"/>
      <c r="P1459" s="6"/>
      <c r="Q1459" s="6"/>
      <c r="R1459" s="6"/>
      <c r="S1459" s="6"/>
      <c r="T1459" s="6"/>
      <c r="U1459" s="6"/>
      <c r="V1459" s="6"/>
      <c r="W1459" s="6"/>
      <c r="X1459" s="6"/>
      <c r="Y1459" s="6"/>
      <c r="Z1459" s="6"/>
    </row>
    <row r="1460" spans="1:26" ht="15.75" customHeight="1" x14ac:dyDescent="0.3">
      <c r="A1460" s="10" t="s">
        <v>1762</v>
      </c>
      <c r="B1460" s="10">
        <v>1963</v>
      </c>
      <c r="C1460" s="10" t="s">
        <v>4707</v>
      </c>
      <c r="D1460" s="10">
        <v>17</v>
      </c>
      <c r="E1460" s="10">
        <v>0</v>
      </c>
      <c r="F1460" s="24">
        <v>12244.53</v>
      </c>
      <c r="G1460" s="10" t="s">
        <v>4696</v>
      </c>
      <c r="H1460" s="10" t="s">
        <v>4694</v>
      </c>
      <c r="I1460" s="10" t="s">
        <v>4708</v>
      </c>
      <c r="J1460" s="17">
        <f t="shared" si="10"/>
        <v>23209</v>
      </c>
      <c r="K1460" s="10">
        <f t="shared" ca="1" si="11"/>
        <v>62</v>
      </c>
      <c r="L1460" s="6"/>
      <c r="M1460" s="6"/>
      <c r="N1460" s="6"/>
      <c r="O1460" s="6"/>
      <c r="P1460" s="6"/>
      <c r="Q1460" s="6"/>
      <c r="R1460" s="6"/>
      <c r="S1460" s="6"/>
      <c r="T1460" s="6"/>
      <c r="U1460" s="6"/>
      <c r="V1460" s="6"/>
      <c r="W1460" s="6"/>
      <c r="X1460" s="6"/>
      <c r="Y1460" s="6"/>
      <c r="Z1460" s="6"/>
    </row>
    <row r="1461" spans="1:26" ht="15.75" customHeight="1" x14ac:dyDescent="0.3">
      <c r="A1461" s="10" t="s">
        <v>1760</v>
      </c>
      <c r="B1461" s="10">
        <v>1974</v>
      </c>
      <c r="C1461" s="10" t="s">
        <v>4710</v>
      </c>
      <c r="D1461" s="10">
        <v>23</v>
      </c>
      <c r="E1461" s="10">
        <v>0</v>
      </c>
      <c r="F1461" s="24">
        <v>12245.17</v>
      </c>
      <c r="G1461" s="10" t="s">
        <v>4696</v>
      </c>
      <c r="H1461" s="10" t="s">
        <v>4694</v>
      </c>
      <c r="I1461" s="10" t="s">
        <v>4712</v>
      </c>
      <c r="J1461" s="17">
        <f t="shared" si="10"/>
        <v>27203</v>
      </c>
      <c r="K1461" s="10">
        <f t="shared" ca="1" si="11"/>
        <v>51</v>
      </c>
      <c r="L1461" s="6"/>
      <c r="M1461" s="6"/>
      <c r="N1461" s="6"/>
      <c r="O1461" s="6"/>
      <c r="P1461" s="6"/>
      <c r="Q1461" s="6"/>
      <c r="R1461" s="6"/>
      <c r="S1461" s="6"/>
      <c r="T1461" s="6"/>
      <c r="U1461" s="6"/>
      <c r="V1461" s="6"/>
      <c r="W1461" s="6"/>
      <c r="X1461" s="6"/>
      <c r="Y1461" s="6"/>
      <c r="Z1461" s="6"/>
    </row>
    <row r="1462" spans="1:26" ht="15.75" customHeight="1" x14ac:dyDescent="0.3">
      <c r="A1462" s="10" t="s">
        <v>1758</v>
      </c>
      <c r="B1462" s="10">
        <v>1989</v>
      </c>
      <c r="C1462" s="10" t="s">
        <v>4709</v>
      </c>
      <c r="D1462" s="10">
        <v>23</v>
      </c>
      <c r="E1462" s="10">
        <v>3</v>
      </c>
      <c r="F1462" s="24">
        <v>12254.44</v>
      </c>
      <c r="G1462" s="10" t="s">
        <v>4696</v>
      </c>
      <c r="H1462" s="10" t="s">
        <v>4696</v>
      </c>
      <c r="I1462" s="10" t="s">
        <v>4729</v>
      </c>
      <c r="J1462" s="17">
        <f t="shared" si="10"/>
        <v>32835</v>
      </c>
      <c r="K1462" s="10">
        <f t="shared" ca="1" si="11"/>
        <v>36</v>
      </c>
      <c r="L1462" s="6"/>
      <c r="M1462" s="6"/>
      <c r="N1462" s="6"/>
      <c r="O1462" s="6"/>
      <c r="P1462" s="6"/>
      <c r="Q1462" s="6"/>
      <c r="R1462" s="6"/>
      <c r="S1462" s="6"/>
      <c r="T1462" s="6"/>
      <c r="U1462" s="6"/>
      <c r="V1462" s="6"/>
      <c r="W1462" s="6"/>
      <c r="X1462" s="6"/>
      <c r="Y1462" s="6"/>
      <c r="Z1462" s="6"/>
    </row>
    <row r="1463" spans="1:26" ht="15.75" customHeight="1" x14ac:dyDescent="0.3">
      <c r="A1463" s="10" t="s">
        <v>1756</v>
      </c>
      <c r="B1463" s="10">
        <v>1986</v>
      </c>
      <c r="C1463" s="10" t="s">
        <v>4714</v>
      </c>
      <c r="D1463" s="10">
        <v>13</v>
      </c>
      <c r="E1463" s="10">
        <v>3</v>
      </c>
      <c r="F1463" s="24">
        <v>12255.04</v>
      </c>
      <c r="G1463" s="10" t="s">
        <v>4696</v>
      </c>
      <c r="H1463" s="10" t="s">
        <v>4695</v>
      </c>
      <c r="I1463" s="10" t="s">
        <v>4729</v>
      </c>
      <c r="J1463" s="17">
        <f t="shared" si="10"/>
        <v>31637</v>
      </c>
      <c r="K1463" s="10">
        <f t="shared" ca="1" si="11"/>
        <v>39</v>
      </c>
      <c r="L1463" s="6"/>
      <c r="M1463" s="6"/>
      <c r="N1463" s="6"/>
      <c r="O1463" s="6"/>
      <c r="P1463" s="6"/>
      <c r="Q1463" s="6"/>
      <c r="R1463" s="6"/>
      <c r="S1463" s="6"/>
      <c r="T1463" s="6"/>
      <c r="U1463" s="6"/>
      <c r="V1463" s="6"/>
      <c r="W1463" s="6"/>
      <c r="X1463" s="6"/>
      <c r="Y1463" s="6"/>
      <c r="Z1463" s="6"/>
    </row>
    <row r="1464" spans="1:26" ht="15.75" customHeight="1" x14ac:dyDescent="0.3">
      <c r="A1464" s="10" t="s">
        <v>1754</v>
      </c>
      <c r="B1464" s="10">
        <v>1966</v>
      </c>
      <c r="C1464" s="10" t="s">
        <v>4713</v>
      </c>
      <c r="D1464" s="10">
        <v>6</v>
      </c>
      <c r="E1464" s="10">
        <v>2</v>
      </c>
      <c r="F1464" s="24">
        <v>12265.51</v>
      </c>
      <c r="G1464" s="10" t="s">
        <v>4696</v>
      </c>
      <c r="H1464" s="10" t="s">
        <v>4696</v>
      </c>
      <c r="I1464" s="10" t="s">
        <v>4708</v>
      </c>
      <c r="J1464" s="17">
        <f t="shared" si="10"/>
        <v>24447</v>
      </c>
      <c r="K1464" s="10">
        <f t="shared" ca="1" si="11"/>
        <v>58</v>
      </c>
      <c r="L1464" s="6"/>
      <c r="M1464" s="6"/>
      <c r="N1464" s="6"/>
      <c r="O1464" s="6"/>
      <c r="P1464" s="6"/>
      <c r="Q1464" s="6"/>
      <c r="R1464" s="6"/>
      <c r="S1464" s="6"/>
      <c r="T1464" s="6"/>
      <c r="U1464" s="6"/>
      <c r="V1464" s="6"/>
      <c r="W1464" s="6"/>
      <c r="X1464" s="6"/>
      <c r="Y1464" s="6"/>
      <c r="Z1464" s="6"/>
    </row>
    <row r="1465" spans="1:26" ht="15.75" customHeight="1" x14ac:dyDescent="0.3">
      <c r="A1465" s="10" t="s">
        <v>1752</v>
      </c>
      <c r="B1465" s="10">
        <v>1967</v>
      </c>
      <c r="C1465" s="10" t="s">
        <v>4713</v>
      </c>
      <c r="D1465" s="10">
        <v>30</v>
      </c>
      <c r="E1465" s="10">
        <v>2</v>
      </c>
      <c r="F1465" s="24">
        <v>12268.63</v>
      </c>
      <c r="G1465" s="10" t="s">
        <v>4696</v>
      </c>
      <c r="H1465" s="10" t="s">
        <v>4694</v>
      </c>
      <c r="I1465" s="10" t="s">
        <v>4712</v>
      </c>
      <c r="J1465" s="17">
        <f t="shared" si="10"/>
        <v>24836</v>
      </c>
      <c r="K1465" s="10">
        <f t="shared" ca="1" si="11"/>
        <v>57</v>
      </c>
      <c r="L1465" s="6"/>
      <c r="M1465" s="6"/>
      <c r="N1465" s="6"/>
      <c r="O1465" s="6"/>
      <c r="P1465" s="6"/>
      <c r="Q1465" s="6"/>
      <c r="R1465" s="6"/>
      <c r="S1465" s="6"/>
      <c r="T1465" s="6"/>
      <c r="U1465" s="6"/>
      <c r="V1465" s="6"/>
      <c r="W1465" s="6"/>
      <c r="X1465" s="6"/>
      <c r="Y1465" s="6"/>
      <c r="Z1465" s="6"/>
    </row>
    <row r="1466" spans="1:26" ht="15.75" customHeight="1" x14ac:dyDescent="0.3">
      <c r="A1466" s="10" t="s">
        <v>1750</v>
      </c>
      <c r="B1466" s="10">
        <v>1967</v>
      </c>
      <c r="C1466" s="10" t="s">
        <v>4714</v>
      </c>
      <c r="D1466" s="10">
        <v>28</v>
      </c>
      <c r="E1466" s="10">
        <v>2</v>
      </c>
      <c r="F1466" s="24">
        <v>12269.69</v>
      </c>
      <c r="G1466" s="10" t="s">
        <v>4696</v>
      </c>
      <c r="H1466" s="10" t="s">
        <v>4695</v>
      </c>
      <c r="I1466" s="10" t="s">
        <v>4712</v>
      </c>
      <c r="J1466" s="17">
        <f t="shared" si="10"/>
        <v>24712</v>
      </c>
      <c r="K1466" s="10">
        <f t="shared" ca="1" si="11"/>
        <v>58</v>
      </c>
      <c r="L1466" s="6"/>
      <c r="M1466" s="6"/>
      <c r="N1466" s="6"/>
      <c r="O1466" s="6"/>
      <c r="P1466" s="6"/>
      <c r="Q1466" s="6"/>
      <c r="R1466" s="6"/>
      <c r="S1466" s="6"/>
      <c r="T1466" s="6"/>
      <c r="U1466" s="6"/>
      <c r="V1466" s="6"/>
      <c r="W1466" s="6"/>
      <c r="X1466" s="6"/>
      <c r="Y1466" s="6"/>
      <c r="Z1466" s="6"/>
    </row>
    <row r="1467" spans="1:26" ht="15.75" customHeight="1" x14ac:dyDescent="0.3">
      <c r="A1467" s="10" t="s">
        <v>1748</v>
      </c>
      <c r="B1467" s="10">
        <v>1966</v>
      </c>
      <c r="C1467" s="10" t="s">
        <v>4709</v>
      </c>
      <c r="D1467" s="10">
        <v>16</v>
      </c>
      <c r="E1467" s="10">
        <v>0</v>
      </c>
      <c r="F1467" s="24">
        <v>12282.03</v>
      </c>
      <c r="G1467" s="10" t="s">
        <v>4696</v>
      </c>
      <c r="H1467" s="10" t="s">
        <v>4694</v>
      </c>
      <c r="I1467" s="10" t="s">
        <v>4722</v>
      </c>
      <c r="J1467" s="17">
        <f t="shared" si="10"/>
        <v>24427</v>
      </c>
      <c r="K1467" s="10">
        <f t="shared" ca="1" si="11"/>
        <v>59</v>
      </c>
      <c r="L1467" s="6"/>
      <c r="M1467" s="6"/>
      <c r="N1467" s="6"/>
      <c r="O1467" s="6"/>
      <c r="P1467" s="6"/>
      <c r="Q1467" s="6"/>
      <c r="R1467" s="6"/>
      <c r="S1467" s="6"/>
      <c r="T1467" s="6"/>
      <c r="U1467" s="6"/>
      <c r="V1467" s="6"/>
      <c r="W1467" s="6"/>
      <c r="X1467" s="6"/>
      <c r="Y1467" s="6"/>
      <c r="Z1467" s="6"/>
    </row>
    <row r="1468" spans="1:26" ht="15.75" customHeight="1" x14ac:dyDescent="0.3">
      <c r="A1468" s="10" t="s">
        <v>1746</v>
      </c>
      <c r="B1468" s="10">
        <v>1990</v>
      </c>
      <c r="C1468" s="10" t="s">
        <v>4715</v>
      </c>
      <c r="D1468" s="10">
        <v>29</v>
      </c>
      <c r="E1468" s="10">
        <v>3</v>
      </c>
      <c r="F1468" s="24">
        <v>12282.38</v>
      </c>
      <c r="G1468" s="10" t="s">
        <v>4696</v>
      </c>
      <c r="H1468" s="10" t="s">
        <v>4694</v>
      </c>
      <c r="I1468" s="10" t="s">
        <v>4716</v>
      </c>
      <c r="J1468" s="17">
        <f t="shared" si="10"/>
        <v>33175</v>
      </c>
      <c r="K1468" s="10">
        <f t="shared" ca="1" si="11"/>
        <v>35</v>
      </c>
      <c r="L1468" s="6"/>
      <c r="M1468" s="6"/>
      <c r="N1468" s="6"/>
      <c r="O1468" s="6"/>
      <c r="P1468" s="6"/>
      <c r="Q1468" s="6"/>
      <c r="R1468" s="6"/>
      <c r="S1468" s="6"/>
      <c r="T1468" s="6"/>
      <c r="U1468" s="6"/>
      <c r="V1468" s="6"/>
      <c r="W1468" s="6"/>
      <c r="X1468" s="6"/>
      <c r="Y1468" s="6"/>
      <c r="Z1468" s="6"/>
    </row>
    <row r="1469" spans="1:26" ht="15.75" customHeight="1" x14ac:dyDescent="0.3">
      <c r="A1469" s="10" t="s">
        <v>1744</v>
      </c>
      <c r="B1469" s="10">
        <v>1963</v>
      </c>
      <c r="C1469" s="10" t="s">
        <v>4715</v>
      </c>
      <c r="D1469" s="10">
        <v>28</v>
      </c>
      <c r="E1469" s="10">
        <v>0</v>
      </c>
      <c r="F1469" s="24">
        <v>12299.59</v>
      </c>
      <c r="G1469" s="10" t="s">
        <v>4696</v>
      </c>
      <c r="H1469" s="10" t="s">
        <v>4694</v>
      </c>
      <c r="I1469" s="10" t="s">
        <v>4722</v>
      </c>
      <c r="J1469" s="17">
        <f t="shared" si="10"/>
        <v>23312</v>
      </c>
      <c r="K1469" s="10">
        <f t="shared" ca="1" si="11"/>
        <v>62</v>
      </c>
      <c r="L1469" s="6"/>
      <c r="M1469" s="6"/>
      <c r="N1469" s="6"/>
      <c r="O1469" s="6"/>
      <c r="P1469" s="6"/>
      <c r="Q1469" s="6"/>
      <c r="R1469" s="6"/>
      <c r="S1469" s="6"/>
      <c r="T1469" s="6"/>
      <c r="U1469" s="6"/>
      <c r="V1469" s="6"/>
      <c r="W1469" s="6"/>
      <c r="X1469" s="6"/>
      <c r="Y1469" s="6"/>
      <c r="Z1469" s="6"/>
    </row>
    <row r="1470" spans="1:26" ht="15.75" customHeight="1" x14ac:dyDescent="0.3">
      <c r="A1470" s="10" t="s">
        <v>1742</v>
      </c>
      <c r="B1470" s="10">
        <v>1963</v>
      </c>
      <c r="C1470" s="10" t="s">
        <v>4714</v>
      </c>
      <c r="D1470" s="10">
        <v>29</v>
      </c>
      <c r="E1470" s="10">
        <v>0</v>
      </c>
      <c r="F1470" s="24">
        <v>12323.94</v>
      </c>
      <c r="G1470" s="10" t="s">
        <v>4696</v>
      </c>
      <c r="H1470" s="10" t="s">
        <v>4696</v>
      </c>
      <c r="I1470" s="10" t="s">
        <v>4727</v>
      </c>
      <c r="J1470" s="17">
        <f t="shared" si="10"/>
        <v>23252</v>
      </c>
      <c r="K1470" s="10">
        <f t="shared" ca="1" si="11"/>
        <v>62</v>
      </c>
      <c r="L1470" s="6"/>
      <c r="M1470" s="6"/>
      <c r="N1470" s="6"/>
      <c r="O1470" s="6"/>
      <c r="P1470" s="6"/>
      <c r="Q1470" s="6"/>
      <c r="R1470" s="6"/>
      <c r="S1470" s="6"/>
      <c r="T1470" s="6"/>
      <c r="U1470" s="6"/>
      <c r="V1470" s="6"/>
      <c r="W1470" s="6"/>
      <c r="X1470" s="6"/>
      <c r="Y1470" s="6"/>
      <c r="Z1470" s="6"/>
    </row>
    <row r="1471" spans="1:26" ht="15.75" customHeight="1" x14ac:dyDescent="0.3">
      <c r="A1471" s="10" t="s">
        <v>1740</v>
      </c>
      <c r="B1471" s="10">
        <v>1963</v>
      </c>
      <c r="C1471" s="10" t="s">
        <v>4714</v>
      </c>
      <c r="D1471" s="10">
        <v>2</v>
      </c>
      <c r="E1471" s="10">
        <v>1</v>
      </c>
      <c r="F1471" s="24">
        <v>12333.83</v>
      </c>
      <c r="G1471" s="10" t="s">
        <v>4696</v>
      </c>
      <c r="H1471" s="10" t="s">
        <v>4695</v>
      </c>
      <c r="I1471" s="10" t="s">
        <v>4716</v>
      </c>
      <c r="J1471" s="17">
        <f t="shared" si="10"/>
        <v>23225</v>
      </c>
      <c r="K1471" s="10">
        <f t="shared" ca="1" si="11"/>
        <v>62</v>
      </c>
      <c r="L1471" s="6"/>
      <c r="M1471" s="6"/>
      <c r="N1471" s="6"/>
      <c r="O1471" s="6"/>
      <c r="P1471" s="6"/>
      <c r="Q1471" s="6"/>
      <c r="R1471" s="6"/>
      <c r="S1471" s="6"/>
      <c r="T1471" s="6"/>
      <c r="U1471" s="6"/>
      <c r="V1471" s="6"/>
      <c r="W1471" s="6"/>
      <c r="X1471" s="6"/>
      <c r="Y1471" s="6"/>
      <c r="Z1471" s="6"/>
    </row>
    <row r="1472" spans="1:26" ht="15.75" customHeight="1" x14ac:dyDescent="0.3">
      <c r="A1472" s="10" t="s">
        <v>1738</v>
      </c>
      <c r="B1472" s="10">
        <v>1963</v>
      </c>
      <c r="C1472" s="10" t="s">
        <v>4711</v>
      </c>
      <c r="D1472" s="10">
        <v>22</v>
      </c>
      <c r="E1472" s="10">
        <v>1</v>
      </c>
      <c r="F1472" s="24">
        <v>12347.17</v>
      </c>
      <c r="G1472" s="10" t="s">
        <v>4696</v>
      </c>
      <c r="H1472" s="10" t="s">
        <v>4696</v>
      </c>
      <c r="I1472" s="10" t="s">
        <v>4716</v>
      </c>
      <c r="J1472" s="17">
        <f t="shared" si="10"/>
        <v>23276</v>
      </c>
      <c r="K1472" s="10">
        <f t="shared" ca="1" si="11"/>
        <v>62</v>
      </c>
      <c r="L1472" s="6"/>
      <c r="M1472" s="6"/>
      <c r="N1472" s="6"/>
      <c r="O1472" s="6"/>
      <c r="P1472" s="6"/>
      <c r="Q1472" s="6"/>
      <c r="R1472" s="6"/>
      <c r="S1472" s="6"/>
      <c r="T1472" s="6"/>
      <c r="U1472" s="6"/>
      <c r="V1472" s="6"/>
      <c r="W1472" s="6"/>
      <c r="X1472" s="6"/>
      <c r="Y1472" s="6"/>
      <c r="Z1472" s="6"/>
    </row>
    <row r="1473" spans="1:26" ht="15.75" customHeight="1" x14ac:dyDescent="0.3">
      <c r="A1473" s="10" t="s">
        <v>1736</v>
      </c>
      <c r="B1473" s="10">
        <v>1966</v>
      </c>
      <c r="C1473" s="10" t="s">
        <v>4713</v>
      </c>
      <c r="D1473" s="10">
        <v>29</v>
      </c>
      <c r="E1473" s="10">
        <v>3</v>
      </c>
      <c r="F1473" s="24">
        <v>12363.55</v>
      </c>
      <c r="G1473" s="10" t="s">
        <v>4696</v>
      </c>
      <c r="H1473" s="10" t="s">
        <v>4696</v>
      </c>
      <c r="I1473" s="10" t="s">
        <v>4716</v>
      </c>
      <c r="J1473" s="17">
        <f t="shared" si="10"/>
        <v>24470</v>
      </c>
      <c r="K1473" s="10">
        <f t="shared" ca="1" si="11"/>
        <v>58</v>
      </c>
      <c r="L1473" s="6"/>
      <c r="M1473" s="6"/>
      <c r="N1473" s="6"/>
      <c r="O1473" s="6"/>
      <c r="P1473" s="6"/>
      <c r="Q1473" s="6"/>
      <c r="R1473" s="6"/>
      <c r="S1473" s="6"/>
      <c r="T1473" s="6"/>
      <c r="U1473" s="6"/>
      <c r="V1473" s="6"/>
      <c r="W1473" s="6"/>
      <c r="X1473" s="6"/>
      <c r="Y1473" s="6"/>
      <c r="Z1473" s="6"/>
    </row>
    <row r="1474" spans="1:26" ht="15.75" customHeight="1" x14ac:dyDescent="0.3">
      <c r="A1474" s="10" t="s">
        <v>1734</v>
      </c>
      <c r="B1474" s="10">
        <v>1962</v>
      </c>
      <c r="C1474" s="10" t="s">
        <v>4711</v>
      </c>
      <c r="D1474" s="10">
        <v>26</v>
      </c>
      <c r="E1474" s="10">
        <v>0</v>
      </c>
      <c r="F1474" s="24">
        <v>12369.89</v>
      </c>
      <c r="G1474" s="10" t="s">
        <v>4696</v>
      </c>
      <c r="H1474" s="10" t="s">
        <v>4695</v>
      </c>
      <c r="I1474" s="10" t="s">
        <v>4723</v>
      </c>
      <c r="J1474" s="17">
        <f t="shared" si="10"/>
        <v>22915</v>
      </c>
      <c r="K1474" s="10">
        <f t="shared" ca="1" si="11"/>
        <v>63</v>
      </c>
      <c r="L1474" s="6"/>
      <c r="M1474" s="6"/>
      <c r="N1474" s="6"/>
      <c r="O1474" s="6"/>
      <c r="P1474" s="6"/>
      <c r="Q1474" s="6"/>
      <c r="R1474" s="6"/>
      <c r="S1474" s="6"/>
      <c r="T1474" s="6"/>
      <c r="U1474" s="6"/>
      <c r="V1474" s="6"/>
      <c r="W1474" s="6"/>
      <c r="X1474" s="6"/>
      <c r="Y1474" s="6"/>
      <c r="Z1474" s="6"/>
    </row>
    <row r="1475" spans="1:26" ht="15.75" customHeight="1" x14ac:dyDescent="0.3">
      <c r="A1475" s="10" t="s">
        <v>1732</v>
      </c>
      <c r="B1475" s="10">
        <v>1989</v>
      </c>
      <c r="C1475" s="10" t="s">
        <v>4713</v>
      </c>
      <c r="D1475" s="10">
        <v>29</v>
      </c>
      <c r="E1475" s="10">
        <v>0</v>
      </c>
      <c r="F1475" s="24">
        <v>12404.88</v>
      </c>
      <c r="G1475" s="10" t="s">
        <v>4696</v>
      </c>
      <c r="H1475" s="10" t="s">
        <v>4696</v>
      </c>
      <c r="I1475" s="10" t="s">
        <v>4720</v>
      </c>
      <c r="J1475" s="17">
        <f t="shared" si="10"/>
        <v>32871</v>
      </c>
      <c r="K1475" s="10">
        <f t="shared" ca="1" si="11"/>
        <v>35</v>
      </c>
      <c r="L1475" s="6"/>
      <c r="M1475" s="6"/>
      <c r="N1475" s="6"/>
      <c r="O1475" s="6"/>
      <c r="P1475" s="6"/>
      <c r="Q1475" s="6"/>
      <c r="R1475" s="6"/>
      <c r="S1475" s="6"/>
      <c r="T1475" s="6"/>
      <c r="U1475" s="6"/>
      <c r="V1475" s="6"/>
      <c r="W1475" s="6"/>
      <c r="X1475" s="6"/>
      <c r="Y1475" s="6"/>
      <c r="Z1475" s="6"/>
    </row>
    <row r="1476" spans="1:26" ht="15.75" customHeight="1" x14ac:dyDescent="0.3">
      <c r="A1476" s="10" t="s">
        <v>1730</v>
      </c>
      <c r="B1476" s="10">
        <v>1972</v>
      </c>
      <c r="C1476" s="10" t="s">
        <v>4714</v>
      </c>
      <c r="D1476" s="10">
        <v>21</v>
      </c>
      <c r="E1476" s="10">
        <v>0</v>
      </c>
      <c r="F1476" s="24">
        <v>12407.3</v>
      </c>
      <c r="G1476" s="10" t="s">
        <v>4696</v>
      </c>
      <c r="H1476" s="10" t="s">
        <v>4695</v>
      </c>
      <c r="I1476" s="10" t="s">
        <v>4726</v>
      </c>
      <c r="J1476" s="17">
        <f t="shared" si="10"/>
        <v>26532</v>
      </c>
      <c r="K1476" s="10">
        <f t="shared" ca="1" si="11"/>
        <v>53</v>
      </c>
      <c r="L1476" s="6"/>
      <c r="M1476" s="6"/>
      <c r="N1476" s="6"/>
      <c r="O1476" s="6"/>
      <c r="P1476" s="6"/>
      <c r="Q1476" s="6"/>
      <c r="R1476" s="6"/>
      <c r="S1476" s="6"/>
      <c r="T1476" s="6"/>
      <c r="U1476" s="6"/>
      <c r="V1476" s="6"/>
      <c r="W1476" s="6"/>
      <c r="X1476" s="6"/>
      <c r="Y1476" s="6"/>
      <c r="Z1476" s="6"/>
    </row>
    <row r="1477" spans="1:26" ht="15.75" customHeight="1" x14ac:dyDescent="0.3">
      <c r="A1477" s="10" t="s">
        <v>1728</v>
      </c>
      <c r="B1477" s="10">
        <v>1979</v>
      </c>
      <c r="C1477" s="10" t="s">
        <v>4707</v>
      </c>
      <c r="D1477" s="10">
        <v>14</v>
      </c>
      <c r="E1477" s="10">
        <v>2</v>
      </c>
      <c r="F1477" s="24">
        <v>12408.29</v>
      </c>
      <c r="G1477" s="10" t="s">
        <v>4696</v>
      </c>
      <c r="H1477" s="10" t="s">
        <v>4694</v>
      </c>
      <c r="I1477" s="10" t="s">
        <v>4730</v>
      </c>
      <c r="J1477" s="17">
        <f t="shared" si="10"/>
        <v>29050</v>
      </c>
      <c r="K1477" s="10">
        <f t="shared" ca="1" si="11"/>
        <v>46</v>
      </c>
      <c r="L1477" s="6"/>
      <c r="M1477" s="6"/>
      <c r="N1477" s="6"/>
      <c r="O1477" s="6"/>
      <c r="P1477" s="6"/>
      <c r="Q1477" s="6"/>
      <c r="R1477" s="6"/>
      <c r="S1477" s="6"/>
      <c r="T1477" s="6"/>
      <c r="U1477" s="6"/>
      <c r="V1477" s="6"/>
      <c r="W1477" s="6"/>
      <c r="X1477" s="6"/>
      <c r="Y1477" s="6"/>
      <c r="Z1477" s="6"/>
    </row>
    <row r="1478" spans="1:26" ht="15.75" customHeight="1" x14ac:dyDescent="0.3">
      <c r="A1478" s="10" t="s">
        <v>1726</v>
      </c>
      <c r="B1478" s="10">
        <v>1964</v>
      </c>
      <c r="C1478" s="10" t="s">
        <v>4714</v>
      </c>
      <c r="D1478" s="10">
        <v>4</v>
      </c>
      <c r="E1478" s="10">
        <v>0</v>
      </c>
      <c r="F1478" s="24">
        <v>12430.95</v>
      </c>
      <c r="G1478" s="10" t="s">
        <v>4696</v>
      </c>
      <c r="H1478" s="10" t="s">
        <v>4696</v>
      </c>
      <c r="I1478" s="10" t="s">
        <v>4723</v>
      </c>
      <c r="J1478" s="17">
        <f t="shared" si="10"/>
        <v>23593</v>
      </c>
      <c r="K1478" s="10">
        <f t="shared" ca="1" si="11"/>
        <v>61</v>
      </c>
      <c r="L1478" s="6"/>
      <c r="M1478" s="6"/>
      <c r="N1478" s="6"/>
      <c r="O1478" s="6"/>
      <c r="P1478" s="6"/>
      <c r="Q1478" s="6"/>
      <c r="R1478" s="6"/>
      <c r="S1478" s="6"/>
      <c r="T1478" s="6"/>
      <c r="U1478" s="6"/>
      <c r="V1478" s="6"/>
      <c r="W1478" s="6"/>
      <c r="X1478" s="6"/>
      <c r="Y1478" s="6"/>
      <c r="Z1478" s="6"/>
    </row>
    <row r="1479" spans="1:26" ht="15.75" customHeight="1" x14ac:dyDescent="0.3">
      <c r="A1479" s="10" t="s">
        <v>1724</v>
      </c>
      <c r="B1479" s="10">
        <v>1995</v>
      </c>
      <c r="C1479" s="10" t="s">
        <v>4714</v>
      </c>
      <c r="D1479" s="10">
        <v>9</v>
      </c>
      <c r="E1479" s="10">
        <v>0</v>
      </c>
      <c r="F1479" s="24">
        <v>12452.25</v>
      </c>
      <c r="G1479" s="10" t="s">
        <v>4696</v>
      </c>
      <c r="H1479" s="10" t="s">
        <v>4696</v>
      </c>
      <c r="I1479" s="10" t="s">
        <v>4712</v>
      </c>
      <c r="J1479" s="17">
        <f t="shared" si="10"/>
        <v>34920</v>
      </c>
      <c r="K1479" s="10">
        <f t="shared" ca="1" si="11"/>
        <v>30</v>
      </c>
      <c r="L1479" s="6"/>
      <c r="M1479" s="6"/>
      <c r="N1479" s="6"/>
      <c r="O1479" s="6"/>
      <c r="P1479" s="6"/>
      <c r="Q1479" s="6"/>
      <c r="R1479" s="6"/>
      <c r="S1479" s="6"/>
      <c r="T1479" s="6"/>
      <c r="U1479" s="6"/>
      <c r="V1479" s="6"/>
      <c r="W1479" s="6"/>
      <c r="X1479" s="6"/>
      <c r="Y1479" s="6"/>
      <c r="Z1479" s="6"/>
    </row>
    <row r="1480" spans="1:26" ht="15.75" customHeight="1" x14ac:dyDescent="0.3">
      <c r="A1480" s="10" t="s">
        <v>1722</v>
      </c>
      <c r="B1480" s="10">
        <v>1968</v>
      </c>
      <c r="C1480" s="10" t="s">
        <v>4709</v>
      </c>
      <c r="D1480" s="10">
        <v>26</v>
      </c>
      <c r="E1480" s="10">
        <v>3</v>
      </c>
      <c r="F1480" s="24">
        <v>12475.35</v>
      </c>
      <c r="G1480" s="10" t="s">
        <v>4696</v>
      </c>
      <c r="H1480" s="10" t="s">
        <v>4694</v>
      </c>
      <c r="I1480" s="10" t="s">
        <v>4712</v>
      </c>
      <c r="J1480" s="17">
        <f t="shared" si="10"/>
        <v>25168</v>
      </c>
      <c r="K1480" s="10">
        <f t="shared" ca="1" si="11"/>
        <v>57</v>
      </c>
      <c r="L1480" s="6"/>
      <c r="M1480" s="6"/>
      <c r="N1480" s="6"/>
      <c r="O1480" s="6"/>
      <c r="P1480" s="6"/>
      <c r="Q1480" s="6"/>
      <c r="R1480" s="6"/>
      <c r="S1480" s="6"/>
      <c r="T1480" s="6"/>
      <c r="U1480" s="6"/>
      <c r="V1480" s="6"/>
      <c r="W1480" s="6"/>
      <c r="X1480" s="6"/>
      <c r="Y1480" s="6"/>
      <c r="Z1480" s="6"/>
    </row>
    <row r="1481" spans="1:26" ht="15.75" customHeight="1" x14ac:dyDescent="0.3">
      <c r="A1481" s="10" t="s">
        <v>1720</v>
      </c>
      <c r="B1481" s="10">
        <v>1968</v>
      </c>
      <c r="C1481" s="10" t="s">
        <v>4709</v>
      </c>
      <c r="D1481" s="10">
        <v>12</v>
      </c>
      <c r="E1481" s="10">
        <v>3</v>
      </c>
      <c r="F1481" s="24">
        <v>12479.71</v>
      </c>
      <c r="G1481" s="10" t="s">
        <v>4696</v>
      </c>
      <c r="H1481" s="10" t="s">
        <v>4696</v>
      </c>
      <c r="I1481" s="10" t="s">
        <v>4712</v>
      </c>
      <c r="J1481" s="17">
        <f t="shared" si="10"/>
        <v>25154</v>
      </c>
      <c r="K1481" s="10">
        <f t="shared" ca="1" si="11"/>
        <v>57</v>
      </c>
      <c r="L1481" s="6"/>
      <c r="M1481" s="6"/>
      <c r="N1481" s="6"/>
      <c r="O1481" s="6"/>
      <c r="P1481" s="6"/>
      <c r="Q1481" s="6"/>
      <c r="R1481" s="6"/>
      <c r="S1481" s="6"/>
      <c r="T1481" s="6"/>
      <c r="U1481" s="6"/>
      <c r="V1481" s="6"/>
      <c r="W1481" s="6"/>
      <c r="X1481" s="6"/>
      <c r="Y1481" s="6"/>
      <c r="Z1481" s="6"/>
    </row>
    <row r="1482" spans="1:26" ht="15.75" customHeight="1" x14ac:dyDescent="0.3">
      <c r="A1482" s="10" t="s">
        <v>1718</v>
      </c>
      <c r="B1482" s="10">
        <v>1967</v>
      </c>
      <c r="C1482" s="10" t="s">
        <v>4711</v>
      </c>
      <c r="D1482" s="10">
        <v>1</v>
      </c>
      <c r="E1482" s="10">
        <v>3</v>
      </c>
      <c r="F1482" s="24">
        <v>12485.8</v>
      </c>
      <c r="G1482" s="10" t="s">
        <v>4696</v>
      </c>
      <c r="H1482" s="10" t="s">
        <v>4696</v>
      </c>
      <c r="I1482" s="10" t="s">
        <v>4708</v>
      </c>
      <c r="J1482" s="17">
        <f t="shared" si="10"/>
        <v>24716</v>
      </c>
      <c r="K1482" s="10">
        <f t="shared" ca="1" si="11"/>
        <v>58</v>
      </c>
      <c r="L1482" s="6"/>
      <c r="M1482" s="6"/>
      <c r="N1482" s="6"/>
      <c r="O1482" s="6"/>
      <c r="P1482" s="6"/>
      <c r="Q1482" s="6"/>
      <c r="R1482" s="6"/>
      <c r="S1482" s="6"/>
      <c r="T1482" s="6"/>
      <c r="U1482" s="6"/>
      <c r="V1482" s="6"/>
      <c r="W1482" s="6"/>
      <c r="X1482" s="6"/>
      <c r="Y1482" s="6"/>
      <c r="Z1482" s="6"/>
    </row>
    <row r="1483" spans="1:26" ht="15.75" customHeight="1" x14ac:dyDescent="0.3">
      <c r="A1483" s="10" t="s">
        <v>1716</v>
      </c>
      <c r="B1483" s="10">
        <v>1968</v>
      </c>
      <c r="C1483" s="10" t="s">
        <v>4713</v>
      </c>
      <c r="D1483" s="10">
        <v>3</v>
      </c>
      <c r="E1483" s="10">
        <v>3</v>
      </c>
      <c r="F1483" s="24">
        <v>12495.29</v>
      </c>
      <c r="G1483" s="10" t="s">
        <v>4696</v>
      </c>
      <c r="H1483" s="10" t="s">
        <v>4696</v>
      </c>
      <c r="I1483" s="10" t="s">
        <v>4712</v>
      </c>
      <c r="J1483" s="17">
        <f t="shared" si="10"/>
        <v>25175</v>
      </c>
      <c r="K1483" s="10">
        <f t="shared" ca="1" si="11"/>
        <v>56</v>
      </c>
      <c r="L1483" s="6"/>
      <c r="M1483" s="6"/>
      <c r="N1483" s="6"/>
      <c r="O1483" s="6"/>
      <c r="P1483" s="6"/>
      <c r="Q1483" s="6"/>
      <c r="R1483" s="6"/>
      <c r="S1483" s="6"/>
      <c r="T1483" s="6"/>
      <c r="U1483" s="6"/>
      <c r="V1483" s="6"/>
      <c r="W1483" s="6"/>
      <c r="X1483" s="6"/>
      <c r="Y1483" s="6"/>
      <c r="Z1483" s="6"/>
    </row>
    <row r="1484" spans="1:26" ht="15.75" customHeight="1" x14ac:dyDescent="0.3">
      <c r="A1484" s="10" t="s">
        <v>1714</v>
      </c>
      <c r="B1484" s="10">
        <v>1966</v>
      </c>
      <c r="C1484" s="10" t="s">
        <v>4707</v>
      </c>
      <c r="D1484" s="10">
        <v>12</v>
      </c>
      <c r="E1484" s="10">
        <v>0</v>
      </c>
      <c r="F1484" s="24">
        <v>12499.88</v>
      </c>
      <c r="G1484" s="10" t="s">
        <v>4696</v>
      </c>
      <c r="H1484" s="10" t="s">
        <v>4695</v>
      </c>
      <c r="I1484" s="10" t="s">
        <v>4712</v>
      </c>
      <c r="J1484" s="17">
        <f t="shared" si="10"/>
        <v>24300</v>
      </c>
      <c r="K1484" s="10">
        <f t="shared" ca="1" si="11"/>
        <v>59</v>
      </c>
      <c r="L1484" s="6"/>
      <c r="M1484" s="6"/>
      <c r="N1484" s="6"/>
      <c r="O1484" s="6"/>
      <c r="P1484" s="6"/>
      <c r="Q1484" s="6"/>
      <c r="R1484" s="6"/>
      <c r="S1484" s="6"/>
      <c r="T1484" s="6"/>
      <c r="U1484" s="6"/>
      <c r="V1484" s="6"/>
      <c r="W1484" s="6"/>
      <c r="X1484" s="6"/>
      <c r="Y1484" s="6"/>
      <c r="Z1484" s="6"/>
    </row>
    <row r="1485" spans="1:26" ht="15.75" customHeight="1" x14ac:dyDescent="0.3">
      <c r="A1485" s="10" t="s">
        <v>1712</v>
      </c>
      <c r="B1485" s="10">
        <v>1962</v>
      </c>
      <c r="C1485" s="10" t="s">
        <v>4715</v>
      </c>
      <c r="D1485" s="10">
        <v>16</v>
      </c>
      <c r="E1485" s="10">
        <v>0</v>
      </c>
      <c r="F1485" s="24">
        <v>12523.6</v>
      </c>
      <c r="G1485" s="10" t="s">
        <v>4696</v>
      </c>
      <c r="H1485" s="10" t="s">
        <v>4696</v>
      </c>
      <c r="I1485" s="10" t="s">
        <v>4712</v>
      </c>
      <c r="J1485" s="17">
        <f t="shared" si="10"/>
        <v>22935</v>
      </c>
      <c r="K1485" s="10">
        <f t="shared" ca="1" si="11"/>
        <v>63</v>
      </c>
      <c r="L1485" s="6"/>
      <c r="M1485" s="6"/>
      <c r="N1485" s="6"/>
      <c r="O1485" s="6"/>
      <c r="P1485" s="6"/>
      <c r="Q1485" s="6"/>
      <c r="R1485" s="6"/>
      <c r="S1485" s="6"/>
      <c r="T1485" s="6"/>
      <c r="U1485" s="6"/>
      <c r="V1485" s="6"/>
      <c r="W1485" s="6"/>
      <c r="X1485" s="6"/>
      <c r="Y1485" s="6"/>
      <c r="Z1485" s="6"/>
    </row>
    <row r="1486" spans="1:26" ht="15.75" customHeight="1" x14ac:dyDescent="0.3">
      <c r="A1486" s="10" t="s">
        <v>1710</v>
      </c>
      <c r="B1486" s="10">
        <v>1961</v>
      </c>
      <c r="C1486" s="10" t="s">
        <v>4709</v>
      </c>
      <c r="D1486" s="10">
        <v>28</v>
      </c>
      <c r="E1486" s="10">
        <v>0</v>
      </c>
      <c r="F1486" s="24">
        <v>12557.61</v>
      </c>
      <c r="G1486" s="10" t="s">
        <v>4696</v>
      </c>
      <c r="H1486" s="10" t="s">
        <v>4696</v>
      </c>
      <c r="I1486" s="10" t="s">
        <v>4708</v>
      </c>
      <c r="J1486" s="17">
        <f t="shared" si="10"/>
        <v>22613</v>
      </c>
      <c r="K1486" s="10">
        <f t="shared" ca="1" si="11"/>
        <v>64</v>
      </c>
      <c r="L1486" s="6"/>
      <c r="M1486" s="6"/>
      <c r="N1486" s="6"/>
      <c r="O1486" s="6"/>
      <c r="P1486" s="6"/>
      <c r="Q1486" s="6"/>
      <c r="R1486" s="6"/>
      <c r="S1486" s="6"/>
      <c r="T1486" s="6"/>
      <c r="U1486" s="6"/>
      <c r="V1486" s="6"/>
      <c r="W1486" s="6"/>
      <c r="X1486" s="6"/>
      <c r="Y1486" s="6"/>
      <c r="Z1486" s="6"/>
    </row>
    <row r="1487" spans="1:26" ht="15.75" customHeight="1" x14ac:dyDescent="0.3">
      <c r="A1487" s="10" t="s">
        <v>1708</v>
      </c>
      <c r="B1487" s="10">
        <v>1961</v>
      </c>
      <c r="C1487" s="10" t="s">
        <v>4709</v>
      </c>
      <c r="D1487" s="10">
        <v>28</v>
      </c>
      <c r="E1487" s="10">
        <v>0</v>
      </c>
      <c r="F1487" s="24">
        <v>12574.05</v>
      </c>
      <c r="G1487" s="10" t="s">
        <v>4696</v>
      </c>
      <c r="H1487" s="10" t="s">
        <v>4694</v>
      </c>
      <c r="I1487" s="10" t="s">
        <v>4716</v>
      </c>
      <c r="J1487" s="17">
        <f t="shared" si="10"/>
        <v>22613</v>
      </c>
      <c r="K1487" s="10">
        <f t="shared" ca="1" si="11"/>
        <v>64</v>
      </c>
      <c r="L1487" s="6"/>
      <c r="M1487" s="6"/>
      <c r="N1487" s="6"/>
      <c r="O1487" s="6"/>
      <c r="P1487" s="6"/>
      <c r="Q1487" s="6"/>
      <c r="R1487" s="6"/>
      <c r="S1487" s="6"/>
      <c r="T1487" s="6"/>
      <c r="U1487" s="6"/>
      <c r="V1487" s="6"/>
      <c r="W1487" s="6"/>
      <c r="X1487" s="6"/>
      <c r="Y1487" s="6"/>
      <c r="Z1487" s="6"/>
    </row>
    <row r="1488" spans="1:26" ht="15.75" customHeight="1" x14ac:dyDescent="0.3">
      <c r="A1488" s="10" t="s">
        <v>1706</v>
      </c>
      <c r="B1488" s="10">
        <v>1969</v>
      </c>
      <c r="C1488" s="10" t="s">
        <v>4709</v>
      </c>
      <c r="D1488" s="10">
        <v>26</v>
      </c>
      <c r="E1488" s="10">
        <v>0</v>
      </c>
      <c r="F1488" s="24">
        <v>12579.92</v>
      </c>
      <c r="G1488" s="10" t="s">
        <v>4696</v>
      </c>
      <c r="H1488" s="10" t="s">
        <v>4694</v>
      </c>
      <c r="I1488" s="10" t="s">
        <v>4722</v>
      </c>
      <c r="J1488" s="17">
        <f t="shared" si="10"/>
        <v>25533</v>
      </c>
      <c r="K1488" s="10">
        <f t="shared" ca="1" si="11"/>
        <v>56</v>
      </c>
      <c r="L1488" s="6"/>
      <c r="M1488" s="6"/>
      <c r="N1488" s="6"/>
      <c r="O1488" s="6"/>
      <c r="P1488" s="6"/>
      <c r="Q1488" s="6"/>
      <c r="R1488" s="6"/>
      <c r="S1488" s="6"/>
      <c r="T1488" s="6"/>
      <c r="U1488" s="6"/>
      <c r="V1488" s="6"/>
      <c r="W1488" s="6"/>
      <c r="X1488" s="6"/>
      <c r="Y1488" s="6"/>
      <c r="Z1488" s="6"/>
    </row>
    <row r="1489" spans="1:26" ht="15.75" customHeight="1" x14ac:dyDescent="0.3">
      <c r="A1489" s="10" t="s">
        <v>1704</v>
      </c>
      <c r="B1489" s="10">
        <v>1970</v>
      </c>
      <c r="C1489" s="10" t="s">
        <v>4710</v>
      </c>
      <c r="D1489" s="10">
        <v>18</v>
      </c>
      <c r="E1489" s="10">
        <v>5</v>
      </c>
      <c r="F1489" s="24">
        <v>12592.53</v>
      </c>
      <c r="G1489" s="10" t="s">
        <v>4696</v>
      </c>
      <c r="H1489" s="10" t="s">
        <v>4695</v>
      </c>
      <c r="I1489" s="10" t="s">
        <v>4708</v>
      </c>
      <c r="J1489" s="17">
        <f t="shared" si="10"/>
        <v>25737</v>
      </c>
      <c r="K1489" s="10">
        <f t="shared" ca="1" si="11"/>
        <v>55</v>
      </c>
      <c r="L1489" s="6"/>
      <c r="M1489" s="6"/>
      <c r="N1489" s="6"/>
      <c r="O1489" s="6"/>
      <c r="P1489" s="6"/>
      <c r="Q1489" s="6"/>
      <c r="R1489" s="6"/>
      <c r="S1489" s="6"/>
      <c r="T1489" s="6"/>
      <c r="U1489" s="6"/>
      <c r="V1489" s="6"/>
      <c r="W1489" s="6"/>
      <c r="X1489" s="6"/>
      <c r="Y1489" s="6"/>
      <c r="Z1489" s="6"/>
    </row>
    <row r="1490" spans="1:26" ht="15.75" customHeight="1" x14ac:dyDescent="0.3">
      <c r="A1490" s="10" t="s">
        <v>1702</v>
      </c>
      <c r="B1490" s="10">
        <v>1988</v>
      </c>
      <c r="C1490" s="10" t="s">
        <v>4714</v>
      </c>
      <c r="D1490" s="10">
        <v>11</v>
      </c>
      <c r="E1490" s="10">
        <v>3</v>
      </c>
      <c r="F1490" s="24">
        <v>12600.46</v>
      </c>
      <c r="G1490" s="10" t="s">
        <v>4696</v>
      </c>
      <c r="H1490" s="10" t="s">
        <v>4694</v>
      </c>
      <c r="I1490" s="10" t="s">
        <v>4724</v>
      </c>
      <c r="J1490" s="17">
        <f t="shared" si="10"/>
        <v>32366</v>
      </c>
      <c r="K1490" s="10">
        <f t="shared" ca="1" si="11"/>
        <v>37</v>
      </c>
      <c r="L1490" s="6"/>
      <c r="M1490" s="6"/>
      <c r="N1490" s="6"/>
      <c r="O1490" s="6"/>
      <c r="P1490" s="6"/>
      <c r="Q1490" s="6"/>
      <c r="R1490" s="6"/>
      <c r="S1490" s="6"/>
      <c r="T1490" s="6"/>
      <c r="U1490" s="6"/>
      <c r="V1490" s="6"/>
      <c r="W1490" s="6"/>
      <c r="X1490" s="6"/>
      <c r="Y1490" s="6"/>
      <c r="Z1490" s="6"/>
    </row>
    <row r="1491" spans="1:26" ht="15.75" customHeight="1" x14ac:dyDescent="0.3">
      <c r="A1491" s="10" t="s">
        <v>1700</v>
      </c>
      <c r="B1491" s="10">
        <v>1998</v>
      </c>
      <c r="C1491" s="10" t="s">
        <v>4709</v>
      </c>
      <c r="D1491" s="10">
        <v>18</v>
      </c>
      <c r="E1491" s="10">
        <v>1</v>
      </c>
      <c r="F1491" s="24">
        <v>12609.89</v>
      </c>
      <c r="G1491" s="10" t="s">
        <v>4696</v>
      </c>
      <c r="H1491" s="10" t="s">
        <v>4696</v>
      </c>
      <c r="I1491" s="10" t="s">
        <v>4712</v>
      </c>
      <c r="J1491" s="17">
        <f t="shared" si="10"/>
        <v>36117</v>
      </c>
      <c r="K1491" s="10">
        <f t="shared" ca="1" si="11"/>
        <v>27</v>
      </c>
      <c r="L1491" s="6"/>
      <c r="M1491" s="6"/>
      <c r="N1491" s="6"/>
      <c r="O1491" s="6"/>
      <c r="P1491" s="6"/>
      <c r="Q1491" s="6"/>
      <c r="R1491" s="6"/>
      <c r="S1491" s="6"/>
      <c r="T1491" s="6"/>
      <c r="U1491" s="6"/>
      <c r="V1491" s="6"/>
      <c r="W1491" s="6"/>
      <c r="X1491" s="6"/>
      <c r="Y1491" s="6"/>
      <c r="Z1491" s="6"/>
    </row>
    <row r="1492" spans="1:26" ht="15.75" customHeight="1" x14ac:dyDescent="0.3">
      <c r="A1492" s="10" t="s">
        <v>1698</v>
      </c>
      <c r="B1492" s="10">
        <v>1963</v>
      </c>
      <c r="C1492" s="10" t="s">
        <v>4714</v>
      </c>
      <c r="D1492" s="10">
        <v>19</v>
      </c>
      <c r="E1492" s="10">
        <v>0</v>
      </c>
      <c r="F1492" s="24">
        <v>12622.18</v>
      </c>
      <c r="G1492" s="10" t="s">
        <v>4696</v>
      </c>
      <c r="H1492" s="10" t="s">
        <v>4694</v>
      </c>
      <c r="I1492" s="10" t="s">
        <v>4712</v>
      </c>
      <c r="J1492" s="17">
        <f t="shared" si="10"/>
        <v>23242</v>
      </c>
      <c r="K1492" s="10">
        <f t="shared" ca="1" si="11"/>
        <v>62</v>
      </c>
      <c r="L1492" s="6"/>
      <c r="M1492" s="6"/>
      <c r="N1492" s="6"/>
      <c r="O1492" s="6"/>
      <c r="P1492" s="6"/>
      <c r="Q1492" s="6"/>
      <c r="R1492" s="6"/>
      <c r="S1492" s="6"/>
      <c r="T1492" s="6"/>
      <c r="U1492" s="6"/>
      <c r="V1492" s="6"/>
      <c r="W1492" s="6"/>
      <c r="X1492" s="6"/>
      <c r="Y1492" s="6"/>
      <c r="Z1492" s="6"/>
    </row>
    <row r="1493" spans="1:26" ht="15.75" customHeight="1" x14ac:dyDescent="0.3">
      <c r="A1493" s="10" t="s">
        <v>1696</v>
      </c>
      <c r="B1493" s="10">
        <v>1970</v>
      </c>
      <c r="C1493" s="10" t="s">
        <v>4713</v>
      </c>
      <c r="D1493" s="10">
        <v>28</v>
      </c>
      <c r="E1493" s="10">
        <v>0</v>
      </c>
      <c r="F1493" s="24">
        <v>12624.74</v>
      </c>
      <c r="G1493" s="10" t="s">
        <v>4696</v>
      </c>
      <c r="H1493" s="10" t="s">
        <v>4694</v>
      </c>
      <c r="I1493" s="10" t="s">
        <v>4712</v>
      </c>
      <c r="J1493" s="17">
        <f t="shared" si="10"/>
        <v>25930</v>
      </c>
      <c r="K1493" s="10">
        <f t="shared" ca="1" si="11"/>
        <v>54</v>
      </c>
      <c r="L1493" s="6"/>
      <c r="M1493" s="6"/>
      <c r="N1493" s="6"/>
      <c r="O1493" s="6"/>
      <c r="P1493" s="6"/>
      <c r="Q1493" s="6"/>
      <c r="R1493" s="6"/>
      <c r="S1493" s="6"/>
      <c r="T1493" s="6"/>
      <c r="U1493" s="6"/>
      <c r="V1493" s="6"/>
      <c r="W1493" s="6"/>
      <c r="X1493" s="6"/>
      <c r="Y1493" s="6"/>
      <c r="Z1493" s="6"/>
    </row>
    <row r="1494" spans="1:26" ht="15.75" customHeight="1" x14ac:dyDescent="0.3">
      <c r="A1494" s="10" t="s">
        <v>1694</v>
      </c>
      <c r="B1494" s="10">
        <v>1965</v>
      </c>
      <c r="C1494" s="10" t="s">
        <v>4715</v>
      </c>
      <c r="D1494" s="10">
        <v>4</v>
      </c>
      <c r="E1494" s="10">
        <v>2</v>
      </c>
      <c r="F1494" s="24">
        <v>12629.17</v>
      </c>
      <c r="G1494" s="10" t="s">
        <v>4696</v>
      </c>
      <c r="H1494" s="10" t="s">
        <v>4694</v>
      </c>
      <c r="I1494" s="10" t="s">
        <v>4708</v>
      </c>
      <c r="J1494" s="17">
        <f t="shared" si="10"/>
        <v>24019</v>
      </c>
      <c r="K1494" s="10">
        <f t="shared" ca="1" si="11"/>
        <v>60</v>
      </c>
      <c r="L1494" s="6"/>
      <c r="M1494" s="6"/>
      <c r="N1494" s="6"/>
      <c r="O1494" s="6"/>
      <c r="P1494" s="6"/>
      <c r="Q1494" s="6"/>
      <c r="R1494" s="6"/>
      <c r="S1494" s="6"/>
      <c r="T1494" s="6"/>
      <c r="U1494" s="6"/>
      <c r="V1494" s="6"/>
      <c r="W1494" s="6"/>
      <c r="X1494" s="6"/>
      <c r="Y1494" s="6"/>
      <c r="Z1494" s="6"/>
    </row>
    <row r="1495" spans="1:26" ht="15.75" customHeight="1" x14ac:dyDescent="0.3">
      <c r="A1495" s="10" t="s">
        <v>1692</v>
      </c>
      <c r="B1495" s="10">
        <v>1962</v>
      </c>
      <c r="C1495" s="10" t="s">
        <v>4709</v>
      </c>
      <c r="D1495" s="10">
        <v>22</v>
      </c>
      <c r="E1495" s="10">
        <v>0</v>
      </c>
      <c r="F1495" s="24">
        <v>12629.9</v>
      </c>
      <c r="G1495" s="10" t="s">
        <v>4696</v>
      </c>
      <c r="H1495" s="10" t="s">
        <v>4696</v>
      </c>
      <c r="I1495" s="10" t="s">
        <v>4708</v>
      </c>
      <c r="J1495" s="17">
        <f t="shared" si="10"/>
        <v>22972</v>
      </c>
      <c r="K1495" s="10">
        <f t="shared" ca="1" si="11"/>
        <v>63</v>
      </c>
      <c r="L1495" s="6"/>
      <c r="M1495" s="6"/>
      <c r="N1495" s="6"/>
      <c r="O1495" s="6"/>
      <c r="P1495" s="6"/>
      <c r="Q1495" s="6"/>
      <c r="R1495" s="6"/>
      <c r="S1495" s="6"/>
      <c r="T1495" s="6"/>
      <c r="U1495" s="6"/>
      <c r="V1495" s="6"/>
      <c r="W1495" s="6"/>
      <c r="X1495" s="6"/>
      <c r="Y1495" s="6"/>
      <c r="Z1495" s="6"/>
    </row>
    <row r="1496" spans="1:26" ht="15.75" customHeight="1" x14ac:dyDescent="0.3">
      <c r="A1496" s="10" t="s">
        <v>1690</v>
      </c>
      <c r="B1496" s="10">
        <v>1962</v>
      </c>
      <c r="C1496" s="10" t="s">
        <v>4707</v>
      </c>
      <c r="D1496" s="10">
        <v>22</v>
      </c>
      <c r="E1496" s="10">
        <v>0</v>
      </c>
      <c r="F1496" s="24">
        <v>12638.2</v>
      </c>
      <c r="G1496" s="10" t="s">
        <v>4696</v>
      </c>
      <c r="H1496" s="10" t="s">
        <v>4694</v>
      </c>
      <c r="I1496" s="10" t="s">
        <v>4716</v>
      </c>
      <c r="J1496" s="17">
        <f t="shared" si="10"/>
        <v>22849</v>
      </c>
      <c r="K1496" s="10">
        <f t="shared" ca="1" si="11"/>
        <v>63</v>
      </c>
      <c r="L1496" s="6"/>
      <c r="M1496" s="6"/>
      <c r="N1496" s="6"/>
      <c r="O1496" s="6"/>
      <c r="P1496" s="6"/>
      <c r="Q1496" s="6"/>
      <c r="R1496" s="6"/>
      <c r="S1496" s="6"/>
      <c r="T1496" s="6"/>
      <c r="U1496" s="6"/>
      <c r="V1496" s="6"/>
      <c r="W1496" s="6"/>
      <c r="X1496" s="6"/>
      <c r="Y1496" s="6"/>
      <c r="Z1496" s="6"/>
    </row>
    <row r="1497" spans="1:26" ht="15.75" customHeight="1" x14ac:dyDescent="0.3">
      <c r="A1497" s="10" t="s">
        <v>1688</v>
      </c>
      <c r="B1497" s="10">
        <v>1972</v>
      </c>
      <c r="C1497" s="10" t="s">
        <v>4711</v>
      </c>
      <c r="D1497" s="10">
        <v>5</v>
      </c>
      <c r="E1497" s="10">
        <v>0</v>
      </c>
      <c r="F1497" s="24">
        <v>12640.24</v>
      </c>
      <c r="G1497" s="10" t="s">
        <v>4696</v>
      </c>
      <c r="H1497" s="10" t="s">
        <v>4694</v>
      </c>
      <c r="I1497" s="10" t="s">
        <v>4716</v>
      </c>
      <c r="J1497" s="17">
        <f t="shared" si="10"/>
        <v>26547</v>
      </c>
      <c r="K1497" s="10">
        <f t="shared" ca="1" si="11"/>
        <v>53</v>
      </c>
      <c r="L1497" s="6"/>
      <c r="M1497" s="6"/>
      <c r="N1497" s="6"/>
      <c r="O1497" s="6"/>
      <c r="P1497" s="6"/>
      <c r="Q1497" s="6"/>
      <c r="R1497" s="6"/>
      <c r="S1497" s="6"/>
      <c r="T1497" s="6"/>
      <c r="U1497" s="6"/>
      <c r="V1497" s="6"/>
      <c r="W1497" s="6"/>
      <c r="X1497" s="6"/>
      <c r="Y1497" s="6"/>
      <c r="Z1497" s="6"/>
    </row>
    <row r="1498" spans="1:26" ht="15.75" customHeight="1" x14ac:dyDescent="0.3">
      <c r="A1498" s="10" t="s">
        <v>1686</v>
      </c>
      <c r="B1498" s="10">
        <v>1966</v>
      </c>
      <c r="C1498" s="10" t="s">
        <v>4713</v>
      </c>
      <c r="D1498" s="10">
        <v>17</v>
      </c>
      <c r="E1498" s="10">
        <v>2</v>
      </c>
      <c r="F1498" s="24">
        <v>12643.38</v>
      </c>
      <c r="G1498" s="10" t="s">
        <v>4696</v>
      </c>
      <c r="H1498" s="10" t="s">
        <v>4694</v>
      </c>
      <c r="I1498" s="10" t="s">
        <v>4712</v>
      </c>
      <c r="J1498" s="17">
        <f t="shared" si="10"/>
        <v>24458</v>
      </c>
      <c r="K1498" s="10">
        <f t="shared" ca="1" si="11"/>
        <v>58</v>
      </c>
      <c r="L1498" s="6"/>
      <c r="M1498" s="6"/>
      <c r="N1498" s="6"/>
      <c r="O1498" s="6"/>
      <c r="P1498" s="6"/>
      <c r="Q1498" s="6"/>
      <c r="R1498" s="6"/>
      <c r="S1498" s="6"/>
      <c r="T1498" s="6"/>
      <c r="U1498" s="6"/>
      <c r="V1498" s="6"/>
      <c r="W1498" s="6"/>
      <c r="X1498" s="6"/>
      <c r="Y1498" s="6"/>
      <c r="Z1498" s="6"/>
    </row>
    <row r="1499" spans="1:26" ht="15.75" customHeight="1" x14ac:dyDescent="0.3">
      <c r="A1499" s="10" t="s">
        <v>1684</v>
      </c>
      <c r="B1499" s="10">
        <v>1962</v>
      </c>
      <c r="C1499" s="10" t="s">
        <v>4707</v>
      </c>
      <c r="D1499" s="10">
        <v>11</v>
      </c>
      <c r="E1499" s="10">
        <v>0</v>
      </c>
      <c r="F1499" s="24">
        <v>12644.59</v>
      </c>
      <c r="G1499" s="10" t="s">
        <v>4696</v>
      </c>
      <c r="H1499" s="10" t="s">
        <v>4695</v>
      </c>
      <c r="I1499" s="10" t="s">
        <v>4716</v>
      </c>
      <c r="J1499" s="17">
        <f t="shared" si="10"/>
        <v>22838</v>
      </c>
      <c r="K1499" s="10">
        <f t="shared" ca="1" si="11"/>
        <v>63</v>
      </c>
      <c r="L1499" s="6"/>
      <c r="M1499" s="6"/>
      <c r="N1499" s="6"/>
      <c r="O1499" s="6"/>
      <c r="P1499" s="6"/>
      <c r="Q1499" s="6"/>
      <c r="R1499" s="6"/>
      <c r="S1499" s="6"/>
      <c r="T1499" s="6"/>
      <c r="U1499" s="6"/>
      <c r="V1499" s="6"/>
      <c r="W1499" s="6"/>
      <c r="X1499" s="6"/>
      <c r="Y1499" s="6"/>
      <c r="Z1499" s="6"/>
    </row>
    <row r="1500" spans="1:26" ht="15.75" customHeight="1" x14ac:dyDescent="0.3">
      <c r="A1500" s="10" t="s">
        <v>1682</v>
      </c>
      <c r="B1500" s="10">
        <v>1965</v>
      </c>
      <c r="C1500" s="10" t="s">
        <v>4711</v>
      </c>
      <c r="D1500" s="10">
        <v>14</v>
      </c>
      <c r="E1500" s="10">
        <v>2</v>
      </c>
      <c r="F1500" s="24">
        <v>12646.21</v>
      </c>
      <c r="G1500" s="10" t="s">
        <v>4696</v>
      </c>
      <c r="H1500" s="10" t="s">
        <v>4695</v>
      </c>
      <c r="I1500" s="10" t="s">
        <v>4716</v>
      </c>
      <c r="J1500" s="17">
        <f t="shared" si="10"/>
        <v>23999</v>
      </c>
      <c r="K1500" s="10">
        <f t="shared" ca="1" si="11"/>
        <v>60</v>
      </c>
      <c r="L1500" s="6"/>
      <c r="M1500" s="6"/>
      <c r="N1500" s="6"/>
      <c r="O1500" s="6"/>
      <c r="P1500" s="6"/>
      <c r="Q1500" s="6"/>
      <c r="R1500" s="6"/>
      <c r="S1500" s="6"/>
      <c r="T1500" s="6"/>
      <c r="U1500" s="6"/>
      <c r="V1500" s="6"/>
      <c r="W1500" s="6"/>
      <c r="X1500" s="6"/>
      <c r="Y1500" s="6"/>
      <c r="Z1500" s="6"/>
    </row>
    <row r="1501" spans="1:26" ht="15.75" customHeight="1" x14ac:dyDescent="0.3">
      <c r="A1501" s="10" t="s">
        <v>1680</v>
      </c>
      <c r="B1501" s="10">
        <v>1962</v>
      </c>
      <c r="C1501" s="10" t="s">
        <v>4714</v>
      </c>
      <c r="D1501" s="10">
        <v>27</v>
      </c>
      <c r="E1501" s="10">
        <v>0</v>
      </c>
      <c r="F1501" s="24">
        <v>12648.7</v>
      </c>
      <c r="G1501" s="10" t="s">
        <v>4696</v>
      </c>
      <c r="H1501" s="10" t="s">
        <v>4695</v>
      </c>
      <c r="I1501" s="10" t="s">
        <v>4708</v>
      </c>
      <c r="J1501" s="17">
        <f t="shared" si="10"/>
        <v>22885</v>
      </c>
      <c r="K1501" s="10">
        <f t="shared" ca="1" si="11"/>
        <v>63</v>
      </c>
      <c r="L1501" s="6"/>
      <c r="M1501" s="6"/>
      <c r="N1501" s="6"/>
      <c r="O1501" s="6"/>
      <c r="P1501" s="6"/>
      <c r="Q1501" s="6"/>
      <c r="R1501" s="6"/>
      <c r="S1501" s="6"/>
      <c r="T1501" s="6"/>
      <c r="U1501" s="6"/>
      <c r="V1501" s="6"/>
      <c r="W1501" s="6"/>
      <c r="X1501" s="6"/>
      <c r="Y1501" s="6"/>
      <c r="Z1501" s="6"/>
    </row>
    <row r="1502" spans="1:26" ht="15.75" customHeight="1" x14ac:dyDescent="0.3">
      <c r="A1502" s="10" t="s">
        <v>1678</v>
      </c>
      <c r="B1502" s="10">
        <v>1974</v>
      </c>
      <c r="C1502" s="10" t="s">
        <v>4711</v>
      </c>
      <c r="D1502" s="10">
        <v>24</v>
      </c>
      <c r="E1502" s="10">
        <v>0</v>
      </c>
      <c r="F1502" s="24">
        <v>12697.48</v>
      </c>
      <c r="G1502" s="10" t="s">
        <v>4696</v>
      </c>
      <c r="H1502" s="10" t="s">
        <v>4696</v>
      </c>
      <c r="I1502" s="10" t="s">
        <v>4726</v>
      </c>
      <c r="J1502" s="17">
        <f t="shared" si="10"/>
        <v>27296</v>
      </c>
      <c r="K1502" s="10">
        <f t="shared" ca="1" si="11"/>
        <v>51</v>
      </c>
      <c r="L1502" s="6"/>
      <c r="M1502" s="6"/>
      <c r="N1502" s="6"/>
      <c r="O1502" s="6"/>
      <c r="P1502" s="6"/>
      <c r="Q1502" s="6"/>
      <c r="R1502" s="6"/>
      <c r="S1502" s="6"/>
      <c r="T1502" s="6"/>
      <c r="U1502" s="6"/>
      <c r="V1502" s="6"/>
      <c r="W1502" s="6"/>
      <c r="X1502" s="6"/>
      <c r="Y1502" s="6"/>
      <c r="Z1502" s="6"/>
    </row>
    <row r="1503" spans="1:26" ht="15.75" customHeight="1" x14ac:dyDescent="0.3">
      <c r="A1503" s="10" t="s">
        <v>1676</v>
      </c>
      <c r="B1503" s="10">
        <v>1992</v>
      </c>
      <c r="C1503" s="10" t="s">
        <v>4707</v>
      </c>
      <c r="D1503" s="10">
        <v>7</v>
      </c>
      <c r="E1503" s="10">
        <v>0</v>
      </c>
      <c r="F1503" s="24">
        <v>12699.56</v>
      </c>
      <c r="G1503" s="10" t="s">
        <v>4696</v>
      </c>
      <c r="H1503" s="10" t="s">
        <v>4695</v>
      </c>
      <c r="I1503" s="10" t="s">
        <v>4716</v>
      </c>
      <c r="J1503" s="17">
        <f t="shared" si="10"/>
        <v>33792</v>
      </c>
      <c r="K1503" s="10">
        <f t="shared" ca="1" si="11"/>
        <v>33</v>
      </c>
      <c r="L1503" s="6"/>
      <c r="M1503" s="6"/>
      <c r="N1503" s="6"/>
      <c r="O1503" s="6"/>
      <c r="P1503" s="6"/>
      <c r="Q1503" s="6"/>
      <c r="R1503" s="6"/>
      <c r="S1503" s="6"/>
      <c r="T1503" s="6"/>
      <c r="U1503" s="6"/>
      <c r="V1503" s="6"/>
      <c r="W1503" s="6"/>
      <c r="X1503" s="6"/>
      <c r="Y1503" s="6"/>
      <c r="Z1503" s="6"/>
    </row>
    <row r="1504" spans="1:26" ht="15.75" customHeight="1" x14ac:dyDescent="0.3">
      <c r="A1504" s="10" t="s">
        <v>1674</v>
      </c>
      <c r="B1504" s="10">
        <v>1964</v>
      </c>
      <c r="C1504" s="10" t="s">
        <v>4709</v>
      </c>
      <c r="D1504" s="10">
        <v>28</v>
      </c>
      <c r="E1504" s="10">
        <v>0</v>
      </c>
      <c r="F1504" s="24">
        <v>12700.63</v>
      </c>
      <c r="G1504" s="10" t="s">
        <v>4696</v>
      </c>
      <c r="H1504" s="10" t="s">
        <v>4696</v>
      </c>
      <c r="I1504" s="10" t="s">
        <v>4716</v>
      </c>
      <c r="J1504" s="17">
        <f t="shared" si="10"/>
        <v>23709</v>
      </c>
      <c r="K1504" s="10">
        <f t="shared" ca="1" si="11"/>
        <v>61</v>
      </c>
      <c r="L1504" s="6"/>
      <c r="M1504" s="6"/>
      <c r="N1504" s="6"/>
      <c r="O1504" s="6"/>
      <c r="P1504" s="6"/>
      <c r="Q1504" s="6"/>
      <c r="R1504" s="6"/>
      <c r="S1504" s="6"/>
      <c r="T1504" s="6"/>
      <c r="U1504" s="6"/>
      <c r="V1504" s="6"/>
      <c r="W1504" s="6"/>
      <c r="X1504" s="6"/>
      <c r="Y1504" s="6"/>
      <c r="Z1504" s="6"/>
    </row>
    <row r="1505" spans="1:26" ht="15.75" customHeight="1" x14ac:dyDescent="0.3">
      <c r="A1505" s="10" t="s">
        <v>1672</v>
      </c>
      <c r="B1505" s="10">
        <v>1970</v>
      </c>
      <c r="C1505" s="10" t="s">
        <v>4707</v>
      </c>
      <c r="D1505" s="10">
        <v>8</v>
      </c>
      <c r="E1505" s="10">
        <v>0</v>
      </c>
      <c r="F1505" s="24">
        <v>12713</v>
      </c>
      <c r="G1505" s="10" t="s">
        <v>4696</v>
      </c>
      <c r="H1505" s="10" t="s">
        <v>4694</v>
      </c>
      <c r="I1505" s="10" t="s">
        <v>4716</v>
      </c>
      <c r="J1505" s="17">
        <f t="shared" si="10"/>
        <v>25757</v>
      </c>
      <c r="K1505" s="10">
        <f t="shared" ca="1" si="11"/>
        <v>55</v>
      </c>
      <c r="L1505" s="6"/>
      <c r="M1505" s="6"/>
      <c r="N1505" s="6"/>
      <c r="O1505" s="6"/>
      <c r="P1505" s="6"/>
      <c r="Q1505" s="6"/>
      <c r="R1505" s="6"/>
      <c r="S1505" s="6"/>
      <c r="T1505" s="6"/>
      <c r="U1505" s="6"/>
      <c r="V1505" s="6"/>
      <c r="W1505" s="6"/>
      <c r="X1505" s="6"/>
      <c r="Y1505" s="6"/>
      <c r="Z1505" s="6"/>
    </row>
    <row r="1506" spans="1:26" ht="15.75" customHeight="1" x14ac:dyDescent="0.3">
      <c r="A1506" s="10" t="s">
        <v>1670</v>
      </c>
      <c r="B1506" s="10">
        <v>1988</v>
      </c>
      <c r="C1506" s="10" t="s">
        <v>4707</v>
      </c>
      <c r="D1506" s="10">
        <v>17</v>
      </c>
      <c r="E1506" s="10">
        <v>3</v>
      </c>
      <c r="F1506" s="24">
        <v>12718.21</v>
      </c>
      <c r="G1506" s="10" t="s">
        <v>4696</v>
      </c>
      <c r="H1506" s="10" t="s">
        <v>4694</v>
      </c>
      <c r="I1506" s="10" t="s">
        <v>4729</v>
      </c>
      <c r="J1506" s="17">
        <f t="shared" si="10"/>
        <v>32341</v>
      </c>
      <c r="K1506" s="10">
        <f t="shared" ca="1" si="11"/>
        <v>37</v>
      </c>
      <c r="L1506" s="6"/>
      <c r="M1506" s="6"/>
      <c r="N1506" s="6"/>
      <c r="O1506" s="6"/>
      <c r="P1506" s="6"/>
      <c r="Q1506" s="6"/>
      <c r="R1506" s="6"/>
      <c r="S1506" s="6"/>
      <c r="T1506" s="6"/>
      <c r="U1506" s="6"/>
      <c r="V1506" s="6"/>
      <c r="W1506" s="6"/>
      <c r="X1506" s="6"/>
      <c r="Y1506" s="6"/>
      <c r="Z1506" s="6"/>
    </row>
    <row r="1507" spans="1:26" ht="15.75" customHeight="1" x14ac:dyDescent="0.3">
      <c r="A1507" s="10" t="s">
        <v>1668</v>
      </c>
      <c r="B1507" s="10">
        <v>1962</v>
      </c>
      <c r="C1507" s="10" t="s">
        <v>4711</v>
      </c>
      <c r="D1507" s="10">
        <v>2</v>
      </c>
      <c r="E1507" s="10">
        <v>0</v>
      </c>
      <c r="F1507" s="24">
        <v>12731</v>
      </c>
      <c r="G1507" s="10" t="s">
        <v>4696</v>
      </c>
      <c r="H1507" s="10" t="s">
        <v>4696</v>
      </c>
      <c r="I1507" s="10" t="s">
        <v>4720</v>
      </c>
      <c r="J1507" s="17">
        <f t="shared" si="10"/>
        <v>22891</v>
      </c>
      <c r="K1507" s="10">
        <f t="shared" ca="1" si="11"/>
        <v>63</v>
      </c>
      <c r="L1507" s="6"/>
      <c r="M1507" s="6"/>
      <c r="N1507" s="6"/>
      <c r="O1507" s="6"/>
      <c r="P1507" s="6"/>
      <c r="Q1507" s="6"/>
      <c r="R1507" s="6"/>
      <c r="S1507" s="6"/>
      <c r="T1507" s="6"/>
      <c r="U1507" s="6"/>
      <c r="V1507" s="6"/>
      <c r="W1507" s="6"/>
      <c r="X1507" s="6"/>
      <c r="Y1507" s="6"/>
      <c r="Z1507" s="6"/>
    </row>
    <row r="1508" spans="1:26" ht="15.75" customHeight="1" x14ac:dyDescent="0.3">
      <c r="A1508" s="10" t="s">
        <v>1666</v>
      </c>
      <c r="B1508" s="10">
        <v>1962</v>
      </c>
      <c r="C1508" s="10" t="s">
        <v>4715</v>
      </c>
      <c r="D1508" s="10">
        <v>1</v>
      </c>
      <c r="E1508" s="10">
        <v>0</v>
      </c>
      <c r="F1508" s="24">
        <v>12741.17</v>
      </c>
      <c r="G1508" s="10" t="s">
        <v>4696</v>
      </c>
      <c r="H1508" s="10" t="s">
        <v>4694</v>
      </c>
      <c r="I1508" s="10" t="s">
        <v>4727</v>
      </c>
      <c r="J1508" s="17">
        <f t="shared" si="10"/>
        <v>22920</v>
      </c>
      <c r="K1508" s="10">
        <f t="shared" ca="1" si="11"/>
        <v>63</v>
      </c>
      <c r="L1508" s="6"/>
      <c r="M1508" s="6"/>
      <c r="N1508" s="6"/>
      <c r="O1508" s="6"/>
      <c r="P1508" s="6"/>
      <c r="Q1508" s="6"/>
      <c r="R1508" s="6"/>
      <c r="S1508" s="6"/>
      <c r="T1508" s="6"/>
      <c r="U1508" s="6"/>
      <c r="V1508" s="6"/>
      <c r="W1508" s="6"/>
      <c r="X1508" s="6"/>
      <c r="Y1508" s="6"/>
      <c r="Z1508" s="6"/>
    </row>
    <row r="1509" spans="1:26" ht="15.75" customHeight="1" x14ac:dyDescent="0.3">
      <c r="A1509" s="10" t="s">
        <v>1664</v>
      </c>
      <c r="B1509" s="10">
        <v>1975</v>
      </c>
      <c r="C1509" s="10" t="s">
        <v>4711</v>
      </c>
      <c r="D1509" s="10">
        <v>25</v>
      </c>
      <c r="E1509" s="10">
        <v>1</v>
      </c>
      <c r="F1509" s="24">
        <v>12770.27</v>
      </c>
      <c r="G1509" s="10" t="s">
        <v>4696</v>
      </c>
      <c r="H1509" s="10" t="s">
        <v>4696</v>
      </c>
      <c r="I1509" s="10" t="s">
        <v>4726</v>
      </c>
      <c r="J1509" s="17">
        <f t="shared" si="10"/>
        <v>27662</v>
      </c>
      <c r="K1509" s="10">
        <f t="shared" ca="1" si="11"/>
        <v>50</v>
      </c>
      <c r="L1509" s="6"/>
      <c r="M1509" s="6"/>
      <c r="N1509" s="6"/>
      <c r="O1509" s="6"/>
      <c r="P1509" s="6"/>
      <c r="Q1509" s="6"/>
      <c r="R1509" s="6"/>
      <c r="S1509" s="6"/>
      <c r="T1509" s="6"/>
      <c r="U1509" s="6"/>
      <c r="V1509" s="6"/>
      <c r="W1509" s="6"/>
      <c r="X1509" s="6"/>
      <c r="Y1509" s="6"/>
      <c r="Z1509" s="6"/>
    </row>
    <row r="1510" spans="1:26" ht="15.75" customHeight="1" x14ac:dyDescent="0.3">
      <c r="A1510" s="10" t="s">
        <v>1662</v>
      </c>
      <c r="B1510" s="10">
        <v>1972</v>
      </c>
      <c r="C1510" s="10" t="s">
        <v>4715</v>
      </c>
      <c r="D1510" s="10">
        <v>7</v>
      </c>
      <c r="E1510" s="10">
        <v>0</v>
      </c>
      <c r="F1510" s="24">
        <v>12776.05</v>
      </c>
      <c r="G1510" s="10" t="s">
        <v>4696</v>
      </c>
      <c r="H1510" s="10" t="s">
        <v>4696</v>
      </c>
      <c r="I1510" s="10" t="s">
        <v>4729</v>
      </c>
      <c r="J1510" s="17">
        <f t="shared" si="10"/>
        <v>26579</v>
      </c>
      <c r="K1510" s="10">
        <f t="shared" ca="1" si="11"/>
        <v>53</v>
      </c>
      <c r="L1510" s="6"/>
      <c r="M1510" s="6"/>
      <c r="N1510" s="6"/>
      <c r="O1510" s="6"/>
      <c r="P1510" s="6"/>
      <c r="Q1510" s="6"/>
      <c r="R1510" s="6"/>
      <c r="S1510" s="6"/>
      <c r="T1510" s="6"/>
      <c r="U1510" s="6"/>
      <c r="V1510" s="6"/>
      <c r="W1510" s="6"/>
      <c r="X1510" s="6"/>
      <c r="Y1510" s="6"/>
      <c r="Z1510" s="6"/>
    </row>
    <row r="1511" spans="1:26" ht="15.75" customHeight="1" x14ac:dyDescent="0.3">
      <c r="A1511" s="10" t="s">
        <v>1660</v>
      </c>
      <c r="B1511" s="10">
        <v>1963</v>
      </c>
      <c r="C1511" s="10" t="s">
        <v>4713</v>
      </c>
      <c r="D1511" s="10">
        <v>5</v>
      </c>
      <c r="E1511" s="10">
        <v>0</v>
      </c>
      <c r="F1511" s="24">
        <v>12788.03</v>
      </c>
      <c r="G1511" s="10" t="s">
        <v>4696</v>
      </c>
      <c r="H1511" s="10" t="s">
        <v>4696</v>
      </c>
      <c r="I1511" s="10" t="s">
        <v>4722</v>
      </c>
      <c r="J1511" s="17">
        <f t="shared" si="10"/>
        <v>23350</v>
      </c>
      <c r="K1511" s="10">
        <f t="shared" ca="1" si="11"/>
        <v>61</v>
      </c>
      <c r="L1511" s="6"/>
      <c r="M1511" s="6"/>
      <c r="N1511" s="6"/>
      <c r="O1511" s="6"/>
      <c r="P1511" s="6"/>
      <c r="Q1511" s="6"/>
      <c r="R1511" s="6"/>
      <c r="S1511" s="6"/>
      <c r="T1511" s="6"/>
      <c r="U1511" s="6"/>
      <c r="V1511" s="6"/>
      <c r="W1511" s="6"/>
      <c r="X1511" s="6"/>
      <c r="Y1511" s="6"/>
      <c r="Z1511" s="6"/>
    </row>
    <row r="1512" spans="1:26" ht="15.75" customHeight="1" x14ac:dyDescent="0.3">
      <c r="A1512" s="10" t="s">
        <v>1658</v>
      </c>
      <c r="B1512" s="10">
        <v>1983</v>
      </c>
      <c r="C1512" s="10" t="s">
        <v>4715</v>
      </c>
      <c r="D1512" s="10">
        <v>29</v>
      </c>
      <c r="E1512" s="10">
        <v>3</v>
      </c>
      <c r="F1512" s="24">
        <v>12788.18</v>
      </c>
      <c r="G1512" s="10" t="s">
        <v>4696</v>
      </c>
      <c r="H1512" s="10" t="s">
        <v>4694</v>
      </c>
      <c r="I1512" s="10" t="s">
        <v>4729</v>
      </c>
      <c r="J1512" s="17">
        <f t="shared" si="10"/>
        <v>30618</v>
      </c>
      <c r="K1512" s="10">
        <f t="shared" ca="1" si="11"/>
        <v>42</v>
      </c>
      <c r="L1512" s="6"/>
      <c r="M1512" s="6"/>
      <c r="N1512" s="6"/>
      <c r="O1512" s="6"/>
      <c r="P1512" s="6"/>
      <c r="Q1512" s="6"/>
      <c r="R1512" s="6"/>
      <c r="S1512" s="6"/>
      <c r="T1512" s="6"/>
      <c r="U1512" s="6"/>
      <c r="V1512" s="6"/>
      <c r="W1512" s="6"/>
      <c r="X1512" s="6"/>
      <c r="Y1512" s="6"/>
      <c r="Z1512" s="6"/>
    </row>
    <row r="1513" spans="1:26" ht="15.75" customHeight="1" x14ac:dyDescent="0.3">
      <c r="A1513" s="10" t="s">
        <v>1656</v>
      </c>
      <c r="B1513" s="10">
        <v>1978</v>
      </c>
      <c r="C1513" s="10" t="s">
        <v>4707</v>
      </c>
      <c r="D1513" s="10">
        <v>24</v>
      </c>
      <c r="E1513" s="10">
        <v>0</v>
      </c>
      <c r="F1513" s="24">
        <v>12797.21</v>
      </c>
      <c r="G1513" s="10" t="s">
        <v>4696</v>
      </c>
      <c r="H1513" s="10" t="s">
        <v>4694</v>
      </c>
      <c r="I1513" s="10" t="s">
        <v>4723</v>
      </c>
      <c r="J1513" s="17">
        <f t="shared" si="10"/>
        <v>28695</v>
      </c>
      <c r="K1513" s="10">
        <f t="shared" ca="1" si="11"/>
        <v>47</v>
      </c>
      <c r="L1513" s="6"/>
      <c r="M1513" s="6"/>
      <c r="N1513" s="6"/>
      <c r="O1513" s="6"/>
      <c r="P1513" s="6"/>
      <c r="Q1513" s="6"/>
      <c r="R1513" s="6"/>
      <c r="S1513" s="6"/>
      <c r="T1513" s="6"/>
      <c r="U1513" s="6"/>
      <c r="V1513" s="6"/>
      <c r="W1513" s="6"/>
      <c r="X1513" s="6"/>
      <c r="Y1513" s="6"/>
      <c r="Z1513" s="6"/>
    </row>
    <row r="1514" spans="1:26" ht="15.75" customHeight="1" x14ac:dyDescent="0.3">
      <c r="A1514" s="10" t="s">
        <v>1654</v>
      </c>
      <c r="B1514" s="10">
        <v>1963</v>
      </c>
      <c r="C1514" s="10" t="s">
        <v>4707</v>
      </c>
      <c r="D1514" s="10">
        <v>20</v>
      </c>
      <c r="E1514" s="10">
        <v>0</v>
      </c>
      <c r="F1514" s="24">
        <v>12815.44</v>
      </c>
      <c r="G1514" s="10" t="s">
        <v>4696</v>
      </c>
      <c r="H1514" s="10" t="s">
        <v>4696</v>
      </c>
      <c r="I1514" s="10" t="s">
        <v>4723</v>
      </c>
      <c r="J1514" s="17">
        <f t="shared" si="10"/>
        <v>23212</v>
      </c>
      <c r="K1514" s="10">
        <f t="shared" ca="1" si="11"/>
        <v>62</v>
      </c>
      <c r="L1514" s="6"/>
      <c r="M1514" s="6"/>
      <c r="N1514" s="6"/>
      <c r="O1514" s="6"/>
      <c r="P1514" s="6"/>
      <c r="Q1514" s="6"/>
      <c r="R1514" s="6"/>
      <c r="S1514" s="6"/>
      <c r="T1514" s="6"/>
      <c r="U1514" s="6"/>
      <c r="V1514" s="6"/>
      <c r="W1514" s="6"/>
      <c r="X1514" s="6"/>
      <c r="Y1514" s="6"/>
      <c r="Z1514" s="6"/>
    </row>
    <row r="1515" spans="1:26" ht="15.75" customHeight="1" x14ac:dyDescent="0.3">
      <c r="A1515" s="10" t="s">
        <v>1652</v>
      </c>
      <c r="B1515" s="10">
        <v>1967</v>
      </c>
      <c r="C1515" s="10" t="s">
        <v>4711</v>
      </c>
      <c r="D1515" s="10">
        <v>25</v>
      </c>
      <c r="E1515" s="10">
        <v>0</v>
      </c>
      <c r="F1515" s="24">
        <v>12823.25</v>
      </c>
      <c r="G1515" s="10" t="s">
        <v>4696</v>
      </c>
      <c r="H1515" s="10" t="s">
        <v>4696</v>
      </c>
      <c r="I1515" s="10" t="s">
        <v>4726</v>
      </c>
      <c r="J1515" s="17">
        <f t="shared" si="10"/>
        <v>24740</v>
      </c>
      <c r="K1515" s="10">
        <f t="shared" ca="1" si="11"/>
        <v>58</v>
      </c>
      <c r="L1515" s="6"/>
      <c r="M1515" s="6"/>
      <c r="N1515" s="6"/>
      <c r="O1515" s="6"/>
      <c r="P1515" s="6"/>
      <c r="Q1515" s="6"/>
      <c r="R1515" s="6"/>
      <c r="S1515" s="6"/>
      <c r="T1515" s="6"/>
      <c r="U1515" s="6"/>
      <c r="V1515" s="6"/>
      <c r="W1515" s="6"/>
      <c r="X1515" s="6"/>
      <c r="Y1515" s="6"/>
      <c r="Z1515" s="6"/>
    </row>
    <row r="1516" spans="1:26" ht="15.75" customHeight="1" x14ac:dyDescent="0.3">
      <c r="A1516" s="10" t="s">
        <v>1650</v>
      </c>
      <c r="B1516" s="10">
        <v>2004</v>
      </c>
      <c r="C1516" s="10" t="s">
        <v>4709</v>
      </c>
      <c r="D1516" s="10">
        <v>9</v>
      </c>
      <c r="E1516" s="10">
        <v>2</v>
      </c>
      <c r="F1516" s="24">
        <v>12829.46</v>
      </c>
      <c r="G1516" s="10" t="s">
        <v>4696</v>
      </c>
      <c r="H1516" s="10" t="s">
        <v>4696</v>
      </c>
      <c r="I1516" s="10" t="s">
        <v>4720</v>
      </c>
      <c r="J1516" s="17">
        <f t="shared" si="10"/>
        <v>38300</v>
      </c>
      <c r="K1516" s="10">
        <f t="shared" ca="1" si="11"/>
        <v>21</v>
      </c>
      <c r="L1516" s="6"/>
      <c r="M1516" s="6"/>
      <c r="N1516" s="6"/>
      <c r="O1516" s="6"/>
      <c r="P1516" s="6"/>
      <c r="Q1516" s="6"/>
      <c r="R1516" s="6"/>
      <c r="S1516" s="6"/>
      <c r="T1516" s="6"/>
      <c r="U1516" s="6"/>
      <c r="V1516" s="6"/>
      <c r="W1516" s="6"/>
      <c r="X1516" s="6"/>
      <c r="Y1516" s="6"/>
      <c r="Z1516" s="6"/>
    </row>
    <row r="1517" spans="1:26" ht="15.75" customHeight="1" x14ac:dyDescent="0.3">
      <c r="A1517" s="10" t="s">
        <v>1648</v>
      </c>
      <c r="B1517" s="10">
        <v>1993</v>
      </c>
      <c r="C1517" s="10" t="s">
        <v>4711</v>
      </c>
      <c r="D1517" s="10">
        <v>27</v>
      </c>
      <c r="E1517" s="10">
        <v>0</v>
      </c>
      <c r="F1517" s="24">
        <v>12847.24</v>
      </c>
      <c r="G1517" s="10" t="s">
        <v>4696</v>
      </c>
      <c r="H1517" s="10" t="s">
        <v>4695</v>
      </c>
      <c r="I1517" s="10" t="s">
        <v>4712</v>
      </c>
      <c r="J1517" s="17">
        <f t="shared" si="10"/>
        <v>34239</v>
      </c>
      <c r="K1517" s="10">
        <f t="shared" ca="1" si="11"/>
        <v>32</v>
      </c>
      <c r="L1517" s="6"/>
      <c r="M1517" s="6"/>
      <c r="N1517" s="6"/>
      <c r="O1517" s="6"/>
      <c r="P1517" s="6"/>
      <c r="Q1517" s="6"/>
      <c r="R1517" s="6"/>
      <c r="S1517" s="6"/>
      <c r="T1517" s="6"/>
      <c r="U1517" s="6"/>
      <c r="V1517" s="6"/>
      <c r="W1517" s="6"/>
      <c r="X1517" s="6"/>
      <c r="Y1517" s="6"/>
      <c r="Z1517" s="6"/>
    </row>
    <row r="1518" spans="1:26" ht="15.75" customHeight="1" x14ac:dyDescent="0.3">
      <c r="A1518" s="10" t="s">
        <v>1646</v>
      </c>
      <c r="B1518" s="10">
        <v>1973</v>
      </c>
      <c r="C1518" s="10" t="s">
        <v>4711</v>
      </c>
      <c r="D1518" s="10">
        <v>22</v>
      </c>
      <c r="E1518" s="10">
        <v>0</v>
      </c>
      <c r="F1518" s="24">
        <v>12852.37</v>
      </c>
      <c r="G1518" s="10" t="s">
        <v>4696</v>
      </c>
      <c r="H1518" s="10" t="s">
        <v>4694</v>
      </c>
      <c r="I1518" s="10" t="s">
        <v>4712</v>
      </c>
      <c r="J1518" s="17">
        <f t="shared" si="10"/>
        <v>26929</v>
      </c>
      <c r="K1518" s="10">
        <f t="shared" ca="1" si="11"/>
        <v>52</v>
      </c>
      <c r="L1518" s="6"/>
      <c r="M1518" s="6"/>
      <c r="N1518" s="6"/>
      <c r="O1518" s="6"/>
      <c r="P1518" s="6"/>
      <c r="Q1518" s="6"/>
      <c r="R1518" s="6"/>
      <c r="S1518" s="6"/>
      <c r="T1518" s="6"/>
      <c r="U1518" s="6"/>
      <c r="V1518" s="6"/>
      <c r="W1518" s="6"/>
      <c r="X1518" s="6"/>
      <c r="Y1518" s="6"/>
      <c r="Z1518" s="6"/>
    </row>
    <row r="1519" spans="1:26" ht="15.75" customHeight="1" x14ac:dyDescent="0.3">
      <c r="A1519" s="10" t="s">
        <v>1644</v>
      </c>
      <c r="B1519" s="10">
        <v>1963</v>
      </c>
      <c r="C1519" s="10" t="s">
        <v>4711</v>
      </c>
      <c r="D1519" s="10">
        <v>27</v>
      </c>
      <c r="E1519" s="10">
        <v>0</v>
      </c>
      <c r="F1519" s="24">
        <v>12856.84</v>
      </c>
      <c r="G1519" s="10" t="s">
        <v>4696</v>
      </c>
      <c r="H1519" s="10" t="s">
        <v>4696</v>
      </c>
      <c r="I1519" s="10" t="s">
        <v>4726</v>
      </c>
      <c r="J1519" s="17">
        <f t="shared" si="10"/>
        <v>23281</v>
      </c>
      <c r="K1519" s="10">
        <f t="shared" ca="1" si="11"/>
        <v>62</v>
      </c>
      <c r="L1519" s="6"/>
      <c r="M1519" s="6"/>
      <c r="N1519" s="6"/>
      <c r="O1519" s="6"/>
      <c r="P1519" s="6"/>
      <c r="Q1519" s="6"/>
      <c r="R1519" s="6"/>
      <c r="S1519" s="6"/>
      <c r="T1519" s="6"/>
      <c r="U1519" s="6"/>
      <c r="V1519" s="6"/>
      <c r="W1519" s="6"/>
      <c r="X1519" s="6"/>
      <c r="Y1519" s="6"/>
      <c r="Z1519" s="6"/>
    </row>
    <row r="1520" spans="1:26" ht="15.75" customHeight="1" x14ac:dyDescent="0.3">
      <c r="A1520" s="10" t="s">
        <v>1642</v>
      </c>
      <c r="B1520" s="10">
        <v>1984</v>
      </c>
      <c r="C1520" s="10" t="s">
        <v>4714</v>
      </c>
      <c r="D1520" s="10">
        <v>6</v>
      </c>
      <c r="E1520" s="10">
        <v>3</v>
      </c>
      <c r="F1520" s="24">
        <v>12870.31</v>
      </c>
      <c r="G1520" s="10" t="s">
        <v>4696</v>
      </c>
      <c r="H1520" s="10" t="s">
        <v>4696</v>
      </c>
      <c r="I1520" s="10" t="s">
        <v>4712</v>
      </c>
      <c r="J1520" s="17">
        <f t="shared" si="10"/>
        <v>30900</v>
      </c>
      <c r="K1520" s="10">
        <f t="shared" ca="1" si="11"/>
        <v>41</v>
      </c>
      <c r="L1520" s="6"/>
      <c r="M1520" s="6"/>
      <c r="N1520" s="6"/>
      <c r="O1520" s="6"/>
      <c r="P1520" s="6"/>
      <c r="Q1520" s="6"/>
      <c r="R1520" s="6"/>
      <c r="S1520" s="6"/>
      <c r="T1520" s="6"/>
      <c r="U1520" s="6"/>
      <c r="V1520" s="6"/>
      <c r="W1520" s="6"/>
      <c r="X1520" s="6"/>
      <c r="Y1520" s="6"/>
      <c r="Z1520" s="6"/>
    </row>
    <row r="1521" spans="1:26" ht="15.75" customHeight="1" x14ac:dyDescent="0.3">
      <c r="A1521" s="10" t="s">
        <v>1640</v>
      </c>
      <c r="B1521" s="10">
        <v>2004</v>
      </c>
      <c r="C1521" s="10" t="s">
        <v>4707</v>
      </c>
      <c r="D1521" s="10">
        <v>9</v>
      </c>
      <c r="E1521" s="10">
        <v>0</v>
      </c>
      <c r="F1521" s="24">
        <v>12890.06</v>
      </c>
      <c r="G1521" s="10" t="s">
        <v>4696</v>
      </c>
      <c r="H1521" s="10" t="s">
        <v>4694</v>
      </c>
      <c r="I1521" s="10" t="s">
        <v>4719</v>
      </c>
      <c r="J1521" s="17">
        <f t="shared" si="10"/>
        <v>38177</v>
      </c>
      <c r="K1521" s="10">
        <f t="shared" ca="1" si="11"/>
        <v>21</v>
      </c>
      <c r="L1521" s="6"/>
      <c r="M1521" s="6"/>
      <c r="N1521" s="6"/>
      <c r="O1521" s="6"/>
      <c r="P1521" s="6"/>
      <c r="Q1521" s="6"/>
      <c r="R1521" s="6"/>
      <c r="S1521" s="6"/>
      <c r="T1521" s="6"/>
      <c r="U1521" s="6"/>
      <c r="V1521" s="6"/>
      <c r="W1521" s="6"/>
      <c r="X1521" s="6"/>
      <c r="Y1521" s="6"/>
      <c r="Z1521" s="6"/>
    </row>
    <row r="1522" spans="1:26" ht="15.75" customHeight="1" x14ac:dyDescent="0.3">
      <c r="A1522" s="10" t="s">
        <v>1638</v>
      </c>
      <c r="B1522" s="10">
        <v>1963</v>
      </c>
      <c r="C1522" s="10" t="s">
        <v>4714</v>
      </c>
      <c r="D1522" s="10">
        <v>16</v>
      </c>
      <c r="E1522" s="10">
        <v>1</v>
      </c>
      <c r="F1522" s="24">
        <v>12913.99</v>
      </c>
      <c r="G1522" s="10" t="s">
        <v>4696</v>
      </c>
      <c r="H1522" s="10" t="s">
        <v>4695</v>
      </c>
      <c r="I1522" s="10" t="s">
        <v>4720</v>
      </c>
      <c r="J1522" s="17">
        <f t="shared" si="10"/>
        <v>23239</v>
      </c>
      <c r="K1522" s="10">
        <f t="shared" ca="1" si="11"/>
        <v>62</v>
      </c>
      <c r="L1522" s="6"/>
      <c r="M1522" s="6"/>
      <c r="N1522" s="6"/>
      <c r="O1522" s="6"/>
      <c r="P1522" s="6"/>
      <c r="Q1522" s="6"/>
      <c r="R1522" s="6"/>
      <c r="S1522" s="6"/>
      <c r="T1522" s="6"/>
      <c r="U1522" s="6"/>
      <c r="V1522" s="6"/>
      <c r="W1522" s="6"/>
      <c r="X1522" s="6"/>
      <c r="Y1522" s="6"/>
      <c r="Z1522" s="6"/>
    </row>
    <row r="1523" spans="1:26" ht="15.75" customHeight="1" x14ac:dyDescent="0.3">
      <c r="A1523" s="10" t="s">
        <v>1636</v>
      </c>
      <c r="B1523" s="10">
        <v>1963</v>
      </c>
      <c r="C1523" s="10" t="s">
        <v>4711</v>
      </c>
      <c r="D1523" s="10">
        <v>1</v>
      </c>
      <c r="E1523" s="10">
        <v>2</v>
      </c>
      <c r="F1523" s="24">
        <v>12925.89</v>
      </c>
      <c r="G1523" s="10" t="s">
        <v>4696</v>
      </c>
      <c r="H1523" s="10" t="s">
        <v>4695</v>
      </c>
      <c r="I1523" s="10" t="s">
        <v>4708</v>
      </c>
      <c r="J1523" s="17">
        <f t="shared" si="10"/>
        <v>23255</v>
      </c>
      <c r="K1523" s="10">
        <f t="shared" ca="1" si="11"/>
        <v>62</v>
      </c>
      <c r="L1523" s="6"/>
      <c r="M1523" s="6"/>
      <c r="N1523" s="6"/>
      <c r="O1523" s="6"/>
      <c r="P1523" s="6"/>
      <c r="Q1523" s="6"/>
      <c r="R1523" s="6"/>
      <c r="S1523" s="6"/>
      <c r="T1523" s="6"/>
      <c r="U1523" s="6"/>
      <c r="V1523" s="6"/>
      <c r="W1523" s="6"/>
      <c r="X1523" s="6"/>
      <c r="Y1523" s="6"/>
      <c r="Z1523" s="6"/>
    </row>
    <row r="1524" spans="1:26" ht="15.75" customHeight="1" x14ac:dyDescent="0.3">
      <c r="A1524" s="10" t="s">
        <v>1634</v>
      </c>
      <c r="B1524" s="10">
        <v>1963</v>
      </c>
      <c r="C1524" s="10" t="s">
        <v>4714</v>
      </c>
      <c r="D1524" s="10">
        <v>14</v>
      </c>
      <c r="E1524" s="10">
        <v>2</v>
      </c>
      <c r="F1524" s="24">
        <v>12928.79</v>
      </c>
      <c r="G1524" s="10" t="s">
        <v>4696</v>
      </c>
      <c r="H1524" s="10" t="s">
        <v>4695</v>
      </c>
      <c r="I1524" s="10" t="s">
        <v>4708</v>
      </c>
      <c r="J1524" s="17">
        <f t="shared" si="10"/>
        <v>23237</v>
      </c>
      <c r="K1524" s="10">
        <f t="shared" ca="1" si="11"/>
        <v>62</v>
      </c>
      <c r="L1524" s="6"/>
      <c r="M1524" s="6"/>
      <c r="N1524" s="6"/>
      <c r="O1524" s="6"/>
      <c r="P1524" s="6"/>
      <c r="Q1524" s="6"/>
      <c r="R1524" s="6"/>
      <c r="S1524" s="6"/>
      <c r="T1524" s="6"/>
      <c r="U1524" s="6"/>
      <c r="V1524" s="6"/>
      <c r="W1524" s="6"/>
      <c r="X1524" s="6"/>
      <c r="Y1524" s="6"/>
      <c r="Z1524" s="6"/>
    </row>
    <row r="1525" spans="1:26" ht="15.75" customHeight="1" x14ac:dyDescent="0.3">
      <c r="A1525" s="10" t="s">
        <v>1632</v>
      </c>
      <c r="B1525" s="10">
        <v>1966</v>
      </c>
      <c r="C1525" s="10" t="s">
        <v>4713</v>
      </c>
      <c r="D1525" s="10">
        <v>22</v>
      </c>
      <c r="E1525" s="10">
        <v>4</v>
      </c>
      <c r="F1525" s="24">
        <v>12949.16</v>
      </c>
      <c r="G1525" s="10" t="s">
        <v>4696</v>
      </c>
      <c r="H1525" s="10" t="s">
        <v>4696</v>
      </c>
      <c r="I1525" s="10" t="s">
        <v>4708</v>
      </c>
      <c r="J1525" s="17">
        <f t="shared" si="10"/>
        <v>24463</v>
      </c>
      <c r="K1525" s="10">
        <f t="shared" ca="1" si="11"/>
        <v>58</v>
      </c>
      <c r="L1525" s="6"/>
      <c r="M1525" s="6"/>
      <c r="N1525" s="6"/>
      <c r="O1525" s="6"/>
      <c r="P1525" s="6"/>
      <c r="Q1525" s="6"/>
      <c r="R1525" s="6"/>
      <c r="S1525" s="6"/>
      <c r="T1525" s="6"/>
      <c r="U1525" s="6"/>
      <c r="V1525" s="6"/>
      <c r="W1525" s="6"/>
      <c r="X1525" s="6"/>
      <c r="Y1525" s="6"/>
      <c r="Z1525" s="6"/>
    </row>
    <row r="1526" spans="1:26" ht="15.75" customHeight="1" x14ac:dyDescent="0.3">
      <c r="A1526" s="10" t="s">
        <v>1630</v>
      </c>
      <c r="B1526" s="10">
        <v>1961</v>
      </c>
      <c r="C1526" s="10" t="s">
        <v>4714</v>
      </c>
      <c r="D1526" s="10">
        <v>20</v>
      </c>
      <c r="E1526" s="10">
        <v>0</v>
      </c>
      <c r="F1526" s="24">
        <v>12950.07</v>
      </c>
      <c r="G1526" s="10" t="s">
        <v>4696</v>
      </c>
      <c r="H1526" s="10" t="s">
        <v>4694</v>
      </c>
      <c r="I1526" s="10" t="s">
        <v>4712</v>
      </c>
      <c r="J1526" s="17">
        <f t="shared" si="10"/>
        <v>22513</v>
      </c>
      <c r="K1526" s="10">
        <f t="shared" ca="1" si="11"/>
        <v>64</v>
      </c>
      <c r="L1526" s="6"/>
      <c r="M1526" s="6"/>
      <c r="N1526" s="6"/>
      <c r="O1526" s="6"/>
      <c r="P1526" s="6"/>
      <c r="Q1526" s="6"/>
      <c r="R1526" s="6"/>
      <c r="S1526" s="6"/>
      <c r="T1526" s="6"/>
      <c r="U1526" s="6"/>
      <c r="V1526" s="6"/>
      <c r="W1526" s="6"/>
      <c r="X1526" s="6"/>
      <c r="Y1526" s="6"/>
      <c r="Z1526" s="6"/>
    </row>
    <row r="1527" spans="1:26" ht="15.75" customHeight="1" x14ac:dyDescent="0.3">
      <c r="A1527" s="10" t="s">
        <v>1628</v>
      </c>
      <c r="B1527" s="10">
        <v>1960</v>
      </c>
      <c r="C1527" s="10" t="s">
        <v>4709</v>
      </c>
      <c r="D1527" s="10">
        <v>4</v>
      </c>
      <c r="E1527" s="10">
        <v>0</v>
      </c>
      <c r="F1527" s="24">
        <v>12957.12</v>
      </c>
      <c r="G1527" s="10" t="s">
        <v>4696</v>
      </c>
      <c r="H1527" s="10" t="s">
        <v>4694</v>
      </c>
      <c r="I1527" s="10" t="s">
        <v>4716</v>
      </c>
      <c r="J1527" s="17">
        <f t="shared" si="10"/>
        <v>22224</v>
      </c>
      <c r="K1527" s="10">
        <f t="shared" ca="1" si="11"/>
        <v>65</v>
      </c>
      <c r="L1527" s="6"/>
      <c r="M1527" s="6"/>
      <c r="N1527" s="6"/>
      <c r="O1527" s="6"/>
      <c r="P1527" s="6"/>
      <c r="Q1527" s="6"/>
      <c r="R1527" s="6"/>
      <c r="S1527" s="6"/>
      <c r="T1527" s="6"/>
      <c r="U1527" s="6"/>
      <c r="V1527" s="6"/>
      <c r="W1527" s="6"/>
      <c r="X1527" s="6"/>
      <c r="Y1527" s="6"/>
      <c r="Z1527" s="6"/>
    </row>
    <row r="1528" spans="1:26" ht="15.75" customHeight="1" x14ac:dyDescent="0.3">
      <c r="A1528" s="10" t="s">
        <v>1626</v>
      </c>
      <c r="B1528" s="10">
        <v>1960</v>
      </c>
      <c r="C1528" s="10" t="s">
        <v>4710</v>
      </c>
      <c r="D1528" s="10">
        <v>22</v>
      </c>
      <c r="E1528" s="10">
        <v>0</v>
      </c>
      <c r="F1528" s="24">
        <v>12979.36</v>
      </c>
      <c r="G1528" s="10" t="s">
        <v>4696</v>
      </c>
      <c r="H1528" s="10" t="s">
        <v>4694</v>
      </c>
      <c r="I1528" s="10" t="s">
        <v>4716</v>
      </c>
      <c r="J1528" s="17">
        <f t="shared" si="10"/>
        <v>22089</v>
      </c>
      <c r="K1528" s="10">
        <f t="shared" ca="1" si="11"/>
        <v>65</v>
      </c>
      <c r="L1528" s="6"/>
      <c r="M1528" s="6"/>
      <c r="N1528" s="6"/>
      <c r="O1528" s="6"/>
      <c r="P1528" s="6"/>
      <c r="Q1528" s="6"/>
      <c r="R1528" s="6"/>
      <c r="S1528" s="6"/>
      <c r="T1528" s="6"/>
      <c r="U1528" s="6"/>
      <c r="V1528" s="6"/>
      <c r="W1528" s="6"/>
      <c r="X1528" s="6"/>
      <c r="Y1528" s="6"/>
      <c r="Z1528" s="6"/>
    </row>
    <row r="1529" spans="1:26" ht="15.75" customHeight="1" x14ac:dyDescent="0.3">
      <c r="A1529" s="10" t="s">
        <v>1624</v>
      </c>
      <c r="B1529" s="10">
        <v>1960</v>
      </c>
      <c r="C1529" s="10" t="s">
        <v>4711</v>
      </c>
      <c r="D1529" s="10">
        <v>23</v>
      </c>
      <c r="E1529" s="10">
        <v>0</v>
      </c>
      <c r="F1529" s="24">
        <v>12981.35</v>
      </c>
      <c r="G1529" s="10" t="s">
        <v>4696</v>
      </c>
      <c r="H1529" s="10" t="s">
        <v>4696</v>
      </c>
      <c r="I1529" s="10" t="s">
        <v>4708</v>
      </c>
      <c r="J1529" s="17">
        <f t="shared" si="10"/>
        <v>22182</v>
      </c>
      <c r="K1529" s="10">
        <f t="shared" ca="1" si="11"/>
        <v>65</v>
      </c>
      <c r="L1529" s="6"/>
      <c r="M1529" s="6"/>
      <c r="N1529" s="6"/>
      <c r="O1529" s="6"/>
      <c r="P1529" s="6"/>
      <c r="Q1529" s="6"/>
      <c r="R1529" s="6"/>
      <c r="S1529" s="6"/>
      <c r="T1529" s="6"/>
      <c r="U1529" s="6"/>
      <c r="V1529" s="6"/>
      <c r="W1529" s="6"/>
      <c r="X1529" s="6"/>
      <c r="Y1529" s="6"/>
      <c r="Z1529" s="6"/>
    </row>
    <row r="1530" spans="1:26" ht="15.75" customHeight="1" x14ac:dyDescent="0.3">
      <c r="A1530" s="10" t="s">
        <v>1622</v>
      </c>
      <c r="B1530" s="10">
        <v>1960</v>
      </c>
      <c r="C1530" s="10" t="s">
        <v>4709</v>
      </c>
      <c r="D1530" s="10">
        <v>28</v>
      </c>
      <c r="E1530" s="10">
        <v>0</v>
      </c>
      <c r="F1530" s="24">
        <v>12982.87</v>
      </c>
      <c r="G1530" s="10" t="s">
        <v>4696</v>
      </c>
      <c r="H1530" s="10" t="s">
        <v>4694</v>
      </c>
      <c r="I1530" s="10" t="s">
        <v>4708</v>
      </c>
      <c r="J1530" s="17">
        <f t="shared" si="10"/>
        <v>22248</v>
      </c>
      <c r="K1530" s="10">
        <f t="shared" ca="1" si="11"/>
        <v>65</v>
      </c>
      <c r="L1530" s="6"/>
      <c r="M1530" s="6"/>
      <c r="N1530" s="6"/>
      <c r="O1530" s="6"/>
      <c r="P1530" s="6"/>
      <c r="Q1530" s="6"/>
      <c r="R1530" s="6"/>
      <c r="S1530" s="6"/>
      <c r="T1530" s="6"/>
      <c r="U1530" s="6"/>
      <c r="V1530" s="6"/>
      <c r="W1530" s="6"/>
      <c r="X1530" s="6"/>
      <c r="Y1530" s="6"/>
      <c r="Z1530" s="6"/>
    </row>
    <row r="1531" spans="1:26" ht="15.75" customHeight="1" x14ac:dyDescent="0.3">
      <c r="A1531" s="10" t="s">
        <v>1620</v>
      </c>
      <c r="B1531" s="10">
        <v>1979</v>
      </c>
      <c r="C1531" s="10" t="s">
        <v>4709</v>
      </c>
      <c r="D1531" s="10">
        <v>27</v>
      </c>
      <c r="E1531" s="10">
        <v>2</v>
      </c>
      <c r="F1531" s="24">
        <v>12994.12</v>
      </c>
      <c r="G1531" s="10" t="s">
        <v>4696</v>
      </c>
      <c r="H1531" s="10" t="s">
        <v>4695</v>
      </c>
      <c r="I1531" s="10" t="s">
        <v>4729</v>
      </c>
      <c r="J1531" s="17">
        <f t="shared" si="10"/>
        <v>29186</v>
      </c>
      <c r="K1531" s="10">
        <f t="shared" ca="1" si="11"/>
        <v>46</v>
      </c>
      <c r="L1531" s="6"/>
      <c r="M1531" s="6"/>
      <c r="N1531" s="6"/>
      <c r="O1531" s="6"/>
      <c r="P1531" s="6"/>
      <c r="Q1531" s="6"/>
      <c r="R1531" s="6"/>
      <c r="S1531" s="6"/>
      <c r="T1531" s="6"/>
      <c r="U1531" s="6"/>
      <c r="V1531" s="6"/>
      <c r="W1531" s="6"/>
      <c r="X1531" s="6"/>
      <c r="Y1531" s="6"/>
      <c r="Z1531" s="6"/>
    </row>
    <row r="1532" spans="1:26" ht="15.75" customHeight="1" x14ac:dyDescent="0.3">
      <c r="A1532" s="10" t="s">
        <v>1618</v>
      </c>
      <c r="B1532" s="10">
        <v>1981</v>
      </c>
      <c r="C1532" s="10" t="s">
        <v>4715</v>
      </c>
      <c r="D1532" s="10">
        <v>30</v>
      </c>
      <c r="E1532" s="10">
        <v>1</v>
      </c>
      <c r="F1532" s="24">
        <v>13002.91</v>
      </c>
      <c r="G1532" s="10" t="s">
        <v>4696</v>
      </c>
      <c r="H1532" s="10" t="s">
        <v>4694</v>
      </c>
      <c r="I1532" s="10" t="s">
        <v>4712</v>
      </c>
      <c r="J1532" s="17">
        <f t="shared" ref="J1532:J1786" si="12">DATEVALUE(D1532&amp;"-"&amp;C1532&amp;" -"&amp;B1532)</f>
        <v>29889</v>
      </c>
      <c r="K1532" s="10">
        <f t="shared" ref="K1532:K1786" ca="1" si="13">DATEDIF(J1532,TODAY(),"Y")</f>
        <v>44</v>
      </c>
      <c r="L1532" s="6"/>
      <c r="M1532" s="6"/>
      <c r="N1532" s="6"/>
      <c r="O1532" s="6"/>
      <c r="P1532" s="6"/>
      <c r="Q1532" s="6"/>
      <c r="R1532" s="6"/>
      <c r="S1532" s="6"/>
      <c r="T1532" s="6"/>
      <c r="U1532" s="6"/>
      <c r="V1532" s="6"/>
      <c r="W1532" s="6"/>
      <c r="X1532" s="6"/>
      <c r="Y1532" s="6"/>
      <c r="Z1532" s="6"/>
    </row>
    <row r="1533" spans="1:26" ht="15.75" customHeight="1" x14ac:dyDescent="0.3">
      <c r="A1533" s="10" t="s">
        <v>1616</v>
      </c>
      <c r="B1533" s="10">
        <v>1962</v>
      </c>
      <c r="C1533" s="10" t="s">
        <v>4710</v>
      </c>
      <c r="D1533" s="10">
        <v>24</v>
      </c>
      <c r="E1533" s="10">
        <v>0</v>
      </c>
      <c r="F1533" s="24">
        <v>13004.95</v>
      </c>
      <c r="G1533" s="10" t="s">
        <v>4696</v>
      </c>
      <c r="H1533" s="10" t="s">
        <v>4694</v>
      </c>
      <c r="I1533" s="10" t="s">
        <v>4712</v>
      </c>
      <c r="J1533" s="17">
        <f t="shared" si="12"/>
        <v>22821</v>
      </c>
      <c r="K1533" s="10">
        <f t="shared" ca="1" si="13"/>
        <v>63</v>
      </c>
      <c r="L1533" s="6"/>
      <c r="M1533" s="6"/>
      <c r="N1533" s="6"/>
      <c r="O1533" s="6"/>
      <c r="P1533" s="6"/>
      <c r="Q1533" s="6"/>
      <c r="R1533" s="6"/>
      <c r="S1533" s="6"/>
      <c r="T1533" s="6"/>
      <c r="U1533" s="6"/>
      <c r="V1533" s="6"/>
      <c r="W1533" s="6"/>
      <c r="X1533" s="6"/>
      <c r="Y1533" s="6"/>
      <c r="Z1533" s="6"/>
    </row>
    <row r="1534" spans="1:26" ht="15.75" customHeight="1" x14ac:dyDescent="0.3">
      <c r="A1534" s="10" t="s">
        <v>1614</v>
      </c>
      <c r="B1534" s="10">
        <v>1969</v>
      </c>
      <c r="C1534" s="10" t="s">
        <v>4713</v>
      </c>
      <c r="D1534" s="10">
        <v>13</v>
      </c>
      <c r="E1534" s="10">
        <v>0</v>
      </c>
      <c r="F1534" s="24">
        <v>13008.07</v>
      </c>
      <c r="G1534" s="10" t="s">
        <v>4696</v>
      </c>
      <c r="H1534" s="10" t="s">
        <v>4696</v>
      </c>
      <c r="I1534" s="10" t="s">
        <v>4712</v>
      </c>
      <c r="J1534" s="17">
        <f t="shared" si="12"/>
        <v>25550</v>
      </c>
      <c r="K1534" s="10">
        <f t="shared" ca="1" si="13"/>
        <v>55</v>
      </c>
      <c r="L1534" s="6"/>
      <c r="M1534" s="6"/>
      <c r="N1534" s="6"/>
      <c r="O1534" s="6"/>
      <c r="P1534" s="6"/>
      <c r="Q1534" s="6"/>
      <c r="R1534" s="6"/>
      <c r="S1534" s="6"/>
      <c r="T1534" s="6"/>
      <c r="U1534" s="6"/>
      <c r="V1534" s="6"/>
      <c r="W1534" s="6"/>
      <c r="X1534" s="6"/>
      <c r="Y1534" s="6"/>
      <c r="Z1534" s="6"/>
    </row>
    <row r="1535" spans="1:26" ht="15.75" customHeight="1" x14ac:dyDescent="0.3">
      <c r="A1535" s="10" t="s">
        <v>1612</v>
      </c>
      <c r="B1535" s="10">
        <v>1972</v>
      </c>
      <c r="C1535" s="10" t="s">
        <v>4711</v>
      </c>
      <c r="D1535" s="10">
        <v>27</v>
      </c>
      <c r="E1535" s="10">
        <v>0</v>
      </c>
      <c r="F1535" s="24">
        <v>13010.86</v>
      </c>
      <c r="G1535" s="10" t="s">
        <v>4696</v>
      </c>
      <c r="H1535" s="10" t="s">
        <v>4695</v>
      </c>
      <c r="I1535" s="10" t="s">
        <v>4712</v>
      </c>
      <c r="J1535" s="17">
        <f t="shared" si="12"/>
        <v>26569</v>
      </c>
      <c r="K1535" s="10">
        <f t="shared" ca="1" si="13"/>
        <v>53</v>
      </c>
      <c r="L1535" s="6"/>
      <c r="M1535" s="6"/>
      <c r="N1535" s="6"/>
      <c r="O1535" s="6"/>
      <c r="P1535" s="6"/>
      <c r="Q1535" s="6"/>
      <c r="R1535" s="6"/>
      <c r="S1535" s="6"/>
      <c r="T1535" s="6"/>
      <c r="U1535" s="6"/>
      <c r="V1535" s="6"/>
      <c r="W1535" s="6"/>
      <c r="X1535" s="6"/>
      <c r="Y1535" s="6"/>
      <c r="Z1535" s="6"/>
    </row>
    <row r="1536" spans="1:26" ht="15.75" customHeight="1" x14ac:dyDescent="0.3">
      <c r="A1536" s="10" t="s">
        <v>1610</v>
      </c>
      <c r="B1536" s="10">
        <v>1962</v>
      </c>
      <c r="C1536" s="10" t="s">
        <v>4707</v>
      </c>
      <c r="D1536" s="10">
        <v>20</v>
      </c>
      <c r="E1536" s="10">
        <v>0</v>
      </c>
      <c r="F1536" s="24">
        <v>13012.21</v>
      </c>
      <c r="G1536" s="10" t="s">
        <v>4696</v>
      </c>
      <c r="H1536" s="10" t="s">
        <v>4694</v>
      </c>
      <c r="I1536" s="10" t="s">
        <v>4712</v>
      </c>
      <c r="J1536" s="17">
        <f t="shared" si="12"/>
        <v>22847</v>
      </c>
      <c r="K1536" s="10">
        <f t="shared" ca="1" si="13"/>
        <v>63</v>
      </c>
      <c r="L1536" s="6"/>
      <c r="M1536" s="6"/>
      <c r="N1536" s="6"/>
      <c r="O1536" s="6"/>
      <c r="P1536" s="6"/>
      <c r="Q1536" s="6"/>
      <c r="R1536" s="6"/>
      <c r="S1536" s="6"/>
      <c r="T1536" s="6"/>
      <c r="U1536" s="6"/>
      <c r="V1536" s="6"/>
      <c r="W1536" s="6"/>
      <c r="X1536" s="6"/>
      <c r="Y1536" s="6"/>
      <c r="Z1536" s="6"/>
    </row>
    <row r="1537" spans="1:26" ht="15.75" customHeight="1" x14ac:dyDescent="0.3">
      <c r="A1537" s="10" t="s">
        <v>1608</v>
      </c>
      <c r="B1537" s="10">
        <v>1964</v>
      </c>
      <c r="C1537" s="10" t="s">
        <v>4711</v>
      </c>
      <c r="D1537" s="10">
        <v>23</v>
      </c>
      <c r="E1537" s="10">
        <v>1</v>
      </c>
      <c r="F1537" s="24">
        <v>13019.16</v>
      </c>
      <c r="G1537" s="10" t="s">
        <v>4696</v>
      </c>
      <c r="H1537" s="10" t="s">
        <v>4694</v>
      </c>
      <c r="I1537" s="10" t="s">
        <v>4723</v>
      </c>
      <c r="J1537" s="17">
        <f t="shared" si="12"/>
        <v>23643</v>
      </c>
      <c r="K1537" s="10">
        <f t="shared" ca="1" si="13"/>
        <v>61</v>
      </c>
      <c r="L1537" s="6"/>
      <c r="M1537" s="6"/>
      <c r="N1537" s="6"/>
      <c r="O1537" s="6"/>
      <c r="P1537" s="6"/>
      <c r="Q1537" s="6"/>
      <c r="R1537" s="6"/>
      <c r="S1537" s="6"/>
      <c r="T1537" s="6"/>
      <c r="U1537" s="6"/>
      <c r="V1537" s="6"/>
      <c r="W1537" s="6"/>
      <c r="X1537" s="6"/>
      <c r="Y1537" s="6"/>
      <c r="Z1537" s="6"/>
    </row>
    <row r="1538" spans="1:26" ht="15.75" customHeight="1" x14ac:dyDescent="0.3">
      <c r="A1538" s="10" t="s">
        <v>1606</v>
      </c>
      <c r="B1538" s="10">
        <v>1965</v>
      </c>
      <c r="C1538" s="10" t="s">
        <v>4709</v>
      </c>
      <c r="D1538" s="10">
        <v>4</v>
      </c>
      <c r="E1538" s="10">
        <v>0</v>
      </c>
      <c r="F1538" s="24">
        <v>13023.93</v>
      </c>
      <c r="G1538" s="10" t="s">
        <v>4696</v>
      </c>
      <c r="H1538" s="10" t="s">
        <v>4695</v>
      </c>
      <c r="I1538" s="10" t="s">
        <v>4722</v>
      </c>
      <c r="J1538" s="17">
        <f t="shared" si="12"/>
        <v>24050</v>
      </c>
      <c r="K1538" s="10">
        <f t="shared" ca="1" si="13"/>
        <v>60</v>
      </c>
      <c r="L1538" s="6"/>
      <c r="M1538" s="6"/>
      <c r="N1538" s="6"/>
      <c r="O1538" s="6"/>
      <c r="P1538" s="6"/>
      <c r="Q1538" s="6"/>
      <c r="R1538" s="6"/>
      <c r="S1538" s="6"/>
      <c r="T1538" s="6"/>
      <c r="U1538" s="6"/>
      <c r="V1538" s="6"/>
      <c r="W1538" s="6"/>
      <c r="X1538" s="6"/>
      <c r="Y1538" s="6"/>
      <c r="Z1538" s="6"/>
    </row>
    <row r="1539" spans="1:26" ht="15.75" customHeight="1" x14ac:dyDescent="0.3">
      <c r="A1539" s="10" t="s">
        <v>1604</v>
      </c>
      <c r="B1539" s="10">
        <v>1961</v>
      </c>
      <c r="C1539" s="10" t="s">
        <v>4709</v>
      </c>
      <c r="D1539" s="10">
        <v>9</v>
      </c>
      <c r="E1539" s="10">
        <v>0</v>
      </c>
      <c r="F1539" s="24">
        <v>13041.92</v>
      </c>
      <c r="G1539" s="10" t="s">
        <v>4696</v>
      </c>
      <c r="H1539" s="10" t="s">
        <v>4694</v>
      </c>
      <c r="I1539" s="10" t="s">
        <v>4716</v>
      </c>
      <c r="J1539" s="17">
        <f t="shared" si="12"/>
        <v>22594</v>
      </c>
      <c r="K1539" s="10">
        <f t="shared" ca="1" si="13"/>
        <v>64</v>
      </c>
      <c r="L1539" s="6"/>
      <c r="M1539" s="6"/>
      <c r="N1539" s="6"/>
      <c r="O1539" s="6"/>
      <c r="P1539" s="6"/>
      <c r="Q1539" s="6"/>
      <c r="R1539" s="6"/>
      <c r="S1539" s="6"/>
      <c r="T1539" s="6"/>
      <c r="U1539" s="6"/>
      <c r="V1539" s="6"/>
      <c r="W1539" s="6"/>
      <c r="X1539" s="6"/>
      <c r="Y1539" s="6"/>
      <c r="Z1539" s="6"/>
    </row>
    <row r="1540" spans="1:26" ht="15.75" customHeight="1" x14ac:dyDescent="0.3">
      <c r="A1540" s="10" t="s">
        <v>1602</v>
      </c>
      <c r="B1540" s="10">
        <v>1969</v>
      </c>
      <c r="C1540" s="10" t="s">
        <v>4711</v>
      </c>
      <c r="D1540" s="10">
        <v>23</v>
      </c>
      <c r="E1540" s="10">
        <v>0</v>
      </c>
      <c r="F1540" s="24">
        <v>13044.41</v>
      </c>
      <c r="G1540" s="10" t="s">
        <v>4696</v>
      </c>
      <c r="H1540" s="10" t="s">
        <v>4694</v>
      </c>
      <c r="I1540" s="10" t="s">
        <v>4712</v>
      </c>
      <c r="J1540" s="17">
        <f t="shared" si="12"/>
        <v>25469</v>
      </c>
      <c r="K1540" s="10">
        <f t="shared" ca="1" si="13"/>
        <v>56</v>
      </c>
      <c r="L1540" s="6"/>
      <c r="M1540" s="6"/>
      <c r="N1540" s="6"/>
      <c r="O1540" s="6"/>
      <c r="P1540" s="6"/>
      <c r="Q1540" s="6"/>
      <c r="R1540" s="6"/>
      <c r="S1540" s="6"/>
      <c r="T1540" s="6"/>
      <c r="U1540" s="6"/>
      <c r="V1540" s="6"/>
      <c r="W1540" s="6"/>
      <c r="X1540" s="6"/>
      <c r="Y1540" s="6"/>
      <c r="Z1540" s="6"/>
    </row>
    <row r="1541" spans="1:26" ht="15.75" customHeight="1" x14ac:dyDescent="0.3">
      <c r="A1541" s="10" t="s">
        <v>1600</v>
      </c>
      <c r="B1541" s="10">
        <v>1967</v>
      </c>
      <c r="C1541" s="10" t="s">
        <v>4714</v>
      </c>
      <c r="D1541" s="10">
        <v>6</v>
      </c>
      <c r="E1541" s="10">
        <v>3</v>
      </c>
      <c r="F1541" s="24">
        <v>13047.33</v>
      </c>
      <c r="G1541" s="10" t="s">
        <v>4696</v>
      </c>
      <c r="H1541" s="10" t="s">
        <v>4696</v>
      </c>
      <c r="I1541" s="10" t="s">
        <v>4723</v>
      </c>
      <c r="J1541" s="17">
        <f t="shared" si="12"/>
        <v>24690</v>
      </c>
      <c r="K1541" s="10">
        <f t="shared" ca="1" si="13"/>
        <v>58</v>
      </c>
      <c r="L1541" s="6"/>
      <c r="M1541" s="6"/>
      <c r="N1541" s="6"/>
      <c r="O1541" s="6"/>
      <c r="P1541" s="6"/>
      <c r="Q1541" s="6"/>
      <c r="R1541" s="6"/>
      <c r="S1541" s="6"/>
      <c r="T1541" s="6"/>
      <c r="U1541" s="6"/>
      <c r="V1541" s="6"/>
      <c r="W1541" s="6"/>
      <c r="X1541" s="6"/>
      <c r="Y1541" s="6"/>
      <c r="Z1541" s="6"/>
    </row>
    <row r="1542" spans="1:26" ht="15.75" customHeight="1" x14ac:dyDescent="0.3">
      <c r="A1542" s="10" t="s">
        <v>1598</v>
      </c>
      <c r="B1542" s="10">
        <v>1985</v>
      </c>
      <c r="C1542" s="10" t="s">
        <v>4715</v>
      </c>
      <c r="D1542" s="10">
        <v>26</v>
      </c>
      <c r="E1542" s="10">
        <v>3</v>
      </c>
      <c r="F1542" s="24">
        <v>13051.22</v>
      </c>
      <c r="G1542" s="10" t="s">
        <v>4696</v>
      </c>
      <c r="H1542" s="10" t="s">
        <v>4694</v>
      </c>
      <c r="I1542" s="10" t="s">
        <v>4729</v>
      </c>
      <c r="J1542" s="17">
        <f t="shared" si="12"/>
        <v>31346</v>
      </c>
      <c r="K1542" s="10">
        <f t="shared" ca="1" si="13"/>
        <v>40</v>
      </c>
      <c r="L1542" s="6"/>
      <c r="M1542" s="6"/>
      <c r="N1542" s="6"/>
      <c r="O1542" s="6"/>
      <c r="P1542" s="6"/>
      <c r="Q1542" s="6"/>
      <c r="R1542" s="6"/>
      <c r="S1542" s="6"/>
      <c r="T1542" s="6"/>
      <c r="U1542" s="6"/>
      <c r="V1542" s="6"/>
      <c r="W1542" s="6"/>
      <c r="X1542" s="6"/>
      <c r="Y1542" s="6"/>
      <c r="Z1542" s="6"/>
    </row>
    <row r="1543" spans="1:26" ht="15.75" customHeight="1" x14ac:dyDescent="0.3">
      <c r="A1543" s="10" t="s">
        <v>1596</v>
      </c>
      <c r="B1543" s="10">
        <v>1961</v>
      </c>
      <c r="C1543" s="10" t="s">
        <v>4709</v>
      </c>
      <c r="D1543" s="10">
        <v>6</v>
      </c>
      <c r="E1543" s="10">
        <v>0</v>
      </c>
      <c r="F1543" s="24">
        <v>13063.88</v>
      </c>
      <c r="G1543" s="10" t="s">
        <v>4696</v>
      </c>
      <c r="H1543" s="10" t="s">
        <v>4695</v>
      </c>
      <c r="I1543" s="10" t="s">
        <v>4716</v>
      </c>
      <c r="J1543" s="17">
        <f t="shared" si="12"/>
        <v>22591</v>
      </c>
      <c r="K1543" s="10">
        <f t="shared" ca="1" si="13"/>
        <v>64</v>
      </c>
      <c r="L1543" s="6"/>
      <c r="M1543" s="6"/>
      <c r="N1543" s="6"/>
      <c r="O1543" s="6"/>
      <c r="P1543" s="6"/>
      <c r="Q1543" s="6"/>
      <c r="R1543" s="6"/>
      <c r="S1543" s="6"/>
      <c r="T1543" s="6"/>
      <c r="U1543" s="6"/>
      <c r="V1543" s="6"/>
      <c r="W1543" s="6"/>
      <c r="X1543" s="6"/>
      <c r="Y1543" s="6"/>
      <c r="Z1543" s="6"/>
    </row>
    <row r="1544" spans="1:26" ht="15.75" customHeight="1" x14ac:dyDescent="0.3">
      <c r="A1544" s="10" t="s">
        <v>1594</v>
      </c>
      <c r="B1544" s="10">
        <v>1978</v>
      </c>
      <c r="C1544" s="10" t="s">
        <v>4707</v>
      </c>
      <c r="D1544" s="10">
        <v>17</v>
      </c>
      <c r="E1544" s="10">
        <v>2</v>
      </c>
      <c r="F1544" s="24">
        <v>13101.74</v>
      </c>
      <c r="G1544" s="10" t="s">
        <v>4696</v>
      </c>
      <c r="H1544" s="10" t="s">
        <v>4695</v>
      </c>
      <c r="I1544" s="10" t="s">
        <v>4729</v>
      </c>
      <c r="J1544" s="17">
        <f t="shared" si="12"/>
        <v>28688</v>
      </c>
      <c r="K1544" s="10">
        <f t="shared" ca="1" si="13"/>
        <v>47</v>
      </c>
      <c r="L1544" s="6"/>
      <c r="M1544" s="6"/>
      <c r="N1544" s="6"/>
      <c r="O1544" s="6"/>
      <c r="P1544" s="6"/>
      <c r="Q1544" s="6"/>
      <c r="R1544" s="6"/>
      <c r="S1544" s="6"/>
      <c r="T1544" s="6"/>
      <c r="U1544" s="6"/>
      <c r="V1544" s="6"/>
      <c r="W1544" s="6"/>
      <c r="X1544" s="6"/>
      <c r="Y1544" s="6"/>
      <c r="Z1544" s="6"/>
    </row>
    <row r="1545" spans="1:26" ht="15.75" customHeight="1" x14ac:dyDescent="0.3">
      <c r="A1545" s="10" t="s">
        <v>1592</v>
      </c>
      <c r="B1545" s="10">
        <v>1971</v>
      </c>
      <c r="C1545" s="10" t="s">
        <v>4715</v>
      </c>
      <c r="D1545" s="10">
        <v>30</v>
      </c>
      <c r="E1545" s="10">
        <v>0</v>
      </c>
      <c r="F1545" s="24">
        <v>13110.79</v>
      </c>
      <c r="G1545" s="10" t="s">
        <v>4696</v>
      </c>
      <c r="H1545" s="10" t="s">
        <v>4695</v>
      </c>
      <c r="I1545" s="10" t="s">
        <v>4716</v>
      </c>
      <c r="J1545" s="17">
        <f t="shared" si="12"/>
        <v>26236</v>
      </c>
      <c r="K1545" s="10">
        <f t="shared" ca="1" si="13"/>
        <v>54</v>
      </c>
      <c r="L1545" s="6"/>
      <c r="M1545" s="6"/>
      <c r="N1545" s="6"/>
      <c r="O1545" s="6"/>
      <c r="P1545" s="6"/>
      <c r="Q1545" s="6"/>
      <c r="R1545" s="6"/>
      <c r="S1545" s="6"/>
      <c r="T1545" s="6"/>
      <c r="U1545" s="6"/>
      <c r="V1545" s="6"/>
      <c r="W1545" s="6"/>
      <c r="X1545" s="6"/>
      <c r="Y1545" s="6"/>
      <c r="Z1545" s="6"/>
    </row>
    <row r="1546" spans="1:26" ht="15.75" customHeight="1" x14ac:dyDescent="0.3">
      <c r="A1546" s="10" t="s">
        <v>1590</v>
      </c>
      <c r="B1546" s="10">
        <v>1962</v>
      </c>
      <c r="C1546" s="10" t="s">
        <v>4714</v>
      </c>
      <c r="D1546" s="10">
        <v>2</v>
      </c>
      <c r="E1546" s="10">
        <v>1</v>
      </c>
      <c r="F1546" s="24">
        <v>13112.6</v>
      </c>
      <c r="G1546" s="10" t="s">
        <v>4696</v>
      </c>
      <c r="H1546" s="10" t="s">
        <v>4696</v>
      </c>
      <c r="I1546" s="10" t="s">
        <v>4712</v>
      </c>
      <c r="J1546" s="17">
        <f t="shared" si="12"/>
        <v>22860</v>
      </c>
      <c r="K1546" s="10">
        <f t="shared" ca="1" si="13"/>
        <v>63</v>
      </c>
      <c r="L1546" s="6"/>
      <c r="M1546" s="6"/>
      <c r="N1546" s="6"/>
      <c r="O1546" s="6"/>
      <c r="P1546" s="6"/>
      <c r="Q1546" s="6"/>
      <c r="R1546" s="6"/>
      <c r="S1546" s="6"/>
      <c r="T1546" s="6"/>
      <c r="U1546" s="6"/>
      <c r="V1546" s="6"/>
      <c r="W1546" s="6"/>
      <c r="X1546" s="6"/>
      <c r="Y1546" s="6"/>
      <c r="Z1546" s="6"/>
    </row>
    <row r="1547" spans="1:26" ht="15.75" customHeight="1" x14ac:dyDescent="0.3">
      <c r="A1547" s="10" t="s">
        <v>1588</v>
      </c>
      <c r="B1547" s="10">
        <v>1992</v>
      </c>
      <c r="C1547" s="10" t="s">
        <v>4714</v>
      </c>
      <c r="D1547" s="10">
        <v>12</v>
      </c>
      <c r="E1547" s="10">
        <v>0</v>
      </c>
      <c r="F1547" s="24">
        <v>13113.51</v>
      </c>
      <c r="G1547" s="10" t="s">
        <v>4696</v>
      </c>
      <c r="H1547" s="10" t="s">
        <v>4695</v>
      </c>
      <c r="I1547" s="10" t="s">
        <v>4729</v>
      </c>
      <c r="J1547" s="17">
        <f t="shared" si="12"/>
        <v>33828</v>
      </c>
      <c r="K1547" s="10">
        <f t="shared" ca="1" si="13"/>
        <v>33</v>
      </c>
      <c r="L1547" s="6"/>
      <c r="M1547" s="6"/>
      <c r="N1547" s="6"/>
      <c r="O1547" s="6"/>
      <c r="P1547" s="6"/>
      <c r="Q1547" s="6"/>
      <c r="R1547" s="6"/>
      <c r="S1547" s="6"/>
      <c r="T1547" s="6"/>
      <c r="U1547" s="6"/>
      <c r="V1547" s="6"/>
      <c r="W1547" s="6"/>
      <c r="X1547" s="6"/>
      <c r="Y1547" s="6"/>
      <c r="Z1547" s="6"/>
    </row>
    <row r="1548" spans="1:26" ht="15.75" customHeight="1" x14ac:dyDescent="0.3">
      <c r="A1548" s="10" t="s">
        <v>1586</v>
      </c>
      <c r="B1548" s="10">
        <v>1963</v>
      </c>
      <c r="C1548" s="10" t="s">
        <v>4711</v>
      </c>
      <c r="D1548" s="10">
        <v>14</v>
      </c>
      <c r="E1548" s="10">
        <v>0</v>
      </c>
      <c r="F1548" s="24">
        <v>13116.84</v>
      </c>
      <c r="G1548" s="10" t="s">
        <v>4696</v>
      </c>
      <c r="H1548" s="10" t="s">
        <v>4694</v>
      </c>
      <c r="I1548" s="10" t="s">
        <v>4712</v>
      </c>
      <c r="J1548" s="17">
        <f t="shared" si="12"/>
        <v>23268</v>
      </c>
      <c r="K1548" s="10">
        <f t="shared" ca="1" si="13"/>
        <v>62</v>
      </c>
      <c r="L1548" s="6"/>
      <c r="M1548" s="6"/>
      <c r="N1548" s="6"/>
      <c r="O1548" s="6"/>
      <c r="P1548" s="6"/>
      <c r="Q1548" s="6"/>
      <c r="R1548" s="6"/>
      <c r="S1548" s="6"/>
      <c r="T1548" s="6"/>
      <c r="U1548" s="6"/>
      <c r="V1548" s="6"/>
      <c r="W1548" s="6"/>
      <c r="X1548" s="6"/>
      <c r="Y1548" s="6"/>
      <c r="Z1548" s="6"/>
    </row>
    <row r="1549" spans="1:26" ht="15.75" customHeight="1" x14ac:dyDescent="0.3">
      <c r="A1549" s="10" t="s">
        <v>1584</v>
      </c>
      <c r="B1549" s="10">
        <v>1999</v>
      </c>
      <c r="C1549" s="10" t="s">
        <v>4714</v>
      </c>
      <c r="D1549" s="10">
        <v>16</v>
      </c>
      <c r="E1549" s="10">
        <v>0</v>
      </c>
      <c r="F1549" s="24">
        <v>13126.68</v>
      </c>
      <c r="G1549" s="10" t="s">
        <v>4696</v>
      </c>
      <c r="H1549" s="10" t="s">
        <v>4696</v>
      </c>
      <c r="I1549" s="10" t="s">
        <v>4716</v>
      </c>
      <c r="J1549" s="17">
        <f t="shared" si="12"/>
        <v>36388</v>
      </c>
      <c r="K1549" s="10">
        <f t="shared" ca="1" si="13"/>
        <v>26</v>
      </c>
      <c r="L1549" s="6"/>
      <c r="M1549" s="6"/>
      <c r="N1549" s="6"/>
      <c r="O1549" s="6"/>
      <c r="P1549" s="6"/>
      <c r="Q1549" s="6"/>
      <c r="R1549" s="6"/>
      <c r="S1549" s="6"/>
      <c r="T1549" s="6"/>
      <c r="U1549" s="6"/>
      <c r="V1549" s="6"/>
      <c r="W1549" s="6"/>
      <c r="X1549" s="6"/>
      <c r="Y1549" s="6"/>
      <c r="Z1549" s="6"/>
    </row>
    <row r="1550" spans="1:26" ht="15.75" customHeight="1" x14ac:dyDescent="0.3">
      <c r="A1550" s="10" t="s">
        <v>1582</v>
      </c>
      <c r="B1550" s="10">
        <v>1961</v>
      </c>
      <c r="C1550" s="10" t="s">
        <v>4711</v>
      </c>
      <c r="D1550" s="10">
        <v>7</v>
      </c>
      <c r="E1550" s="10">
        <v>0</v>
      </c>
      <c r="F1550" s="24">
        <v>13129.6</v>
      </c>
      <c r="G1550" s="10" t="s">
        <v>4696</v>
      </c>
      <c r="H1550" s="10" t="s">
        <v>4695</v>
      </c>
      <c r="I1550" s="10" t="s">
        <v>4727</v>
      </c>
      <c r="J1550" s="17">
        <f t="shared" si="12"/>
        <v>22531</v>
      </c>
      <c r="K1550" s="10">
        <f t="shared" ca="1" si="13"/>
        <v>64</v>
      </c>
      <c r="L1550" s="6"/>
      <c r="M1550" s="6"/>
      <c r="N1550" s="6"/>
      <c r="O1550" s="6"/>
      <c r="P1550" s="6"/>
      <c r="Q1550" s="6"/>
      <c r="R1550" s="6"/>
      <c r="S1550" s="6"/>
      <c r="T1550" s="6"/>
      <c r="U1550" s="6"/>
      <c r="V1550" s="6"/>
      <c r="W1550" s="6"/>
      <c r="X1550" s="6"/>
      <c r="Y1550" s="6"/>
      <c r="Z1550" s="6"/>
    </row>
    <row r="1551" spans="1:26" ht="15.75" customHeight="1" x14ac:dyDescent="0.3">
      <c r="A1551" s="10" t="s">
        <v>1580</v>
      </c>
      <c r="B1551" s="10">
        <v>1961</v>
      </c>
      <c r="C1551" s="10" t="s">
        <v>4713</v>
      </c>
      <c r="D1551" s="10">
        <v>6</v>
      </c>
      <c r="E1551" s="10">
        <v>0</v>
      </c>
      <c r="F1551" s="24">
        <v>13143.34</v>
      </c>
      <c r="G1551" s="10" t="s">
        <v>4696</v>
      </c>
      <c r="H1551" s="10" t="s">
        <v>4695</v>
      </c>
      <c r="I1551" s="10" t="s">
        <v>4728</v>
      </c>
      <c r="J1551" s="17">
        <f t="shared" si="12"/>
        <v>22621</v>
      </c>
      <c r="K1551" s="10">
        <f t="shared" ca="1" si="13"/>
        <v>63</v>
      </c>
      <c r="L1551" s="6"/>
      <c r="M1551" s="6"/>
      <c r="N1551" s="6"/>
      <c r="O1551" s="6"/>
      <c r="P1551" s="6"/>
      <c r="Q1551" s="6"/>
      <c r="R1551" s="6"/>
      <c r="S1551" s="6"/>
      <c r="T1551" s="6"/>
      <c r="U1551" s="6"/>
      <c r="V1551" s="6"/>
      <c r="W1551" s="6"/>
      <c r="X1551" s="6"/>
      <c r="Y1551" s="6"/>
      <c r="Z1551" s="6"/>
    </row>
    <row r="1552" spans="1:26" ht="15.75" customHeight="1" x14ac:dyDescent="0.3">
      <c r="A1552" s="10" t="s">
        <v>1578</v>
      </c>
      <c r="B1552" s="10">
        <v>1961</v>
      </c>
      <c r="C1552" s="10" t="s">
        <v>4713</v>
      </c>
      <c r="D1552" s="10">
        <v>6</v>
      </c>
      <c r="E1552" s="10">
        <v>0</v>
      </c>
      <c r="F1552" s="24">
        <v>13143.86</v>
      </c>
      <c r="G1552" s="10" t="s">
        <v>4696</v>
      </c>
      <c r="H1552" s="10" t="s">
        <v>4695</v>
      </c>
      <c r="I1552" s="10" t="s">
        <v>4720</v>
      </c>
      <c r="J1552" s="17">
        <f t="shared" si="12"/>
        <v>22621</v>
      </c>
      <c r="K1552" s="10">
        <f t="shared" ca="1" si="13"/>
        <v>63</v>
      </c>
      <c r="L1552" s="6"/>
      <c r="M1552" s="6"/>
      <c r="N1552" s="6"/>
      <c r="O1552" s="6"/>
      <c r="P1552" s="6"/>
      <c r="Q1552" s="6"/>
      <c r="R1552" s="6"/>
      <c r="S1552" s="6"/>
      <c r="T1552" s="6"/>
      <c r="U1552" s="6"/>
      <c r="V1552" s="6"/>
      <c r="W1552" s="6"/>
      <c r="X1552" s="6"/>
      <c r="Y1552" s="6"/>
      <c r="Z1552" s="6"/>
    </row>
    <row r="1553" spans="1:26" ht="15.75" customHeight="1" x14ac:dyDescent="0.3">
      <c r="A1553" s="10" t="s">
        <v>1576</v>
      </c>
      <c r="B1553" s="10">
        <v>1962</v>
      </c>
      <c r="C1553" s="10" t="s">
        <v>4714</v>
      </c>
      <c r="D1553" s="10">
        <v>5</v>
      </c>
      <c r="E1553" s="10">
        <v>0</v>
      </c>
      <c r="F1553" s="24">
        <v>13204.29</v>
      </c>
      <c r="G1553" s="10" t="s">
        <v>4696</v>
      </c>
      <c r="H1553" s="10" t="s">
        <v>4694</v>
      </c>
      <c r="I1553" s="10" t="s">
        <v>4723</v>
      </c>
      <c r="J1553" s="17">
        <f t="shared" si="12"/>
        <v>22863</v>
      </c>
      <c r="K1553" s="10">
        <f t="shared" ca="1" si="13"/>
        <v>63</v>
      </c>
      <c r="L1553" s="6"/>
      <c r="M1553" s="6"/>
      <c r="N1553" s="6"/>
      <c r="O1553" s="6"/>
      <c r="P1553" s="6"/>
      <c r="Q1553" s="6"/>
      <c r="R1553" s="6"/>
      <c r="S1553" s="6"/>
      <c r="T1553" s="6"/>
      <c r="U1553" s="6"/>
      <c r="V1553" s="6"/>
      <c r="W1553" s="6"/>
      <c r="X1553" s="6"/>
      <c r="Y1553" s="6"/>
      <c r="Z1553" s="6"/>
    </row>
    <row r="1554" spans="1:26" ht="15.75" customHeight="1" x14ac:dyDescent="0.3">
      <c r="A1554" s="10" t="s">
        <v>1574</v>
      </c>
      <c r="B1554" s="10">
        <v>1982</v>
      </c>
      <c r="C1554" s="10" t="s">
        <v>4715</v>
      </c>
      <c r="D1554" s="10">
        <v>15</v>
      </c>
      <c r="E1554" s="10">
        <v>3</v>
      </c>
      <c r="F1554" s="24">
        <v>13214.43</v>
      </c>
      <c r="G1554" s="10" t="s">
        <v>4696</v>
      </c>
      <c r="H1554" s="10" t="s">
        <v>4695</v>
      </c>
      <c r="I1554" s="10" t="s">
        <v>4712</v>
      </c>
      <c r="J1554" s="17">
        <f t="shared" si="12"/>
        <v>30239</v>
      </c>
      <c r="K1554" s="10">
        <f t="shared" ca="1" si="13"/>
        <v>43</v>
      </c>
      <c r="L1554" s="6"/>
      <c r="M1554" s="6"/>
      <c r="N1554" s="6"/>
      <c r="O1554" s="6"/>
      <c r="P1554" s="6"/>
      <c r="Q1554" s="6"/>
      <c r="R1554" s="6"/>
      <c r="S1554" s="6"/>
      <c r="T1554" s="6"/>
      <c r="U1554" s="6"/>
      <c r="V1554" s="6"/>
      <c r="W1554" s="6"/>
      <c r="X1554" s="6"/>
      <c r="Y1554" s="6"/>
      <c r="Z1554" s="6"/>
    </row>
    <row r="1555" spans="1:26" ht="15.75" customHeight="1" x14ac:dyDescent="0.3">
      <c r="A1555" s="10" t="s">
        <v>1572</v>
      </c>
      <c r="B1555" s="10">
        <v>1962</v>
      </c>
      <c r="C1555" s="10" t="s">
        <v>4713</v>
      </c>
      <c r="D1555" s="10">
        <v>7</v>
      </c>
      <c r="E1555" s="10">
        <v>0</v>
      </c>
      <c r="F1555" s="24">
        <v>13217.09</v>
      </c>
      <c r="G1555" s="10" t="s">
        <v>4696</v>
      </c>
      <c r="H1555" s="10" t="s">
        <v>4694</v>
      </c>
      <c r="I1555" s="10" t="s">
        <v>4723</v>
      </c>
      <c r="J1555" s="17">
        <f t="shared" si="12"/>
        <v>22987</v>
      </c>
      <c r="K1555" s="10">
        <f t="shared" ca="1" si="13"/>
        <v>62</v>
      </c>
      <c r="L1555" s="6"/>
      <c r="M1555" s="6"/>
      <c r="N1555" s="6"/>
      <c r="O1555" s="6"/>
      <c r="P1555" s="6"/>
      <c r="Q1555" s="6"/>
      <c r="R1555" s="6"/>
      <c r="S1555" s="6"/>
      <c r="T1555" s="6"/>
      <c r="U1555" s="6"/>
      <c r="V1555" s="6"/>
      <c r="W1555" s="6"/>
      <c r="X1555" s="6"/>
      <c r="Y1555" s="6"/>
      <c r="Z1555" s="6"/>
    </row>
    <row r="1556" spans="1:26" ht="15.75" customHeight="1" x14ac:dyDescent="0.3">
      <c r="A1556" s="10" t="s">
        <v>1570</v>
      </c>
      <c r="B1556" s="10">
        <v>1965</v>
      </c>
      <c r="C1556" s="10" t="s">
        <v>4709</v>
      </c>
      <c r="D1556" s="10">
        <v>13</v>
      </c>
      <c r="E1556" s="10">
        <v>2</v>
      </c>
      <c r="F1556" s="24">
        <v>13224.06</v>
      </c>
      <c r="G1556" s="10" t="s">
        <v>4696</v>
      </c>
      <c r="H1556" s="10" t="s">
        <v>4696</v>
      </c>
      <c r="I1556" s="10" t="s">
        <v>4723</v>
      </c>
      <c r="J1556" s="17">
        <f t="shared" si="12"/>
        <v>24059</v>
      </c>
      <c r="K1556" s="10">
        <f t="shared" ca="1" si="13"/>
        <v>60</v>
      </c>
      <c r="L1556" s="6"/>
      <c r="M1556" s="6"/>
      <c r="N1556" s="6"/>
      <c r="O1556" s="6"/>
      <c r="P1556" s="6"/>
      <c r="Q1556" s="6"/>
      <c r="R1556" s="6"/>
      <c r="S1556" s="6"/>
      <c r="T1556" s="6"/>
      <c r="U1556" s="6"/>
      <c r="V1556" s="6"/>
      <c r="W1556" s="6"/>
      <c r="X1556" s="6"/>
      <c r="Y1556" s="6"/>
      <c r="Z1556" s="6"/>
    </row>
    <row r="1557" spans="1:26" ht="15.75" customHeight="1" x14ac:dyDescent="0.3">
      <c r="A1557" s="10" t="s">
        <v>1568</v>
      </c>
      <c r="B1557" s="10">
        <v>1962</v>
      </c>
      <c r="C1557" s="10" t="s">
        <v>4709</v>
      </c>
      <c r="D1557" s="10">
        <v>24</v>
      </c>
      <c r="E1557" s="10">
        <v>1</v>
      </c>
      <c r="F1557" s="24">
        <v>13224.69</v>
      </c>
      <c r="G1557" s="10" t="s">
        <v>4696</v>
      </c>
      <c r="H1557" s="10" t="s">
        <v>4695</v>
      </c>
      <c r="I1557" s="10" t="s">
        <v>4716</v>
      </c>
      <c r="J1557" s="17">
        <f t="shared" si="12"/>
        <v>22974</v>
      </c>
      <c r="K1557" s="10">
        <f t="shared" ca="1" si="13"/>
        <v>63</v>
      </c>
      <c r="L1557" s="6"/>
      <c r="M1557" s="6"/>
      <c r="N1557" s="6"/>
      <c r="O1557" s="6"/>
      <c r="P1557" s="6"/>
      <c r="Q1557" s="6"/>
      <c r="R1557" s="6"/>
      <c r="S1557" s="6"/>
      <c r="T1557" s="6"/>
      <c r="U1557" s="6"/>
      <c r="V1557" s="6"/>
      <c r="W1557" s="6"/>
      <c r="X1557" s="6"/>
      <c r="Y1557" s="6"/>
      <c r="Z1557" s="6"/>
    </row>
    <row r="1558" spans="1:26" ht="15.75" customHeight="1" x14ac:dyDescent="0.3">
      <c r="A1558" s="10" t="s">
        <v>1566</v>
      </c>
      <c r="B1558" s="10">
        <v>1962</v>
      </c>
      <c r="C1558" s="10" t="s">
        <v>4715</v>
      </c>
      <c r="D1558" s="10">
        <v>11</v>
      </c>
      <c r="E1558" s="10">
        <v>0</v>
      </c>
      <c r="F1558" s="24">
        <v>13228.85</v>
      </c>
      <c r="G1558" s="10" t="s">
        <v>4696</v>
      </c>
      <c r="H1558" s="10" t="s">
        <v>4696</v>
      </c>
      <c r="I1558" s="10" t="s">
        <v>4724</v>
      </c>
      <c r="J1558" s="17">
        <f t="shared" si="12"/>
        <v>22930</v>
      </c>
      <c r="K1558" s="10">
        <f t="shared" ca="1" si="13"/>
        <v>63</v>
      </c>
      <c r="L1558" s="6"/>
      <c r="M1558" s="6"/>
      <c r="N1558" s="6"/>
      <c r="O1558" s="6"/>
      <c r="P1558" s="6"/>
      <c r="Q1558" s="6"/>
      <c r="R1558" s="6"/>
      <c r="S1558" s="6"/>
      <c r="T1558" s="6"/>
      <c r="U1558" s="6"/>
      <c r="V1558" s="6"/>
      <c r="W1558" s="6"/>
      <c r="X1558" s="6"/>
      <c r="Y1558" s="6"/>
      <c r="Z1558" s="6"/>
    </row>
    <row r="1559" spans="1:26" ht="15.75" customHeight="1" x14ac:dyDescent="0.3">
      <c r="A1559" s="10" t="s">
        <v>1564</v>
      </c>
      <c r="B1559" s="10">
        <v>1994</v>
      </c>
      <c r="C1559" s="10" t="s">
        <v>4707</v>
      </c>
      <c r="D1559" s="10">
        <v>1</v>
      </c>
      <c r="E1559" s="10">
        <v>0</v>
      </c>
      <c r="F1559" s="24">
        <v>13292.52</v>
      </c>
      <c r="G1559" s="10" t="s">
        <v>4696</v>
      </c>
      <c r="H1559" s="10" t="s">
        <v>4696</v>
      </c>
      <c r="I1559" s="10" t="s">
        <v>4712</v>
      </c>
      <c r="J1559" s="17">
        <f t="shared" si="12"/>
        <v>34516</v>
      </c>
      <c r="K1559" s="10">
        <f t="shared" ca="1" si="13"/>
        <v>31</v>
      </c>
      <c r="L1559" s="6"/>
      <c r="M1559" s="6"/>
      <c r="N1559" s="6"/>
      <c r="O1559" s="6"/>
      <c r="P1559" s="6"/>
      <c r="Q1559" s="6"/>
      <c r="R1559" s="6"/>
      <c r="S1559" s="6"/>
      <c r="T1559" s="6"/>
      <c r="U1559" s="6"/>
      <c r="V1559" s="6"/>
      <c r="W1559" s="6"/>
      <c r="X1559" s="6"/>
      <c r="Y1559" s="6"/>
      <c r="Z1559" s="6"/>
    </row>
    <row r="1560" spans="1:26" ht="15.75" customHeight="1" x14ac:dyDescent="0.3">
      <c r="A1560" s="10" t="s">
        <v>1562</v>
      </c>
      <c r="B1560" s="10">
        <v>1976</v>
      </c>
      <c r="C1560" s="10" t="s">
        <v>4714</v>
      </c>
      <c r="D1560" s="10">
        <v>23</v>
      </c>
      <c r="E1560" s="10">
        <v>2</v>
      </c>
      <c r="F1560" s="24">
        <v>13333.71</v>
      </c>
      <c r="G1560" s="10" t="s">
        <v>4696</v>
      </c>
      <c r="H1560" s="10" t="s">
        <v>4695</v>
      </c>
      <c r="I1560" s="10" t="s">
        <v>4712</v>
      </c>
      <c r="J1560" s="17">
        <f t="shared" si="12"/>
        <v>27995</v>
      </c>
      <c r="K1560" s="10">
        <f t="shared" ca="1" si="13"/>
        <v>49</v>
      </c>
      <c r="L1560" s="6"/>
      <c r="M1560" s="6"/>
      <c r="N1560" s="6"/>
      <c r="O1560" s="6"/>
      <c r="P1560" s="6"/>
      <c r="Q1560" s="6"/>
      <c r="R1560" s="6"/>
      <c r="S1560" s="6"/>
      <c r="T1560" s="6"/>
      <c r="U1560" s="6"/>
      <c r="V1560" s="6"/>
      <c r="W1560" s="6"/>
      <c r="X1560" s="6"/>
      <c r="Y1560" s="6"/>
      <c r="Z1560" s="6"/>
    </row>
    <row r="1561" spans="1:26" ht="15.75" customHeight="1" x14ac:dyDescent="0.3">
      <c r="A1561" s="10" t="s">
        <v>1560</v>
      </c>
      <c r="B1561" s="10">
        <v>1960</v>
      </c>
      <c r="C1561" s="10" t="s">
        <v>4709</v>
      </c>
      <c r="D1561" s="10">
        <v>11</v>
      </c>
      <c r="E1561" s="10">
        <v>0</v>
      </c>
      <c r="F1561" s="24">
        <v>13352.1</v>
      </c>
      <c r="G1561" s="10" t="s">
        <v>4696</v>
      </c>
      <c r="H1561" s="10" t="s">
        <v>4694</v>
      </c>
      <c r="I1561" s="10" t="s">
        <v>4712</v>
      </c>
      <c r="J1561" s="17">
        <f t="shared" si="12"/>
        <v>22231</v>
      </c>
      <c r="K1561" s="10">
        <f t="shared" ca="1" si="13"/>
        <v>65</v>
      </c>
      <c r="L1561" s="6"/>
      <c r="M1561" s="6"/>
      <c r="N1561" s="6"/>
      <c r="O1561" s="6"/>
      <c r="P1561" s="6"/>
      <c r="Q1561" s="6"/>
      <c r="R1561" s="6"/>
      <c r="S1561" s="6"/>
      <c r="T1561" s="6"/>
      <c r="U1561" s="6"/>
      <c r="V1561" s="6"/>
      <c r="W1561" s="6"/>
      <c r="X1561" s="6"/>
      <c r="Y1561" s="6"/>
      <c r="Z1561" s="6"/>
    </row>
    <row r="1562" spans="1:26" ht="15.75" customHeight="1" x14ac:dyDescent="0.3">
      <c r="A1562" s="10" t="s">
        <v>1558</v>
      </c>
      <c r="B1562" s="10">
        <v>1990</v>
      </c>
      <c r="C1562" s="10" t="s">
        <v>4715</v>
      </c>
      <c r="D1562" s="10">
        <v>2</v>
      </c>
      <c r="E1562" s="10">
        <v>3</v>
      </c>
      <c r="F1562" s="24">
        <v>13360.94</v>
      </c>
      <c r="G1562" s="10" t="s">
        <v>4696</v>
      </c>
      <c r="H1562" s="10" t="s">
        <v>4694</v>
      </c>
      <c r="I1562" s="10" t="s">
        <v>4712</v>
      </c>
      <c r="J1562" s="17">
        <f t="shared" si="12"/>
        <v>33148</v>
      </c>
      <c r="K1562" s="10">
        <f t="shared" ca="1" si="13"/>
        <v>35</v>
      </c>
      <c r="L1562" s="6"/>
      <c r="M1562" s="6"/>
      <c r="N1562" s="6"/>
      <c r="O1562" s="6"/>
      <c r="P1562" s="6"/>
      <c r="Q1562" s="6"/>
      <c r="R1562" s="6"/>
      <c r="S1562" s="6"/>
      <c r="T1562" s="6"/>
      <c r="U1562" s="6"/>
      <c r="V1562" s="6"/>
      <c r="W1562" s="6"/>
      <c r="X1562" s="6"/>
      <c r="Y1562" s="6"/>
      <c r="Z1562" s="6"/>
    </row>
    <row r="1563" spans="1:26" ht="15.75" customHeight="1" x14ac:dyDescent="0.3">
      <c r="A1563" s="10" t="s">
        <v>1556</v>
      </c>
      <c r="B1563" s="10">
        <v>1964</v>
      </c>
      <c r="C1563" s="10" t="s">
        <v>4711</v>
      </c>
      <c r="D1563" s="10">
        <v>24</v>
      </c>
      <c r="E1563" s="10">
        <v>0</v>
      </c>
      <c r="F1563" s="24">
        <v>13375.76</v>
      </c>
      <c r="G1563" s="10" t="s">
        <v>4696</v>
      </c>
      <c r="H1563" s="10" t="s">
        <v>4695</v>
      </c>
      <c r="I1563" s="10" t="s">
        <v>4722</v>
      </c>
      <c r="J1563" s="17">
        <f t="shared" si="12"/>
        <v>23644</v>
      </c>
      <c r="K1563" s="10">
        <f t="shared" ca="1" si="13"/>
        <v>61</v>
      </c>
      <c r="L1563" s="6"/>
      <c r="M1563" s="6"/>
      <c r="N1563" s="6"/>
      <c r="O1563" s="6"/>
      <c r="P1563" s="6"/>
      <c r="Q1563" s="6"/>
      <c r="R1563" s="6"/>
      <c r="S1563" s="6"/>
      <c r="T1563" s="6"/>
      <c r="U1563" s="6"/>
      <c r="V1563" s="6"/>
      <c r="W1563" s="6"/>
      <c r="X1563" s="6"/>
      <c r="Y1563" s="6"/>
      <c r="Z1563" s="6"/>
    </row>
    <row r="1564" spans="1:26" ht="15.75" customHeight="1" x14ac:dyDescent="0.3">
      <c r="A1564" s="10" t="s">
        <v>1554</v>
      </c>
      <c r="B1564" s="10">
        <v>1979</v>
      </c>
      <c r="C1564" s="10" t="s">
        <v>4711</v>
      </c>
      <c r="D1564" s="10">
        <v>30</v>
      </c>
      <c r="E1564" s="10">
        <v>2</v>
      </c>
      <c r="F1564" s="24">
        <v>13377.41</v>
      </c>
      <c r="G1564" s="10" t="s">
        <v>4696</v>
      </c>
      <c r="H1564" s="10" t="s">
        <v>4696</v>
      </c>
      <c r="I1564" s="10" t="s">
        <v>4729</v>
      </c>
      <c r="J1564" s="17">
        <f t="shared" si="12"/>
        <v>29128</v>
      </c>
      <c r="K1564" s="10">
        <f t="shared" ca="1" si="13"/>
        <v>46</v>
      </c>
      <c r="L1564" s="6"/>
      <c r="M1564" s="6"/>
      <c r="N1564" s="6"/>
      <c r="O1564" s="6"/>
      <c r="P1564" s="6"/>
      <c r="Q1564" s="6"/>
      <c r="R1564" s="6"/>
      <c r="S1564" s="6"/>
      <c r="T1564" s="6"/>
      <c r="U1564" s="6"/>
      <c r="V1564" s="6"/>
      <c r="W1564" s="6"/>
      <c r="X1564" s="6"/>
      <c r="Y1564" s="6"/>
      <c r="Z1564" s="6"/>
    </row>
    <row r="1565" spans="1:26" ht="15.75" customHeight="1" x14ac:dyDescent="0.3">
      <c r="A1565" s="10" t="s">
        <v>1552</v>
      </c>
      <c r="B1565" s="10">
        <v>1984</v>
      </c>
      <c r="C1565" s="10" t="s">
        <v>4710</v>
      </c>
      <c r="D1565" s="10">
        <v>6</v>
      </c>
      <c r="E1565" s="10">
        <v>3</v>
      </c>
      <c r="F1565" s="24">
        <v>13383.67</v>
      </c>
      <c r="G1565" s="10" t="s">
        <v>4696</v>
      </c>
      <c r="H1565" s="10" t="s">
        <v>4695</v>
      </c>
      <c r="I1565" s="10" t="s">
        <v>4724</v>
      </c>
      <c r="J1565" s="17">
        <f t="shared" si="12"/>
        <v>30839</v>
      </c>
      <c r="K1565" s="10">
        <f t="shared" ca="1" si="13"/>
        <v>41</v>
      </c>
      <c r="L1565" s="6"/>
      <c r="M1565" s="6"/>
      <c r="N1565" s="6"/>
      <c r="O1565" s="6"/>
      <c r="P1565" s="6"/>
      <c r="Q1565" s="6"/>
      <c r="R1565" s="6"/>
      <c r="S1565" s="6"/>
      <c r="T1565" s="6"/>
      <c r="U1565" s="6"/>
      <c r="V1565" s="6"/>
      <c r="W1565" s="6"/>
      <c r="X1565" s="6"/>
      <c r="Y1565" s="6"/>
      <c r="Z1565" s="6"/>
    </row>
    <row r="1566" spans="1:26" ht="15.75" customHeight="1" x14ac:dyDescent="0.3">
      <c r="A1566" s="10" t="s">
        <v>1550</v>
      </c>
      <c r="B1566" s="10">
        <v>1959</v>
      </c>
      <c r="C1566" s="10" t="s">
        <v>4713</v>
      </c>
      <c r="D1566" s="10">
        <v>9</v>
      </c>
      <c r="E1566" s="10">
        <v>0</v>
      </c>
      <c r="F1566" s="24">
        <v>13390.56</v>
      </c>
      <c r="G1566" s="10" t="s">
        <v>4696</v>
      </c>
      <c r="H1566" s="10" t="s">
        <v>4696</v>
      </c>
      <c r="I1566" s="10" t="s">
        <v>4716</v>
      </c>
      <c r="J1566" s="17">
        <f t="shared" si="12"/>
        <v>21893</v>
      </c>
      <c r="K1566" s="10">
        <f t="shared" ca="1" si="13"/>
        <v>65</v>
      </c>
      <c r="L1566" s="6"/>
      <c r="M1566" s="6"/>
      <c r="N1566" s="6"/>
      <c r="O1566" s="6"/>
      <c r="P1566" s="6"/>
      <c r="Q1566" s="6"/>
      <c r="R1566" s="6"/>
      <c r="S1566" s="6"/>
      <c r="T1566" s="6"/>
      <c r="U1566" s="6"/>
      <c r="V1566" s="6"/>
      <c r="W1566" s="6"/>
      <c r="X1566" s="6"/>
      <c r="Y1566" s="6"/>
      <c r="Z1566" s="6"/>
    </row>
    <row r="1567" spans="1:26" ht="15.75" customHeight="1" x14ac:dyDescent="0.3">
      <c r="A1567" s="10" t="s">
        <v>1548</v>
      </c>
      <c r="B1567" s="10">
        <v>1959</v>
      </c>
      <c r="C1567" s="10" t="s">
        <v>4709</v>
      </c>
      <c r="D1567" s="10">
        <v>25</v>
      </c>
      <c r="E1567" s="10">
        <v>0</v>
      </c>
      <c r="F1567" s="24">
        <v>13393.76</v>
      </c>
      <c r="G1567" s="10" t="s">
        <v>4696</v>
      </c>
      <c r="H1567" s="10" t="s">
        <v>4694</v>
      </c>
      <c r="I1567" s="10" t="s">
        <v>4716</v>
      </c>
      <c r="J1567" s="17">
        <f t="shared" si="12"/>
        <v>21879</v>
      </c>
      <c r="K1567" s="10">
        <f t="shared" ca="1" si="13"/>
        <v>66</v>
      </c>
      <c r="L1567" s="6"/>
      <c r="M1567" s="6"/>
      <c r="N1567" s="6"/>
      <c r="O1567" s="6"/>
      <c r="P1567" s="6"/>
      <c r="Q1567" s="6"/>
      <c r="R1567" s="6"/>
      <c r="S1567" s="6"/>
      <c r="T1567" s="6"/>
      <c r="U1567" s="6"/>
      <c r="V1567" s="6"/>
      <c r="W1567" s="6"/>
      <c r="X1567" s="6"/>
      <c r="Y1567" s="6"/>
      <c r="Z1567" s="6"/>
    </row>
    <row r="1568" spans="1:26" ht="15.75" customHeight="1" x14ac:dyDescent="0.3">
      <c r="A1568" s="10" t="s">
        <v>1546</v>
      </c>
      <c r="B1568" s="10">
        <v>1959</v>
      </c>
      <c r="C1568" s="10" t="s">
        <v>4713</v>
      </c>
      <c r="D1568" s="10">
        <v>20</v>
      </c>
      <c r="E1568" s="10">
        <v>0</v>
      </c>
      <c r="F1568" s="24">
        <v>13405.39</v>
      </c>
      <c r="G1568" s="10" t="s">
        <v>4696</v>
      </c>
      <c r="H1568" s="10" t="s">
        <v>4696</v>
      </c>
      <c r="I1568" s="10" t="s">
        <v>4708</v>
      </c>
      <c r="J1568" s="17">
        <f t="shared" si="12"/>
        <v>21904</v>
      </c>
      <c r="K1568" s="10">
        <f t="shared" ca="1" si="13"/>
        <v>65</v>
      </c>
      <c r="L1568" s="6"/>
      <c r="M1568" s="6"/>
      <c r="N1568" s="6"/>
      <c r="O1568" s="6"/>
      <c r="P1568" s="6"/>
      <c r="Q1568" s="6"/>
      <c r="R1568" s="6"/>
      <c r="S1568" s="6"/>
      <c r="T1568" s="6"/>
      <c r="U1568" s="6"/>
      <c r="V1568" s="6"/>
      <c r="W1568" s="6"/>
      <c r="X1568" s="6"/>
      <c r="Y1568" s="6"/>
      <c r="Z1568" s="6"/>
    </row>
    <row r="1569" spans="1:26" ht="15.75" customHeight="1" x14ac:dyDescent="0.3">
      <c r="A1569" s="10" t="s">
        <v>1544</v>
      </c>
      <c r="B1569" s="10">
        <v>1992</v>
      </c>
      <c r="C1569" s="10" t="s">
        <v>4713</v>
      </c>
      <c r="D1569" s="10">
        <v>19</v>
      </c>
      <c r="E1569" s="10">
        <v>0</v>
      </c>
      <c r="F1569" s="24">
        <v>13412.97</v>
      </c>
      <c r="G1569" s="10" t="s">
        <v>4696</v>
      </c>
      <c r="H1569" s="10" t="s">
        <v>4696</v>
      </c>
      <c r="I1569" s="10" t="s">
        <v>4724</v>
      </c>
      <c r="J1569" s="17">
        <f t="shared" si="12"/>
        <v>33957</v>
      </c>
      <c r="K1569" s="10">
        <f t="shared" ca="1" si="13"/>
        <v>32</v>
      </c>
      <c r="L1569" s="6"/>
      <c r="M1569" s="6"/>
      <c r="N1569" s="6"/>
      <c r="O1569" s="6"/>
      <c r="P1569" s="6"/>
      <c r="Q1569" s="6"/>
      <c r="R1569" s="6"/>
      <c r="S1569" s="6"/>
      <c r="T1569" s="6"/>
      <c r="U1569" s="6"/>
      <c r="V1569" s="6"/>
      <c r="W1569" s="6"/>
      <c r="X1569" s="6"/>
      <c r="Y1569" s="6"/>
      <c r="Z1569" s="6"/>
    </row>
    <row r="1570" spans="1:26" ht="15.75" customHeight="1" x14ac:dyDescent="0.3">
      <c r="A1570" s="10" t="s">
        <v>1542</v>
      </c>
      <c r="B1570" s="10">
        <v>1961</v>
      </c>
      <c r="C1570" s="10" t="s">
        <v>4707</v>
      </c>
      <c r="D1570" s="10">
        <v>22</v>
      </c>
      <c r="E1570" s="10">
        <v>0</v>
      </c>
      <c r="F1570" s="24">
        <v>13415.04</v>
      </c>
      <c r="G1570" s="10" t="s">
        <v>4696</v>
      </c>
      <c r="H1570" s="10" t="s">
        <v>4695</v>
      </c>
      <c r="I1570" s="10" t="s">
        <v>4712</v>
      </c>
      <c r="J1570" s="17">
        <f t="shared" si="12"/>
        <v>22484</v>
      </c>
      <c r="K1570" s="10">
        <f t="shared" ca="1" si="13"/>
        <v>64</v>
      </c>
      <c r="L1570" s="6"/>
      <c r="M1570" s="6"/>
      <c r="N1570" s="6"/>
      <c r="O1570" s="6"/>
      <c r="P1570" s="6"/>
      <c r="Q1570" s="6"/>
      <c r="R1570" s="6"/>
      <c r="S1570" s="6"/>
      <c r="T1570" s="6"/>
      <c r="U1570" s="6"/>
      <c r="V1570" s="6"/>
      <c r="W1570" s="6"/>
      <c r="X1570" s="6"/>
      <c r="Y1570" s="6"/>
      <c r="Z1570" s="6"/>
    </row>
    <row r="1571" spans="1:26" ht="15.75" customHeight="1" x14ac:dyDescent="0.3">
      <c r="A1571" s="10" t="s">
        <v>1540</v>
      </c>
      <c r="B1571" s="10">
        <v>1994</v>
      </c>
      <c r="C1571" s="10" t="s">
        <v>4710</v>
      </c>
      <c r="D1571" s="10">
        <v>17</v>
      </c>
      <c r="E1571" s="10">
        <v>0</v>
      </c>
      <c r="F1571" s="24">
        <v>13417.05</v>
      </c>
      <c r="G1571" s="10" t="s">
        <v>4696</v>
      </c>
      <c r="H1571" s="10" t="s">
        <v>4696</v>
      </c>
      <c r="I1571" s="10" t="s">
        <v>4712</v>
      </c>
      <c r="J1571" s="17">
        <f t="shared" si="12"/>
        <v>34502</v>
      </c>
      <c r="K1571" s="10">
        <f t="shared" ca="1" si="13"/>
        <v>31</v>
      </c>
      <c r="L1571" s="6"/>
      <c r="M1571" s="6"/>
      <c r="N1571" s="6"/>
      <c r="O1571" s="6"/>
      <c r="P1571" s="6"/>
      <c r="Q1571" s="6"/>
      <c r="R1571" s="6"/>
      <c r="S1571" s="6"/>
      <c r="T1571" s="6"/>
      <c r="U1571" s="6"/>
      <c r="V1571" s="6"/>
      <c r="W1571" s="6"/>
      <c r="X1571" s="6"/>
      <c r="Y1571" s="6"/>
      <c r="Z1571" s="6"/>
    </row>
    <row r="1572" spans="1:26" ht="15.75" customHeight="1" x14ac:dyDescent="0.3">
      <c r="A1572" s="10" t="s">
        <v>1538</v>
      </c>
      <c r="B1572" s="10">
        <v>1961</v>
      </c>
      <c r="C1572" s="10" t="s">
        <v>4709</v>
      </c>
      <c r="D1572" s="10">
        <v>3</v>
      </c>
      <c r="E1572" s="10">
        <v>0</v>
      </c>
      <c r="F1572" s="24">
        <v>13429.04</v>
      </c>
      <c r="G1572" s="10" t="s">
        <v>4696</v>
      </c>
      <c r="H1572" s="10" t="s">
        <v>4696</v>
      </c>
      <c r="I1572" s="10" t="s">
        <v>4712</v>
      </c>
      <c r="J1572" s="17">
        <f t="shared" si="12"/>
        <v>22588</v>
      </c>
      <c r="K1572" s="10">
        <f t="shared" ca="1" si="13"/>
        <v>64</v>
      </c>
      <c r="L1572" s="6"/>
      <c r="M1572" s="6"/>
      <c r="N1572" s="6"/>
      <c r="O1572" s="6"/>
      <c r="P1572" s="6"/>
      <c r="Q1572" s="6"/>
      <c r="R1572" s="6"/>
      <c r="S1572" s="6"/>
      <c r="T1572" s="6"/>
      <c r="U1572" s="6"/>
      <c r="V1572" s="6"/>
      <c r="W1572" s="6"/>
      <c r="X1572" s="6"/>
      <c r="Y1572" s="6"/>
      <c r="Z1572" s="6"/>
    </row>
    <row r="1573" spans="1:26" ht="15.75" customHeight="1" x14ac:dyDescent="0.3">
      <c r="A1573" s="10" t="s">
        <v>1536</v>
      </c>
      <c r="B1573" s="10">
        <v>1966</v>
      </c>
      <c r="C1573" s="10" t="s">
        <v>4709</v>
      </c>
      <c r="D1573" s="10">
        <v>14</v>
      </c>
      <c r="E1573" s="10">
        <v>3</v>
      </c>
      <c r="F1573" s="24">
        <v>13430.27</v>
      </c>
      <c r="G1573" s="10" t="s">
        <v>4696</v>
      </c>
      <c r="H1573" s="10" t="s">
        <v>4696</v>
      </c>
      <c r="I1573" s="10" t="s">
        <v>4723</v>
      </c>
      <c r="J1573" s="17">
        <f t="shared" si="12"/>
        <v>24425</v>
      </c>
      <c r="K1573" s="10">
        <f t="shared" ca="1" si="13"/>
        <v>59</v>
      </c>
      <c r="L1573" s="6"/>
      <c r="M1573" s="6"/>
      <c r="N1573" s="6"/>
      <c r="O1573" s="6"/>
      <c r="P1573" s="6"/>
      <c r="Q1573" s="6"/>
      <c r="R1573" s="6"/>
      <c r="S1573" s="6"/>
      <c r="T1573" s="6"/>
      <c r="U1573" s="6"/>
      <c r="V1573" s="6"/>
      <c r="W1573" s="6"/>
      <c r="X1573" s="6"/>
      <c r="Y1573" s="6"/>
      <c r="Z1573" s="6"/>
    </row>
    <row r="1574" spans="1:26" ht="15.75" customHeight="1" x14ac:dyDescent="0.3">
      <c r="A1574" s="10" t="s">
        <v>1534</v>
      </c>
      <c r="B1574" s="10">
        <v>1975</v>
      </c>
      <c r="C1574" s="10" t="s">
        <v>4710</v>
      </c>
      <c r="D1574" s="10">
        <v>29</v>
      </c>
      <c r="E1574" s="10">
        <v>1</v>
      </c>
      <c r="F1574" s="24">
        <v>13440.7</v>
      </c>
      <c r="G1574" s="10" t="s">
        <v>4696</v>
      </c>
      <c r="H1574" s="10" t="s">
        <v>4695</v>
      </c>
      <c r="I1574" s="10" t="s">
        <v>4712</v>
      </c>
      <c r="J1574" s="17">
        <f t="shared" si="12"/>
        <v>27574</v>
      </c>
      <c r="K1574" s="10">
        <f t="shared" ca="1" si="13"/>
        <v>50</v>
      </c>
      <c r="L1574" s="6"/>
      <c r="M1574" s="6"/>
      <c r="N1574" s="6"/>
      <c r="O1574" s="6"/>
      <c r="P1574" s="6"/>
      <c r="Q1574" s="6"/>
      <c r="R1574" s="6"/>
      <c r="S1574" s="6"/>
      <c r="T1574" s="6"/>
      <c r="U1574" s="6"/>
      <c r="V1574" s="6"/>
      <c r="W1574" s="6"/>
      <c r="X1574" s="6"/>
      <c r="Y1574" s="6"/>
      <c r="Z1574" s="6"/>
    </row>
    <row r="1575" spans="1:26" ht="15.75" customHeight="1" x14ac:dyDescent="0.3">
      <c r="A1575" s="10" t="s">
        <v>1532</v>
      </c>
      <c r="B1575" s="10">
        <v>1960</v>
      </c>
      <c r="C1575" s="10" t="s">
        <v>4714</v>
      </c>
      <c r="D1575" s="10">
        <v>13</v>
      </c>
      <c r="E1575" s="10">
        <v>0</v>
      </c>
      <c r="F1575" s="24">
        <v>13451.12</v>
      </c>
      <c r="G1575" s="10" t="s">
        <v>4696</v>
      </c>
      <c r="H1575" s="10" t="s">
        <v>4694</v>
      </c>
      <c r="I1575" s="10" t="s">
        <v>4716</v>
      </c>
      <c r="J1575" s="17">
        <f t="shared" si="12"/>
        <v>22141</v>
      </c>
      <c r="K1575" s="10">
        <f t="shared" ca="1" si="13"/>
        <v>65</v>
      </c>
      <c r="L1575" s="6"/>
      <c r="M1575" s="6"/>
      <c r="N1575" s="6"/>
      <c r="O1575" s="6"/>
      <c r="P1575" s="6"/>
      <c r="Q1575" s="6"/>
      <c r="R1575" s="6"/>
      <c r="S1575" s="6"/>
      <c r="T1575" s="6"/>
      <c r="U1575" s="6"/>
      <c r="V1575" s="6"/>
      <c r="W1575" s="6"/>
      <c r="X1575" s="6"/>
      <c r="Y1575" s="6"/>
      <c r="Z1575" s="6"/>
    </row>
    <row r="1576" spans="1:26" ht="15.75" customHeight="1" x14ac:dyDescent="0.3">
      <c r="A1576" s="10" t="s">
        <v>1530</v>
      </c>
      <c r="B1576" s="10">
        <v>1960</v>
      </c>
      <c r="C1576" s="10" t="s">
        <v>4707</v>
      </c>
      <c r="D1576" s="10">
        <v>11</v>
      </c>
      <c r="E1576" s="10">
        <v>0</v>
      </c>
      <c r="F1576" s="24">
        <v>13457.96</v>
      </c>
      <c r="G1576" s="10" t="s">
        <v>4696</v>
      </c>
      <c r="H1576" s="10" t="s">
        <v>4694</v>
      </c>
      <c r="I1576" s="10" t="s">
        <v>4708</v>
      </c>
      <c r="J1576" s="17">
        <f t="shared" si="12"/>
        <v>22108</v>
      </c>
      <c r="K1576" s="10">
        <f t="shared" ca="1" si="13"/>
        <v>65</v>
      </c>
      <c r="L1576" s="6"/>
      <c r="M1576" s="6"/>
      <c r="N1576" s="6"/>
      <c r="O1576" s="6"/>
      <c r="P1576" s="6"/>
      <c r="Q1576" s="6"/>
      <c r="R1576" s="6"/>
      <c r="S1576" s="6"/>
      <c r="T1576" s="6"/>
      <c r="U1576" s="6"/>
      <c r="V1576" s="6"/>
      <c r="W1576" s="6"/>
      <c r="X1576" s="6"/>
      <c r="Y1576" s="6"/>
      <c r="Z1576" s="6"/>
    </row>
    <row r="1577" spans="1:26" ht="15.75" customHeight="1" x14ac:dyDescent="0.3">
      <c r="A1577" s="10" t="s">
        <v>1528</v>
      </c>
      <c r="B1577" s="10">
        <v>1960</v>
      </c>
      <c r="C1577" s="10" t="s">
        <v>4713</v>
      </c>
      <c r="D1577" s="10">
        <v>16</v>
      </c>
      <c r="E1577" s="10">
        <v>0</v>
      </c>
      <c r="F1577" s="24">
        <v>13462.52</v>
      </c>
      <c r="G1577" s="10" t="s">
        <v>4696</v>
      </c>
      <c r="H1577" s="10" t="s">
        <v>4695</v>
      </c>
      <c r="I1577" s="10" t="s">
        <v>4716</v>
      </c>
      <c r="J1577" s="17">
        <f t="shared" si="12"/>
        <v>22266</v>
      </c>
      <c r="K1577" s="10">
        <f t="shared" ca="1" si="13"/>
        <v>64</v>
      </c>
      <c r="L1577" s="6"/>
      <c r="M1577" s="6"/>
      <c r="N1577" s="6"/>
      <c r="O1577" s="6"/>
      <c r="P1577" s="6"/>
      <c r="Q1577" s="6"/>
      <c r="R1577" s="6"/>
      <c r="S1577" s="6"/>
      <c r="T1577" s="6"/>
      <c r="U1577" s="6"/>
      <c r="V1577" s="6"/>
      <c r="W1577" s="6"/>
      <c r="X1577" s="6"/>
      <c r="Y1577" s="6"/>
      <c r="Z1577" s="6"/>
    </row>
    <row r="1578" spans="1:26" ht="15.75" customHeight="1" x14ac:dyDescent="0.3">
      <c r="A1578" s="10" t="s">
        <v>1526</v>
      </c>
      <c r="B1578" s="10">
        <v>1985</v>
      </c>
      <c r="C1578" s="10" t="s">
        <v>4714</v>
      </c>
      <c r="D1578" s="10">
        <v>19</v>
      </c>
      <c r="E1578" s="10">
        <v>3</v>
      </c>
      <c r="F1578" s="24">
        <v>13465.8</v>
      </c>
      <c r="G1578" s="10" t="s">
        <v>4696</v>
      </c>
      <c r="H1578" s="10" t="s">
        <v>4694</v>
      </c>
      <c r="I1578" s="10" t="s">
        <v>4712</v>
      </c>
      <c r="J1578" s="17">
        <f t="shared" si="12"/>
        <v>31278</v>
      </c>
      <c r="K1578" s="10">
        <f t="shared" ca="1" si="13"/>
        <v>40</v>
      </c>
      <c r="L1578" s="6"/>
      <c r="M1578" s="6"/>
      <c r="N1578" s="6"/>
      <c r="O1578" s="6"/>
      <c r="P1578" s="6"/>
      <c r="Q1578" s="6"/>
      <c r="R1578" s="6"/>
      <c r="S1578" s="6"/>
      <c r="T1578" s="6"/>
      <c r="U1578" s="6"/>
      <c r="V1578" s="6"/>
      <c r="W1578" s="6"/>
      <c r="X1578" s="6"/>
      <c r="Y1578" s="6"/>
      <c r="Z1578" s="6"/>
    </row>
    <row r="1579" spans="1:26" ht="15.75" customHeight="1" x14ac:dyDescent="0.3">
      <c r="A1579" s="10" t="s">
        <v>1524</v>
      </c>
      <c r="B1579" s="10">
        <v>1960</v>
      </c>
      <c r="C1579" s="10" t="s">
        <v>4707</v>
      </c>
      <c r="D1579" s="10">
        <v>28</v>
      </c>
      <c r="E1579" s="10">
        <v>0</v>
      </c>
      <c r="F1579" s="24">
        <v>13470.8</v>
      </c>
      <c r="G1579" s="10" t="s">
        <v>4696</v>
      </c>
      <c r="H1579" s="10" t="s">
        <v>4695</v>
      </c>
      <c r="I1579" s="10" t="s">
        <v>4708</v>
      </c>
      <c r="J1579" s="17">
        <f t="shared" si="12"/>
        <v>22125</v>
      </c>
      <c r="K1579" s="10">
        <f t="shared" ca="1" si="13"/>
        <v>65</v>
      </c>
      <c r="L1579" s="6"/>
      <c r="M1579" s="6"/>
      <c r="N1579" s="6"/>
      <c r="O1579" s="6"/>
      <c r="P1579" s="6"/>
      <c r="Q1579" s="6"/>
      <c r="R1579" s="6"/>
      <c r="S1579" s="6"/>
      <c r="T1579" s="6"/>
      <c r="U1579" s="6"/>
      <c r="V1579" s="6"/>
      <c r="W1579" s="6"/>
      <c r="X1579" s="6"/>
      <c r="Y1579" s="6"/>
      <c r="Z1579" s="6"/>
    </row>
    <row r="1580" spans="1:26" ht="15.75" customHeight="1" x14ac:dyDescent="0.3">
      <c r="A1580" s="10" t="s">
        <v>1522</v>
      </c>
      <c r="B1580" s="10">
        <v>1960</v>
      </c>
      <c r="C1580" s="10" t="s">
        <v>4707</v>
      </c>
      <c r="D1580" s="10">
        <v>24</v>
      </c>
      <c r="E1580" s="10">
        <v>0</v>
      </c>
      <c r="F1580" s="24">
        <v>13470.86</v>
      </c>
      <c r="G1580" s="10" t="s">
        <v>4696</v>
      </c>
      <c r="H1580" s="10" t="s">
        <v>4696</v>
      </c>
      <c r="I1580" s="10" t="s">
        <v>4716</v>
      </c>
      <c r="J1580" s="17">
        <f t="shared" si="12"/>
        <v>22121</v>
      </c>
      <c r="K1580" s="10">
        <f t="shared" ca="1" si="13"/>
        <v>65</v>
      </c>
      <c r="L1580" s="6"/>
      <c r="M1580" s="6"/>
      <c r="N1580" s="6"/>
      <c r="O1580" s="6"/>
      <c r="P1580" s="6"/>
      <c r="Q1580" s="6"/>
      <c r="R1580" s="6"/>
      <c r="S1580" s="6"/>
      <c r="T1580" s="6"/>
      <c r="U1580" s="6"/>
      <c r="V1580" s="6"/>
      <c r="W1580" s="6"/>
      <c r="X1580" s="6"/>
      <c r="Y1580" s="6"/>
      <c r="Z1580" s="6"/>
    </row>
    <row r="1581" spans="1:26" ht="15.75" customHeight="1" x14ac:dyDescent="0.3">
      <c r="A1581" s="10" t="s">
        <v>1520</v>
      </c>
      <c r="B1581" s="10">
        <v>1975</v>
      </c>
      <c r="C1581" s="10" t="s">
        <v>4714</v>
      </c>
      <c r="D1581" s="10">
        <v>7</v>
      </c>
      <c r="E1581" s="10">
        <v>1</v>
      </c>
      <c r="F1581" s="24">
        <v>13472.19</v>
      </c>
      <c r="G1581" s="10" t="s">
        <v>4696</v>
      </c>
      <c r="H1581" s="10" t="s">
        <v>4695</v>
      </c>
      <c r="I1581" s="10" t="s">
        <v>4712</v>
      </c>
      <c r="J1581" s="17">
        <f t="shared" si="12"/>
        <v>27613</v>
      </c>
      <c r="K1581" s="10">
        <f t="shared" ca="1" si="13"/>
        <v>50</v>
      </c>
      <c r="L1581" s="6"/>
      <c r="M1581" s="6"/>
      <c r="N1581" s="6"/>
      <c r="O1581" s="6"/>
      <c r="P1581" s="6"/>
      <c r="Q1581" s="6"/>
      <c r="R1581" s="6"/>
      <c r="S1581" s="6"/>
      <c r="T1581" s="6"/>
      <c r="U1581" s="6"/>
      <c r="V1581" s="6"/>
      <c r="W1581" s="6"/>
      <c r="X1581" s="6"/>
      <c r="Y1581" s="6"/>
      <c r="Z1581" s="6"/>
    </row>
    <row r="1582" spans="1:26" ht="15.75" customHeight="1" x14ac:dyDescent="0.3">
      <c r="A1582" s="10" t="s">
        <v>1518</v>
      </c>
      <c r="B1582" s="10">
        <v>1990</v>
      </c>
      <c r="C1582" s="10" t="s">
        <v>4714</v>
      </c>
      <c r="D1582" s="10">
        <v>30</v>
      </c>
      <c r="E1582" s="10">
        <v>3</v>
      </c>
      <c r="F1582" s="24">
        <v>13480.83</v>
      </c>
      <c r="G1582" s="10" t="s">
        <v>4696</v>
      </c>
      <c r="H1582" s="10" t="s">
        <v>4695</v>
      </c>
      <c r="I1582" s="10" t="s">
        <v>4724</v>
      </c>
      <c r="J1582" s="17">
        <f t="shared" si="12"/>
        <v>33115</v>
      </c>
      <c r="K1582" s="10">
        <f t="shared" ca="1" si="13"/>
        <v>35</v>
      </c>
      <c r="L1582" s="6"/>
      <c r="M1582" s="6"/>
      <c r="N1582" s="6"/>
      <c r="O1582" s="6"/>
      <c r="P1582" s="6"/>
      <c r="Q1582" s="6"/>
      <c r="R1582" s="6"/>
      <c r="S1582" s="6"/>
      <c r="T1582" s="6"/>
      <c r="U1582" s="6"/>
      <c r="V1582" s="6"/>
      <c r="W1582" s="6"/>
      <c r="X1582" s="6"/>
      <c r="Y1582" s="6"/>
      <c r="Z1582" s="6"/>
    </row>
    <row r="1583" spans="1:26" ht="15.75" customHeight="1" x14ac:dyDescent="0.3">
      <c r="A1583" s="10" t="s">
        <v>1516</v>
      </c>
      <c r="B1583" s="10">
        <v>1963</v>
      </c>
      <c r="C1583" s="10" t="s">
        <v>4715</v>
      </c>
      <c r="D1583" s="10">
        <v>14</v>
      </c>
      <c r="E1583" s="10">
        <v>0</v>
      </c>
      <c r="F1583" s="24">
        <v>13511.28</v>
      </c>
      <c r="G1583" s="10" t="s">
        <v>4696</v>
      </c>
      <c r="H1583" s="10" t="s">
        <v>4694</v>
      </c>
      <c r="I1583" s="10" t="s">
        <v>4712</v>
      </c>
      <c r="J1583" s="17">
        <f t="shared" si="12"/>
        <v>23298</v>
      </c>
      <c r="K1583" s="10">
        <f t="shared" ca="1" si="13"/>
        <v>62</v>
      </c>
      <c r="L1583" s="6"/>
      <c r="M1583" s="6"/>
      <c r="N1583" s="6"/>
      <c r="O1583" s="6"/>
      <c r="P1583" s="6"/>
      <c r="Q1583" s="6"/>
      <c r="R1583" s="6"/>
      <c r="S1583" s="6"/>
      <c r="T1583" s="6"/>
      <c r="U1583" s="6"/>
      <c r="V1583" s="6"/>
      <c r="W1583" s="6"/>
      <c r="X1583" s="6"/>
      <c r="Y1583" s="6"/>
      <c r="Z1583" s="6"/>
    </row>
    <row r="1584" spans="1:26" ht="15.75" customHeight="1" x14ac:dyDescent="0.3">
      <c r="A1584" s="10" t="s">
        <v>1514</v>
      </c>
      <c r="B1584" s="10">
        <v>1960</v>
      </c>
      <c r="C1584" s="10" t="s">
        <v>4707</v>
      </c>
      <c r="D1584" s="10">
        <v>11</v>
      </c>
      <c r="E1584" s="10">
        <v>0</v>
      </c>
      <c r="F1584" s="24">
        <v>13555</v>
      </c>
      <c r="G1584" s="10" t="s">
        <v>4696</v>
      </c>
      <c r="H1584" s="10" t="s">
        <v>4696</v>
      </c>
      <c r="I1584" s="10" t="s">
        <v>4727</v>
      </c>
      <c r="J1584" s="17">
        <f t="shared" si="12"/>
        <v>22108</v>
      </c>
      <c r="K1584" s="10">
        <f t="shared" ca="1" si="13"/>
        <v>65</v>
      </c>
      <c r="L1584" s="6"/>
      <c r="M1584" s="6"/>
      <c r="N1584" s="6"/>
      <c r="O1584" s="6"/>
      <c r="P1584" s="6"/>
      <c r="Q1584" s="6"/>
      <c r="R1584" s="6"/>
      <c r="S1584" s="6"/>
      <c r="T1584" s="6"/>
      <c r="U1584" s="6"/>
      <c r="V1584" s="6"/>
      <c r="W1584" s="6"/>
      <c r="X1584" s="6"/>
      <c r="Y1584" s="6"/>
      <c r="Z1584" s="6"/>
    </row>
    <row r="1585" spans="1:26" ht="15.75" customHeight="1" x14ac:dyDescent="0.3">
      <c r="A1585" s="10" t="s">
        <v>1512</v>
      </c>
      <c r="B1585" s="10">
        <v>1968</v>
      </c>
      <c r="C1585" s="10" t="s">
        <v>4707</v>
      </c>
      <c r="D1585" s="10">
        <v>15</v>
      </c>
      <c r="E1585" s="10">
        <v>0</v>
      </c>
      <c r="F1585" s="24">
        <v>13566.04</v>
      </c>
      <c r="G1585" s="10" t="s">
        <v>4696</v>
      </c>
      <c r="H1585" s="10" t="s">
        <v>4696</v>
      </c>
      <c r="I1585" s="10" t="s">
        <v>4729</v>
      </c>
      <c r="J1585" s="17">
        <f t="shared" si="12"/>
        <v>25034</v>
      </c>
      <c r="K1585" s="10">
        <f t="shared" ca="1" si="13"/>
        <v>57</v>
      </c>
      <c r="L1585" s="6"/>
      <c r="M1585" s="6"/>
      <c r="N1585" s="6"/>
      <c r="O1585" s="6"/>
      <c r="P1585" s="6"/>
      <c r="Q1585" s="6"/>
      <c r="R1585" s="6"/>
      <c r="S1585" s="6"/>
      <c r="T1585" s="6"/>
      <c r="U1585" s="6"/>
      <c r="V1585" s="6"/>
      <c r="W1585" s="6"/>
      <c r="X1585" s="6"/>
      <c r="Y1585" s="6"/>
      <c r="Z1585" s="6"/>
    </row>
    <row r="1586" spans="1:26" ht="15.75" customHeight="1" x14ac:dyDescent="0.3">
      <c r="A1586" s="10" t="s">
        <v>1510</v>
      </c>
      <c r="B1586" s="10">
        <v>1992</v>
      </c>
      <c r="C1586" s="10" t="s">
        <v>4714</v>
      </c>
      <c r="D1586" s="10">
        <v>14</v>
      </c>
      <c r="E1586" s="10">
        <v>0</v>
      </c>
      <c r="F1586" s="24">
        <v>13588.17</v>
      </c>
      <c r="G1586" s="10" t="s">
        <v>4696</v>
      </c>
      <c r="H1586" s="10" t="s">
        <v>4694</v>
      </c>
      <c r="I1586" s="10" t="s">
        <v>4712</v>
      </c>
      <c r="J1586" s="17">
        <f t="shared" si="12"/>
        <v>33830</v>
      </c>
      <c r="K1586" s="10">
        <f t="shared" ca="1" si="13"/>
        <v>33</v>
      </c>
      <c r="L1586" s="6"/>
      <c r="M1586" s="6"/>
      <c r="N1586" s="6"/>
      <c r="O1586" s="6"/>
      <c r="P1586" s="6"/>
      <c r="Q1586" s="6"/>
      <c r="R1586" s="6"/>
      <c r="S1586" s="6"/>
      <c r="T1586" s="6"/>
      <c r="U1586" s="6"/>
      <c r="V1586" s="6"/>
      <c r="W1586" s="6"/>
      <c r="X1586" s="6"/>
      <c r="Y1586" s="6"/>
      <c r="Z1586" s="6"/>
    </row>
    <row r="1587" spans="1:26" ht="15.75" customHeight="1" x14ac:dyDescent="0.3">
      <c r="A1587" s="10" t="s">
        <v>1508</v>
      </c>
      <c r="B1587" s="10">
        <v>1964</v>
      </c>
      <c r="C1587" s="10" t="s">
        <v>4711</v>
      </c>
      <c r="D1587" s="10">
        <v>10</v>
      </c>
      <c r="E1587" s="10">
        <v>2</v>
      </c>
      <c r="F1587" s="24">
        <v>13607.37</v>
      </c>
      <c r="G1587" s="10" t="s">
        <v>4696</v>
      </c>
      <c r="H1587" s="10" t="s">
        <v>4694</v>
      </c>
      <c r="I1587" s="10" t="s">
        <v>4723</v>
      </c>
      <c r="J1587" s="17">
        <f t="shared" si="12"/>
        <v>23630</v>
      </c>
      <c r="K1587" s="10">
        <f t="shared" ca="1" si="13"/>
        <v>61</v>
      </c>
      <c r="L1587" s="6"/>
      <c r="M1587" s="6"/>
      <c r="N1587" s="6"/>
      <c r="O1587" s="6"/>
      <c r="P1587" s="6"/>
      <c r="Q1587" s="6"/>
      <c r="R1587" s="6"/>
      <c r="S1587" s="6"/>
      <c r="T1587" s="6"/>
      <c r="U1587" s="6"/>
      <c r="V1587" s="6"/>
      <c r="W1587" s="6"/>
      <c r="X1587" s="6"/>
      <c r="Y1587" s="6"/>
      <c r="Z1587" s="6"/>
    </row>
    <row r="1588" spans="1:26" ht="15.75" customHeight="1" x14ac:dyDescent="0.3">
      <c r="A1588" s="10" t="s">
        <v>1506</v>
      </c>
      <c r="B1588" s="10">
        <v>1961</v>
      </c>
      <c r="C1588" s="10" t="s">
        <v>4709</v>
      </c>
      <c r="D1588" s="10">
        <v>18</v>
      </c>
      <c r="E1588" s="10">
        <v>0</v>
      </c>
      <c r="F1588" s="24">
        <v>13616.36</v>
      </c>
      <c r="G1588" s="10" t="s">
        <v>4696</v>
      </c>
      <c r="H1588" s="10" t="s">
        <v>4696</v>
      </c>
      <c r="I1588" s="10" t="s">
        <v>4723</v>
      </c>
      <c r="J1588" s="17">
        <f t="shared" si="12"/>
        <v>22603</v>
      </c>
      <c r="K1588" s="10">
        <f t="shared" ca="1" si="13"/>
        <v>64</v>
      </c>
      <c r="L1588" s="6"/>
      <c r="M1588" s="6"/>
      <c r="N1588" s="6"/>
      <c r="O1588" s="6"/>
      <c r="P1588" s="6"/>
      <c r="Q1588" s="6"/>
      <c r="R1588" s="6"/>
      <c r="S1588" s="6"/>
      <c r="T1588" s="6"/>
      <c r="U1588" s="6"/>
      <c r="V1588" s="6"/>
      <c r="W1588" s="6"/>
      <c r="X1588" s="6"/>
      <c r="Y1588" s="6"/>
      <c r="Z1588" s="6"/>
    </row>
    <row r="1589" spans="1:26" ht="15.75" customHeight="1" x14ac:dyDescent="0.3">
      <c r="A1589" s="10" t="s">
        <v>1504</v>
      </c>
      <c r="B1589" s="10">
        <v>1969</v>
      </c>
      <c r="C1589" s="10" t="s">
        <v>4707</v>
      </c>
      <c r="D1589" s="10">
        <v>26</v>
      </c>
      <c r="E1589" s="10">
        <v>0</v>
      </c>
      <c r="F1589" s="24">
        <v>13622.01</v>
      </c>
      <c r="G1589" s="10" t="s">
        <v>4696</v>
      </c>
      <c r="H1589" s="10" t="s">
        <v>4696</v>
      </c>
      <c r="I1589" s="10" t="s">
        <v>4712</v>
      </c>
      <c r="J1589" s="17">
        <f t="shared" si="12"/>
        <v>25410</v>
      </c>
      <c r="K1589" s="10">
        <f t="shared" ca="1" si="13"/>
        <v>56</v>
      </c>
      <c r="L1589" s="6"/>
      <c r="M1589" s="6"/>
      <c r="N1589" s="6"/>
      <c r="O1589" s="6"/>
      <c r="P1589" s="6"/>
      <c r="Q1589" s="6"/>
      <c r="R1589" s="6"/>
      <c r="S1589" s="6"/>
      <c r="T1589" s="6"/>
      <c r="U1589" s="6"/>
      <c r="V1589" s="6"/>
      <c r="W1589" s="6"/>
      <c r="X1589" s="6"/>
      <c r="Y1589" s="6"/>
      <c r="Z1589" s="6"/>
    </row>
    <row r="1590" spans="1:26" ht="15.75" customHeight="1" x14ac:dyDescent="0.3">
      <c r="A1590" s="10" t="s">
        <v>1502</v>
      </c>
      <c r="B1590" s="10">
        <v>1961</v>
      </c>
      <c r="C1590" s="10" t="s">
        <v>4713</v>
      </c>
      <c r="D1590" s="10">
        <v>24</v>
      </c>
      <c r="E1590" s="10">
        <v>0</v>
      </c>
      <c r="F1590" s="24">
        <v>13635.64</v>
      </c>
      <c r="G1590" s="10" t="s">
        <v>4696</v>
      </c>
      <c r="H1590" s="10" t="s">
        <v>4696</v>
      </c>
      <c r="I1590" s="10" t="s">
        <v>4723</v>
      </c>
      <c r="J1590" s="17">
        <f t="shared" si="12"/>
        <v>22639</v>
      </c>
      <c r="K1590" s="10">
        <f t="shared" ca="1" si="13"/>
        <v>63</v>
      </c>
      <c r="L1590" s="6"/>
      <c r="M1590" s="6"/>
      <c r="N1590" s="6"/>
      <c r="O1590" s="6"/>
      <c r="P1590" s="6"/>
      <c r="Q1590" s="6"/>
      <c r="R1590" s="6"/>
      <c r="S1590" s="6"/>
      <c r="T1590" s="6"/>
      <c r="U1590" s="6"/>
      <c r="V1590" s="6"/>
      <c r="W1590" s="6"/>
      <c r="X1590" s="6"/>
      <c r="Y1590" s="6"/>
      <c r="Z1590" s="6"/>
    </row>
    <row r="1591" spans="1:26" ht="15.75" customHeight="1" x14ac:dyDescent="0.3">
      <c r="A1591" s="10" t="s">
        <v>1500</v>
      </c>
      <c r="B1591" s="10">
        <v>1984</v>
      </c>
      <c r="C1591" s="10" t="s">
        <v>4707</v>
      </c>
      <c r="D1591" s="10">
        <v>20</v>
      </c>
      <c r="E1591" s="10">
        <v>3</v>
      </c>
      <c r="F1591" s="24">
        <v>13638.06</v>
      </c>
      <c r="G1591" s="10" t="s">
        <v>4696</v>
      </c>
      <c r="H1591" s="10" t="s">
        <v>4696</v>
      </c>
      <c r="I1591" s="10" t="s">
        <v>4724</v>
      </c>
      <c r="J1591" s="17">
        <f t="shared" si="12"/>
        <v>30883</v>
      </c>
      <c r="K1591" s="10">
        <f t="shared" ca="1" si="13"/>
        <v>41</v>
      </c>
      <c r="L1591" s="6"/>
      <c r="M1591" s="6"/>
      <c r="N1591" s="6"/>
      <c r="O1591" s="6"/>
      <c r="P1591" s="6"/>
      <c r="Q1591" s="6"/>
      <c r="R1591" s="6"/>
      <c r="S1591" s="6"/>
      <c r="T1591" s="6"/>
      <c r="U1591" s="6"/>
      <c r="V1591" s="6"/>
      <c r="W1591" s="6"/>
      <c r="X1591" s="6"/>
      <c r="Y1591" s="6"/>
      <c r="Z1591" s="6"/>
    </row>
    <row r="1592" spans="1:26" ht="15.75" customHeight="1" x14ac:dyDescent="0.3">
      <c r="A1592" s="10" t="s">
        <v>1498</v>
      </c>
      <c r="B1592" s="10">
        <v>1963</v>
      </c>
      <c r="C1592" s="10" t="s">
        <v>4714</v>
      </c>
      <c r="D1592" s="10">
        <v>4</v>
      </c>
      <c r="E1592" s="10">
        <v>0</v>
      </c>
      <c r="F1592" s="24">
        <v>13677.68</v>
      </c>
      <c r="G1592" s="10" t="s">
        <v>4696</v>
      </c>
      <c r="H1592" s="10" t="s">
        <v>4695</v>
      </c>
      <c r="I1592" s="10" t="s">
        <v>4726</v>
      </c>
      <c r="J1592" s="17">
        <f t="shared" si="12"/>
        <v>23227</v>
      </c>
      <c r="K1592" s="10">
        <f t="shared" ca="1" si="13"/>
        <v>62</v>
      </c>
      <c r="L1592" s="6"/>
      <c r="M1592" s="6"/>
      <c r="N1592" s="6"/>
      <c r="O1592" s="6"/>
      <c r="P1592" s="6"/>
      <c r="Q1592" s="6"/>
      <c r="R1592" s="6"/>
      <c r="S1592" s="6"/>
      <c r="T1592" s="6"/>
      <c r="U1592" s="6"/>
      <c r="V1592" s="6"/>
      <c r="W1592" s="6"/>
      <c r="X1592" s="6"/>
      <c r="Y1592" s="6"/>
      <c r="Z1592" s="6"/>
    </row>
    <row r="1593" spans="1:26" ht="15.75" customHeight="1" x14ac:dyDescent="0.3">
      <c r="A1593" s="10" t="s">
        <v>1496</v>
      </c>
      <c r="B1593" s="10">
        <v>1985</v>
      </c>
      <c r="C1593" s="10" t="s">
        <v>4711</v>
      </c>
      <c r="D1593" s="10">
        <v>14</v>
      </c>
      <c r="E1593" s="10">
        <v>3</v>
      </c>
      <c r="F1593" s="24">
        <v>13685.51</v>
      </c>
      <c r="G1593" s="10" t="s">
        <v>4696</v>
      </c>
      <c r="H1593" s="10" t="s">
        <v>4694</v>
      </c>
      <c r="I1593" s="10" t="s">
        <v>4729</v>
      </c>
      <c r="J1593" s="17">
        <f t="shared" si="12"/>
        <v>31304</v>
      </c>
      <c r="K1593" s="10">
        <f t="shared" ca="1" si="13"/>
        <v>40</v>
      </c>
      <c r="L1593" s="6"/>
      <c r="M1593" s="6"/>
      <c r="N1593" s="6"/>
      <c r="O1593" s="6"/>
      <c r="P1593" s="6"/>
      <c r="Q1593" s="6"/>
      <c r="R1593" s="6"/>
      <c r="S1593" s="6"/>
      <c r="T1593" s="6"/>
      <c r="U1593" s="6"/>
      <c r="V1593" s="6"/>
      <c r="W1593" s="6"/>
      <c r="X1593" s="6"/>
      <c r="Y1593" s="6"/>
      <c r="Z1593" s="6"/>
    </row>
    <row r="1594" spans="1:26" ht="15.75" customHeight="1" x14ac:dyDescent="0.3">
      <c r="A1594" s="10" t="s">
        <v>1494</v>
      </c>
      <c r="B1594" s="10">
        <v>1986</v>
      </c>
      <c r="C1594" s="10" t="s">
        <v>4709</v>
      </c>
      <c r="D1594" s="10">
        <v>24</v>
      </c>
      <c r="E1594" s="10">
        <v>3</v>
      </c>
      <c r="F1594" s="24">
        <v>13714.55</v>
      </c>
      <c r="G1594" s="10" t="s">
        <v>4696</v>
      </c>
      <c r="H1594" s="10" t="s">
        <v>4695</v>
      </c>
      <c r="I1594" s="10" t="s">
        <v>4724</v>
      </c>
      <c r="J1594" s="17">
        <f t="shared" si="12"/>
        <v>31740</v>
      </c>
      <c r="K1594" s="10">
        <f t="shared" ca="1" si="13"/>
        <v>39</v>
      </c>
      <c r="L1594" s="6"/>
      <c r="M1594" s="6"/>
      <c r="N1594" s="6"/>
      <c r="O1594" s="6"/>
      <c r="P1594" s="6"/>
      <c r="Q1594" s="6"/>
      <c r="R1594" s="6"/>
      <c r="S1594" s="6"/>
      <c r="T1594" s="6"/>
      <c r="U1594" s="6"/>
      <c r="V1594" s="6"/>
      <c r="W1594" s="6"/>
      <c r="X1594" s="6"/>
      <c r="Y1594" s="6"/>
      <c r="Z1594" s="6"/>
    </row>
    <row r="1595" spans="1:26" ht="15.75" customHeight="1" x14ac:dyDescent="0.3">
      <c r="A1595" s="10" t="s">
        <v>1492</v>
      </c>
      <c r="B1595" s="10">
        <v>1981</v>
      </c>
      <c r="C1595" s="10" t="s">
        <v>4714</v>
      </c>
      <c r="D1595" s="10">
        <v>2</v>
      </c>
      <c r="E1595" s="10">
        <v>1</v>
      </c>
      <c r="F1595" s="24">
        <v>13725.47</v>
      </c>
      <c r="G1595" s="10" t="s">
        <v>4696</v>
      </c>
      <c r="H1595" s="10" t="s">
        <v>4695</v>
      </c>
      <c r="I1595" s="10" t="s">
        <v>4723</v>
      </c>
      <c r="J1595" s="17">
        <f t="shared" si="12"/>
        <v>29800</v>
      </c>
      <c r="K1595" s="10">
        <f t="shared" ca="1" si="13"/>
        <v>44</v>
      </c>
      <c r="L1595" s="6"/>
      <c r="M1595" s="6"/>
      <c r="N1595" s="6"/>
      <c r="O1595" s="6"/>
      <c r="P1595" s="6"/>
      <c r="Q1595" s="6"/>
      <c r="R1595" s="6"/>
      <c r="S1595" s="6"/>
      <c r="T1595" s="6"/>
      <c r="U1595" s="6"/>
      <c r="V1595" s="6"/>
      <c r="W1595" s="6"/>
      <c r="X1595" s="6"/>
      <c r="Y1595" s="6"/>
      <c r="Z1595" s="6"/>
    </row>
    <row r="1596" spans="1:26" ht="15.75" customHeight="1" x14ac:dyDescent="0.3">
      <c r="A1596" s="10" t="s">
        <v>1490</v>
      </c>
      <c r="B1596" s="10">
        <v>1985</v>
      </c>
      <c r="C1596" s="10" t="s">
        <v>4714</v>
      </c>
      <c r="D1596" s="10">
        <v>29</v>
      </c>
      <c r="E1596" s="10">
        <v>3</v>
      </c>
      <c r="F1596" s="24">
        <v>13726.21</v>
      </c>
      <c r="G1596" s="10" t="s">
        <v>4696</v>
      </c>
      <c r="H1596" s="10" t="s">
        <v>4696</v>
      </c>
      <c r="I1596" s="10" t="s">
        <v>4729</v>
      </c>
      <c r="J1596" s="17">
        <f t="shared" si="12"/>
        <v>31288</v>
      </c>
      <c r="K1596" s="10">
        <f t="shared" ca="1" si="13"/>
        <v>40</v>
      </c>
      <c r="L1596" s="6"/>
      <c r="M1596" s="6"/>
      <c r="N1596" s="6"/>
      <c r="O1596" s="6"/>
      <c r="P1596" s="6"/>
      <c r="Q1596" s="6"/>
      <c r="R1596" s="6"/>
      <c r="S1596" s="6"/>
      <c r="T1596" s="6"/>
      <c r="U1596" s="6"/>
      <c r="V1596" s="6"/>
      <c r="W1596" s="6"/>
      <c r="X1596" s="6"/>
      <c r="Y1596" s="6"/>
      <c r="Z1596" s="6"/>
    </row>
    <row r="1597" spans="1:26" ht="15.75" customHeight="1" x14ac:dyDescent="0.3">
      <c r="A1597" s="10" t="s">
        <v>1488</v>
      </c>
      <c r="B1597" s="10">
        <v>1969</v>
      </c>
      <c r="C1597" s="10" t="s">
        <v>4715</v>
      </c>
      <c r="D1597" s="10">
        <v>23</v>
      </c>
      <c r="E1597" s="10">
        <v>0</v>
      </c>
      <c r="F1597" s="24">
        <v>13746.74</v>
      </c>
      <c r="G1597" s="10" t="s">
        <v>4696</v>
      </c>
      <c r="H1597" s="10" t="s">
        <v>4695</v>
      </c>
      <c r="I1597" s="10" t="s">
        <v>4729</v>
      </c>
      <c r="J1597" s="17">
        <f t="shared" si="12"/>
        <v>25499</v>
      </c>
      <c r="K1597" s="10">
        <f t="shared" ca="1" si="13"/>
        <v>56</v>
      </c>
      <c r="L1597" s="6"/>
      <c r="M1597" s="6"/>
      <c r="N1597" s="6"/>
      <c r="O1597" s="6"/>
      <c r="P1597" s="6"/>
      <c r="Q1597" s="6"/>
      <c r="R1597" s="6"/>
      <c r="S1597" s="6"/>
      <c r="T1597" s="6"/>
      <c r="U1597" s="6"/>
      <c r="V1597" s="6"/>
      <c r="W1597" s="6"/>
      <c r="X1597" s="6"/>
      <c r="Y1597" s="6"/>
      <c r="Z1597" s="6"/>
    </row>
    <row r="1598" spans="1:26" ht="15.75" customHeight="1" x14ac:dyDescent="0.3">
      <c r="A1598" s="10" t="s">
        <v>1486</v>
      </c>
      <c r="B1598" s="10">
        <v>2004</v>
      </c>
      <c r="C1598" s="10" t="s">
        <v>4707</v>
      </c>
      <c r="D1598" s="10">
        <v>16</v>
      </c>
      <c r="E1598" s="10">
        <v>0</v>
      </c>
      <c r="F1598" s="24">
        <v>13747.87</v>
      </c>
      <c r="G1598" s="10" t="s">
        <v>4696</v>
      </c>
      <c r="H1598" s="10" t="s">
        <v>4695</v>
      </c>
      <c r="I1598" s="10" t="s">
        <v>4721</v>
      </c>
      <c r="J1598" s="17">
        <f t="shared" si="12"/>
        <v>38184</v>
      </c>
      <c r="K1598" s="10">
        <f t="shared" ca="1" si="13"/>
        <v>21</v>
      </c>
      <c r="L1598" s="6"/>
      <c r="M1598" s="6"/>
      <c r="N1598" s="6"/>
      <c r="O1598" s="6"/>
      <c r="P1598" s="6"/>
      <c r="Q1598" s="6"/>
      <c r="R1598" s="6"/>
      <c r="S1598" s="6"/>
      <c r="T1598" s="6"/>
      <c r="U1598" s="6"/>
      <c r="V1598" s="6"/>
      <c r="W1598" s="6"/>
      <c r="X1598" s="6"/>
      <c r="Y1598" s="6"/>
      <c r="Z1598" s="6"/>
    </row>
    <row r="1599" spans="1:26" ht="15.75" customHeight="1" x14ac:dyDescent="0.3">
      <c r="A1599" s="10" t="s">
        <v>1484</v>
      </c>
      <c r="B1599" s="10">
        <v>1959</v>
      </c>
      <c r="C1599" s="10" t="s">
        <v>4714</v>
      </c>
      <c r="D1599" s="10">
        <v>6</v>
      </c>
      <c r="E1599" s="10">
        <v>0</v>
      </c>
      <c r="F1599" s="24">
        <v>13770.1</v>
      </c>
      <c r="G1599" s="10" t="s">
        <v>4696</v>
      </c>
      <c r="H1599" s="10" t="s">
        <v>4694</v>
      </c>
      <c r="I1599" s="10" t="s">
        <v>4712</v>
      </c>
      <c r="J1599" s="17">
        <f t="shared" si="12"/>
        <v>21768</v>
      </c>
      <c r="K1599" s="10">
        <f t="shared" ca="1" si="13"/>
        <v>66</v>
      </c>
      <c r="L1599" s="6"/>
      <c r="M1599" s="6"/>
      <c r="N1599" s="6"/>
      <c r="O1599" s="6"/>
      <c r="P1599" s="6"/>
      <c r="Q1599" s="6"/>
      <c r="R1599" s="6"/>
      <c r="S1599" s="6"/>
      <c r="T1599" s="6"/>
      <c r="U1599" s="6"/>
      <c r="V1599" s="6"/>
      <c r="W1599" s="6"/>
      <c r="X1599" s="6"/>
      <c r="Y1599" s="6"/>
      <c r="Z1599" s="6"/>
    </row>
    <row r="1600" spans="1:26" ht="15.75" customHeight="1" x14ac:dyDescent="0.3">
      <c r="A1600" s="10" t="s">
        <v>1482</v>
      </c>
      <c r="B1600" s="10">
        <v>1966</v>
      </c>
      <c r="C1600" s="10" t="s">
        <v>4709</v>
      </c>
      <c r="D1600" s="10">
        <v>10</v>
      </c>
      <c r="E1600" s="10">
        <v>0</v>
      </c>
      <c r="F1600" s="24">
        <v>13801.61</v>
      </c>
      <c r="G1600" s="10" t="s">
        <v>4696</v>
      </c>
      <c r="H1600" s="10" t="s">
        <v>4696</v>
      </c>
      <c r="I1600" s="10" t="s">
        <v>4729</v>
      </c>
      <c r="J1600" s="17">
        <f t="shared" si="12"/>
        <v>24421</v>
      </c>
      <c r="K1600" s="10">
        <f t="shared" ca="1" si="13"/>
        <v>59</v>
      </c>
      <c r="L1600" s="6"/>
      <c r="M1600" s="6"/>
      <c r="N1600" s="6"/>
      <c r="O1600" s="6"/>
      <c r="P1600" s="6"/>
      <c r="Q1600" s="6"/>
      <c r="R1600" s="6"/>
      <c r="S1600" s="6"/>
      <c r="T1600" s="6"/>
      <c r="U1600" s="6"/>
      <c r="V1600" s="6"/>
      <c r="W1600" s="6"/>
      <c r="X1600" s="6"/>
      <c r="Y1600" s="6"/>
      <c r="Z1600" s="6"/>
    </row>
    <row r="1601" spans="1:26" ht="15.75" customHeight="1" x14ac:dyDescent="0.3">
      <c r="A1601" s="10" t="s">
        <v>1480</v>
      </c>
      <c r="B1601" s="10">
        <v>1986</v>
      </c>
      <c r="C1601" s="10" t="s">
        <v>4713</v>
      </c>
      <c r="D1601" s="10">
        <v>8</v>
      </c>
      <c r="E1601" s="10">
        <v>3</v>
      </c>
      <c r="F1601" s="24">
        <v>13819.49</v>
      </c>
      <c r="G1601" s="10" t="s">
        <v>4696</v>
      </c>
      <c r="H1601" s="10" t="s">
        <v>4695</v>
      </c>
      <c r="I1601" s="10" t="s">
        <v>4712</v>
      </c>
      <c r="J1601" s="17">
        <f t="shared" si="12"/>
        <v>31754</v>
      </c>
      <c r="K1601" s="10">
        <f t="shared" ca="1" si="13"/>
        <v>38</v>
      </c>
      <c r="L1601" s="6"/>
      <c r="M1601" s="6"/>
      <c r="N1601" s="6"/>
      <c r="O1601" s="6"/>
      <c r="P1601" s="6"/>
      <c r="Q1601" s="6"/>
      <c r="R1601" s="6"/>
      <c r="S1601" s="6"/>
      <c r="T1601" s="6"/>
      <c r="U1601" s="6"/>
      <c r="V1601" s="6"/>
      <c r="W1601" s="6"/>
      <c r="X1601" s="6"/>
      <c r="Y1601" s="6"/>
      <c r="Z1601" s="6"/>
    </row>
    <row r="1602" spans="1:26" ht="15.75" customHeight="1" x14ac:dyDescent="0.3">
      <c r="A1602" s="10" t="s">
        <v>1478</v>
      </c>
      <c r="B1602" s="10">
        <v>1958</v>
      </c>
      <c r="C1602" s="10" t="s">
        <v>4709</v>
      </c>
      <c r="D1602" s="10">
        <v>25</v>
      </c>
      <c r="E1602" s="10">
        <v>0</v>
      </c>
      <c r="F1602" s="24">
        <v>13822.8</v>
      </c>
      <c r="G1602" s="10" t="s">
        <v>4696</v>
      </c>
      <c r="H1602" s="10" t="s">
        <v>4696</v>
      </c>
      <c r="I1602" s="10" t="s">
        <v>4716</v>
      </c>
      <c r="J1602" s="17">
        <f t="shared" si="12"/>
        <v>21514</v>
      </c>
      <c r="K1602" s="10">
        <f t="shared" ca="1" si="13"/>
        <v>67</v>
      </c>
      <c r="L1602" s="6"/>
      <c r="M1602" s="6"/>
      <c r="N1602" s="6"/>
      <c r="O1602" s="6"/>
      <c r="P1602" s="6"/>
      <c r="Q1602" s="6"/>
      <c r="R1602" s="6"/>
      <c r="S1602" s="6"/>
      <c r="T1602" s="6"/>
      <c r="U1602" s="6"/>
      <c r="V1602" s="6"/>
      <c r="W1602" s="6"/>
      <c r="X1602" s="6"/>
      <c r="Y1602" s="6"/>
      <c r="Z1602" s="6"/>
    </row>
    <row r="1603" spans="1:26" ht="15.75" customHeight="1" x14ac:dyDescent="0.3">
      <c r="A1603" s="10" t="s">
        <v>1476</v>
      </c>
      <c r="B1603" s="10">
        <v>1958</v>
      </c>
      <c r="C1603" s="10" t="s">
        <v>4713</v>
      </c>
      <c r="D1603" s="10">
        <v>10</v>
      </c>
      <c r="E1603" s="10">
        <v>0</v>
      </c>
      <c r="F1603" s="24">
        <v>13831.12</v>
      </c>
      <c r="G1603" s="10" t="s">
        <v>4696</v>
      </c>
      <c r="H1603" s="10" t="s">
        <v>4694</v>
      </c>
      <c r="I1603" s="10" t="s">
        <v>4708</v>
      </c>
      <c r="J1603" s="17">
        <f t="shared" si="12"/>
        <v>21529</v>
      </c>
      <c r="K1603" s="10">
        <f t="shared" ca="1" si="13"/>
        <v>66</v>
      </c>
      <c r="L1603" s="6"/>
      <c r="M1603" s="6"/>
      <c r="N1603" s="6"/>
      <c r="O1603" s="6"/>
      <c r="P1603" s="6"/>
      <c r="Q1603" s="6"/>
      <c r="R1603" s="6"/>
      <c r="S1603" s="6"/>
      <c r="T1603" s="6"/>
      <c r="U1603" s="6"/>
      <c r="V1603" s="6"/>
      <c r="W1603" s="6"/>
      <c r="X1603" s="6"/>
      <c r="Y1603" s="6"/>
      <c r="Z1603" s="6"/>
    </row>
    <row r="1604" spans="1:26" ht="15.75" customHeight="1" x14ac:dyDescent="0.3">
      <c r="A1604" s="10" t="s">
        <v>1474</v>
      </c>
      <c r="B1604" s="10">
        <v>2003</v>
      </c>
      <c r="C1604" s="10" t="s">
        <v>4710</v>
      </c>
      <c r="D1604" s="10">
        <v>7</v>
      </c>
      <c r="E1604" s="10">
        <v>0</v>
      </c>
      <c r="F1604" s="24">
        <v>13844.51</v>
      </c>
      <c r="G1604" s="10" t="s">
        <v>4695</v>
      </c>
      <c r="H1604" s="10" t="s">
        <v>4694</v>
      </c>
      <c r="I1604" s="10" t="s">
        <v>4716</v>
      </c>
      <c r="J1604" s="17">
        <f t="shared" si="12"/>
        <v>37779</v>
      </c>
      <c r="K1604" s="10">
        <f t="shared" ca="1" si="13"/>
        <v>22</v>
      </c>
      <c r="L1604" s="6"/>
      <c r="M1604" s="6"/>
      <c r="N1604" s="6"/>
      <c r="O1604" s="6"/>
      <c r="P1604" s="6"/>
      <c r="Q1604" s="6"/>
      <c r="R1604" s="6"/>
      <c r="S1604" s="6"/>
      <c r="T1604" s="6"/>
      <c r="U1604" s="6"/>
      <c r="V1604" s="6"/>
      <c r="W1604" s="6"/>
      <c r="X1604" s="6"/>
      <c r="Y1604" s="6"/>
      <c r="Z1604" s="6"/>
    </row>
    <row r="1605" spans="1:26" ht="15.75" customHeight="1" x14ac:dyDescent="0.3">
      <c r="A1605" s="10" t="s">
        <v>1472</v>
      </c>
      <c r="B1605" s="10">
        <v>1960</v>
      </c>
      <c r="C1605" s="10" t="s">
        <v>4707</v>
      </c>
      <c r="D1605" s="10">
        <v>21</v>
      </c>
      <c r="E1605" s="10">
        <v>0</v>
      </c>
      <c r="F1605" s="24">
        <v>13844.8</v>
      </c>
      <c r="G1605" s="10" t="s">
        <v>4695</v>
      </c>
      <c r="H1605" s="10" t="s">
        <v>4695</v>
      </c>
      <c r="I1605" s="10" t="s">
        <v>4712</v>
      </c>
      <c r="J1605" s="17">
        <f t="shared" si="12"/>
        <v>22118</v>
      </c>
      <c r="K1605" s="10">
        <f t="shared" ca="1" si="13"/>
        <v>65</v>
      </c>
      <c r="L1605" s="6"/>
      <c r="M1605" s="6"/>
      <c r="N1605" s="6"/>
      <c r="O1605" s="6"/>
      <c r="P1605" s="6"/>
      <c r="Q1605" s="6"/>
      <c r="R1605" s="6"/>
      <c r="S1605" s="6"/>
      <c r="T1605" s="6"/>
      <c r="U1605" s="6"/>
      <c r="V1605" s="6"/>
      <c r="W1605" s="6"/>
      <c r="X1605" s="6"/>
      <c r="Y1605" s="6"/>
      <c r="Z1605" s="6"/>
    </row>
    <row r="1606" spans="1:26" ht="15.75" customHeight="1" x14ac:dyDescent="0.3">
      <c r="A1606" s="10" t="s">
        <v>1470</v>
      </c>
      <c r="B1606" s="10">
        <v>1978</v>
      </c>
      <c r="C1606" s="10" t="s">
        <v>4713</v>
      </c>
      <c r="D1606" s="10">
        <v>19</v>
      </c>
      <c r="E1606" s="10">
        <v>2</v>
      </c>
      <c r="F1606" s="24">
        <v>13874.89</v>
      </c>
      <c r="G1606" s="10" t="s">
        <v>4695</v>
      </c>
      <c r="H1606" s="10" t="s">
        <v>4694</v>
      </c>
      <c r="I1606" s="10" t="s">
        <v>4712</v>
      </c>
      <c r="J1606" s="17">
        <f t="shared" si="12"/>
        <v>28843</v>
      </c>
      <c r="K1606" s="10">
        <f t="shared" ca="1" si="13"/>
        <v>46</v>
      </c>
      <c r="L1606" s="6"/>
      <c r="M1606" s="6"/>
      <c r="N1606" s="6"/>
      <c r="O1606" s="6"/>
      <c r="P1606" s="6"/>
      <c r="Q1606" s="6"/>
      <c r="R1606" s="6"/>
      <c r="S1606" s="6"/>
      <c r="T1606" s="6"/>
      <c r="U1606" s="6"/>
      <c r="V1606" s="6"/>
      <c r="W1606" s="6"/>
      <c r="X1606" s="6"/>
      <c r="Y1606" s="6"/>
      <c r="Z1606" s="6"/>
    </row>
    <row r="1607" spans="1:26" ht="15.75" customHeight="1" x14ac:dyDescent="0.3">
      <c r="A1607" s="10" t="s">
        <v>1468</v>
      </c>
      <c r="B1607" s="10">
        <v>1959</v>
      </c>
      <c r="C1607" s="10" t="s">
        <v>4715</v>
      </c>
      <c r="D1607" s="10">
        <v>5</v>
      </c>
      <c r="E1607" s="10">
        <v>0</v>
      </c>
      <c r="F1607" s="24">
        <v>13880.95</v>
      </c>
      <c r="G1607" s="10" t="s">
        <v>4695</v>
      </c>
      <c r="H1607" s="10" t="s">
        <v>4695</v>
      </c>
      <c r="I1607" s="10" t="s">
        <v>4716</v>
      </c>
      <c r="J1607" s="17">
        <f t="shared" si="12"/>
        <v>21828</v>
      </c>
      <c r="K1607" s="10">
        <f t="shared" ca="1" si="13"/>
        <v>66</v>
      </c>
      <c r="L1607" s="6"/>
      <c r="M1607" s="6"/>
      <c r="N1607" s="6"/>
      <c r="O1607" s="6"/>
      <c r="P1607" s="6"/>
      <c r="Q1607" s="6"/>
      <c r="R1607" s="6"/>
      <c r="S1607" s="6"/>
      <c r="T1607" s="6"/>
      <c r="U1607" s="6"/>
      <c r="V1607" s="6"/>
      <c r="W1607" s="6"/>
      <c r="X1607" s="6"/>
      <c r="Y1607" s="6"/>
      <c r="Z1607" s="6"/>
    </row>
    <row r="1608" spans="1:26" ht="15.75" customHeight="1" x14ac:dyDescent="0.3">
      <c r="A1608" s="10" t="s">
        <v>1466</v>
      </c>
      <c r="B1608" s="10">
        <v>1985</v>
      </c>
      <c r="C1608" s="10" t="s">
        <v>4711</v>
      </c>
      <c r="D1608" s="10">
        <v>25</v>
      </c>
      <c r="E1608" s="10">
        <v>3</v>
      </c>
      <c r="F1608" s="24">
        <v>13886.4</v>
      </c>
      <c r="G1608" s="10" t="s">
        <v>4695</v>
      </c>
      <c r="H1608" s="10" t="s">
        <v>4695</v>
      </c>
      <c r="I1608" s="10" t="s">
        <v>4712</v>
      </c>
      <c r="J1608" s="17">
        <f t="shared" si="12"/>
        <v>31315</v>
      </c>
      <c r="K1608" s="10">
        <f t="shared" ca="1" si="13"/>
        <v>40</v>
      </c>
      <c r="L1608" s="6"/>
      <c r="M1608" s="6"/>
      <c r="N1608" s="6"/>
      <c r="O1608" s="6"/>
      <c r="P1608" s="6"/>
      <c r="Q1608" s="6"/>
      <c r="R1608" s="6"/>
      <c r="S1608" s="6"/>
      <c r="T1608" s="6"/>
      <c r="U1608" s="6"/>
      <c r="V1608" s="6"/>
      <c r="W1608" s="6"/>
      <c r="X1608" s="6"/>
      <c r="Y1608" s="6"/>
      <c r="Z1608" s="6"/>
    </row>
    <row r="1609" spans="1:26" ht="15.75" customHeight="1" x14ac:dyDescent="0.3">
      <c r="A1609" s="10" t="s">
        <v>1464</v>
      </c>
      <c r="B1609" s="10">
        <v>1959</v>
      </c>
      <c r="C1609" s="10" t="s">
        <v>4713</v>
      </c>
      <c r="D1609" s="10">
        <v>29</v>
      </c>
      <c r="E1609" s="10">
        <v>0</v>
      </c>
      <c r="F1609" s="24">
        <v>13887.2</v>
      </c>
      <c r="G1609" s="10" t="s">
        <v>4695</v>
      </c>
      <c r="H1609" s="10" t="s">
        <v>4696</v>
      </c>
      <c r="I1609" s="10" t="s">
        <v>4708</v>
      </c>
      <c r="J1609" s="17">
        <f t="shared" si="12"/>
        <v>21913</v>
      </c>
      <c r="K1609" s="10">
        <f t="shared" ca="1" si="13"/>
        <v>65</v>
      </c>
      <c r="L1609" s="6"/>
      <c r="M1609" s="6"/>
      <c r="N1609" s="6"/>
      <c r="O1609" s="6"/>
      <c r="P1609" s="6"/>
      <c r="Q1609" s="6"/>
      <c r="R1609" s="6"/>
      <c r="S1609" s="6"/>
      <c r="T1609" s="6"/>
      <c r="U1609" s="6"/>
      <c r="V1609" s="6"/>
      <c r="W1609" s="6"/>
      <c r="X1609" s="6"/>
      <c r="Y1609" s="6"/>
      <c r="Z1609" s="6"/>
    </row>
    <row r="1610" spans="1:26" ht="15.75" customHeight="1" x14ac:dyDescent="0.3">
      <c r="A1610" s="10" t="s">
        <v>1462</v>
      </c>
      <c r="B1610" s="10">
        <v>1959</v>
      </c>
      <c r="C1610" s="10" t="s">
        <v>4707</v>
      </c>
      <c r="D1610" s="10">
        <v>7</v>
      </c>
      <c r="E1610" s="10">
        <v>0</v>
      </c>
      <c r="F1610" s="24">
        <v>13887.97</v>
      </c>
      <c r="G1610" s="10" t="s">
        <v>4695</v>
      </c>
      <c r="H1610" s="10" t="s">
        <v>4695</v>
      </c>
      <c r="I1610" s="10" t="s">
        <v>4708</v>
      </c>
      <c r="J1610" s="17">
        <f t="shared" si="12"/>
        <v>21738</v>
      </c>
      <c r="K1610" s="10">
        <f t="shared" ca="1" si="13"/>
        <v>66</v>
      </c>
      <c r="L1610" s="6"/>
      <c r="M1610" s="6"/>
      <c r="N1610" s="6"/>
      <c r="O1610" s="6"/>
      <c r="P1610" s="6"/>
      <c r="Q1610" s="6"/>
      <c r="R1610" s="6"/>
      <c r="S1610" s="6"/>
      <c r="T1610" s="6"/>
      <c r="U1610" s="6"/>
      <c r="V1610" s="6"/>
      <c r="W1610" s="6"/>
      <c r="X1610" s="6"/>
      <c r="Y1610" s="6"/>
      <c r="Z1610" s="6"/>
    </row>
    <row r="1611" spans="1:26" ht="15.75" customHeight="1" x14ac:dyDescent="0.3">
      <c r="A1611" s="10" t="s">
        <v>1460</v>
      </c>
      <c r="B1611" s="10">
        <v>1962</v>
      </c>
      <c r="C1611" s="10" t="s">
        <v>4707</v>
      </c>
      <c r="D1611" s="10">
        <v>27</v>
      </c>
      <c r="E1611" s="10">
        <v>3</v>
      </c>
      <c r="F1611" s="24">
        <v>13919.82</v>
      </c>
      <c r="G1611" s="10" t="s">
        <v>4695</v>
      </c>
      <c r="H1611" s="10" t="s">
        <v>4695</v>
      </c>
      <c r="I1611" s="10" t="s">
        <v>4708</v>
      </c>
      <c r="J1611" s="17">
        <f t="shared" si="12"/>
        <v>22854</v>
      </c>
      <c r="K1611" s="10">
        <f t="shared" ca="1" si="13"/>
        <v>63</v>
      </c>
      <c r="L1611" s="6"/>
      <c r="M1611" s="6"/>
      <c r="N1611" s="6"/>
      <c r="O1611" s="6"/>
      <c r="P1611" s="6"/>
      <c r="Q1611" s="6"/>
      <c r="R1611" s="6"/>
      <c r="S1611" s="6"/>
      <c r="T1611" s="6"/>
      <c r="U1611" s="6"/>
      <c r="V1611" s="6"/>
      <c r="W1611" s="6"/>
      <c r="X1611" s="6"/>
      <c r="Y1611" s="6"/>
      <c r="Z1611" s="6"/>
    </row>
    <row r="1612" spans="1:26" ht="15.75" customHeight="1" x14ac:dyDescent="0.3">
      <c r="A1612" s="10" t="s">
        <v>1458</v>
      </c>
      <c r="B1612" s="10">
        <v>1960</v>
      </c>
      <c r="C1612" s="10" t="s">
        <v>4710</v>
      </c>
      <c r="D1612" s="10">
        <v>18</v>
      </c>
      <c r="E1612" s="10">
        <v>1</v>
      </c>
      <c r="F1612" s="24">
        <v>13937.67</v>
      </c>
      <c r="G1612" s="10" t="s">
        <v>4695</v>
      </c>
      <c r="H1612" s="10" t="s">
        <v>4694</v>
      </c>
      <c r="I1612" s="10" t="s">
        <v>4712</v>
      </c>
      <c r="J1612" s="17">
        <f t="shared" si="12"/>
        <v>22085</v>
      </c>
      <c r="K1612" s="10">
        <f t="shared" ca="1" si="13"/>
        <v>65</v>
      </c>
      <c r="L1612" s="6"/>
      <c r="M1612" s="6"/>
      <c r="N1612" s="6"/>
      <c r="O1612" s="6"/>
      <c r="P1612" s="6"/>
      <c r="Q1612" s="6"/>
      <c r="R1612" s="6"/>
      <c r="S1612" s="6"/>
      <c r="T1612" s="6"/>
      <c r="U1612" s="6"/>
      <c r="V1612" s="6"/>
      <c r="W1612" s="6"/>
      <c r="X1612" s="6"/>
      <c r="Y1612" s="6"/>
      <c r="Z1612" s="6"/>
    </row>
    <row r="1613" spans="1:26" ht="15.75" customHeight="1" x14ac:dyDescent="0.3">
      <c r="A1613" s="10" t="s">
        <v>1456</v>
      </c>
      <c r="B1613" s="10">
        <v>1959</v>
      </c>
      <c r="C1613" s="10" t="s">
        <v>4714</v>
      </c>
      <c r="D1613" s="10">
        <v>29</v>
      </c>
      <c r="E1613" s="10">
        <v>0</v>
      </c>
      <c r="F1613" s="24">
        <v>13974.46</v>
      </c>
      <c r="G1613" s="10" t="s">
        <v>4695</v>
      </c>
      <c r="H1613" s="10" t="s">
        <v>4695</v>
      </c>
      <c r="I1613" s="10" t="s">
        <v>4719</v>
      </c>
      <c r="J1613" s="17">
        <f t="shared" si="12"/>
        <v>21791</v>
      </c>
      <c r="K1613" s="10">
        <f t="shared" ca="1" si="13"/>
        <v>66</v>
      </c>
      <c r="L1613" s="6"/>
      <c r="M1613" s="6"/>
      <c r="N1613" s="6"/>
      <c r="O1613" s="6"/>
      <c r="P1613" s="6"/>
      <c r="Q1613" s="6"/>
      <c r="R1613" s="6"/>
      <c r="S1613" s="6"/>
      <c r="T1613" s="6"/>
      <c r="U1613" s="6"/>
      <c r="V1613" s="6"/>
      <c r="W1613" s="6"/>
      <c r="X1613" s="6"/>
      <c r="Y1613" s="6"/>
      <c r="Z1613" s="6"/>
    </row>
    <row r="1614" spans="1:26" ht="15.75" customHeight="1" x14ac:dyDescent="0.3">
      <c r="A1614" s="10" t="s">
        <v>1454</v>
      </c>
      <c r="B1614" s="10">
        <v>1990</v>
      </c>
      <c r="C1614" s="10" t="s">
        <v>4707</v>
      </c>
      <c r="D1614" s="10">
        <v>13</v>
      </c>
      <c r="E1614" s="10">
        <v>3</v>
      </c>
      <c r="F1614" s="24">
        <v>13979.45</v>
      </c>
      <c r="G1614" s="10" t="s">
        <v>4695</v>
      </c>
      <c r="H1614" s="10" t="s">
        <v>4694</v>
      </c>
      <c r="I1614" s="10" t="s">
        <v>4724</v>
      </c>
      <c r="J1614" s="17">
        <f t="shared" si="12"/>
        <v>33067</v>
      </c>
      <c r="K1614" s="10">
        <f t="shared" ca="1" si="13"/>
        <v>35</v>
      </c>
      <c r="L1614" s="6"/>
      <c r="M1614" s="6"/>
      <c r="N1614" s="6"/>
      <c r="O1614" s="6"/>
      <c r="P1614" s="6"/>
      <c r="Q1614" s="6"/>
      <c r="R1614" s="6"/>
      <c r="S1614" s="6"/>
      <c r="T1614" s="6"/>
      <c r="U1614" s="6"/>
      <c r="V1614" s="6"/>
      <c r="W1614" s="6"/>
      <c r="X1614" s="6"/>
      <c r="Y1614" s="6"/>
      <c r="Z1614" s="6"/>
    </row>
    <row r="1615" spans="1:26" ht="15.75" customHeight="1" x14ac:dyDescent="0.3">
      <c r="A1615" s="10" t="s">
        <v>1452</v>
      </c>
      <c r="B1615" s="10">
        <v>1959</v>
      </c>
      <c r="C1615" s="10" t="s">
        <v>4711</v>
      </c>
      <c r="D1615" s="10">
        <v>6</v>
      </c>
      <c r="E1615" s="10">
        <v>0</v>
      </c>
      <c r="F1615" s="24">
        <v>13981.85</v>
      </c>
      <c r="G1615" s="10" t="s">
        <v>4695</v>
      </c>
      <c r="H1615" s="10" t="s">
        <v>4694</v>
      </c>
      <c r="I1615" s="10" t="s">
        <v>4720</v>
      </c>
      <c r="J1615" s="17">
        <f t="shared" si="12"/>
        <v>21799</v>
      </c>
      <c r="K1615" s="10">
        <f t="shared" ca="1" si="13"/>
        <v>66</v>
      </c>
      <c r="L1615" s="6"/>
      <c r="M1615" s="6"/>
      <c r="N1615" s="6"/>
      <c r="O1615" s="6"/>
      <c r="P1615" s="6"/>
      <c r="Q1615" s="6"/>
      <c r="R1615" s="6"/>
      <c r="S1615" s="6"/>
      <c r="T1615" s="6"/>
      <c r="U1615" s="6"/>
      <c r="V1615" s="6"/>
      <c r="W1615" s="6"/>
      <c r="X1615" s="6"/>
      <c r="Y1615" s="6"/>
      <c r="Z1615" s="6"/>
    </row>
    <row r="1616" spans="1:26" ht="15.75" customHeight="1" x14ac:dyDescent="0.3">
      <c r="A1616" s="10" t="s">
        <v>1450</v>
      </c>
      <c r="B1616" s="10">
        <v>1963</v>
      </c>
      <c r="C1616" s="10" t="s">
        <v>4713</v>
      </c>
      <c r="D1616" s="10">
        <v>23</v>
      </c>
      <c r="E1616" s="10">
        <v>3</v>
      </c>
      <c r="F1616" s="24">
        <v>14001.13</v>
      </c>
      <c r="G1616" s="10" t="s">
        <v>4695</v>
      </c>
      <c r="H1616" s="10" t="s">
        <v>4694</v>
      </c>
      <c r="I1616" s="10" t="s">
        <v>4708</v>
      </c>
      <c r="J1616" s="17">
        <f t="shared" si="12"/>
        <v>23368</v>
      </c>
      <c r="K1616" s="10">
        <f t="shared" ca="1" si="13"/>
        <v>61</v>
      </c>
      <c r="L1616" s="6"/>
      <c r="M1616" s="6"/>
      <c r="N1616" s="6"/>
      <c r="O1616" s="6"/>
      <c r="P1616" s="6"/>
      <c r="Q1616" s="6"/>
      <c r="R1616" s="6"/>
      <c r="S1616" s="6"/>
      <c r="T1616" s="6"/>
      <c r="U1616" s="6"/>
      <c r="V1616" s="6"/>
      <c r="W1616" s="6"/>
      <c r="X1616" s="6"/>
      <c r="Y1616" s="6"/>
      <c r="Z1616" s="6"/>
    </row>
    <row r="1617" spans="1:26" ht="15.75" customHeight="1" x14ac:dyDescent="0.3">
      <c r="A1617" s="10" t="s">
        <v>1448</v>
      </c>
      <c r="B1617" s="10">
        <v>1963</v>
      </c>
      <c r="C1617" s="10" t="s">
        <v>4707</v>
      </c>
      <c r="D1617" s="10">
        <v>6</v>
      </c>
      <c r="E1617" s="10">
        <v>3</v>
      </c>
      <c r="F1617" s="24">
        <v>14001.29</v>
      </c>
      <c r="G1617" s="10" t="s">
        <v>4695</v>
      </c>
      <c r="H1617" s="10" t="s">
        <v>4695</v>
      </c>
      <c r="I1617" s="10" t="s">
        <v>4708</v>
      </c>
      <c r="J1617" s="17">
        <f t="shared" si="12"/>
        <v>23198</v>
      </c>
      <c r="K1617" s="10">
        <f t="shared" ca="1" si="13"/>
        <v>62</v>
      </c>
      <c r="L1617" s="6"/>
      <c r="M1617" s="6"/>
      <c r="N1617" s="6"/>
      <c r="O1617" s="6"/>
      <c r="P1617" s="6"/>
      <c r="Q1617" s="6"/>
      <c r="R1617" s="6"/>
      <c r="S1617" s="6"/>
      <c r="T1617" s="6"/>
      <c r="U1617" s="6"/>
      <c r="V1617" s="6"/>
      <c r="W1617" s="6"/>
      <c r="X1617" s="6"/>
      <c r="Y1617" s="6"/>
      <c r="Z1617" s="6"/>
    </row>
    <row r="1618" spans="1:26" ht="15.75" customHeight="1" x14ac:dyDescent="0.3">
      <c r="A1618" s="10" t="s">
        <v>1446</v>
      </c>
      <c r="B1618" s="10">
        <v>1963</v>
      </c>
      <c r="C1618" s="10" t="s">
        <v>4707</v>
      </c>
      <c r="D1618" s="10">
        <v>8</v>
      </c>
      <c r="E1618" s="10">
        <v>3</v>
      </c>
      <c r="F1618" s="24">
        <v>14007.22</v>
      </c>
      <c r="G1618" s="10" t="s">
        <v>4695</v>
      </c>
      <c r="H1618" s="10" t="s">
        <v>4696</v>
      </c>
      <c r="I1618" s="10" t="s">
        <v>4716</v>
      </c>
      <c r="J1618" s="17">
        <f t="shared" si="12"/>
        <v>23200</v>
      </c>
      <c r="K1618" s="10">
        <f t="shared" ca="1" si="13"/>
        <v>62</v>
      </c>
      <c r="L1618" s="6"/>
      <c r="M1618" s="6"/>
      <c r="N1618" s="6"/>
      <c r="O1618" s="6"/>
      <c r="P1618" s="6"/>
      <c r="Q1618" s="6"/>
      <c r="R1618" s="6"/>
      <c r="S1618" s="6"/>
      <c r="T1618" s="6"/>
      <c r="U1618" s="6"/>
      <c r="V1618" s="6"/>
      <c r="W1618" s="6"/>
      <c r="X1618" s="6"/>
      <c r="Y1618" s="6"/>
      <c r="Z1618" s="6"/>
    </row>
    <row r="1619" spans="1:26" ht="15.75" customHeight="1" x14ac:dyDescent="0.3">
      <c r="A1619" s="10" t="s">
        <v>1444</v>
      </c>
      <c r="B1619" s="10">
        <v>1960</v>
      </c>
      <c r="C1619" s="10" t="s">
        <v>4709</v>
      </c>
      <c r="D1619" s="10">
        <v>8</v>
      </c>
      <c r="E1619" s="10">
        <v>0</v>
      </c>
      <c r="F1619" s="24">
        <v>14043.48</v>
      </c>
      <c r="G1619" s="10" t="s">
        <v>4695</v>
      </c>
      <c r="H1619" s="10" t="s">
        <v>4696</v>
      </c>
      <c r="I1619" s="10" t="s">
        <v>4723</v>
      </c>
      <c r="J1619" s="17">
        <f t="shared" si="12"/>
        <v>22228</v>
      </c>
      <c r="K1619" s="10">
        <f t="shared" ca="1" si="13"/>
        <v>65</v>
      </c>
      <c r="L1619" s="6"/>
      <c r="M1619" s="6"/>
      <c r="N1619" s="6"/>
      <c r="O1619" s="6"/>
      <c r="P1619" s="6"/>
      <c r="Q1619" s="6"/>
      <c r="R1619" s="6"/>
      <c r="S1619" s="6"/>
      <c r="T1619" s="6"/>
      <c r="U1619" s="6"/>
      <c r="V1619" s="6"/>
      <c r="W1619" s="6"/>
      <c r="X1619" s="6"/>
      <c r="Y1619" s="6"/>
      <c r="Z1619" s="6"/>
    </row>
    <row r="1620" spans="1:26" ht="15.75" customHeight="1" x14ac:dyDescent="0.3">
      <c r="A1620" s="10" t="s">
        <v>1442</v>
      </c>
      <c r="B1620" s="10">
        <v>1991</v>
      </c>
      <c r="C1620" s="10" t="s">
        <v>4711</v>
      </c>
      <c r="D1620" s="10">
        <v>12</v>
      </c>
      <c r="E1620" s="10">
        <v>3</v>
      </c>
      <c r="F1620" s="24">
        <v>14081.93</v>
      </c>
      <c r="G1620" s="10" t="s">
        <v>4695</v>
      </c>
      <c r="H1620" s="10" t="s">
        <v>4696</v>
      </c>
      <c r="I1620" s="10" t="s">
        <v>4712</v>
      </c>
      <c r="J1620" s="17">
        <f t="shared" si="12"/>
        <v>33493</v>
      </c>
      <c r="K1620" s="10">
        <f t="shared" ca="1" si="13"/>
        <v>34</v>
      </c>
      <c r="L1620" s="6"/>
      <c r="M1620" s="6"/>
      <c r="N1620" s="6"/>
      <c r="O1620" s="6"/>
      <c r="P1620" s="6"/>
      <c r="Q1620" s="6"/>
      <c r="R1620" s="6"/>
      <c r="S1620" s="6"/>
      <c r="T1620" s="6"/>
      <c r="U1620" s="6"/>
      <c r="V1620" s="6"/>
      <c r="W1620" s="6"/>
      <c r="X1620" s="6"/>
      <c r="Y1620" s="6"/>
      <c r="Z1620" s="6"/>
    </row>
    <row r="1621" spans="1:26" ht="15.75" customHeight="1" x14ac:dyDescent="0.3">
      <c r="A1621" s="10" t="s">
        <v>1440</v>
      </c>
      <c r="B1621" s="10">
        <v>1976</v>
      </c>
      <c r="C1621" s="10" t="s">
        <v>4711</v>
      </c>
      <c r="D1621" s="10">
        <v>26</v>
      </c>
      <c r="E1621" s="10">
        <v>2</v>
      </c>
      <c r="F1621" s="24">
        <v>14098.07</v>
      </c>
      <c r="G1621" s="10" t="s">
        <v>4695</v>
      </c>
      <c r="H1621" s="10" t="s">
        <v>4696</v>
      </c>
      <c r="I1621" s="10" t="s">
        <v>4724</v>
      </c>
      <c r="J1621" s="17">
        <f t="shared" si="12"/>
        <v>28029</v>
      </c>
      <c r="K1621" s="10">
        <f t="shared" ca="1" si="13"/>
        <v>49</v>
      </c>
      <c r="L1621" s="6"/>
      <c r="M1621" s="6"/>
      <c r="N1621" s="6"/>
      <c r="O1621" s="6"/>
      <c r="P1621" s="6"/>
      <c r="Q1621" s="6"/>
      <c r="R1621" s="6"/>
      <c r="S1621" s="6"/>
      <c r="T1621" s="6"/>
      <c r="U1621" s="6"/>
      <c r="V1621" s="6"/>
      <c r="W1621" s="6"/>
      <c r="X1621" s="6"/>
      <c r="Y1621" s="6"/>
      <c r="Z1621" s="6"/>
    </row>
    <row r="1622" spans="1:26" ht="15.75" customHeight="1" x14ac:dyDescent="0.3">
      <c r="A1622" s="10" t="s">
        <v>1438</v>
      </c>
      <c r="B1622" s="10">
        <v>1961</v>
      </c>
      <c r="C1622" s="10" t="s">
        <v>4710</v>
      </c>
      <c r="D1622" s="10">
        <v>14</v>
      </c>
      <c r="E1622" s="10">
        <v>2</v>
      </c>
      <c r="F1622" s="24">
        <v>14119.62</v>
      </c>
      <c r="G1622" s="10" t="s">
        <v>4695</v>
      </c>
      <c r="H1622" s="10" t="s">
        <v>4694</v>
      </c>
      <c r="I1622" s="10" t="s">
        <v>4712</v>
      </c>
      <c r="J1622" s="17">
        <f t="shared" si="12"/>
        <v>22446</v>
      </c>
      <c r="K1622" s="10">
        <f t="shared" ca="1" si="13"/>
        <v>64</v>
      </c>
      <c r="L1622" s="6"/>
      <c r="M1622" s="6"/>
      <c r="N1622" s="6"/>
      <c r="O1622" s="6"/>
      <c r="P1622" s="6"/>
      <c r="Q1622" s="6"/>
      <c r="R1622" s="6"/>
      <c r="S1622" s="6"/>
      <c r="T1622" s="6"/>
      <c r="U1622" s="6"/>
      <c r="V1622" s="6"/>
      <c r="W1622" s="6"/>
      <c r="X1622" s="6"/>
      <c r="Y1622" s="6"/>
      <c r="Z1622" s="6"/>
    </row>
    <row r="1623" spans="1:26" ht="15.75" customHeight="1" x14ac:dyDescent="0.3">
      <c r="A1623" s="10" t="s">
        <v>1436</v>
      </c>
      <c r="B1623" s="10">
        <v>2004</v>
      </c>
      <c r="C1623" s="10" t="s">
        <v>4707</v>
      </c>
      <c r="D1623" s="10">
        <v>6</v>
      </c>
      <c r="E1623" s="10">
        <v>0</v>
      </c>
      <c r="F1623" s="24">
        <v>14133.04</v>
      </c>
      <c r="G1623" s="10" t="s">
        <v>4695</v>
      </c>
      <c r="H1623" s="10" t="s">
        <v>4696</v>
      </c>
      <c r="I1623" s="10" t="s">
        <v>4708</v>
      </c>
      <c r="J1623" s="17">
        <f t="shared" si="12"/>
        <v>38174</v>
      </c>
      <c r="K1623" s="10">
        <f t="shared" ca="1" si="13"/>
        <v>21</v>
      </c>
      <c r="L1623" s="6"/>
      <c r="M1623" s="6"/>
      <c r="N1623" s="6"/>
      <c r="O1623" s="6"/>
      <c r="P1623" s="6"/>
      <c r="Q1623" s="6"/>
      <c r="R1623" s="6"/>
      <c r="S1623" s="6"/>
      <c r="T1623" s="6"/>
      <c r="U1623" s="6"/>
      <c r="V1623" s="6"/>
      <c r="W1623" s="6"/>
      <c r="X1623" s="6"/>
      <c r="Y1623" s="6"/>
      <c r="Z1623" s="6"/>
    </row>
    <row r="1624" spans="1:26" ht="15.75" customHeight="1" x14ac:dyDescent="0.3">
      <c r="A1624" s="10" t="s">
        <v>1434</v>
      </c>
      <c r="B1624" s="10">
        <v>1984</v>
      </c>
      <c r="C1624" s="10" t="s">
        <v>4707</v>
      </c>
      <c r="D1624" s="10">
        <v>7</v>
      </c>
      <c r="E1624" s="10">
        <v>3</v>
      </c>
      <c r="F1624" s="24">
        <v>14152.46</v>
      </c>
      <c r="G1624" s="10" t="s">
        <v>4695</v>
      </c>
      <c r="H1624" s="10" t="s">
        <v>4694</v>
      </c>
      <c r="I1624" s="10" t="s">
        <v>4712</v>
      </c>
      <c r="J1624" s="17">
        <f t="shared" si="12"/>
        <v>30870</v>
      </c>
      <c r="K1624" s="10">
        <f t="shared" ca="1" si="13"/>
        <v>41</v>
      </c>
      <c r="L1624" s="6"/>
      <c r="M1624" s="6"/>
      <c r="N1624" s="6"/>
      <c r="O1624" s="6"/>
      <c r="P1624" s="6"/>
      <c r="Q1624" s="6"/>
      <c r="R1624" s="6"/>
      <c r="S1624" s="6"/>
      <c r="T1624" s="6"/>
      <c r="U1624" s="6"/>
      <c r="V1624" s="6"/>
      <c r="W1624" s="6"/>
      <c r="X1624" s="6"/>
      <c r="Y1624" s="6"/>
      <c r="Z1624" s="6"/>
    </row>
    <row r="1625" spans="1:26" ht="15.75" customHeight="1" x14ac:dyDescent="0.3">
      <c r="A1625" s="10" t="s">
        <v>1432</v>
      </c>
      <c r="B1625" s="10">
        <v>1968</v>
      </c>
      <c r="C1625" s="10" t="s">
        <v>4713</v>
      </c>
      <c r="D1625" s="10">
        <v>25</v>
      </c>
      <c r="E1625" s="10">
        <v>0</v>
      </c>
      <c r="F1625" s="24">
        <v>14193.55</v>
      </c>
      <c r="G1625" s="10" t="s">
        <v>4695</v>
      </c>
      <c r="H1625" s="10" t="s">
        <v>4694</v>
      </c>
      <c r="I1625" s="10" t="s">
        <v>4729</v>
      </c>
      <c r="J1625" s="17">
        <f t="shared" si="12"/>
        <v>25197</v>
      </c>
      <c r="K1625" s="10">
        <f t="shared" ca="1" si="13"/>
        <v>56</v>
      </c>
      <c r="L1625" s="6"/>
      <c r="M1625" s="6"/>
      <c r="N1625" s="6"/>
      <c r="O1625" s="6"/>
      <c r="P1625" s="6"/>
      <c r="Q1625" s="6"/>
      <c r="R1625" s="6"/>
      <c r="S1625" s="6"/>
      <c r="T1625" s="6"/>
      <c r="U1625" s="6"/>
      <c r="V1625" s="6"/>
      <c r="W1625" s="6"/>
      <c r="X1625" s="6"/>
      <c r="Y1625" s="6"/>
      <c r="Z1625" s="6"/>
    </row>
    <row r="1626" spans="1:26" ht="15.75" customHeight="1" x14ac:dyDescent="0.3">
      <c r="A1626" s="10" t="s">
        <v>1430</v>
      </c>
      <c r="B1626" s="10">
        <v>1983</v>
      </c>
      <c r="C1626" s="10" t="s">
        <v>4709</v>
      </c>
      <c r="D1626" s="10">
        <v>17</v>
      </c>
      <c r="E1626" s="10">
        <v>3</v>
      </c>
      <c r="F1626" s="24">
        <v>14209.4</v>
      </c>
      <c r="G1626" s="10" t="s">
        <v>4695</v>
      </c>
      <c r="H1626" s="10" t="s">
        <v>4694</v>
      </c>
      <c r="I1626" s="10" t="s">
        <v>4729</v>
      </c>
      <c r="J1626" s="17">
        <f t="shared" si="12"/>
        <v>30637</v>
      </c>
      <c r="K1626" s="10">
        <f t="shared" ca="1" si="13"/>
        <v>42</v>
      </c>
      <c r="L1626" s="6"/>
      <c r="M1626" s="6"/>
      <c r="N1626" s="6"/>
      <c r="O1626" s="6"/>
      <c r="P1626" s="6"/>
      <c r="Q1626" s="6"/>
      <c r="R1626" s="6"/>
      <c r="S1626" s="6"/>
      <c r="T1626" s="6"/>
      <c r="U1626" s="6"/>
      <c r="V1626" s="6"/>
      <c r="W1626" s="6"/>
      <c r="X1626" s="6"/>
      <c r="Y1626" s="6"/>
      <c r="Z1626" s="6"/>
    </row>
    <row r="1627" spans="1:26" ht="15.75" customHeight="1" x14ac:dyDescent="0.3">
      <c r="A1627" s="10" t="s">
        <v>1428</v>
      </c>
      <c r="B1627" s="10">
        <v>1958</v>
      </c>
      <c r="C1627" s="10" t="s">
        <v>4711</v>
      </c>
      <c r="D1627" s="10">
        <v>21</v>
      </c>
      <c r="E1627" s="10">
        <v>0</v>
      </c>
      <c r="F1627" s="24">
        <v>14210.54</v>
      </c>
      <c r="G1627" s="10" t="s">
        <v>4695</v>
      </c>
      <c r="H1627" s="10" t="s">
        <v>4695</v>
      </c>
      <c r="I1627" s="10" t="s">
        <v>4712</v>
      </c>
      <c r="J1627" s="17">
        <f t="shared" si="12"/>
        <v>21449</v>
      </c>
      <c r="K1627" s="10">
        <f t="shared" ca="1" si="13"/>
        <v>67</v>
      </c>
      <c r="L1627" s="6"/>
      <c r="M1627" s="6"/>
      <c r="N1627" s="6"/>
      <c r="O1627" s="6"/>
      <c r="P1627" s="6"/>
      <c r="Q1627" s="6"/>
      <c r="R1627" s="6"/>
      <c r="S1627" s="6"/>
      <c r="T1627" s="6"/>
      <c r="U1627" s="6"/>
      <c r="V1627" s="6"/>
      <c r="W1627" s="6"/>
      <c r="X1627" s="6"/>
      <c r="Y1627" s="6"/>
      <c r="Z1627" s="6"/>
    </row>
    <row r="1628" spans="1:26" ht="15.75" customHeight="1" x14ac:dyDescent="0.3">
      <c r="A1628" s="10" t="s">
        <v>1426</v>
      </c>
      <c r="B1628" s="10">
        <v>1961</v>
      </c>
      <c r="C1628" s="10" t="s">
        <v>4711</v>
      </c>
      <c r="D1628" s="10">
        <v>25</v>
      </c>
      <c r="E1628" s="10">
        <v>2</v>
      </c>
      <c r="F1628" s="24">
        <v>14235.07</v>
      </c>
      <c r="G1628" s="10" t="s">
        <v>4695</v>
      </c>
      <c r="H1628" s="10" t="s">
        <v>4694</v>
      </c>
      <c r="I1628" s="10" t="s">
        <v>4716</v>
      </c>
      <c r="J1628" s="17">
        <f t="shared" si="12"/>
        <v>22549</v>
      </c>
      <c r="K1628" s="10">
        <f t="shared" ca="1" si="13"/>
        <v>64</v>
      </c>
      <c r="L1628" s="6"/>
      <c r="M1628" s="6"/>
      <c r="N1628" s="6"/>
      <c r="O1628" s="6"/>
      <c r="P1628" s="6"/>
      <c r="Q1628" s="6"/>
      <c r="R1628" s="6"/>
      <c r="S1628" s="6"/>
      <c r="T1628" s="6"/>
      <c r="U1628" s="6"/>
      <c r="V1628" s="6"/>
      <c r="W1628" s="6"/>
      <c r="X1628" s="6"/>
      <c r="Y1628" s="6"/>
      <c r="Z1628" s="6"/>
    </row>
    <row r="1629" spans="1:26" ht="15.75" customHeight="1" x14ac:dyDescent="0.3">
      <c r="A1629" s="10" t="s">
        <v>1424</v>
      </c>
      <c r="B1629" s="10">
        <v>1959</v>
      </c>
      <c r="C1629" s="10" t="s">
        <v>4715</v>
      </c>
      <c r="D1629" s="10">
        <v>10</v>
      </c>
      <c r="E1629" s="10">
        <v>0</v>
      </c>
      <c r="F1629" s="24">
        <v>14254.61</v>
      </c>
      <c r="G1629" s="10" t="s">
        <v>4695</v>
      </c>
      <c r="H1629" s="10" t="s">
        <v>4694</v>
      </c>
      <c r="I1629" s="10" t="s">
        <v>4712</v>
      </c>
      <c r="J1629" s="17">
        <f t="shared" si="12"/>
        <v>21833</v>
      </c>
      <c r="K1629" s="10">
        <f t="shared" ca="1" si="13"/>
        <v>66</v>
      </c>
      <c r="L1629" s="6"/>
      <c r="M1629" s="6"/>
      <c r="N1629" s="6"/>
      <c r="O1629" s="6"/>
      <c r="P1629" s="6"/>
      <c r="Q1629" s="6"/>
      <c r="R1629" s="6"/>
      <c r="S1629" s="6"/>
      <c r="T1629" s="6"/>
      <c r="U1629" s="6"/>
      <c r="V1629" s="6"/>
      <c r="W1629" s="6"/>
      <c r="X1629" s="6"/>
      <c r="Y1629" s="6"/>
      <c r="Z1629" s="6"/>
    </row>
    <row r="1630" spans="1:26" ht="15.75" customHeight="1" x14ac:dyDescent="0.3">
      <c r="A1630" s="10" t="s">
        <v>1422</v>
      </c>
      <c r="B1630" s="10">
        <v>1959</v>
      </c>
      <c r="C1630" s="10" t="s">
        <v>4709</v>
      </c>
      <c r="D1630" s="10">
        <v>8</v>
      </c>
      <c r="E1630" s="10">
        <v>0</v>
      </c>
      <c r="F1630" s="24">
        <v>14256.19</v>
      </c>
      <c r="G1630" s="10" t="s">
        <v>4695</v>
      </c>
      <c r="H1630" s="10" t="s">
        <v>4696</v>
      </c>
      <c r="I1630" s="10" t="s">
        <v>4712</v>
      </c>
      <c r="J1630" s="17">
        <f t="shared" si="12"/>
        <v>21862</v>
      </c>
      <c r="K1630" s="10">
        <f t="shared" ca="1" si="13"/>
        <v>66</v>
      </c>
      <c r="L1630" s="6"/>
      <c r="M1630" s="6"/>
      <c r="N1630" s="6"/>
      <c r="O1630" s="6"/>
      <c r="P1630" s="6"/>
      <c r="Q1630" s="6"/>
      <c r="R1630" s="6"/>
      <c r="S1630" s="6"/>
      <c r="T1630" s="6"/>
      <c r="U1630" s="6"/>
      <c r="V1630" s="6"/>
      <c r="W1630" s="6"/>
      <c r="X1630" s="6"/>
      <c r="Y1630" s="6"/>
      <c r="Z1630" s="6"/>
    </row>
    <row r="1631" spans="1:26" ht="15.75" customHeight="1" x14ac:dyDescent="0.3">
      <c r="A1631" s="10" t="s">
        <v>1420</v>
      </c>
      <c r="B1631" s="10">
        <v>1974</v>
      </c>
      <c r="C1631" s="10" t="s">
        <v>4713</v>
      </c>
      <c r="D1631" s="10">
        <v>26</v>
      </c>
      <c r="E1631" s="10">
        <v>0</v>
      </c>
      <c r="F1631" s="24">
        <v>14256.79</v>
      </c>
      <c r="G1631" s="10" t="s">
        <v>4695</v>
      </c>
      <c r="H1631" s="10" t="s">
        <v>4695</v>
      </c>
      <c r="I1631" s="10" t="s">
        <v>4729</v>
      </c>
      <c r="J1631" s="17">
        <f t="shared" si="12"/>
        <v>27389</v>
      </c>
      <c r="K1631" s="10">
        <f t="shared" ca="1" si="13"/>
        <v>50</v>
      </c>
      <c r="L1631" s="6"/>
      <c r="M1631" s="6"/>
      <c r="N1631" s="6"/>
      <c r="O1631" s="6"/>
      <c r="P1631" s="6"/>
      <c r="Q1631" s="6"/>
      <c r="R1631" s="6"/>
      <c r="S1631" s="6"/>
      <c r="T1631" s="6"/>
      <c r="U1631" s="6"/>
      <c r="V1631" s="6"/>
      <c r="W1631" s="6"/>
      <c r="X1631" s="6"/>
      <c r="Y1631" s="6"/>
      <c r="Z1631" s="6"/>
    </row>
    <row r="1632" spans="1:26" ht="15.75" customHeight="1" x14ac:dyDescent="0.3">
      <c r="A1632" s="10" t="s">
        <v>1418</v>
      </c>
      <c r="B1632" s="10">
        <v>1972</v>
      </c>
      <c r="C1632" s="10" t="s">
        <v>4707</v>
      </c>
      <c r="D1632" s="10">
        <v>13</v>
      </c>
      <c r="E1632" s="10">
        <v>0</v>
      </c>
      <c r="F1632" s="24">
        <v>14258.33</v>
      </c>
      <c r="G1632" s="10" t="s">
        <v>4695</v>
      </c>
      <c r="H1632" s="10" t="s">
        <v>4695</v>
      </c>
      <c r="I1632" s="10" t="s">
        <v>4729</v>
      </c>
      <c r="J1632" s="17">
        <f t="shared" si="12"/>
        <v>26493</v>
      </c>
      <c r="K1632" s="10">
        <f t="shared" ca="1" si="13"/>
        <v>53</v>
      </c>
      <c r="L1632" s="6"/>
      <c r="M1632" s="6"/>
      <c r="N1632" s="6"/>
      <c r="O1632" s="6"/>
      <c r="P1632" s="6"/>
      <c r="Q1632" s="6"/>
      <c r="R1632" s="6"/>
      <c r="S1632" s="6"/>
      <c r="T1632" s="6"/>
      <c r="U1632" s="6"/>
      <c r="V1632" s="6"/>
      <c r="W1632" s="6"/>
      <c r="X1632" s="6"/>
      <c r="Y1632" s="6"/>
      <c r="Z1632" s="6"/>
    </row>
    <row r="1633" spans="1:26" ht="15.75" customHeight="1" x14ac:dyDescent="0.3">
      <c r="A1633" s="10" t="s">
        <v>1416</v>
      </c>
      <c r="B1633" s="10">
        <v>2004</v>
      </c>
      <c r="C1633" s="10" t="s">
        <v>4711</v>
      </c>
      <c r="D1633" s="10">
        <v>6</v>
      </c>
      <c r="E1633" s="10">
        <v>0</v>
      </c>
      <c r="F1633" s="24">
        <v>14283.46</v>
      </c>
      <c r="G1633" s="10" t="s">
        <v>4695</v>
      </c>
      <c r="H1633" s="10" t="s">
        <v>4695</v>
      </c>
      <c r="I1633" s="10" t="s">
        <v>4723</v>
      </c>
      <c r="J1633" s="17">
        <f t="shared" si="12"/>
        <v>38236</v>
      </c>
      <c r="K1633" s="10">
        <f t="shared" ca="1" si="13"/>
        <v>21</v>
      </c>
      <c r="L1633" s="6"/>
      <c r="M1633" s="6"/>
      <c r="N1633" s="6"/>
      <c r="O1633" s="6"/>
      <c r="P1633" s="6"/>
      <c r="Q1633" s="6"/>
      <c r="R1633" s="6"/>
      <c r="S1633" s="6"/>
      <c r="T1633" s="6"/>
      <c r="U1633" s="6"/>
      <c r="V1633" s="6"/>
      <c r="W1633" s="6"/>
      <c r="X1633" s="6"/>
      <c r="Y1633" s="6"/>
      <c r="Z1633" s="6"/>
    </row>
    <row r="1634" spans="1:26" ht="15.75" customHeight="1" x14ac:dyDescent="0.3">
      <c r="A1634" s="10" t="s">
        <v>1414</v>
      </c>
      <c r="B1634" s="10">
        <v>1968</v>
      </c>
      <c r="C1634" s="10" t="s">
        <v>4713</v>
      </c>
      <c r="D1634" s="10">
        <v>15</v>
      </c>
      <c r="E1634" s="10">
        <v>0</v>
      </c>
      <c r="F1634" s="24">
        <v>14285.9</v>
      </c>
      <c r="G1634" s="10" t="s">
        <v>4695</v>
      </c>
      <c r="H1634" s="10" t="s">
        <v>4696</v>
      </c>
      <c r="I1634" s="10" t="s">
        <v>4712</v>
      </c>
      <c r="J1634" s="17">
        <f t="shared" si="12"/>
        <v>25187</v>
      </c>
      <c r="K1634" s="10">
        <f t="shared" ca="1" si="13"/>
        <v>56</v>
      </c>
      <c r="L1634" s="6"/>
      <c r="M1634" s="6"/>
      <c r="N1634" s="6"/>
      <c r="O1634" s="6"/>
      <c r="P1634" s="6"/>
      <c r="Q1634" s="6"/>
      <c r="R1634" s="6"/>
      <c r="S1634" s="6"/>
      <c r="T1634" s="6"/>
      <c r="U1634" s="6"/>
      <c r="V1634" s="6"/>
      <c r="W1634" s="6"/>
      <c r="X1634" s="6"/>
      <c r="Y1634" s="6"/>
      <c r="Z1634" s="6"/>
    </row>
    <row r="1635" spans="1:26" ht="15.75" customHeight="1" x14ac:dyDescent="0.3">
      <c r="A1635" s="10" t="s">
        <v>1412</v>
      </c>
      <c r="B1635" s="10">
        <v>1958</v>
      </c>
      <c r="C1635" s="10" t="s">
        <v>4715</v>
      </c>
      <c r="D1635" s="10">
        <v>15</v>
      </c>
      <c r="E1635" s="10">
        <v>0</v>
      </c>
      <c r="F1635" s="24">
        <v>14313.85</v>
      </c>
      <c r="G1635" s="10" t="s">
        <v>4695</v>
      </c>
      <c r="H1635" s="10" t="s">
        <v>4696</v>
      </c>
      <c r="I1635" s="10" t="s">
        <v>4708</v>
      </c>
      <c r="J1635" s="17">
        <f t="shared" si="12"/>
        <v>21473</v>
      </c>
      <c r="K1635" s="10">
        <f t="shared" ca="1" si="13"/>
        <v>67</v>
      </c>
      <c r="L1635" s="6"/>
      <c r="M1635" s="6"/>
      <c r="N1635" s="6"/>
      <c r="O1635" s="6"/>
      <c r="P1635" s="6"/>
      <c r="Q1635" s="6"/>
      <c r="R1635" s="6"/>
      <c r="S1635" s="6"/>
      <c r="T1635" s="6"/>
      <c r="U1635" s="6"/>
      <c r="V1635" s="6"/>
      <c r="W1635" s="6"/>
      <c r="X1635" s="6"/>
      <c r="Y1635" s="6"/>
      <c r="Z1635" s="6"/>
    </row>
    <row r="1636" spans="1:26" ht="15.75" customHeight="1" x14ac:dyDescent="0.3">
      <c r="A1636" s="10" t="s">
        <v>1410</v>
      </c>
      <c r="B1636" s="10">
        <v>1958</v>
      </c>
      <c r="C1636" s="10" t="s">
        <v>4707</v>
      </c>
      <c r="D1636" s="10">
        <v>10</v>
      </c>
      <c r="E1636" s="10">
        <v>0</v>
      </c>
      <c r="F1636" s="24">
        <v>14319.03</v>
      </c>
      <c r="G1636" s="10" t="s">
        <v>4695</v>
      </c>
      <c r="H1636" s="10" t="s">
        <v>4695</v>
      </c>
      <c r="I1636" s="10" t="s">
        <v>4716</v>
      </c>
      <c r="J1636" s="17">
        <f t="shared" si="12"/>
        <v>21376</v>
      </c>
      <c r="K1636" s="10">
        <f t="shared" ca="1" si="13"/>
        <v>67</v>
      </c>
      <c r="L1636" s="6"/>
      <c r="M1636" s="6"/>
      <c r="N1636" s="6"/>
      <c r="O1636" s="6"/>
      <c r="P1636" s="6"/>
      <c r="Q1636" s="6"/>
      <c r="R1636" s="6"/>
      <c r="S1636" s="6"/>
      <c r="T1636" s="6"/>
      <c r="U1636" s="6"/>
      <c r="V1636" s="6"/>
      <c r="W1636" s="6"/>
      <c r="X1636" s="6"/>
      <c r="Y1636" s="6"/>
      <c r="Z1636" s="6"/>
    </row>
    <row r="1637" spans="1:26" ht="15.75" customHeight="1" x14ac:dyDescent="0.3">
      <c r="A1637" s="10" t="s">
        <v>1408</v>
      </c>
      <c r="B1637" s="10">
        <v>1969</v>
      </c>
      <c r="C1637" s="10" t="s">
        <v>4711</v>
      </c>
      <c r="D1637" s="10">
        <v>26</v>
      </c>
      <c r="E1637" s="10">
        <v>0</v>
      </c>
      <c r="F1637" s="24">
        <v>14337.91</v>
      </c>
      <c r="G1637" s="10" t="s">
        <v>4695</v>
      </c>
      <c r="H1637" s="10" t="s">
        <v>4696</v>
      </c>
      <c r="I1637" s="10" t="s">
        <v>4730</v>
      </c>
      <c r="J1637" s="17">
        <f t="shared" si="12"/>
        <v>25472</v>
      </c>
      <c r="K1637" s="10">
        <f t="shared" ca="1" si="13"/>
        <v>56</v>
      </c>
      <c r="L1637" s="6"/>
      <c r="M1637" s="6"/>
      <c r="N1637" s="6"/>
      <c r="O1637" s="6"/>
      <c r="P1637" s="6"/>
      <c r="Q1637" s="6"/>
      <c r="R1637" s="6"/>
      <c r="S1637" s="6"/>
      <c r="T1637" s="6"/>
      <c r="U1637" s="6"/>
      <c r="V1637" s="6"/>
      <c r="W1637" s="6"/>
      <c r="X1637" s="6"/>
      <c r="Y1637" s="6"/>
      <c r="Z1637" s="6"/>
    </row>
    <row r="1638" spans="1:26" ht="15.75" customHeight="1" x14ac:dyDescent="0.3">
      <c r="A1638" s="10" t="s">
        <v>1406</v>
      </c>
      <c r="B1638" s="10">
        <v>1959</v>
      </c>
      <c r="C1638" s="10" t="s">
        <v>4713</v>
      </c>
      <c r="D1638" s="10">
        <v>24</v>
      </c>
      <c r="E1638" s="10">
        <v>1</v>
      </c>
      <c r="F1638" s="24">
        <v>14349.85</v>
      </c>
      <c r="G1638" s="10" t="s">
        <v>4695</v>
      </c>
      <c r="H1638" s="10" t="s">
        <v>4695</v>
      </c>
      <c r="I1638" s="10" t="s">
        <v>4712</v>
      </c>
      <c r="J1638" s="17">
        <f t="shared" si="12"/>
        <v>21908</v>
      </c>
      <c r="K1638" s="10">
        <f t="shared" ca="1" si="13"/>
        <v>65</v>
      </c>
      <c r="L1638" s="6"/>
      <c r="M1638" s="6"/>
      <c r="N1638" s="6"/>
      <c r="O1638" s="6"/>
      <c r="P1638" s="6"/>
      <c r="Q1638" s="6"/>
      <c r="R1638" s="6"/>
      <c r="S1638" s="6"/>
      <c r="T1638" s="6"/>
      <c r="U1638" s="6"/>
      <c r="V1638" s="6"/>
      <c r="W1638" s="6"/>
      <c r="X1638" s="6"/>
      <c r="Y1638" s="6"/>
      <c r="Z1638" s="6"/>
    </row>
    <row r="1639" spans="1:26" ht="15.75" customHeight="1" x14ac:dyDescent="0.3">
      <c r="A1639" s="10" t="s">
        <v>1404</v>
      </c>
      <c r="B1639" s="10">
        <v>1967</v>
      </c>
      <c r="C1639" s="10" t="s">
        <v>4715</v>
      </c>
      <c r="D1639" s="10">
        <v>10</v>
      </c>
      <c r="E1639" s="10">
        <v>0</v>
      </c>
      <c r="F1639" s="24">
        <v>14355.43</v>
      </c>
      <c r="G1639" s="10" t="s">
        <v>4695</v>
      </c>
      <c r="H1639" s="10" t="s">
        <v>4694</v>
      </c>
      <c r="I1639" s="10" t="s">
        <v>4729</v>
      </c>
      <c r="J1639" s="17">
        <f t="shared" si="12"/>
        <v>24755</v>
      </c>
      <c r="K1639" s="10">
        <f t="shared" ca="1" si="13"/>
        <v>58</v>
      </c>
      <c r="L1639" s="6"/>
      <c r="M1639" s="6"/>
      <c r="N1639" s="6"/>
      <c r="O1639" s="6"/>
      <c r="P1639" s="6"/>
      <c r="Q1639" s="6"/>
      <c r="R1639" s="6"/>
      <c r="S1639" s="6"/>
      <c r="T1639" s="6"/>
      <c r="U1639" s="6"/>
      <c r="V1639" s="6"/>
      <c r="W1639" s="6"/>
      <c r="X1639" s="6"/>
      <c r="Y1639" s="6"/>
      <c r="Z1639" s="6"/>
    </row>
    <row r="1640" spans="1:26" ht="15.75" customHeight="1" x14ac:dyDescent="0.3">
      <c r="A1640" s="10" t="s">
        <v>1402</v>
      </c>
      <c r="B1640" s="10">
        <v>1988</v>
      </c>
      <c r="C1640" s="10" t="s">
        <v>4709</v>
      </c>
      <c r="D1640" s="10">
        <v>16</v>
      </c>
      <c r="E1640" s="10">
        <v>1</v>
      </c>
      <c r="F1640" s="24">
        <v>14358.36</v>
      </c>
      <c r="G1640" s="10" t="s">
        <v>4695</v>
      </c>
      <c r="H1640" s="10" t="s">
        <v>4695</v>
      </c>
      <c r="I1640" s="10" t="s">
        <v>4716</v>
      </c>
      <c r="J1640" s="17">
        <f t="shared" si="12"/>
        <v>32463</v>
      </c>
      <c r="K1640" s="10">
        <f t="shared" ca="1" si="13"/>
        <v>37</v>
      </c>
      <c r="L1640" s="6"/>
      <c r="M1640" s="6"/>
      <c r="N1640" s="6"/>
      <c r="O1640" s="6"/>
      <c r="P1640" s="6"/>
      <c r="Q1640" s="6"/>
      <c r="R1640" s="6"/>
      <c r="S1640" s="6"/>
      <c r="T1640" s="6"/>
      <c r="U1640" s="6"/>
      <c r="V1640" s="6"/>
      <c r="W1640" s="6"/>
      <c r="X1640" s="6"/>
      <c r="Y1640" s="6"/>
      <c r="Z1640" s="6"/>
    </row>
    <row r="1641" spans="1:26" ht="15.75" customHeight="1" x14ac:dyDescent="0.3">
      <c r="A1641" s="10" t="s">
        <v>1400</v>
      </c>
      <c r="B1641" s="10">
        <v>1963</v>
      </c>
      <c r="C1641" s="10" t="s">
        <v>4707</v>
      </c>
      <c r="D1641" s="10">
        <v>16</v>
      </c>
      <c r="E1641" s="10">
        <v>3</v>
      </c>
      <c r="F1641" s="24">
        <v>14382.71</v>
      </c>
      <c r="G1641" s="10" t="s">
        <v>4695</v>
      </c>
      <c r="H1641" s="10" t="s">
        <v>4695</v>
      </c>
      <c r="I1641" s="10" t="s">
        <v>4712</v>
      </c>
      <c r="J1641" s="17">
        <f t="shared" si="12"/>
        <v>23208</v>
      </c>
      <c r="K1641" s="10">
        <f t="shared" ca="1" si="13"/>
        <v>62</v>
      </c>
      <c r="L1641" s="6"/>
      <c r="M1641" s="6"/>
      <c r="N1641" s="6"/>
      <c r="O1641" s="6"/>
      <c r="P1641" s="6"/>
      <c r="Q1641" s="6"/>
      <c r="R1641" s="6"/>
      <c r="S1641" s="6"/>
      <c r="T1641" s="6"/>
      <c r="U1641" s="6"/>
      <c r="V1641" s="6"/>
      <c r="W1641" s="6"/>
      <c r="X1641" s="6"/>
      <c r="Y1641" s="6"/>
      <c r="Z1641" s="6"/>
    </row>
    <row r="1642" spans="1:26" ht="15.75" customHeight="1" x14ac:dyDescent="0.3">
      <c r="A1642" s="10" t="s">
        <v>1398</v>
      </c>
      <c r="B1642" s="10">
        <v>1965</v>
      </c>
      <c r="C1642" s="10" t="s">
        <v>4710</v>
      </c>
      <c r="D1642" s="10">
        <v>22</v>
      </c>
      <c r="E1642" s="10">
        <v>4</v>
      </c>
      <c r="F1642" s="24">
        <v>14394.4</v>
      </c>
      <c r="G1642" s="10" t="s">
        <v>4695</v>
      </c>
      <c r="H1642" s="10" t="s">
        <v>4696</v>
      </c>
      <c r="I1642" s="10" t="s">
        <v>4723</v>
      </c>
      <c r="J1642" s="17">
        <f t="shared" si="12"/>
        <v>23915</v>
      </c>
      <c r="K1642" s="10">
        <f t="shared" ca="1" si="13"/>
        <v>60</v>
      </c>
      <c r="L1642" s="6"/>
      <c r="M1642" s="6"/>
      <c r="N1642" s="6"/>
      <c r="O1642" s="6"/>
      <c r="P1642" s="6"/>
      <c r="Q1642" s="6"/>
      <c r="R1642" s="6"/>
      <c r="S1642" s="6"/>
      <c r="T1642" s="6"/>
      <c r="U1642" s="6"/>
      <c r="V1642" s="6"/>
      <c r="W1642" s="6"/>
      <c r="X1642" s="6"/>
      <c r="Y1642" s="6"/>
      <c r="Z1642" s="6"/>
    </row>
    <row r="1643" spans="1:26" ht="15.75" customHeight="1" x14ac:dyDescent="0.3">
      <c r="A1643" s="10" t="s">
        <v>1396</v>
      </c>
      <c r="B1643" s="10">
        <v>1958</v>
      </c>
      <c r="C1643" s="10" t="s">
        <v>4711</v>
      </c>
      <c r="D1643" s="10">
        <v>14</v>
      </c>
      <c r="E1643" s="10">
        <v>0</v>
      </c>
      <c r="F1643" s="24">
        <v>14394.56</v>
      </c>
      <c r="G1643" s="10" t="s">
        <v>4695</v>
      </c>
      <c r="H1643" s="10" t="s">
        <v>4694</v>
      </c>
      <c r="I1643" s="10" t="s">
        <v>4721</v>
      </c>
      <c r="J1643" s="17">
        <f t="shared" si="12"/>
        <v>21442</v>
      </c>
      <c r="K1643" s="10">
        <f t="shared" ca="1" si="13"/>
        <v>67</v>
      </c>
      <c r="L1643" s="6"/>
      <c r="M1643" s="6"/>
      <c r="N1643" s="6"/>
      <c r="O1643" s="6"/>
      <c r="P1643" s="6"/>
      <c r="Q1643" s="6"/>
      <c r="R1643" s="6"/>
      <c r="S1643" s="6"/>
      <c r="T1643" s="6"/>
      <c r="U1643" s="6"/>
      <c r="V1643" s="6"/>
      <c r="W1643" s="6"/>
      <c r="X1643" s="6"/>
      <c r="Y1643" s="6"/>
      <c r="Z1643" s="6"/>
    </row>
    <row r="1644" spans="1:26" ht="15.75" customHeight="1" x14ac:dyDescent="0.3">
      <c r="A1644" s="10" t="s">
        <v>1394</v>
      </c>
      <c r="B1644" s="10">
        <v>1958</v>
      </c>
      <c r="C1644" s="10" t="s">
        <v>4707</v>
      </c>
      <c r="D1644" s="10">
        <v>29</v>
      </c>
      <c r="E1644" s="10">
        <v>0</v>
      </c>
      <c r="F1644" s="24">
        <v>14410.93</v>
      </c>
      <c r="G1644" s="10" t="s">
        <v>4695</v>
      </c>
      <c r="H1644" s="10" t="s">
        <v>4695</v>
      </c>
      <c r="I1644" s="10" t="s">
        <v>4720</v>
      </c>
      <c r="J1644" s="17">
        <f t="shared" si="12"/>
        <v>21395</v>
      </c>
      <c r="K1644" s="10">
        <f t="shared" ca="1" si="13"/>
        <v>67</v>
      </c>
      <c r="L1644" s="6"/>
      <c r="M1644" s="6"/>
      <c r="N1644" s="6"/>
      <c r="O1644" s="6"/>
      <c r="P1644" s="6"/>
      <c r="Q1644" s="6"/>
      <c r="R1644" s="6"/>
      <c r="S1644" s="6"/>
      <c r="T1644" s="6"/>
      <c r="U1644" s="6"/>
      <c r="V1644" s="6"/>
      <c r="W1644" s="6"/>
      <c r="X1644" s="6"/>
      <c r="Y1644" s="6"/>
      <c r="Z1644" s="6"/>
    </row>
    <row r="1645" spans="1:26" ht="15.75" customHeight="1" x14ac:dyDescent="0.3">
      <c r="A1645" s="10" t="s">
        <v>1392</v>
      </c>
      <c r="B1645" s="10">
        <v>1958</v>
      </c>
      <c r="C1645" s="10" t="s">
        <v>4711</v>
      </c>
      <c r="D1645" s="10">
        <v>20</v>
      </c>
      <c r="E1645" s="10">
        <v>1</v>
      </c>
      <c r="F1645" s="24">
        <v>14418.28</v>
      </c>
      <c r="G1645" s="10" t="s">
        <v>4695</v>
      </c>
      <c r="H1645" s="10" t="s">
        <v>4696</v>
      </c>
      <c r="I1645" s="10" t="s">
        <v>4708</v>
      </c>
      <c r="J1645" s="17">
        <f t="shared" si="12"/>
        <v>21448</v>
      </c>
      <c r="K1645" s="10">
        <f t="shared" ca="1" si="13"/>
        <v>67</v>
      </c>
      <c r="L1645" s="6"/>
      <c r="M1645" s="6"/>
      <c r="N1645" s="6"/>
      <c r="O1645" s="6"/>
      <c r="P1645" s="6"/>
      <c r="Q1645" s="6"/>
      <c r="R1645" s="6"/>
      <c r="S1645" s="6"/>
      <c r="T1645" s="6"/>
      <c r="U1645" s="6"/>
      <c r="V1645" s="6"/>
      <c r="W1645" s="6"/>
      <c r="X1645" s="6"/>
      <c r="Y1645" s="6"/>
      <c r="Z1645" s="6"/>
    </row>
    <row r="1646" spans="1:26" ht="15.75" customHeight="1" x14ac:dyDescent="0.3">
      <c r="A1646" s="10" t="s">
        <v>1390</v>
      </c>
      <c r="B1646" s="10">
        <v>1999</v>
      </c>
      <c r="C1646" s="10" t="s">
        <v>4714</v>
      </c>
      <c r="D1646" s="10">
        <v>10</v>
      </c>
      <c r="E1646" s="10">
        <v>2</v>
      </c>
      <c r="F1646" s="24">
        <v>14426.07</v>
      </c>
      <c r="G1646" s="10" t="s">
        <v>4695</v>
      </c>
      <c r="H1646" s="10" t="s">
        <v>4694</v>
      </c>
      <c r="I1646" s="10" t="s">
        <v>4712</v>
      </c>
      <c r="J1646" s="17">
        <f t="shared" si="12"/>
        <v>36382</v>
      </c>
      <c r="K1646" s="10">
        <f t="shared" ca="1" si="13"/>
        <v>26</v>
      </c>
      <c r="L1646" s="6"/>
      <c r="M1646" s="6"/>
      <c r="N1646" s="6"/>
      <c r="O1646" s="6"/>
      <c r="P1646" s="6"/>
      <c r="Q1646" s="6"/>
      <c r="R1646" s="6"/>
      <c r="S1646" s="6"/>
      <c r="T1646" s="6"/>
      <c r="U1646" s="6"/>
      <c r="V1646" s="6"/>
      <c r="W1646" s="6"/>
      <c r="X1646" s="6"/>
      <c r="Y1646" s="6"/>
      <c r="Z1646" s="6"/>
    </row>
    <row r="1647" spans="1:26" ht="15.75" customHeight="1" x14ac:dyDescent="0.3">
      <c r="A1647" s="10" t="s">
        <v>1388</v>
      </c>
      <c r="B1647" s="10">
        <v>1967</v>
      </c>
      <c r="C1647" s="10" t="s">
        <v>4714</v>
      </c>
      <c r="D1647" s="10">
        <v>15</v>
      </c>
      <c r="E1647" s="10">
        <v>0</v>
      </c>
      <c r="F1647" s="24">
        <v>14426.66</v>
      </c>
      <c r="G1647" s="10" t="s">
        <v>4695</v>
      </c>
      <c r="H1647" s="10" t="s">
        <v>4695</v>
      </c>
      <c r="I1647" s="10" t="s">
        <v>4729</v>
      </c>
      <c r="J1647" s="17">
        <f t="shared" si="12"/>
        <v>24699</v>
      </c>
      <c r="K1647" s="10">
        <f t="shared" ca="1" si="13"/>
        <v>58</v>
      </c>
      <c r="L1647" s="6"/>
      <c r="M1647" s="6"/>
      <c r="N1647" s="6"/>
      <c r="O1647" s="6"/>
      <c r="P1647" s="6"/>
      <c r="Q1647" s="6"/>
      <c r="R1647" s="6"/>
      <c r="S1647" s="6"/>
      <c r="T1647" s="6"/>
      <c r="U1647" s="6"/>
      <c r="V1647" s="6"/>
      <c r="W1647" s="6"/>
      <c r="X1647" s="6"/>
      <c r="Y1647" s="6"/>
      <c r="Z1647" s="6"/>
    </row>
    <row r="1648" spans="1:26" ht="15.75" customHeight="1" x14ac:dyDescent="0.3">
      <c r="A1648" s="10" t="s">
        <v>1386</v>
      </c>
      <c r="B1648" s="10">
        <v>1967</v>
      </c>
      <c r="C1648" s="10" t="s">
        <v>4709</v>
      </c>
      <c r="D1648" s="10">
        <v>4</v>
      </c>
      <c r="E1648" s="10">
        <v>0</v>
      </c>
      <c r="F1648" s="24">
        <v>14427.63</v>
      </c>
      <c r="G1648" s="10" t="s">
        <v>4695</v>
      </c>
      <c r="H1648" s="10" t="s">
        <v>4695</v>
      </c>
      <c r="I1648" s="10" t="s">
        <v>4726</v>
      </c>
      <c r="J1648" s="17">
        <f t="shared" si="12"/>
        <v>24780</v>
      </c>
      <c r="K1648" s="10">
        <f t="shared" ca="1" si="13"/>
        <v>58</v>
      </c>
      <c r="L1648" s="6"/>
      <c r="M1648" s="6"/>
      <c r="N1648" s="6"/>
      <c r="O1648" s="6"/>
      <c r="P1648" s="6"/>
      <c r="Q1648" s="6"/>
      <c r="R1648" s="6"/>
      <c r="S1648" s="6"/>
      <c r="T1648" s="6"/>
      <c r="U1648" s="6"/>
      <c r="V1648" s="6"/>
      <c r="W1648" s="6"/>
      <c r="X1648" s="6"/>
      <c r="Y1648" s="6"/>
      <c r="Z1648" s="6"/>
    </row>
    <row r="1649" spans="1:26" ht="15.75" customHeight="1" x14ac:dyDescent="0.3">
      <c r="A1649" s="10" t="s">
        <v>1384</v>
      </c>
      <c r="B1649" s="10">
        <v>1959</v>
      </c>
      <c r="C1649" s="10" t="s">
        <v>4710</v>
      </c>
      <c r="D1649" s="10">
        <v>29</v>
      </c>
      <c r="E1649" s="10">
        <v>0</v>
      </c>
      <c r="F1649" s="24">
        <v>14449.85</v>
      </c>
      <c r="G1649" s="10" t="s">
        <v>4695</v>
      </c>
      <c r="H1649" s="10" t="s">
        <v>4694</v>
      </c>
      <c r="I1649" s="10" t="s">
        <v>4723</v>
      </c>
      <c r="J1649" s="17">
        <f t="shared" si="12"/>
        <v>21730</v>
      </c>
      <c r="K1649" s="10">
        <f t="shared" ca="1" si="13"/>
        <v>66</v>
      </c>
      <c r="L1649" s="6"/>
      <c r="M1649" s="6"/>
      <c r="N1649" s="6"/>
      <c r="O1649" s="6"/>
      <c r="P1649" s="6"/>
      <c r="Q1649" s="6"/>
      <c r="R1649" s="6"/>
      <c r="S1649" s="6"/>
      <c r="T1649" s="6"/>
      <c r="U1649" s="6"/>
      <c r="V1649" s="6"/>
      <c r="W1649" s="6"/>
      <c r="X1649" s="6"/>
      <c r="Y1649" s="6"/>
      <c r="Z1649" s="6"/>
    </row>
    <row r="1650" spans="1:26" ht="15.75" customHeight="1" x14ac:dyDescent="0.3">
      <c r="A1650" s="10" t="s">
        <v>1382</v>
      </c>
      <c r="B1650" s="10">
        <v>1959</v>
      </c>
      <c r="C1650" s="10" t="s">
        <v>4714</v>
      </c>
      <c r="D1650" s="10">
        <v>3</v>
      </c>
      <c r="E1650" s="10">
        <v>0</v>
      </c>
      <c r="F1650" s="24">
        <v>14451.84</v>
      </c>
      <c r="G1650" s="10" t="s">
        <v>4695</v>
      </c>
      <c r="H1650" s="10" t="s">
        <v>4696</v>
      </c>
      <c r="I1650" s="10" t="s">
        <v>4724</v>
      </c>
      <c r="J1650" s="17">
        <f t="shared" si="12"/>
        <v>21765</v>
      </c>
      <c r="K1650" s="10">
        <f t="shared" ca="1" si="13"/>
        <v>66</v>
      </c>
      <c r="L1650" s="6"/>
      <c r="M1650" s="6"/>
      <c r="N1650" s="6"/>
      <c r="O1650" s="6"/>
      <c r="P1650" s="6"/>
      <c r="Q1650" s="6"/>
      <c r="R1650" s="6"/>
      <c r="S1650" s="6"/>
      <c r="T1650" s="6"/>
      <c r="U1650" s="6"/>
      <c r="V1650" s="6"/>
      <c r="W1650" s="6"/>
      <c r="X1650" s="6"/>
      <c r="Y1650" s="6"/>
      <c r="Z1650" s="6"/>
    </row>
    <row r="1651" spans="1:26" ht="15.75" customHeight="1" x14ac:dyDescent="0.3">
      <c r="A1651" s="10" t="s">
        <v>1380</v>
      </c>
      <c r="B1651" s="10">
        <v>1996</v>
      </c>
      <c r="C1651" s="10" t="s">
        <v>4709</v>
      </c>
      <c r="D1651" s="10">
        <v>10</v>
      </c>
      <c r="E1651" s="10">
        <v>2</v>
      </c>
      <c r="F1651" s="24">
        <v>14455.64</v>
      </c>
      <c r="G1651" s="10" t="s">
        <v>4695</v>
      </c>
      <c r="H1651" s="10" t="s">
        <v>4696</v>
      </c>
      <c r="I1651" s="10" t="s">
        <v>4723</v>
      </c>
      <c r="J1651" s="17">
        <f t="shared" si="12"/>
        <v>35379</v>
      </c>
      <c r="K1651" s="10">
        <f t="shared" ca="1" si="13"/>
        <v>29</v>
      </c>
      <c r="L1651" s="6"/>
      <c r="M1651" s="6"/>
      <c r="N1651" s="6"/>
      <c r="O1651" s="6"/>
      <c r="P1651" s="6"/>
      <c r="Q1651" s="6"/>
      <c r="R1651" s="6"/>
      <c r="S1651" s="6"/>
      <c r="T1651" s="6"/>
      <c r="U1651" s="6"/>
      <c r="V1651" s="6"/>
      <c r="W1651" s="6"/>
      <c r="X1651" s="6"/>
      <c r="Y1651" s="6"/>
      <c r="Z1651" s="6"/>
    </row>
    <row r="1652" spans="1:26" ht="15.75" customHeight="1" x14ac:dyDescent="0.3">
      <c r="A1652" s="10" t="s">
        <v>1378</v>
      </c>
      <c r="B1652" s="10">
        <v>1976</v>
      </c>
      <c r="C1652" s="10" t="s">
        <v>4709</v>
      </c>
      <c r="D1652" s="10">
        <v>27</v>
      </c>
      <c r="E1652" s="10">
        <v>2</v>
      </c>
      <c r="F1652" s="24">
        <v>14470.01</v>
      </c>
      <c r="G1652" s="10" t="s">
        <v>4695</v>
      </c>
      <c r="H1652" s="10" t="s">
        <v>4696</v>
      </c>
      <c r="I1652" s="10" t="s">
        <v>4712</v>
      </c>
      <c r="J1652" s="17">
        <f t="shared" si="12"/>
        <v>28091</v>
      </c>
      <c r="K1652" s="10">
        <f t="shared" ca="1" si="13"/>
        <v>49</v>
      </c>
      <c r="L1652" s="6"/>
      <c r="M1652" s="6"/>
      <c r="N1652" s="6"/>
      <c r="O1652" s="6"/>
      <c r="P1652" s="6"/>
      <c r="Q1652" s="6"/>
      <c r="R1652" s="6"/>
      <c r="S1652" s="6"/>
      <c r="T1652" s="6"/>
      <c r="U1652" s="6"/>
      <c r="V1652" s="6"/>
      <c r="W1652" s="6"/>
      <c r="X1652" s="6"/>
      <c r="Y1652" s="6"/>
      <c r="Z1652" s="6"/>
    </row>
    <row r="1653" spans="1:26" ht="15.75" customHeight="1" x14ac:dyDescent="0.3">
      <c r="A1653" s="10" t="s">
        <v>1376</v>
      </c>
      <c r="B1653" s="10">
        <v>1959</v>
      </c>
      <c r="C1653" s="10" t="s">
        <v>4709</v>
      </c>
      <c r="D1653" s="10">
        <v>20</v>
      </c>
      <c r="E1653" s="10">
        <v>1</v>
      </c>
      <c r="F1653" s="24">
        <v>14474.68</v>
      </c>
      <c r="G1653" s="10" t="s">
        <v>4695</v>
      </c>
      <c r="H1653" s="10" t="s">
        <v>4695</v>
      </c>
      <c r="I1653" s="10" t="s">
        <v>4708</v>
      </c>
      <c r="J1653" s="17">
        <f t="shared" si="12"/>
        <v>21874</v>
      </c>
      <c r="K1653" s="10">
        <f t="shared" ca="1" si="13"/>
        <v>66</v>
      </c>
      <c r="L1653" s="6"/>
      <c r="M1653" s="6"/>
      <c r="N1653" s="6"/>
      <c r="O1653" s="6"/>
      <c r="P1653" s="6"/>
      <c r="Q1653" s="6"/>
      <c r="R1653" s="6"/>
      <c r="S1653" s="6"/>
      <c r="T1653" s="6"/>
      <c r="U1653" s="6"/>
      <c r="V1653" s="6"/>
      <c r="W1653" s="6"/>
      <c r="X1653" s="6"/>
      <c r="Y1653" s="6"/>
      <c r="Z1653" s="6"/>
    </row>
    <row r="1654" spans="1:26" ht="15.75" customHeight="1" x14ac:dyDescent="0.3">
      <c r="A1654" s="10" t="s">
        <v>1374</v>
      </c>
      <c r="B1654" s="10">
        <v>1979</v>
      </c>
      <c r="C1654" s="10" t="s">
        <v>4715</v>
      </c>
      <c r="D1654" s="10">
        <v>20</v>
      </c>
      <c r="E1654" s="10">
        <v>5</v>
      </c>
      <c r="F1654" s="24">
        <v>14478.33</v>
      </c>
      <c r="G1654" s="10" t="s">
        <v>4695</v>
      </c>
      <c r="H1654" s="10" t="s">
        <v>4695</v>
      </c>
      <c r="I1654" s="10" t="s">
        <v>4708</v>
      </c>
      <c r="J1654" s="17">
        <f t="shared" si="12"/>
        <v>29148</v>
      </c>
      <c r="K1654" s="10">
        <f t="shared" ca="1" si="13"/>
        <v>46</v>
      </c>
      <c r="L1654" s="6"/>
      <c r="M1654" s="6"/>
      <c r="N1654" s="6"/>
      <c r="O1654" s="6"/>
      <c r="P1654" s="6"/>
      <c r="Q1654" s="6"/>
      <c r="R1654" s="6"/>
      <c r="S1654" s="6"/>
      <c r="T1654" s="6"/>
      <c r="U1654" s="6"/>
      <c r="V1654" s="6"/>
      <c r="W1654" s="6"/>
      <c r="X1654" s="6"/>
      <c r="Y1654" s="6"/>
      <c r="Z1654" s="6"/>
    </row>
    <row r="1655" spans="1:26" ht="15.75" customHeight="1" x14ac:dyDescent="0.3">
      <c r="A1655" s="10" t="s">
        <v>1372</v>
      </c>
      <c r="B1655" s="10">
        <v>1989</v>
      </c>
      <c r="C1655" s="10" t="s">
        <v>4707</v>
      </c>
      <c r="D1655" s="10">
        <v>22</v>
      </c>
      <c r="E1655" s="10">
        <v>3</v>
      </c>
      <c r="F1655" s="24">
        <v>14507.46</v>
      </c>
      <c r="G1655" s="10" t="s">
        <v>4695</v>
      </c>
      <c r="H1655" s="10" t="s">
        <v>4696</v>
      </c>
      <c r="I1655" s="10" t="s">
        <v>4712</v>
      </c>
      <c r="J1655" s="17">
        <f t="shared" si="12"/>
        <v>32711</v>
      </c>
      <c r="K1655" s="10">
        <f t="shared" ca="1" si="13"/>
        <v>36</v>
      </c>
      <c r="L1655" s="6"/>
      <c r="M1655" s="6"/>
      <c r="N1655" s="6"/>
      <c r="O1655" s="6"/>
      <c r="P1655" s="6"/>
      <c r="Q1655" s="6"/>
      <c r="R1655" s="6"/>
      <c r="S1655" s="6"/>
      <c r="T1655" s="6"/>
      <c r="U1655" s="6"/>
      <c r="V1655" s="6"/>
      <c r="W1655" s="6"/>
      <c r="X1655" s="6"/>
      <c r="Y1655" s="6"/>
      <c r="Z1655" s="6"/>
    </row>
    <row r="1656" spans="1:26" ht="15.75" customHeight="1" x14ac:dyDescent="0.3">
      <c r="A1656" s="10" t="s">
        <v>1370</v>
      </c>
      <c r="B1656" s="10">
        <v>1989</v>
      </c>
      <c r="C1656" s="10" t="s">
        <v>4707</v>
      </c>
      <c r="D1656" s="10">
        <v>14</v>
      </c>
      <c r="E1656" s="10">
        <v>3</v>
      </c>
      <c r="F1656" s="24">
        <v>14547.26</v>
      </c>
      <c r="G1656" s="10" t="s">
        <v>4695</v>
      </c>
      <c r="H1656" s="10" t="s">
        <v>4696</v>
      </c>
      <c r="I1656" s="10" t="s">
        <v>4716</v>
      </c>
      <c r="J1656" s="17">
        <f t="shared" si="12"/>
        <v>32703</v>
      </c>
      <c r="K1656" s="10">
        <f t="shared" ca="1" si="13"/>
        <v>36</v>
      </c>
      <c r="L1656" s="6"/>
      <c r="M1656" s="6"/>
      <c r="N1656" s="6"/>
      <c r="O1656" s="6"/>
      <c r="P1656" s="6"/>
      <c r="Q1656" s="6"/>
      <c r="R1656" s="6"/>
      <c r="S1656" s="6"/>
      <c r="T1656" s="6"/>
      <c r="U1656" s="6"/>
      <c r="V1656" s="6"/>
      <c r="W1656" s="6"/>
      <c r="X1656" s="6"/>
      <c r="Y1656" s="6"/>
      <c r="Z1656" s="6"/>
    </row>
    <row r="1657" spans="1:26" ht="15.75" customHeight="1" x14ac:dyDescent="0.3">
      <c r="A1657" s="10" t="s">
        <v>1368</v>
      </c>
      <c r="B1657" s="10">
        <v>1998</v>
      </c>
      <c r="C1657" s="10" t="s">
        <v>4711</v>
      </c>
      <c r="D1657" s="10">
        <v>12</v>
      </c>
      <c r="E1657" s="10">
        <v>0</v>
      </c>
      <c r="F1657" s="24">
        <v>14571.89</v>
      </c>
      <c r="G1657" s="10" t="s">
        <v>4695</v>
      </c>
      <c r="H1657" s="10" t="s">
        <v>4694</v>
      </c>
      <c r="I1657" s="10" t="s">
        <v>4723</v>
      </c>
      <c r="J1657" s="17">
        <f t="shared" si="12"/>
        <v>36050</v>
      </c>
      <c r="K1657" s="10">
        <f t="shared" ca="1" si="13"/>
        <v>27</v>
      </c>
      <c r="L1657" s="6"/>
      <c r="M1657" s="6"/>
      <c r="N1657" s="6"/>
      <c r="O1657" s="6"/>
      <c r="P1657" s="6"/>
      <c r="Q1657" s="6"/>
      <c r="R1657" s="6"/>
      <c r="S1657" s="6"/>
      <c r="T1657" s="6"/>
      <c r="U1657" s="6"/>
      <c r="V1657" s="6"/>
      <c r="W1657" s="6"/>
      <c r="X1657" s="6"/>
      <c r="Y1657" s="6"/>
      <c r="Z1657" s="6"/>
    </row>
    <row r="1658" spans="1:26" ht="15.75" customHeight="1" x14ac:dyDescent="0.3">
      <c r="A1658" s="10" t="s">
        <v>1366</v>
      </c>
      <c r="B1658" s="10">
        <v>1962</v>
      </c>
      <c r="C1658" s="10" t="s">
        <v>4713</v>
      </c>
      <c r="D1658" s="10">
        <v>3</v>
      </c>
      <c r="E1658" s="10">
        <v>0</v>
      </c>
      <c r="F1658" s="24">
        <v>14574.64</v>
      </c>
      <c r="G1658" s="10" t="s">
        <v>4695</v>
      </c>
      <c r="H1658" s="10" t="s">
        <v>4694</v>
      </c>
      <c r="I1658" s="10" t="s">
        <v>4722</v>
      </c>
      <c r="J1658" s="17">
        <f t="shared" si="12"/>
        <v>22983</v>
      </c>
      <c r="K1658" s="10">
        <f t="shared" ca="1" si="13"/>
        <v>62</v>
      </c>
      <c r="L1658" s="6"/>
      <c r="M1658" s="6"/>
      <c r="N1658" s="6"/>
      <c r="O1658" s="6"/>
      <c r="P1658" s="6"/>
      <c r="Q1658" s="6"/>
      <c r="R1658" s="6"/>
      <c r="S1658" s="6"/>
      <c r="T1658" s="6"/>
      <c r="U1658" s="6"/>
      <c r="V1658" s="6"/>
      <c r="W1658" s="6"/>
      <c r="X1658" s="6"/>
      <c r="Y1658" s="6"/>
      <c r="Z1658" s="6"/>
    </row>
    <row r="1659" spans="1:26" ht="15.75" customHeight="1" x14ac:dyDescent="0.3">
      <c r="A1659" s="10" t="s">
        <v>1364</v>
      </c>
      <c r="B1659" s="10">
        <v>1963</v>
      </c>
      <c r="C1659" s="10" t="s">
        <v>4715</v>
      </c>
      <c r="D1659" s="10">
        <v>14</v>
      </c>
      <c r="E1659" s="10">
        <v>3</v>
      </c>
      <c r="F1659" s="24">
        <v>14590.63</v>
      </c>
      <c r="G1659" s="10" t="s">
        <v>4695</v>
      </c>
      <c r="H1659" s="10" t="s">
        <v>4694</v>
      </c>
      <c r="I1659" s="10" t="s">
        <v>4723</v>
      </c>
      <c r="J1659" s="17">
        <f t="shared" si="12"/>
        <v>23298</v>
      </c>
      <c r="K1659" s="10">
        <f t="shared" ca="1" si="13"/>
        <v>62</v>
      </c>
      <c r="L1659" s="6"/>
      <c r="M1659" s="6"/>
      <c r="N1659" s="6"/>
      <c r="O1659" s="6"/>
      <c r="P1659" s="6"/>
      <c r="Q1659" s="6"/>
      <c r="R1659" s="6"/>
      <c r="S1659" s="6"/>
      <c r="T1659" s="6"/>
      <c r="U1659" s="6"/>
      <c r="V1659" s="6"/>
      <c r="W1659" s="6"/>
      <c r="X1659" s="6"/>
      <c r="Y1659" s="6"/>
      <c r="Z1659" s="6"/>
    </row>
    <row r="1660" spans="1:26" ht="15.75" customHeight="1" x14ac:dyDescent="0.3">
      <c r="A1660" s="10" t="s">
        <v>1362</v>
      </c>
      <c r="B1660" s="10">
        <v>1967</v>
      </c>
      <c r="C1660" s="10" t="s">
        <v>4707</v>
      </c>
      <c r="D1660" s="10">
        <v>18</v>
      </c>
      <c r="E1660" s="10">
        <v>0</v>
      </c>
      <c r="F1660" s="24">
        <v>14600.62</v>
      </c>
      <c r="G1660" s="10" t="s">
        <v>4695</v>
      </c>
      <c r="H1660" s="10" t="s">
        <v>4696</v>
      </c>
      <c r="I1660" s="10" t="s">
        <v>4730</v>
      </c>
      <c r="J1660" s="17">
        <f t="shared" si="12"/>
        <v>24671</v>
      </c>
      <c r="K1660" s="10">
        <f t="shared" ca="1" si="13"/>
        <v>58</v>
      </c>
      <c r="L1660" s="6"/>
      <c r="M1660" s="6"/>
      <c r="N1660" s="6"/>
      <c r="O1660" s="6"/>
      <c r="P1660" s="6"/>
      <c r="Q1660" s="6"/>
      <c r="R1660" s="6"/>
      <c r="S1660" s="6"/>
      <c r="T1660" s="6"/>
      <c r="U1660" s="6"/>
      <c r="V1660" s="6"/>
      <c r="W1660" s="6"/>
      <c r="X1660" s="6"/>
      <c r="Y1660" s="6"/>
      <c r="Z1660" s="6"/>
    </row>
    <row r="1661" spans="1:26" ht="15.75" customHeight="1" x14ac:dyDescent="0.3">
      <c r="A1661" s="10" t="s">
        <v>1360</v>
      </c>
      <c r="B1661" s="10">
        <v>1965</v>
      </c>
      <c r="C1661" s="10" t="s">
        <v>4709</v>
      </c>
      <c r="D1661" s="10">
        <v>8</v>
      </c>
      <c r="E1661" s="10">
        <v>0</v>
      </c>
      <c r="F1661" s="24">
        <v>14612.33</v>
      </c>
      <c r="G1661" s="10" t="s">
        <v>4695</v>
      </c>
      <c r="H1661" s="10" t="s">
        <v>4696</v>
      </c>
      <c r="I1661" s="10" t="s">
        <v>4726</v>
      </c>
      <c r="J1661" s="17">
        <f t="shared" si="12"/>
        <v>24054</v>
      </c>
      <c r="K1661" s="10">
        <f t="shared" ca="1" si="13"/>
        <v>60</v>
      </c>
      <c r="L1661" s="6"/>
      <c r="M1661" s="6"/>
      <c r="N1661" s="6"/>
      <c r="O1661" s="6"/>
      <c r="P1661" s="6"/>
      <c r="Q1661" s="6"/>
      <c r="R1661" s="6"/>
      <c r="S1661" s="6"/>
      <c r="T1661" s="6"/>
      <c r="U1661" s="6"/>
      <c r="V1661" s="6"/>
      <c r="W1661" s="6"/>
      <c r="X1661" s="6"/>
      <c r="Y1661" s="6"/>
      <c r="Z1661" s="6"/>
    </row>
    <row r="1662" spans="1:26" ht="15.75" customHeight="1" x14ac:dyDescent="0.3">
      <c r="A1662" s="10" t="s">
        <v>1358</v>
      </c>
      <c r="B1662" s="10">
        <v>1991</v>
      </c>
      <c r="C1662" s="10" t="s">
        <v>4714</v>
      </c>
      <c r="D1662" s="10">
        <v>21</v>
      </c>
      <c r="E1662" s="10">
        <v>3</v>
      </c>
      <c r="F1662" s="24">
        <v>14630.52</v>
      </c>
      <c r="G1662" s="10" t="s">
        <v>4695</v>
      </c>
      <c r="H1662" s="10" t="s">
        <v>4696</v>
      </c>
      <c r="I1662" s="10" t="s">
        <v>4716</v>
      </c>
      <c r="J1662" s="17">
        <f t="shared" si="12"/>
        <v>33471</v>
      </c>
      <c r="K1662" s="10">
        <f t="shared" ca="1" si="13"/>
        <v>34</v>
      </c>
      <c r="L1662" s="6"/>
      <c r="M1662" s="6"/>
      <c r="N1662" s="6"/>
      <c r="O1662" s="6"/>
      <c r="P1662" s="6"/>
      <c r="Q1662" s="6"/>
      <c r="R1662" s="6"/>
      <c r="S1662" s="6"/>
      <c r="T1662" s="6"/>
      <c r="U1662" s="6"/>
      <c r="V1662" s="6"/>
      <c r="W1662" s="6"/>
      <c r="X1662" s="6"/>
      <c r="Y1662" s="6"/>
      <c r="Z1662" s="6"/>
    </row>
    <row r="1663" spans="1:26" ht="15.75" customHeight="1" x14ac:dyDescent="0.3">
      <c r="A1663" s="10" t="s">
        <v>1356</v>
      </c>
      <c r="B1663" s="10">
        <v>1967</v>
      </c>
      <c r="C1663" s="10" t="s">
        <v>4711</v>
      </c>
      <c r="D1663" s="10">
        <v>1</v>
      </c>
      <c r="E1663" s="10">
        <v>0</v>
      </c>
      <c r="F1663" s="24">
        <v>14640.35</v>
      </c>
      <c r="G1663" s="10" t="s">
        <v>4695</v>
      </c>
      <c r="H1663" s="10" t="s">
        <v>4696</v>
      </c>
      <c r="I1663" s="10" t="s">
        <v>4729</v>
      </c>
      <c r="J1663" s="17">
        <f t="shared" si="12"/>
        <v>24716</v>
      </c>
      <c r="K1663" s="10">
        <f t="shared" ca="1" si="13"/>
        <v>58</v>
      </c>
      <c r="L1663" s="6"/>
      <c r="M1663" s="6"/>
      <c r="N1663" s="6"/>
      <c r="O1663" s="6"/>
      <c r="P1663" s="6"/>
      <c r="Q1663" s="6"/>
      <c r="R1663" s="6"/>
      <c r="S1663" s="6"/>
      <c r="T1663" s="6"/>
      <c r="U1663" s="6"/>
      <c r="V1663" s="6"/>
      <c r="W1663" s="6"/>
      <c r="X1663" s="6"/>
      <c r="Y1663" s="6"/>
      <c r="Z1663" s="6"/>
    </row>
    <row r="1664" spans="1:26" ht="15.75" customHeight="1" x14ac:dyDescent="0.3">
      <c r="A1664" s="10" t="s">
        <v>1354</v>
      </c>
      <c r="B1664" s="10">
        <v>1981</v>
      </c>
      <c r="C1664" s="10" t="s">
        <v>4709</v>
      </c>
      <c r="D1664" s="10">
        <v>13</v>
      </c>
      <c r="E1664" s="10">
        <v>1</v>
      </c>
      <c r="F1664" s="24">
        <v>14657.2</v>
      </c>
      <c r="G1664" s="10" t="s">
        <v>4695</v>
      </c>
      <c r="H1664" s="10" t="s">
        <v>4694</v>
      </c>
      <c r="I1664" s="10" t="s">
        <v>4712</v>
      </c>
      <c r="J1664" s="17">
        <f t="shared" si="12"/>
        <v>29903</v>
      </c>
      <c r="K1664" s="10">
        <f t="shared" ca="1" si="13"/>
        <v>44</v>
      </c>
      <c r="L1664" s="6"/>
      <c r="M1664" s="6"/>
      <c r="N1664" s="6"/>
      <c r="O1664" s="6"/>
      <c r="P1664" s="6"/>
      <c r="Q1664" s="6"/>
      <c r="R1664" s="6"/>
      <c r="S1664" s="6"/>
      <c r="T1664" s="6"/>
      <c r="U1664" s="6"/>
      <c r="V1664" s="6"/>
      <c r="W1664" s="6"/>
      <c r="X1664" s="6"/>
      <c r="Y1664" s="6"/>
      <c r="Z1664" s="6"/>
    </row>
    <row r="1665" spans="1:26" ht="15.75" customHeight="1" x14ac:dyDescent="0.3">
      <c r="A1665" s="10" t="s">
        <v>1352</v>
      </c>
      <c r="B1665" s="10">
        <v>1969</v>
      </c>
      <c r="C1665" s="10" t="s">
        <v>4715</v>
      </c>
      <c r="D1665" s="10">
        <v>20</v>
      </c>
      <c r="E1665" s="10">
        <v>0</v>
      </c>
      <c r="F1665" s="24">
        <v>14665.75</v>
      </c>
      <c r="G1665" s="10" t="s">
        <v>4695</v>
      </c>
      <c r="H1665" s="10" t="s">
        <v>4694</v>
      </c>
      <c r="I1665" s="10" t="s">
        <v>4712</v>
      </c>
      <c r="J1665" s="17">
        <f t="shared" si="12"/>
        <v>25496</v>
      </c>
      <c r="K1665" s="10">
        <f t="shared" ca="1" si="13"/>
        <v>56</v>
      </c>
      <c r="L1665" s="6"/>
      <c r="M1665" s="6"/>
      <c r="N1665" s="6"/>
      <c r="O1665" s="6"/>
      <c r="P1665" s="6"/>
      <c r="Q1665" s="6"/>
      <c r="R1665" s="6"/>
      <c r="S1665" s="6"/>
      <c r="T1665" s="6"/>
      <c r="U1665" s="6"/>
      <c r="V1665" s="6"/>
      <c r="W1665" s="6"/>
      <c r="X1665" s="6"/>
      <c r="Y1665" s="6"/>
      <c r="Z1665" s="6"/>
    </row>
    <row r="1666" spans="1:26" ht="15.75" customHeight="1" x14ac:dyDescent="0.3">
      <c r="A1666" s="10" t="s">
        <v>1350</v>
      </c>
      <c r="B1666" s="10">
        <v>1958</v>
      </c>
      <c r="C1666" s="10" t="s">
        <v>4707</v>
      </c>
      <c r="D1666" s="10">
        <v>23</v>
      </c>
      <c r="E1666" s="10">
        <v>0</v>
      </c>
      <c r="F1666" s="24">
        <v>14692.67</v>
      </c>
      <c r="G1666" s="10" t="s">
        <v>4695</v>
      </c>
      <c r="H1666" s="10" t="s">
        <v>4694</v>
      </c>
      <c r="I1666" s="10" t="s">
        <v>4712</v>
      </c>
      <c r="J1666" s="17">
        <f t="shared" si="12"/>
        <v>21389</v>
      </c>
      <c r="K1666" s="10">
        <f t="shared" ca="1" si="13"/>
        <v>67</v>
      </c>
      <c r="L1666" s="6"/>
      <c r="M1666" s="6"/>
      <c r="N1666" s="6"/>
      <c r="O1666" s="6"/>
      <c r="P1666" s="6"/>
      <c r="Q1666" s="6"/>
      <c r="R1666" s="6"/>
      <c r="S1666" s="6"/>
      <c r="T1666" s="6"/>
      <c r="U1666" s="6"/>
      <c r="V1666" s="6"/>
      <c r="W1666" s="6"/>
      <c r="X1666" s="6"/>
      <c r="Y1666" s="6"/>
      <c r="Z1666" s="6"/>
    </row>
    <row r="1667" spans="1:26" ht="15.75" customHeight="1" x14ac:dyDescent="0.3">
      <c r="A1667" s="10" t="s">
        <v>1348</v>
      </c>
      <c r="B1667" s="10">
        <v>1982</v>
      </c>
      <c r="C1667" s="10" t="s">
        <v>4711</v>
      </c>
      <c r="D1667" s="10">
        <v>4</v>
      </c>
      <c r="E1667" s="10">
        <v>3</v>
      </c>
      <c r="F1667" s="24">
        <v>14696.77</v>
      </c>
      <c r="G1667" s="10" t="s">
        <v>4695</v>
      </c>
      <c r="H1667" s="10" t="s">
        <v>4695</v>
      </c>
      <c r="I1667" s="10" t="s">
        <v>4716</v>
      </c>
      <c r="J1667" s="17">
        <f t="shared" si="12"/>
        <v>30198</v>
      </c>
      <c r="K1667" s="10">
        <f t="shared" ca="1" si="13"/>
        <v>43</v>
      </c>
      <c r="L1667" s="6"/>
      <c r="M1667" s="6"/>
      <c r="N1667" s="6"/>
      <c r="O1667" s="6"/>
      <c r="P1667" s="6"/>
      <c r="Q1667" s="6"/>
      <c r="R1667" s="6"/>
      <c r="S1667" s="6"/>
      <c r="T1667" s="6"/>
      <c r="U1667" s="6"/>
      <c r="V1667" s="6"/>
      <c r="W1667" s="6"/>
      <c r="X1667" s="6"/>
      <c r="Y1667" s="6"/>
      <c r="Z1667" s="6"/>
    </row>
    <row r="1668" spans="1:26" ht="15.75" customHeight="1" x14ac:dyDescent="0.3">
      <c r="A1668" s="10" t="s">
        <v>1346</v>
      </c>
      <c r="B1668" s="10">
        <v>2002</v>
      </c>
      <c r="C1668" s="10" t="s">
        <v>4711</v>
      </c>
      <c r="D1668" s="10">
        <v>24</v>
      </c>
      <c r="E1668" s="10">
        <v>0</v>
      </c>
      <c r="F1668" s="24">
        <v>14711.74</v>
      </c>
      <c r="G1668" s="10" t="s">
        <v>4695</v>
      </c>
      <c r="H1668" s="10" t="s">
        <v>4695</v>
      </c>
      <c r="I1668" s="10" t="s">
        <v>4712</v>
      </c>
      <c r="J1668" s="17">
        <f t="shared" si="12"/>
        <v>37523</v>
      </c>
      <c r="K1668" s="10">
        <f t="shared" ca="1" si="13"/>
        <v>23</v>
      </c>
      <c r="L1668" s="6"/>
      <c r="M1668" s="6"/>
      <c r="N1668" s="6"/>
      <c r="O1668" s="6"/>
      <c r="P1668" s="6"/>
      <c r="Q1668" s="6"/>
      <c r="R1668" s="6"/>
      <c r="S1668" s="6"/>
      <c r="T1668" s="6"/>
      <c r="U1668" s="6"/>
      <c r="V1668" s="6"/>
      <c r="W1668" s="6"/>
      <c r="X1668" s="6"/>
      <c r="Y1668" s="6"/>
      <c r="Z1668" s="6"/>
    </row>
    <row r="1669" spans="1:26" ht="15.75" customHeight="1" x14ac:dyDescent="0.3">
      <c r="A1669" s="10" t="s">
        <v>1344</v>
      </c>
      <c r="B1669" s="10">
        <v>1962</v>
      </c>
      <c r="C1669" s="10" t="s">
        <v>4707</v>
      </c>
      <c r="D1669" s="10">
        <v>29</v>
      </c>
      <c r="E1669" s="10">
        <v>0</v>
      </c>
      <c r="F1669" s="24">
        <v>14738.43</v>
      </c>
      <c r="G1669" s="10" t="s">
        <v>4695</v>
      </c>
      <c r="H1669" s="10" t="s">
        <v>4696</v>
      </c>
      <c r="I1669" s="10" t="s">
        <v>4726</v>
      </c>
      <c r="J1669" s="17">
        <f t="shared" si="12"/>
        <v>22856</v>
      </c>
      <c r="K1669" s="10">
        <f t="shared" ca="1" si="13"/>
        <v>63</v>
      </c>
      <c r="L1669" s="6"/>
      <c r="M1669" s="6"/>
      <c r="N1669" s="6"/>
      <c r="O1669" s="6"/>
      <c r="P1669" s="6"/>
      <c r="Q1669" s="6"/>
      <c r="R1669" s="6"/>
      <c r="S1669" s="6"/>
      <c r="T1669" s="6"/>
      <c r="U1669" s="6"/>
      <c r="V1669" s="6"/>
      <c r="W1669" s="6"/>
      <c r="X1669" s="6"/>
      <c r="Y1669" s="6"/>
      <c r="Z1669" s="6"/>
    </row>
    <row r="1670" spans="1:26" ht="15.75" customHeight="1" x14ac:dyDescent="0.3">
      <c r="A1670" s="10" t="s">
        <v>1342</v>
      </c>
      <c r="B1670" s="10">
        <v>1965</v>
      </c>
      <c r="C1670" s="10" t="s">
        <v>4707</v>
      </c>
      <c r="D1670" s="10">
        <v>27</v>
      </c>
      <c r="E1670" s="10">
        <v>0</v>
      </c>
      <c r="F1670" s="24">
        <v>14750.42</v>
      </c>
      <c r="G1670" s="10" t="s">
        <v>4695</v>
      </c>
      <c r="H1670" s="10" t="s">
        <v>4695</v>
      </c>
      <c r="I1670" s="10" t="s">
        <v>4729</v>
      </c>
      <c r="J1670" s="17">
        <f t="shared" si="12"/>
        <v>23950</v>
      </c>
      <c r="K1670" s="10">
        <f t="shared" ca="1" si="13"/>
        <v>60</v>
      </c>
      <c r="L1670" s="6"/>
      <c r="M1670" s="6"/>
      <c r="N1670" s="6"/>
      <c r="O1670" s="6"/>
      <c r="P1670" s="6"/>
      <c r="Q1670" s="6"/>
      <c r="R1670" s="6"/>
      <c r="S1670" s="6"/>
      <c r="T1670" s="6"/>
      <c r="U1670" s="6"/>
      <c r="V1670" s="6"/>
      <c r="W1670" s="6"/>
      <c r="X1670" s="6"/>
      <c r="Y1670" s="6"/>
      <c r="Z1670" s="6"/>
    </row>
    <row r="1671" spans="1:26" ht="15.75" customHeight="1" x14ac:dyDescent="0.3">
      <c r="A1671" s="10" t="s">
        <v>1340</v>
      </c>
      <c r="B1671" s="10">
        <v>1975</v>
      </c>
      <c r="C1671" s="10" t="s">
        <v>4713</v>
      </c>
      <c r="D1671" s="10">
        <v>10</v>
      </c>
      <c r="E1671" s="10">
        <v>1</v>
      </c>
      <c r="F1671" s="24">
        <v>14819</v>
      </c>
      <c r="G1671" s="10" t="s">
        <v>4695</v>
      </c>
      <c r="H1671" s="10" t="s">
        <v>4696</v>
      </c>
      <c r="I1671" s="10" t="s">
        <v>4724</v>
      </c>
      <c r="J1671" s="17">
        <f t="shared" si="12"/>
        <v>27738</v>
      </c>
      <c r="K1671" s="10">
        <f t="shared" ca="1" si="13"/>
        <v>49</v>
      </c>
      <c r="L1671" s="6"/>
      <c r="M1671" s="6"/>
      <c r="N1671" s="6"/>
      <c r="O1671" s="6"/>
      <c r="P1671" s="6"/>
      <c r="Q1671" s="6"/>
      <c r="R1671" s="6"/>
      <c r="S1671" s="6"/>
      <c r="T1671" s="6"/>
      <c r="U1671" s="6"/>
      <c r="V1671" s="6"/>
      <c r="W1671" s="6"/>
      <c r="X1671" s="6"/>
      <c r="Y1671" s="6"/>
      <c r="Z1671" s="6"/>
    </row>
    <row r="1672" spans="1:26" ht="15.75" customHeight="1" x14ac:dyDescent="0.3">
      <c r="A1672" s="10" t="s">
        <v>1338</v>
      </c>
      <c r="B1672" s="10">
        <v>1979</v>
      </c>
      <c r="C1672" s="10" t="s">
        <v>4715</v>
      </c>
      <c r="D1672" s="10">
        <v>18</v>
      </c>
      <c r="E1672" s="10">
        <v>2</v>
      </c>
      <c r="F1672" s="24">
        <v>14839.34</v>
      </c>
      <c r="G1672" s="10" t="s">
        <v>4695</v>
      </c>
      <c r="H1672" s="10" t="s">
        <v>4696</v>
      </c>
      <c r="I1672" s="10" t="s">
        <v>4729</v>
      </c>
      <c r="J1672" s="17">
        <f t="shared" si="12"/>
        <v>29146</v>
      </c>
      <c r="K1672" s="10">
        <f t="shared" ca="1" si="13"/>
        <v>46</v>
      </c>
      <c r="L1672" s="6"/>
      <c r="M1672" s="6"/>
      <c r="N1672" s="6"/>
      <c r="O1672" s="6"/>
      <c r="P1672" s="6"/>
      <c r="Q1672" s="6"/>
      <c r="R1672" s="6"/>
      <c r="S1672" s="6"/>
      <c r="T1672" s="6"/>
      <c r="U1672" s="6"/>
      <c r="V1672" s="6"/>
      <c r="W1672" s="6"/>
      <c r="X1672" s="6"/>
      <c r="Y1672" s="6"/>
      <c r="Z1672" s="6"/>
    </row>
    <row r="1673" spans="1:26" ht="15.75" customHeight="1" x14ac:dyDescent="0.3">
      <c r="A1673" s="10" t="s">
        <v>1336</v>
      </c>
      <c r="B1673" s="10">
        <v>1981</v>
      </c>
      <c r="C1673" s="10" t="s">
        <v>4710</v>
      </c>
      <c r="D1673" s="10">
        <v>5</v>
      </c>
      <c r="E1673" s="10">
        <v>1</v>
      </c>
      <c r="F1673" s="24">
        <v>14843.96</v>
      </c>
      <c r="G1673" s="10" t="s">
        <v>4695</v>
      </c>
      <c r="H1673" s="10" t="s">
        <v>4696</v>
      </c>
      <c r="I1673" s="10" t="s">
        <v>4729</v>
      </c>
      <c r="J1673" s="17">
        <f t="shared" si="12"/>
        <v>29742</v>
      </c>
      <c r="K1673" s="10">
        <f t="shared" ca="1" si="13"/>
        <v>44</v>
      </c>
      <c r="L1673" s="6"/>
      <c r="M1673" s="6"/>
      <c r="N1673" s="6"/>
      <c r="O1673" s="6"/>
      <c r="P1673" s="6"/>
      <c r="Q1673" s="6"/>
      <c r="R1673" s="6"/>
      <c r="S1673" s="6"/>
      <c r="T1673" s="6"/>
      <c r="U1673" s="6"/>
      <c r="V1673" s="6"/>
      <c r="W1673" s="6"/>
      <c r="X1673" s="6"/>
      <c r="Y1673" s="6"/>
      <c r="Z1673" s="6"/>
    </row>
    <row r="1674" spans="1:26" ht="15.75" customHeight="1" x14ac:dyDescent="0.3">
      <c r="A1674" s="10" t="s">
        <v>1334</v>
      </c>
      <c r="B1674" s="10">
        <v>1970</v>
      </c>
      <c r="C1674" s="10" t="s">
        <v>4709</v>
      </c>
      <c r="D1674" s="10">
        <v>11</v>
      </c>
      <c r="E1674" s="10">
        <v>0</v>
      </c>
      <c r="F1674" s="24">
        <v>14847.63</v>
      </c>
      <c r="G1674" s="10" t="s">
        <v>4695</v>
      </c>
      <c r="H1674" s="10" t="s">
        <v>4695</v>
      </c>
      <c r="I1674" s="10" t="s">
        <v>4724</v>
      </c>
      <c r="J1674" s="17">
        <f t="shared" si="12"/>
        <v>25883</v>
      </c>
      <c r="K1674" s="10">
        <f t="shared" ca="1" si="13"/>
        <v>55</v>
      </c>
      <c r="L1674" s="6"/>
      <c r="M1674" s="6"/>
      <c r="N1674" s="6"/>
      <c r="O1674" s="6"/>
      <c r="P1674" s="6"/>
      <c r="Q1674" s="6"/>
      <c r="R1674" s="6"/>
      <c r="S1674" s="6"/>
      <c r="T1674" s="6"/>
      <c r="U1674" s="6"/>
      <c r="V1674" s="6"/>
      <c r="W1674" s="6"/>
      <c r="X1674" s="6"/>
      <c r="Y1674" s="6"/>
      <c r="Z1674" s="6"/>
    </row>
    <row r="1675" spans="1:26" ht="15.75" customHeight="1" x14ac:dyDescent="0.3">
      <c r="A1675" s="10" t="s">
        <v>1332</v>
      </c>
      <c r="B1675" s="10">
        <v>1958</v>
      </c>
      <c r="C1675" s="10" t="s">
        <v>4715</v>
      </c>
      <c r="D1675" s="10">
        <v>17</v>
      </c>
      <c r="E1675" s="10">
        <v>0</v>
      </c>
      <c r="F1675" s="24">
        <v>14901.52</v>
      </c>
      <c r="G1675" s="10" t="s">
        <v>4695</v>
      </c>
      <c r="H1675" s="10" t="s">
        <v>4695</v>
      </c>
      <c r="I1675" s="10" t="s">
        <v>4723</v>
      </c>
      <c r="J1675" s="17">
        <f t="shared" si="12"/>
        <v>21475</v>
      </c>
      <c r="K1675" s="10">
        <f t="shared" ca="1" si="13"/>
        <v>67</v>
      </c>
      <c r="L1675" s="6"/>
      <c r="M1675" s="6"/>
      <c r="N1675" s="6"/>
      <c r="O1675" s="6"/>
      <c r="P1675" s="6"/>
      <c r="Q1675" s="6"/>
      <c r="R1675" s="6"/>
      <c r="S1675" s="6"/>
      <c r="T1675" s="6"/>
      <c r="U1675" s="6"/>
      <c r="V1675" s="6"/>
      <c r="W1675" s="6"/>
      <c r="X1675" s="6"/>
      <c r="Y1675" s="6"/>
      <c r="Z1675" s="6"/>
    </row>
    <row r="1676" spans="1:26" ht="15.75" customHeight="1" x14ac:dyDescent="0.3">
      <c r="A1676" s="10" t="s">
        <v>1330</v>
      </c>
      <c r="B1676" s="10">
        <v>1981</v>
      </c>
      <c r="C1676" s="10" t="s">
        <v>4707</v>
      </c>
      <c r="D1676" s="10">
        <v>4</v>
      </c>
      <c r="E1676" s="10">
        <v>1</v>
      </c>
      <c r="F1676" s="24">
        <v>14908.27</v>
      </c>
      <c r="G1676" s="10" t="s">
        <v>4695</v>
      </c>
      <c r="H1676" s="10" t="s">
        <v>4694</v>
      </c>
      <c r="I1676" s="10" t="s">
        <v>4716</v>
      </c>
      <c r="J1676" s="17">
        <f t="shared" si="12"/>
        <v>29771</v>
      </c>
      <c r="K1676" s="10">
        <f t="shared" ca="1" si="13"/>
        <v>44</v>
      </c>
      <c r="L1676" s="6"/>
      <c r="M1676" s="6"/>
      <c r="N1676" s="6"/>
      <c r="O1676" s="6"/>
      <c r="P1676" s="6"/>
      <c r="Q1676" s="6"/>
      <c r="R1676" s="6"/>
      <c r="S1676" s="6"/>
      <c r="T1676" s="6"/>
      <c r="U1676" s="6"/>
      <c r="V1676" s="6"/>
      <c r="W1676" s="6"/>
      <c r="X1676" s="6"/>
      <c r="Y1676" s="6"/>
      <c r="Z1676" s="6"/>
    </row>
    <row r="1677" spans="1:26" ht="15.75" customHeight="1" x14ac:dyDescent="0.3">
      <c r="A1677" s="10" t="s">
        <v>1328</v>
      </c>
      <c r="B1677" s="10">
        <v>1968</v>
      </c>
      <c r="C1677" s="10" t="s">
        <v>4709</v>
      </c>
      <c r="D1677" s="10">
        <v>8</v>
      </c>
      <c r="E1677" s="10">
        <v>0</v>
      </c>
      <c r="F1677" s="24">
        <v>14926.97</v>
      </c>
      <c r="G1677" s="10" t="s">
        <v>4695</v>
      </c>
      <c r="H1677" s="10" t="s">
        <v>4695</v>
      </c>
      <c r="I1677" s="10" t="s">
        <v>4712</v>
      </c>
      <c r="J1677" s="17">
        <f t="shared" si="12"/>
        <v>25150</v>
      </c>
      <c r="K1677" s="10">
        <f t="shared" ca="1" si="13"/>
        <v>57</v>
      </c>
      <c r="L1677" s="6"/>
      <c r="M1677" s="6"/>
      <c r="N1677" s="6"/>
      <c r="O1677" s="6"/>
      <c r="P1677" s="6"/>
      <c r="Q1677" s="6"/>
      <c r="R1677" s="6"/>
      <c r="S1677" s="6"/>
      <c r="T1677" s="6"/>
      <c r="U1677" s="6"/>
      <c r="V1677" s="6"/>
      <c r="W1677" s="6"/>
      <c r="X1677" s="6"/>
      <c r="Y1677" s="6"/>
      <c r="Z1677" s="6"/>
    </row>
    <row r="1678" spans="1:26" ht="15.75" customHeight="1" x14ac:dyDescent="0.3">
      <c r="A1678" s="10" t="s">
        <v>1326</v>
      </c>
      <c r="B1678" s="10">
        <v>1962</v>
      </c>
      <c r="C1678" s="10" t="s">
        <v>4709</v>
      </c>
      <c r="D1678" s="10">
        <v>29</v>
      </c>
      <c r="E1678" s="10">
        <v>0</v>
      </c>
      <c r="F1678" s="24">
        <v>14945.34</v>
      </c>
      <c r="G1678" s="10" t="s">
        <v>4695</v>
      </c>
      <c r="H1678" s="10" t="s">
        <v>4694</v>
      </c>
      <c r="I1678" s="10" t="s">
        <v>4726</v>
      </c>
      <c r="J1678" s="17">
        <f t="shared" si="12"/>
        <v>22979</v>
      </c>
      <c r="K1678" s="10">
        <f t="shared" ca="1" si="13"/>
        <v>63</v>
      </c>
      <c r="L1678" s="6"/>
      <c r="M1678" s="6"/>
      <c r="N1678" s="6"/>
      <c r="O1678" s="6"/>
      <c r="P1678" s="6"/>
      <c r="Q1678" s="6"/>
      <c r="R1678" s="6"/>
      <c r="S1678" s="6"/>
      <c r="T1678" s="6"/>
      <c r="U1678" s="6"/>
      <c r="V1678" s="6"/>
      <c r="W1678" s="6"/>
      <c r="X1678" s="6"/>
      <c r="Y1678" s="6"/>
      <c r="Z1678" s="6"/>
    </row>
    <row r="1679" spans="1:26" ht="15.75" customHeight="1" x14ac:dyDescent="0.3">
      <c r="A1679" s="10" t="s">
        <v>1324</v>
      </c>
      <c r="B1679" s="10">
        <v>1958</v>
      </c>
      <c r="C1679" s="10" t="s">
        <v>4707</v>
      </c>
      <c r="D1679" s="10">
        <v>29</v>
      </c>
      <c r="E1679" s="10">
        <v>2</v>
      </c>
      <c r="F1679" s="24">
        <v>14988.43</v>
      </c>
      <c r="G1679" s="10" t="s">
        <v>4695</v>
      </c>
      <c r="H1679" s="10" t="s">
        <v>4696</v>
      </c>
      <c r="I1679" s="10" t="s">
        <v>4716</v>
      </c>
      <c r="J1679" s="17">
        <f t="shared" si="12"/>
        <v>21395</v>
      </c>
      <c r="K1679" s="10">
        <f t="shared" ca="1" si="13"/>
        <v>67</v>
      </c>
      <c r="L1679" s="6"/>
      <c r="M1679" s="6"/>
      <c r="N1679" s="6"/>
      <c r="O1679" s="6"/>
      <c r="P1679" s="6"/>
      <c r="Q1679" s="6"/>
      <c r="R1679" s="6"/>
      <c r="S1679" s="6"/>
      <c r="T1679" s="6"/>
      <c r="U1679" s="6"/>
      <c r="V1679" s="6"/>
      <c r="W1679" s="6"/>
      <c r="X1679" s="6"/>
      <c r="Y1679" s="6"/>
      <c r="Z1679" s="6"/>
    </row>
    <row r="1680" spans="1:26" ht="15.75" customHeight="1" x14ac:dyDescent="0.3">
      <c r="A1680" s="10" t="s">
        <v>1322</v>
      </c>
      <c r="B1680" s="10">
        <v>1995</v>
      </c>
      <c r="C1680" s="10" t="s">
        <v>4714</v>
      </c>
      <c r="D1680" s="10">
        <v>2</v>
      </c>
      <c r="E1680" s="10">
        <v>2</v>
      </c>
      <c r="F1680" s="24">
        <v>15006.58</v>
      </c>
      <c r="G1680" s="10" t="s">
        <v>4695</v>
      </c>
      <c r="H1680" s="10" t="s">
        <v>4695</v>
      </c>
      <c r="I1680" s="10" t="s">
        <v>4723</v>
      </c>
      <c r="J1680" s="17">
        <f t="shared" si="12"/>
        <v>34913</v>
      </c>
      <c r="K1680" s="10">
        <f t="shared" ca="1" si="13"/>
        <v>30</v>
      </c>
      <c r="L1680" s="6"/>
      <c r="M1680" s="6"/>
      <c r="N1680" s="6"/>
      <c r="O1680" s="6"/>
      <c r="P1680" s="6"/>
      <c r="Q1680" s="6"/>
      <c r="R1680" s="6"/>
      <c r="S1680" s="6"/>
      <c r="T1680" s="6"/>
      <c r="U1680" s="6"/>
      <c r="V1680" s="6"/>
      <c r="W1680" s="6"/>
      <c r="X1680" s="6"/>
      <c r="Y1680" s="6"/>
      <c r="Z1680" s="6"/>
    </row>
    <row r="1681" spans="1:26" ht="15.75" customHeight="1" x14ac:dyDescent="0.3">
      <c r="A1681" s="10" t="s">
        <v>1320</v>
      </c>
      <c r="B1681" s="10">
        <v>1960</v>
      </c>
      <c r="C1681" s="10" t="s">
        <v>4714</v>
      </c>
      <c r="D1681" s="10">
        <v>8</v>
      </c>
      <c r="E1681" s="10">
        <v>2</v>
      </c>
      <c r="F1681" s="24">
        <v>15019.76</v>
      </c>
      <c r="G1681" s="10" t="s">
        <v>4695</v>
      </c>
      <c r="H1681" s="10" t="s">
        <v>4695</v>
      </c>
      <c r="I1681" s="10" t="s">
        <v>4712</v>
      </c>
      <c r="J1681" s="17">
        <f t="shared" si="12"/>
        <v>22136</v>
      </c>
      <c r="K1681" s="10">
        <f t="shared" ca="1" si="13"/>
        <v>65</v>
      </c>
      <c r="L1681" s="6"/>
      <c r="M1681" s="6"/>
      <c r="N1681" s="6"/>
      <c r="O1681" s="6"/>
      <c r="P1681" s="6"/>
      <c r="Q1681" s="6"/>
      <c r="R1681" s="6"/>
      <c r="S1681" s="6"/>
      <c r="T1681" s="6"/>
      <c r="U1681" s="6"/>
      <c r="V1681" s="6"/>
      <c r="W1681" s="6"/>
      <c r="X1681" s="6"/>
      <c r="Y1681" s="6"/>
      <c r="Z1681" s="6"/>
    </row>
    <row r="1682" spans="1:26" ht="15.75" customHeight="1" x14ac:dyDescent="0.3">
      <c r="A1682" s="10" t="s">
        <v>1318</v>
      </c>
      <c r="B1682" s="10">
        <v>1979</v>
      </c>
      <c r="C1682" s="10" t="s">
        <v>4709</v>
      </c>
      <c r="D1682" s="10">
        <v>25</v>
      </c>
      <c r="E1682" s="10">
        <v>2</v>
      </c>
      <c r="F1682" s="24">
        <v>15025.76</v>
      </c>
      <c r="G1682" s="10" t="s">
        <v>4695</v>
      </c>
      <c r="H1682" s="10" t="s">
        <v>4694</v>
      </c>
      <c r="I1682" s="10" t="s">
        <v>4716</v>
      </c>
      <c r="J1682" s="17">
        <f t="shared" si="12"/>
        <v>29184</v>
      </c>
      <c r="K1682" s="10">
        <f t="shared" ca="1" si="13"/>
        <v>46</v>
      </c>
      <c r="L1682" s="6"/>
      <c r="M1682" s="6"/>
      <c r="N1682" s="6"/>
      <c r="O1682" s="6"/>
      <c r="P1682" s="6"/>
      <c r="Q1682" s="6"/>
      <c r="R1682" s="6"/>
      <c r="S1682" s="6"/>
      <c r="T1682" s="6"/>
      <c r="U1682" s="6"/>
      <c r="V1682" s="6"/>
      <c r="W1682" s="6"/>
      <c r="X1682" s="6"/>
      <c r="Y1682" s="6"/>
      <c r="Z1682" s="6"/>
    </row>
    <row r="1683" spans="1:26" ht="15.75" customHeight="1" x14ac:dyDescent="0.3">
      <c r="A1683" s="10" t="s">
        <v>1316</v>
      </c>
      <c r="B1683" s="10">
        <v>1970</v>
      </c>
      <c r="C1683" s="10" t="s">
        <v>4711</v>
      </c>
      <c r="D1683" s="10">
        <v>11</v>
      </c>
      <c r="E1683" s="10">
        <v>0</v>
      </c>
      <c r="F1683" s="24">
        <v>15026.3</v>
      </c>
      <c r="G1683" s="10" t="s">
        <v>4695</v>
      </c>
      <c r="H1683" s="10" t="s">
        <v>4696</v>
      </c>
      <c r="I1683" s="10" t="s">
        <v>4716</v>
      </c>
      <c r="J1683" s="17">
        <f t="shared" si="12"/>
        <v>25822</v>
      </c>
      <c r="K1683" s="10">
        <f t="shared" ca="1" si="13"/>
        <v>55</v>
      </c>
      <c r="L1683" s="6"/>
      <c r="M1683" s="6"/>
      <c r="N1683" s="6"/>
      <c r="O1683" s="6"/>
      <c r="P1683" s="6"/>
      <c r="Q1683" s="6"/>
      <c r="R1683" s="6"/>
      <c r="S1683" s="6"/>
      <c r="T1683" s="6"/>
      <c r="U1683" s="6"/>
      <c r="V1683" s="6"/>
      <c r="W1683" s="6"/>
      <c r="X1683" s="6"/>
      <c r="Y1683" s="6"/>
      <c r="Z1683" s="6"/>
    </row>
    <row r="1684" spans="1:26" ht="15.75" customHeight="1" x14ac:dyDescent="0.3">
      <c r="A1684" s="10" t="s">
        <v>1314</v>
      </c>
      <c r="B1684" s="10">
        <v>1971</v>
      </c>
      <c r="C1684" s="10" t="s">
        <v>4714</v>
      </c>
      <c r="D1684" s="10">
        <v>15</v>
      </c>
      <c r="E1684" s="10">
        <v>0</v>
      </c>
      <c r="F1684" s="24">
        <v>15038.51</v>
      </c>
      <c r="G1684" s="10" t="s">
        <v>4695</v>
      </c>
      <c r="H1684" s="10" t="s">
        <v>4696</v>
      </c>
      <c r="I1684" s="10" t="s">
        <v>4724</v>
      </c>
      <c r="J1684" s="17">
        <f t="shared" si="12"/>
        <v>26160</v>
      </c>
      <c r="K1684" s="10">
        <f t="shared" ca="1" si="13"/>
        <v>54</v>
      </c>
      <c r="L1684" s="6"/>
      <c r="M1684" s="6"/>
      <c r="N1684" s="6"/>
      <c r="O1684" s="6"/>
      <c r="P1684" s="6"/>
      <c r="Q1684" s="6"/>
      <c r="R1684" s="6"/>
      <c r="S1684" s="6"/>
      <c r="T1684" s="6"/>
      <c r="U1684" s="6"/>
      <c r="V1684" s="6"/>
      <c r="W1684" s="6"/>
      <c r="X1684" s="6"/>
      <c r="Y1684" s="6"/>
      <c r="Z1684" s="6"/>
    </row>
    <row r="1685" spans="1:26" ht="15.75" customHeight="1" x14ac:dyDescent="0.3">
      <c r="A1685" s="10" t="s">
        <v>1312</v>
      </c>
      <c r="B1685" s="10">
        <v>1968</v>
      </c>
      <c r="C1685" s="10" t="s">
        <v>4710</v>
      </c>
      <c r="D1685" s="10">
        <v>12</v>
      </c>
      <c r="E1685" s="10">
        <v>0</v>
      </c>
      <c r="F1685" s="24">
        <v>15052.68</v>
      </c>
      <c r="G1685" s="10" t="s">
        <v>4695</v>
      </c>
      <c r="H1685" s="10" t="s">
        <v>4695</v>
      </c>
      <c r="I1685" s="10" t="s">
        <v>4730</v>
      </c>
      <c r="J1685" s="17">
        <f t="shared" si="12"/>
        <v>25001</v>
      </c>
      <c r="K1685" s="10">
        <f t="shared" ca="1" si="13"/>
        <v>57</v>
      </c>
      <c r="L1685" s="6"/>
      <c r="M1685" s="6"/>
      <c r="N1685" s="6"/>
      <c r="O1685" s="6"/>
      <c r="P1685" s="6"/>
      <c r="Q1685" s="6"/>
      <c r="R1685" s="6"/>
      <c r="S1685" s="6"/>
      <c r="T1685" s="6"/>
      <c r="U1685" s="6"/>
      <c r="V1685" s="6"/>
      <c r="W1685" s="6"/>
      <c r="X1685" s="6"/>
      <c r="Y1685" s="6"/>
      <c r="Z1685" s="6"/>
    </row>
    <row r="1686" spans="1:26" ht="15.75" customHeight="1" x14ac:dyDescent="0.3">
      <c r="A1686" s="10" t="s">
        <v>1310</v>
      </c>
      <c r="B1686" s="10">
        <v>1975</v>
      </c>
      <c r="C1686" s="10" t="s">
        <v>4715</v>
      </c>
      <c r="D1686" s="10">
        <v>26</v>
      </c>
      <c r="E1686" s="10">
        <v>1</v>
      </c>
      <c r="F1686" s="24">
        <v>15090.35</v>
      </c>
      <c r="G1686" s="10" t="s">
        <v>4695</v>
      </c>
      <c r="H1686" s="10" t="s">
        <v>4694</v>
      </c>
      <c r="I1686" s="10" t="s">
        <v>4724</v>
      </c>
      <c r="J1686" s="17">
        <f t="shared" si="12"/>
        <v>27693</v>
      </c>
      <c r="K1686" s="10">
        <f t="shared" ca="1" si="13"/>
        <v>50</v>
      </c>
      <c r="L1686" s="6"/>
      <c r="M1686" s="6"/>
      <c r="N1686" s="6"/>
      <c r="O1686" s="6"/>
      <c r="P1686" s="6"/>
      <c r="Q1686" s="6"/>
      <c r="R1686" s="6"/>
      <c r="S1686" s="6"/>
      <c r="T1686" s="6"/>
      <c r="U1686" s="6"/>
      <c r="V1686" s="6"/>
      <c r="W1686" s="6"/>
      <c r="X1686" s="6"/>
      <c r="Y1686" s="6"/>
      <c r="Z1686" s="6"/>
    </row>
    <row r="1687" spans="1:26" ht="15.75" customHeight="1" x14ac:dyDescent="0.3">
      <c r="A1687" s="10" t="s">
        <v>1308</v>
      </c>
      <c r="B1687" s="10">
        <v>1972</v>
      </c>
      <c r="C1687" s="10" t="s">
        <v>4709</v>
      </c>
      <c r="D1687" s="10">
        <v>7</v>
      </c>
      <c r="E1687" s="10">
        <v>0</v>
      </c>
      <c r="F1687" s="24">
        <v>15103.69</v>
      </c>
      <c r="G1687" s="10" t="s">
        <v>4695</v>
      </c>
      <c r="H1687" s="10" t="s">
        <v>4694</v>
      </c>
      <c r="I1687" s="10" t="s">
        <v>4712</v>
      </c>
      <c r="J1687" s="17">
        <f t="shared" si="12"/>
        <v>26610</v>
      </c>
      <c r="K1687" s="10">
        <f t="shared" ca="1" si="13"/>
        <v>53</v>
      </c>
      <c r="L1687" s="6"/>
      <c r="M1687" s="6"/>
      <c r="N1687" s="6"/>
      <c r="O1687" s="6"/>
      <c r="P1687" s="6"/>
      <c r="Q1687" s="6"/>
      <c r="R1687" s="6"/>
      <c r="S1687" s="6"/>
      <c r="T1687" s="6"/>
      <c r="U1687" s="6"/>
      <c r="V1687" s="6"/>
      <c r="W1687" s="6"/>
      <c r="X1687" s="6"/>
      <c r="Y1687" s="6"/>
      <c r="Z1687" s="6"/>
    </row>
    <row r="1688" spans="1:26" ht="15.75" customHeight="1" x14ac:dyDescent="0.3">
      <c r="A1688" s="10" t="s">
        <v>1306</v>
      </c>
      <c r="B1688" s="10">
        <v>1978</v>
      </c>
      <c r="C1688" s="10" t="s">
        <v>4711</v>
      </c>
      <c r="D1688" s="10">
        <v>5</v>
      </c>
      <c r="E1688" s="10">
        <v>2</v>
      </c>
      <c r="F1688" s="24">
        <v>15123.19</v>
      </c>
      <c r="G1688" s="10" t="s">
        <v>4695</v>
      </c>
      <c r="H1688" s="10" t="s">
        <v>4694</v>
      </c>
      <c r="I1688" s="10" t="s">
        <v>4716</v>
      </c>
      <c r="J1688" s="17">
        <f t="shared" si="12"/>
        <v>28738</v>
      </c>
      <c r="K1688" s="10">
        <f t="shared" ca="1" si="13"/>
        <v>47</v>
      </c>
      <c r="L1688" s="6"/>
      <c r="M1688" s="6"/>
      <c r="N1688" s="6"/>
      <c r="O1688" s="6"/>
      <c r="P1688" s="6"/>
      <c r="Q1688" s="6"/>
      <c r="R1688" s="6"/>
      <c r="S1688" s="6"/>
      <c r="T1688" s="6"/>
      <c r="U1688" s="6"/>
      <c r="V1688" s="6"/>
      <c r="W1688" s="6"/>
      <c r="X1688" s="6"/>
      <c r="Y1688" s="6"/>
      <c r="Z1688" s="6"/>
    </row>
    <row r="1689" spans="1:26" ht="15.75" customHeight="1" x14ac:dyDescent="0.3">
      <c r="A1689" s="10" t="s">
        <v>1304</v>
      </c>
      <c r="B1689" s="10">
        <v>1971</v>
      </c>
      <c r="C1689" s="10" t="s">
        <v>4709</v>
      </c>
      <c r="D1689" s="10">
        <v>25</v>
      </c>
      <c r="E1689" s="10">
        <v>0</v>
      </c>
      <c r="F1689" s="24">
        <v>15150.44</v>
      </c>
      <c r="G1689" s="10" t="s">
        <v>4695</v>
      </c>
      <c r="H1689" s="10" t="s">
        <v>4694</v>
      </c>
      <c r="I1689" s="10" t="s">
        <v>4724</v>
      </c>
      <c r="J1689" s="17">
        <f t="shared" si="12"/>
        <v>26262</v>
      </c>
      <c r="K1689" s="10">
        <f t="shared" ca="1" si="13"/>
        <v>54</v>
      </c>
      <c r="L1689" s="6"/>
      <c r="M1689" s="6"/>
      <c r="N1689" s="6"/>
      <c r="O1689" s="6"/>
      <c r="P1689" s="6"/>
      <c r="Q1689" s="6"/>
      <c r="R1689" s="6"/>
      <c r="S1689" s="6"/>
      <c r="T1689" s="6"/>
      <c r="U1689" s="6"/>
      <c r="V1689" s="6"/>
      <c r="W1689" s="6"/>
      <c r="X1689" s="6"/>
      <c r="Y1689" s="6"/>
      <c r="Z1689" s="6"/>
    </row>
    <row r="1690" spans="1:26" ht="15.75" customHeight="1" x14ac:dyDescent="0.3">
      <c r="A1690" s="10" t="s">
        <v>1302</v>
      </c>
      <c r="B1690" s="10">
        <v>1962</v>
      </c>
      <c r="C1690" s="10" t="s">
        <v>4715</v>
      </c>
      <c r="D1690" s="10">
        <v>25</v>
      </c>
      <c r="E1690" s="10">
        <v>0</v>
      </c>
      <c r="F1690" s="24">
        <v>15161.25</v>
      </c>
      <c r="G1690" s="10" t="s">
        <v>4695</v>
      </c>
      <c r="H1690" s="10" t="s">
        <v>4695</v>
      </c>
      <c r="I1690" s="10" t="s">
        <v>4712</v>
      </c>
      <c r="J1690" s="17">
        <f t="shared" si="12"/>
        <v>22944</v>
      </c>
      <c r="K1690" s="10">
        <f t="shared" ca="1" si="13"/>
        <v>63</v>
      </c>
      <c r="L1690" s="6"/>
      <c r="M1690" s="6"/>
      <c r="N1690" s="6"/>
      <c r="O1690" s="6"/>
      <c r="P1690" s="6"/>
      <c r="Q1690" s="6"/>
      <c r="R1690" s="6"/>
      <c r="S1690" s="6"/>
      <c r="T1690" s="6"/>
      <c r="U1690" s="6"/>
      <c r="V1690" s="6"/>
      <c r="W1690" s="6"/>
      <c r="X1690" s="6"/>
      <c r="Y1690" s="6"/>
      <c r="Z1690" s="6"/>
    </row>
    <row r="1691" spans="1:26" ht="15.75" customHeight="1" x14ac:dyDescent="0.3">
      <c r="A1691" s="10" t="s">
        <v>1300</v>
      </c>
      <c r="B1691" s="10">
        <v>1959</v>
      </c>
      <c r="C1691" s="10" t="s">
        <v>4710</v>
      </c>
      <c r="D1691" s="10">
        <v>4</v>
      </c>
      <c r="E1691" s="10">
        <v>3</v>
      </c>
      <c r="F1691" s="24">
        <v>15161.53</v>
      </c>
      <c r="G1691" s="10" t="s">
        <v>4695</v>
      </c>
      <c r="H1691" s="10" t="s">
        <v>4694</v>
      </c>
      <c r="I1691" s="10" t="s">
        <v>4708</v>
      </c>
      <c r="J1691" s="17">
        <f t="shared" si="12"/>
        <v>21705</v>
      </c>
      <c r="K1691" s="10">
        <f t="shared" ca="1" si="13"/>
        <v>66</v>
      </c>
      <c r="L1691" s="6"/>
      <c r="M1691" s="6"/>
      <c r="N1691" s="6"/>
      <c r="O1691" s="6"/>
      <c r="P1691" s="6"/>
      <c r="Q1691" s="6"/>
      <c r="R1691" s="6"/>
      <c r="S1691" s="6"/>
      <c r="T1691" s="6"/>
      <c r="U1691" s="6"/>
      <c r="V1691" s="6"/>
      <c r="W1691" s="6"/>
      <c r="X1691" s="6"/>
      <c r="Y1691" s="6"/>
      <c r="Z1691" s="6"/>
    </row>
    <row r="1692" spans="1:26" ht="15.75" customHeight="1" x14ac:dyDescent="0.3">
      <c r="A1692" s="10" t="s">
        <v>1298</v>
      </c>
      <c r="B1692" s="10">
        <v>1959</v>
      </c>
      <c r="C1692" s="10" t="s">
        <v>4713</v>
      </c>
      <c r="D1692" s="10">
        <v>3</v>
      </c>
      <c r="E1692" s="10">
        <v>3</v>
      </c>
      <c r="F1692" s="24">
        <v>15170.07</v>
      </c>
      <c r="G1692" s="10" t="s">
        <v>4695</v>
      </c>
      <c r="H1692" s="10" t="s">
        <v>4696</v>
      </c>
      <c r="I1692" s="10" t="s">
        <v>4716</v>
      </c>
      <c r="J1692" s="17">
        <f t="shared" si="12"/>
        <v>21887</v>
      </c>
      <c r="K1692" s="10">
        <f t="shared" ca="1" si="13"/>
        <v>65</v>
      </c>
      <c r="L1692" s="6"/>
      <c r="M1692" s="6"/>
      <c r="N1692" s="6"/>
      <c r="O1692" s="6"/>
      <c r="P1692" s="6"/>
      <c r="Q1692" s="6"/>
      <c r="R1692" s="6"/>
      <c r="S1692" s="6"/>
      <c r="T1692" s="6"/>
      <c r="U1692" s="6"/>
      <c r="V1692" s="6"/>
      <c r="W1692" s="6"/>
      <c r="X1692" s="6"/>
      <c r="Y1692" s="6"/>
      <c r="Z1692" s="6"/>
    </row>
    <row r="1693" spans="1:26" ht="15.75" customHeight="1" x14ac:dyDescent="0.3">
      <c r="A1693" s="10" t="s">
        <v>1296</v>
      </c>
      <c r="B1693" s="10">
        <v>1962</v>
      </c>
      <c r="C1693" s="10" t="s">
        <v>4710</v>
      </c>
      <c r="D1693" s="10">
        <v>17</v>
      </c>
      <c r="E1693" s="10">
        <v>0</v>
      </c>
      <c r="F1693" s="24">
        <v>15174.81</v>
      </c>
      <c r="G1693" s="10" t="s">
        <v>4695</v>
      </c>
      <c r="H1693" s="10" t="s">
        <v>4694</v>
      </c>
      <c r="I1693" s="10" t="s">
        <v>4712</v>
      </c>
      <c r="J1693" s="17">
        <f t="shared" si="12"/>
        <v>22814</v>
      </c>
      <c r="K1693" s="10">
        <f t="shared" ca="1" si="13"/>
        <v>63</v>
      </c>
      <c r="L1693" s="6"/>
      <c r="M1693" s="6"/>
      <c r="N1693" s="6"/>
      <c r="O1693" s="6"/>
      <c r="P1693" s="6"/>
      <c r="Q1693" s="6"/>
      <c r="R1693" s="6"/>
      <c r="S1693" s="6"/>
      <c r="T1693" s="6"/>
      <c r="U1693" s="6"/>
      <c r="V1693" s="6"/>
      <c r="W1693" s="6"/>
      <c r="X1693" s="6"/>
      <c r="Y1693" s="6"/>
      <c r="Z1693" s="6"/>
    </row>
    <row r="1694" spans="1:26" ht="15.75" customHeight="1" x14ac:dyDescent="0.3">
      <c r="A1694" s="10" t="s">
        <v>1294</v>
      </c>
      <c r="B1694" s="10">
        <v>1978</v>
      </c>
      <c r="C1694" s="10" t="s">
        <v>4709</v>
      </c>
      <c r="D1694" s="10">
        <v>23</v>
      </c>
      <c r="E1694" s="10">
        <v>2</v>
      </c>
      <c r="F1694" s="24">
        <v>15207.92</v>
      </c>
      <c r="G1694" s="10" t="s">
        <v>4695</v>
      </c>
      <c r="H1694" s="10" t="s">
        <v>4694</v>
      </c>
      <c r="I1694" s="10" t="s">
        <v>4712</v>
      </c>
      <c r="J1694" s="17">
        <f t="shared" si="12"/>
        <v>28817</v>
      </c>
      <c r="K1694" s="10">
        <f t="shared" ca="1" si="13"/>
        <v>47</v>
      </c>
      <c r="L1694" s="6"/>
      <c r="M1694" s="6"/>
      <c r="N1694" s="6"/>
      <c r="O1694" s="6"/>
      <c r="P1694" s="6"/>
      <c r="Q1694" s="6"/>
      <c r="R1694" s="6"/>
      <c r="S1694" s="6"/>
      <c r="T1694" s="6"/>
      <c r="U1694" s="6"/>
      <c r="V1694" s="6"/>
      <c r="W1694" s="6"/>
      <c r="X1694" s="6"/>
      <c r="Y1694" s="6"/>
      <c r="Z1694" s="6"/>
    </row>
    <row r="1695" spans="1:26" ht="15.75" customHeight="1" x14ac:dyDescent="0.3">
      <c r="A1695" s="10" t="s">
        <v>1292</v>
      </c>
      <c r="B1695" s="10">
        <v>1960</v>
      </c>
      <c r="C1695" s="10" t="s">
        <v>4707</v>
      </c>
      <c r="D1695" s="10">
        <v>25</v>
      </c>
      <c r="E1695" s="10">
        <v>2</v>
      </c>
      <c r="F1695" s="24">
        <v>15230.32</v>
      </c>
      <c r="G1695" s="10" t="s">
        <v>4695</v>
      </c>
      <c r="H1695" s="10" t="s">
        <v>4695</v>
      </c>
      <c r="I1695" s="10" t="s">
        <v>4723</v>
      </c>
      <c r="J1695" s="17">
        <f t="shared" si="12"/>
        <v>22122</v>
      </c>
      <c r="K1695" s="10">
        <f t="shared" ca="1" si="13"/>
        <v>65</v>
      </c>
      <c r="L1695" s="6"/>
      <c r="M1695" s="6"/>
      <c r="N1695" s="6"/>
      <c r="O1695" s="6"/>
      <c r="P1695" s="6"/>
      <c r="Q1695" s="6"/>
      <c r="R1695" s="6"/>
      <c r="S1695" s="6"/>
      <c r="T1695" s="6"/>
      <c r="U1695" s="6"/>
      <c r="V1695" s="6"/>
      <c r="W1695" s="6"/>
      <c r="X1695" s="6"/>
      <c r="Y1695" s="6"/>
      <c r="Z1695" s="6"/>
    </row>
    <row r="1696" spans="1:26" ht="15.75" customHeight="1" x14ac:dyDescent="0.3">
      <c r="A1696" s="10" t="s">
        <v>1290</v>
      </c>
      <c r="B1696" s="10">
        <v>1969</v>
      </c>
      <c r="C1696" s="10" t="s">
        <v>4711</v>
      </c>
      <c r="D1696" s="10">
        <v>16</v>
      </c>
      <c r="E1696" s="10">
        <v>0</v>
      </c>
      <c r="F1696" s="24">
        <v>15260.52</v>
      </c>
      <c r="G1696" s="10" t="s">
        <v>4695</v>
      </c>
      <c r="H1696" s="10" t="s">
        <v>4695</v>
      </c>
      <c r="I1696" s="10" t="s">
        <v>4724</v>
      </c>
      <c r="J1696" s="17">
        <f t="shared" si="12"/>
        <v>25462</v>
      </c>
      <c r="K1696" s="10">
        <f t="shared" ca="1" si="13"/>
        <v>56</v>
      </c>
      <c r="L1696" s="6"/>
      <c r="M1696" s="6"/>
      <c r="N1696" s="6"/>
      <c r="O1696" s="6"/>
      <c r="P1696" s="6"/>
      <c r="Q1696" s="6"/>
      <c r="R1696" s="6"/>
      <c r="S1696" s="6"/>
      <c r="T1696" s="6"/>
      <c r="U1696" s="6"/>
      <c r="V1696" s="6"/>
      <c r="W1696" s="6"/>
      <c r="X1696" s="6"/>
      <c r="Y1696" s="6"/>
      <c r="Z1696" s="6"/>
    </row>
    <row r="1697" spans="1:26" ht="15.75" customHeight="1" x14ac:dyDescent="0.3">
      <c r="A1697" s="10" t="s">
        <v>1288</v>
      </c>
      <c r="B1697" s="10">
        <v>1963</v>
      </c>
      <c r="C1697" s="10" t="s">
        <v>4713</v>
      </c>
      <c r="D1697" s="10">
        <v>13</v>
      </c>
      <c r="E1697" s="10">
        <v>0</v>
      </c>
      <c r="F1697" s="24">
        <v>15322.77</v>
      </c>
      <c r="G1697" s="10" t="s">
        <v>4695</v>
      </c>
      <c r="H1697" s="10" t="s">
        <v>4696</v>
      </c>
      <c r="I1697" s="10" t="s">
        <v>4726</v>
      </c>
      <c r="J1697" s="17">
        <f t="shared" si="12"/>
        <v>23358</v>
      </c>
      <c r="K1697" s="10">
        <f t="shared" ca="1" si="13"/>
        <v>61</v>
      </c>
      <c r="L1697" s="6"/>
      <c r="M1697" s="6"/>
      <c r="N1697" s="6"/>
      <c r="O1697" s="6"/>
      <c r="P1697" s="6"/>
      <c r="Q1697" s="6"/>
      <c r="R1697" s="6"/>
      <c r="S1697" s="6"/>
      <c r="T1697" s="6"/>
      <c r="U1697" s="6"/>
      <c r="V1697" s="6"/>
      <c r="W1697" s="6"/>
      <c r="X1697" s="6"/>
      <c r="Y1697" s="6"/>
      <c r="Z1697" s="6"/>
    </row>
    <row r="1698" spans="1:26" ht="15.75" customHeight="1" x14ac:dyDescent="0.3">
      <c r="A1698" s="10" t="s">
        <v>1286</v>
      </c>
      <c r="B1698" s="10">
        <v>2001</v>
      </c>
      <c r="C1698" s="10" t="s">
        <v>4707</v>
      </c>
      <c r="D1698" s="10">
        <v>14</v>
      </c>
      <c r="E1698" s="10">
        <v>1</v>
      </c>
      <c r="F1698" s="24">
        <v>15359.1</v>
      </c>
      <c r="G1698" s="10" t="s">
        <v>4695</v>
      </c>
      <c r="H1698" s="10" t="s">
        <v>4696</v>
      </c>
      <c r="I1698" s="10" t="s">
        <v>4723</v>
      </c>
      <c r="J1698" s="17">
        <f t="shared" si="12"/>
        <v>37086</v>
      </c>
      <c r="K1698" s="10">
        <f t="shared" ca="1" si="13"/>
        <v>24</v>
      </c>
      <c r="L1698" s="6"/>
      <c r="M1698" s="6"/>
      <c r="N1698" s="6"/>
      <c r="O1698" s="6"/>
      <c r="P1698" s="6"/>
      <c r="Q1698" s="6"/>
      <c r="R1698" s="6"/>
      <c r="S1698" s="6"/>
      <c r="T1698" s="6"/>
      <c r="U1698" s="6"/>
      <c r="V1698" s="6"/>
      <c r="W1698" s="6"/>
      <c r="X1698" s="6"/>
      <c r="Y1698" s="6"/>
      <c r="Z1698" s="6"/>
    </row>
    <row r="1699" spans="1:26" ht="15.75" customHeight="1" x14ac:dyDescent="0.3">
      <c r="A1699" s="10" t="s">
        <v>1284</v>
      </c>
      <c r="B1699" s="10">
        <v>1988</v>
      </c>
      <c r="C1699" s="10" t="s">
        <v>4713</v>
      </c>
      <c r="D1699" s="10">
        <v>17</v>
      </c>
      <c r="E1699" s="10">
        <v>3</v>
      </c>
      <c r="F1699" s="24">
        <v>15361.5</v>
      </c>
      <c r="G1699" s="10" t="s">
        <v>4695</v>
      </c>
      <c r="H1699" s="10" t="s">
        <v>4696</v>
      </c>
      <c r="I1699" s="10" t="s">
        <v>4724</v>
      </c>
      <c r="J1699" s="17">
        <f t="shared" si="12"/>
        <v>32494</v>
      </c>
      <c r="K1699" s="10">
        <f t="shared" ca="1" si="13"/>
        <v>36</v>
      </c>
      <c r="L1699" s="6"/>
      <c r="M1699" s="6"/>
      <c r="N1699" s="6"/>
      <c r="O1699" s="6"/>
      <c r="P1699" s="6"/>
      <c r="Q1699" s="6"/>
      <c r="R1699" s="6"/>
      <c r="S1699" s="6"/>
      <c r="T1699" s="6"/>
      <c r="U1699" s="6"/>
      <c r="V1699" s="6"/>
      <c r="W1699" s="6"/>
      <c r="X1699" s="6"/>
      <c r="Y1699" s="6"/>
      <c r="Z1699" s="6"/>
    </row>
    <row r="1700" spans="1:26" ht="15.75" customHeight="1" x14ac:dyDescent="0.3">
      <c r="A1700" s="10" t="s">
        <v>1282</v>
      </c>
      <c r="B1700" s="10">
        <v>1968</v>
      </c>
      <c r="C1700" s="10" t="s">
        <v>4707</v>
      </c>
      <c r="D1700" s="10">
        <v>18</v>
      </c>
      <c r="E1700" s="10">
        <v>0</v>
      </c>
      <c r="F1700" s="24">
        <v>15363.77</v>
      </c>
      <c r="G1700" s="10" t="s">
        <v>4695</v>
      </c>
      <c r="H1700" s="10" t="s">
        <v>4694</v>
      </c>
      <c r="I1700" s="10" t="s">
        <v>4729</v>
      </c>
      <c r="J1700" s="17">
        <f t="shared" si="12"/>
        <v>25037</v>
      </c>
      <c r="K1700" s="10">
        <f t="shared" ca="1" si="13"/>
        <v>57</v>
      </c>
      <c r="L1700" s="6"/>
      <c r="M1700" s="6"/>
      <c r="N1700" s="6"/>
      <c r="O1700" s="6"/>
      <c r="P1700" s="6"/>
      <c r="Q1700" s="6"/>
      <c r="R1700" s="6"/>
      <c r="S1700" s="6"/>
      <c r="T1700" s="6"/>
      <c r="U1700" s="6"/>
      <c r="V1700" s="6"/>
      <c r="W1700" s="6"/>
      <c r="X1700" s="6"/>
      <c r="Y1700" s="6"/>
      <c r="Z1700" s="6"/>
    </row>
    <row r="1701" spans="1:26" ht="15.75" customHeight="1" x14ac:dyDescent="0.3">
      <c r="A1701" s="10" t="s">
        <v>1280</v>
      </c>
      <c r="B1701" s="10">
        <v>1962</v>
      </c>
      <c r="C1701" s="10" t="s">
        <v>4711</v>
      </c>
      <c r="D1701" s="10">
        <v>6</v>
      </c>
      <c r="E1701" s="10">
        <v>0</v>
      </c>
      <c r="F1701" s="24">
        <v>15368.22</v>
      </c>
      <c r="G1701" s="10" t="s">
        <v>4695</v>
      </c>
      <c r="H1701" s="10" t="s">
        <v>4695</v>
      </c>
      <c r="I1701" s="10" t="s">
        <v>4716</v>
      </c>
      <c r="J1701" s="17">
        <f t="shared" si="12"/>
        <v>22895</v>
      </c>
      <c r="K1701" s="10">
        <f t="shared" ca="1" si="13"/>
        <v>63</v>
      </c>
      <c r="L1701" s="6"/>
      <c r="M1701" s="6"/>
      <c r="N1701" s="6"/>
      <c r="O1701" s="6"/>
      <c r="P1701" s="6"/>
      <c r="Q1701" s="6"/>
      <c r="R1701" s="6"/>
      <c r="S1701" s="6"/>
      <c r="T1701" s="6"/>
      <c r="U1701" s="6"/>
      <c r="V1701" s="6"/>
      <c r="W1701" s="6"/>
      <c r="X1701" s="6"/>
      <c r="Y1701" s="6"/>
      <c r="Z1701" s="6"/>
    </row>
    <row r="1702" spans="1:26" ht="15.75" customHeight="1" x14ac:dyDescent="0.3">
      <c r="A1702" s="10" t="s">
        <v>1278</v>
      </c>
      <c r="B1702" s="10">
        <v>1964</v>
      </c>
      <c r="C1702" s="10" t="s">
        <v>4711</v>
      </c>
      <c r="D1702" s="10">
        <v>4</v>
      </c>
      <c r="E1702" s="10">
        <v>0</v>
      </c>
      <c r="F1702" s="24">
        <v>15377.77</v>
      </c>
      <c r="G1702" s="10" t="s">
        <v>4695</v>
      </c>
      <c r="H1702" s="10" t="s">
        <v>4695</v>
      </c>
      <c r="I1702" s="10" t="s">
        <v>4712</v>
      </c>
      <c r="J1702" s="17">
        <f t="shared" si="12"/>
        <v>23624</v>
      </c>
      <c r="K1702" s="10">
        <f t="shared" ca="1" si="13"/>
        <v>61</v>
      </c>
      <c r="L1702" s="6"/>
      <c r="M1702" s="6"/>
      <c r="N1702" s="6"/>
      <c r="O1702" s="6"/>
      <c r="P1702" s="6"/>
      <c r="Q1702" s="6"/>
      <c r="R1702" s="6"/>
      <c r="S1702" s="6"/>
      <c r="T1702" s="6"/>
      <c r="U1702" s="6"/>
      <c r="V1702" s="6"/>
      <c r="W1702" s="6"/>
      <c r="X1702" s="6"/>
      <c r="Y1702" s="6"/>
      <c r="Z1702" s="6"/>
    </row>
    <row r="1703" spans="1:26" ht="15.75" customHeight="1" x14ac:dyDescent="0.3">
      <c r="A1703" s="10" t="s">
        <v>1276</v>
      </c>
      <c r="B1703" s="10">
        <v>1990</v>
      </c>
      <c r="C1703" s="10" t="s">
        <v>4715</v>
      </c>
      <c r="D1703" s="10">
        <v>25</v>
      </c>
      <c r="E1703" s="10">
        <v>3</v>
      </c>
      <c r="F1703" s="24">
        <v>15440.2</v>
      </c>
      <c r="G1703" s="10" t="s">
        <v>4695</v>
      </c>
      <c r="H1703" s="10" t="s">
        <v>4694</v>
      </c>
      <c r="I1703" s="10" t="s">
        <v>4712</v>
      </c>
      <c r="J1703" s="17">
        <f t="shared" si="12"/>
        <v>33171</v>
      </c>
      <c r="K1703" s="10">
        <f t="shared" ca="1" si="13"/>
        <v>35</v>
      </c>
      <c r="L1703" s="6"/>
      <c r="M1703" s="6"/>
      <c r="N1703" s="6"/>
      <c r="O1703" s="6"/>
      <c r="P1703" s="6"/>
      <c r="Q1703" s="6"/>
      <c r="R1703" s="6"/>
      <c r="S1703" s="6"/>
      <c r="T1703" s="6"/>
      <c r="U1703" s="6"/>
      <c r="V1703" s="6"/>
      <c r="W1703" s="6"/>
      <c r="X1703" s="6"/>
      <c r="Y1703" s="6"/>
      <c r="Z1703" s="6"/>
    </row>
    <row r="1704" spans="1:26" ht="15.75" customHeight="1" x14ac:dyDescent="0.3">
      <c r="A1704" s="10" t="s">
        <v>1274</v>
      </c>
      <c r="B1704" s="10">
        <v>1976</v>
      </c>
      <c r="C1704" s="10" t="s">
        <v>4707</v>
      </c>
      <c r="D1704" s="10">
        <v>20</v>
      </c>
      <c r="E1704" s="10">
        <v>2</v>
      </c>
      <c r="F1704" s="24">
        <v>15450.48</v>
      </c>
      <c r="G1704" s="10" t="s">
        <v>4695</v>
      </c>
      <c r="H1704" s="10" t="s">
        <v>4694</v>
      </c>
      <c r="I1704" s="10" t="s">
        <v>4729</v>
      </c>
      <c r="J1704" s="17">
        <f t="shared" si="12"/>
        <v>27961</v>
      </c>
      <c r="K1704" s="10">
        <f t="shared" ca="1" si="13"/>
        <v>49</v>
      </c>
      <c r="L1704" s="6"/>
      <c r="M1704" s="6"/>
      <c r="N1704" s="6"/>
      <c r="O1704" s="6"/>
      <c r="P1704" s="6"/>
      <c r="Q1704" s="6"/>
      <c r="R1704" s="6"/>
      <c r="S1704" s="6"/>
      <c r="T1704" s="6"/>
      <c r="U1704" s="6"/>
      <c r="V1704" s="6"/>
      <c r="W1704" s="6"/>
      <c r="X1704" s="6"/>
      <c r="Y1704" s="6"/>
      <c r="Z1704" s="6"/>
    </row>
    <row r="1705" spans="1:26" ht="15.75" customHeight="1" x14ac:dyDescent="0.3">
      <c r="A1705" s="10" t="s">
        <v>1272</v>
      </c>
      <c r="B1705" s="10">
        <v>2004</v>
      </c>
      <c r="C1705" s="10" t="s">
        <v>4707</v>
      </c>
      <c r="D1705" s="10">
        <v>17</v>
      </c>
      <c r="E1705" s="10">
        <v>0</v>
      </c>
      <c r="F1705" s="24">
        <v>15518.18</v>
      </c>
      <c r="G1705" s="10" t="s">
        <v>4695</v>
      </c>
      <c r="H1705" s="10" t="s">
        <v>4696</v>
      </c>
      <c r="I1705" s="10" t="s">
        <v>4718</v>
      </c>
      <c r="J1705" s="17">
        <f t="shared" si="12"/>
        <v>38185</v>
      </c>
      <c r="K1705" s="10">
        <f t="shared" ca="1" si="13"/>
        <v>21</v>
      </c>
      <c r="L1705" s="6"/>
      <c r="M1705" s="6"/>
      <c r="N1705" s="6"/>
      <c r="O1705" s="6"/>
      <c r="P1705" s="6"/>
      <c r="Q1705" s="6"/>
      <c r="R1705" s="6"/>
      <c r="S1705" s="6"/>
      <c r="T1705" s="6"/>
      <c r="U1705" s="6"/>
      <c r="V1705" s="6"/>
      <c r="W1705" s="6"/>
      <c r="X1705" s="6"/>
      <c r="Y1705" s="6"/>
      <c r="Z1705" s="6"/>
    </row>
    <row r="1706" spans="1:26" ht="15.75" customHeight="1" x14ac:dyDescent="0.3">
      <c r="A1706" s="10" t="s">
        <v>1270</v>
      </c>
      <c r="B1706" s="10">
        <v>1974</v>
      </c>
      <c r="C1706" s="10" t="s">
        <v>4710</v>
      </c>
      <c r="D1706" s="10">
        <v>28</v>
      </c>
      <c r="E1706" s="10">
        <v>0</v>
      </c>
      <c r="F1706" s="24">
        <v>15532.16</v>
      </c>
      <c r="G1706" s="10" t="s">
        <v>4695</v>
      </c>
      <c r="H1706" s="10" t="s">
        <v>4695</v>
      </c>
      <c r="I1706" s="10" t="s">
        <v>4729</v>
      </c>
      <c r="J1706" s="17">
        <f t="shared" si="12"/>
        <v>27208</v>
      </c>
      <c r="K1706" s="10">
        <f t="shared" ca="1" si="13"/>
        <v>51</v>
      </c>
      <c r="L1706" s="6"/>
      <c r="M1706" s="6"/>
      <c r="N1706" s="6"/>
      <c r="O1706" s="6"/>
      <c r="P1706" s="6"/>
      <c r="Q1706" s="6"/>
      <c r="R1706" s="6"/>
      <c r="S1706" s="6"/>
      <c r="T1706" s="6"/>
      <c r="U1706" s="6"/>
      <c r="V1706" s="6"/>
      <c r="W1706" s="6"/>
      <c r="X1706" s="6"/>
      <c r="Y1706" s="6"/>
      <c r="Z1706" s="6"/>
    </row>
    <row r="1707" spans="1:26" ht="15.75" customHeight="1" x14ac:dyDescent="0.3">
      <c r="A1707" s="10" t="s">
        <v>1268</v>
      </c>
      <c r="B1707" s="10">
        <v>1959</v>
      </c>
      <c r="C1707" s="10" t="s">
        <v>4715</v>
      </c>
      <c r="D1707" s="10">
        <v>2</v>
      </c>
      <c r="E1707" s="10">
        <v>3</v>
      </c>
      <c r="F1707" s="24">
        <v>15555.19</v>
      </c>
      <c r="G1707" s="10" t="s">
        <v>4695</v>
      </c>
      <c r="H1707" s="10" t="s">
        <v>4696</v>
      </c>
      <c r="I1707" s="10" t="s">
        <v>4712</v>
      </c>
      <c r="J1707" s="17">
        <f t="shared" si="12"/>
        <v>21825</v>
      </c>
      <c r="K1707" s="10">
        <f t="shared" ca="1" si="13"/>
        <v>66</v>
      </c>
      <c r="L1707" s="6"/>
      <c r="M1707" s="6"/>
      <c r="N1707" s="6"/>
      <c r="O1707" s="6"/>
      <c r="P1707" s="6"/>
      <c r="Q1707" s="6"/>
      <c r="R1707" s="6"/>
      <c r="S1707" s="6"/>
      <c r="T1707" s="6"/>
      <c r="U1707" s="6"/>
      <c r="V1707" s="6"/>
      <c r="W1707" s="6"/>
      <c r="X1707" s="6"/>
      <c r="Y1707" s="6"/>
      <c r="Z1707" s="6"/>
    </row>
    <row r="1708" spans="1:26" ht="15.75" customHeight="1" x14ac:dyDescent="0.3">
      <c r="A1708" s="10" t="s">
        <v>1266</v>
      </c>
      <c r="B1708" s="10">
        <v>1974</v>
      </c>
      <c r="C1708" s="10" t="s">
        <v>4707</v>
      </c>
      <c r="D1708" s="10">
        <v>30</v>
      </c>
      <c r="E1708" s="10">
        <v>0</v>
      </c>
      <c r="F1708" s="24">
        <v>15556.67</v>
      </c>
      <c r="G1708" s="10" t="s">
        <v>4695</v>
      </c>
      <c r="H1708" s="10" t="s">
        <v>4695</v>
      </c>
      <c r="I1708" s="10" t="s">
        <v>4712</v>
      </c>
      <c r="J1708" s="17">
        <f t="shared" si="12"/>
        <v>27240</v>
      </c>
      <c r="K1708" s="10">
        <f t="shared" ca="1" si="13"/>
        <v>51</v>
      </c>
      <c r="L1708" s="6"/>
      <c r="M1708" s="6"/>
      <c r="N1708" s="6"/>
      <c r="O1708" s="6"/>
      <c r="P1708" s="6"/>
      <c r="Q1708" s="6"/>
      <c r="R1708" s="6"/>
      <c r="S1708" s="6"/>
      <c r="T1708" s="6"/>
      <c r="U1708" s="6"/>
      <c r="V1708" s="6"/>
      <c r="W1708" s="6"/>
      <c r="X1708" s="6"/>
      <c r="Y1708" s="6"/>
      <c r="Z1708" s="6"/>
    </row>
    <row r="1709" spans="1:26" ht="15.75" customHeight="1" x14ac:dyDescent="0.3">
      <c r="A1709" s="10" t="s">
        <v>1264</v>
      </c>
      <c r="B1709" s="10">
        <v>1965</v>
      </c>
      <c r="C1709" s="10" t="s">
        <v>4715</v>
      </c>
      <c r="D1709" s="10">
        <v>28</v>
      </c>
      <c r="E1709" s="10">
        <v>0</v>
      </c>
      <c r="F1709" s="24">
        <v>15608.58</v>
      </c>
      <c r="G1709" s="10" t="s">
        <v>4695</v>
      </c>
      <c r="H1709" s="10" t="s">
        <v>4695</v>
      </c>
      <c r="I1709" s="10" t="s">
        <v>4729</v>
      </c>
      <c r="J1709" s="17">
        <f t="shared" si="12"/>
        <v>24043</v>
      </c>
      <c r="K1709" s="10">
        <f t="shared" ca="1" si="13"/>
        <v>60</v>
      </c>
      <c r="L1709" s="6"/>
      <c r="M1709" s="6"/>
      <c r="N1709" s="6"/>
      <c r="O1709" s="6"/>
      <c r="P1709" s="6"/>
      <c r="Q1709" s="6"/>
      <c r="R1709" s="6"/>
      <c r="S1709" s="6"/>
      <c r="T1709" s="6"/>
      <c r="U1709" s="6"/>
      <c r="V1709" s="6"/>
      <c r="W1709" s="6"/>
      <c r="X1709" s="6"/>
      <c r="Y1709" s="6"/>
      <c r="Z1709" s="6"/>
    </row>
    <row r="1710" spans="1:26" ht="15.75" customHeight="1" x14ac:dyDescent="0.3">
      <c r="A1710" s="10" t="s">
        <v>1262</v>
      </c>
      <c r="B1710" s="10">
        <v>1960</v>
      </c>
      <c r="C1710" s="10" t="s">
        <v>4710</v>
      </c>
      <c r="D1710" s="10">
        <v>6</v>
      </c>
      <c r="E1710" s="10">
        <v>3</v>
      </c>
      <c r="F1710" s="24">
        <v>15612.19</v>
      </c>
      <c r="G1710" s="10" t="s">
        <v>4695</v>
      </c>
      <c r="H1710" s="10" t="s">
        <v>4695</v>
      </c>
      <c r="I1710" s="10" t="s">
        <v>4712</v>
      </c>
      <c r="J1710" s="17">
        <f t="shared" si="12"/>
        <v>22073</v>
      </c>
      <c r="K1710" s="10">
        <f t="shared" ca="1" si="13"/>
        <v>65</v>
      </c>
      <c r="L1710" s="6"/>
      <c r="M1710" s="6"/>
      <c r="N1710" s="6"/>
      <c r="O1710" s="6"/>
      <c r="P1710" s="6"/>
      <c r="Q1710" s="6"/>
      <c r="R1710" s="6"/>
      <c r="S1710" s="6"/>
      <c r="T1710" s="6"/>
      <c r="U1710" s="6"/>
      <c r="V1710" s="6"/>
      <c r="W1710" s="6"/>
      <c r="X1710" s="6"/>
      <c r="Y1710" s="6"/>
      <c r="Z1710" s="6"/>
    </row>
    <row r="1711" spans="1:26" ht="15.75" customHeight="1" x14ac:dyDescent="0.3">
      <c r="A1711" s="10" t="s">
        <v>1260</v>
      </c>
      <c r="B1711" s="10">
        <v>1988</v>
      </c>
      <c r="C1711" s="10" t="s">
        <v>4713</v>
      </c>
      <c r="D1711" s="10">
        <v>22</v>
      </c>
      <c r="E1711" s="10">
        <v>3</v>
      </c>
      <c r="F1711" s="24">
        <v>15646.28</v>
      </c>
      <c r="G1711" s="10" t="s">
        <v>4695</v>
      </c>
      <c r="H1711" s="10" t="s">
        <v>4695</v>
      </c>
      <c r="I1711" s="10" t="s">
        <v>4716</v>
      </c>
      <c r="J1711" s="17">
        <f t="shared" si="12"/>
        <v>32499</v>
      </c>
      <c r="K1711" s="10">
        <f t="shared" ca="1" si="13"/>
        <v>36</v>
      </c>
      <c r="L1711" s="6"/>
      <c r="M1711" s="6"/>
      <c r="N1711" s="6"/>
      <c r="O1711" s="6"/>
      <c r="P1711" s="6"/>
      <c r="Q1711" s="6"/>
      <c r="R1711" s="6"/>
      <c r="S1711" s="6"/>
      <c r="T1711" s="6"/>
      <c r="U1711" s="6"/>
      <c r="V1711" s="6"/>
      <c r="W1711" s="6"/>
      <c r="X1711" s="6"/>
      <c r="Y1711" s="6"/>
      <c r="Z1711" s="6"/>
    </row>
    <row r="1712" spans="1:26" ht="15.75" customHeight="1" x14ac:dyDescent="0.3">
      <c r="A1712" s="10" t="s">
        <v>1258</v>
      </c>
      <c r="B1712" s="10">
        <v>1973</v>
      </c>
      <c r="C1712" s="10" t="s">
        <v>4710</v>
      </c>
      <c r="D1712" s="10">
        <v>26</v>
      </c>
      <c r="E1712" s="10">
        <v>0</v>
      </c>
      <c r="F1712" s="24">
        <v>15670.3</v>
      </c>
      <c r="G1712" s="10" t="s">
        <v>4695</v>
      </c>
      <c r="H1712" s="10" t="s">
        <v>4695</v>
      </c>
      <c r="I1712" s="10" t="s">
        <v>4729</v>
      </c>
      <c r="J1712" s="17">
        <f t="shared" si="12"/>
        <v>26841</v>
      </c>
      <c r="K1712" s="10">
        <f t="shared" ca="1" si="13"/>
        <v>52</v>
      </c>
      <c r="L1712" s="6"/>
      <c r="M1712" s="6"/>
      <c r="N1712" s="6"/>
      <c r="O1712" s="6"/>
      <c r="P1712" s="6"/>
      <c r="Q1712" s="6"/>
      <c r="R1712" s="6"/>
      <c r="S1712" s="6"/>
      <c r="T1712" s="6"/>
      <c r="U1712" s="6"/>
      <c r="V1712" s="6"/>
      <c r="W1712" s="6"/>
      <c r="X1712" s="6"/>
      <c r="Y1712" s="6"/>
      <c r="Z1712" s="6"/>
    </row>
    <row r="1713" spans="1:26" ht="15.75" customHeight="1" x14ac:dyDescent="0.3">
      <c r="A1713" s="10" t="s">
        <v>1256</v>
      </c>
      <c r="B1713" s="10">
        <v>1976</v>
      </c>
      <c r="C1713" s="10" t="s">
        <v>4711</v>
      </c>
      <c r="D1713" s="10">
        <v>20</v>
      </c>
      <c r="E1713" s="10">
        <v>2</v>
      </c>
      <c r="F1713" s="24">
        <v>15698.86</v>
      </c>
      <c r="G1713" s="10" t="s">
        <v>4695</v>
      </c>
      <c r="H1713" s="10" t="s">
        <v>4695</v>
      </c>
      <c r="I1713" s="10" t="s">
        <v>4712</v>
      </c>
      <c r="J1713" s="17">
        <f t="shared" si="12"/>
        <v>28023</v>
      </c>
      <c r="K1713" s="10">
        <f t="shared" ca="1" si="13"/>
        <v>49</v>
      </c>
      <c r="L1713" s="6"/>
      <c r="M1713" s="6"/>
      <c r="N1713" s="6"/>
      <c r="O1713" s="6"/>
      <c r="P1713" s="6"/>
      <c r="Q1713" s="6"/>
      <c r="R1713" s="6"/>
      <c r="S1713" s="6"/>
      <c r="T1713" s="6"/>
      <c r="U1713" s="6"/>
      <c r="V1713" s="6"/>
      <c r="W1713" s="6"/>
      <c r="X1713" s="6"/>
      <c r="Y1713" s="6"/>
      <c r="Z1713" s="6"/>
    </row>
    <row r="1714" spans="1:26" ht="15.75" customHeight="1" x14ac:dyDescent="0.3">
      <c r="A1714" s="10" t="s">
        <v>1254</v>
      </c>
      <c r="B1714" s="10">
        <v>1974</v>
      </c>
      <c r="C1714" s="10" t="s">
        <v>4714</v>
      </c>
      <c r="D1714" s="10">
        <v>29</v>
      </c>
      <c r="E1714" s="10">
        <v>0</v>
      </c>
      <c r="F1714" s="24">
        <v>15746.62</v>
      </c>
      <c r="G1714" s="10" t="s">
        <v>4695</v>
      </c>
      <c r="H1714" s="10" t="s">
        <v>4694</v>
      </c>
      <c r="I1714" s="10" t="s">
        <v>4712</v>
      </c>
      <c r="J1714" s="17">
        <f t="shared" si="12"/>
        <v>27270</v>
      </c>
      <c r="K1714" s="10">
        <f t="shared" ca="1" si="13"/>
        <v>51</v>
      </c>
      <c r="L1714" s="6"/>
      <c r="M1714" s="6"/>
      <c r="N1714" s="6"/>
      <c r="O1714" s="6"/>
      <c r="P1714" s="6"/>
      <c r="Q1714" s="6"/>
      <c r="R1714" s="6"/>
      <c r="S1714" s="6"/>
      <c r="T1714" s="6"/>
      <c r="U1714" s="6"/>
      <c r="V1714" s="6"/>
      <c r="W1714" s="6"/>
      <c r="X1714" s="6"/>
      <c r="Y1714" s="6"/>
      <c r="Z1714" s="6"/>
    </row>
    <row r="1715" spans="1:26" ht="15.75" customHeight="1" x14ac:dyDescent="0.3">
      <c r="A1715" s="10" t="s">
        <v>1252</v>
      </c>
      <c r="B1715" s="10">
        <v>1997</v>
      </c>
      <c r="C1715" s="10" t="s">
        <v>4715</v>
      </c>
      <c r="D1715" s="10">
        <v>9</v>
      </c>
      <c r="E1715" s="10">
        <v>0</v>
      </c>
      <c r="F1715" s="24">
        <v>15817.99</v>
      </c>
      <c r="G1715" s="10" t="s">
        <v>4695</v>
      </c>
      <c r="H1715" s="10" t="s">
        <v>4695</v>
      </c>
      <c r="I1715" s="10" t="s">
        <v>4712</v>
      </c>
      <c r="J1715" s="17">
        <f t="shared" si="12"/>
        <v>35712</v>
      </c>
      <c r="K1715" s="10">
        <f t="shared" ca="1" si="13"/>
        <v>28</v>
      </c>
      <c r="L1715" s="6"/>
      <c r="M1715" s="6"/>
      <c r="N1715" s="6"/>
      <c r="O1715" s="6"/>
      <c r="P1715" s="6"/>
      <c r="Q1715" s="6"/>
      <c r="R1715" s="6"/>
      <c r="S1715" s="6"/>
      <c r="T1715" s="6"/>
      <c r="U1715" s="6"/>
      <c r="V1715" s="6"/>
      <c r="W1715" s="6"/>
      <c r="X1715" s="6"/>
      <c r="Y1715" s="6"/>
      <c r="Z1715" s="6"/>
    </row>
    <row r="1716" spans="1:26" ht="15.75" customHeight="1" x14ac:dyDescent="0.3">
      <c r="A1716" s="10" t="s">
        <v>1250</v>
      </c>
      <c r="B1716" s="10">
        <v>1984</v>
      </c>
      <c r="C1716" s="10" t="s">
        <v>4710</v>
      </c>
      <c r="D1716" s="10">
        <v>26</v>
      </c>
      <c r="E1716" s="10">
        <v>0</v>
      </c>
      <c r="F1716" s="24">
        <v>15820.7</v>
      </c>
      <c r="G1716" s="10" t="s">
        <v>4695</v>
      </c>
      <c r="H1716" s="10" t="s">
        <v>4696</v>
      </c>
      <c r="I1716" s="10" t="s">
        <v>4716</v>
      </c>
      <c r="J1716" s="17">
        <f t="shared" si="12"/>
        <v>30859</v>
      </c>
      <c r="K1716" s="10">
        <f t="shared" ca="1" si="13"/>
        <v>41</v>
      </c>
      <c r="L1716" s="6"/>
      <c r="M1716" s="6"/>
      <c r="N1716" s="6"/>
      <c r="O1716" s="6"/>
      <c r="P1716" s="6"/>
      <c r="Q1716" s="6"/>
      <c r="R1716" s="6"/>
      <c r="S1716" s="6"/>
      <c r="T1716" s="6"/>
      <c r="U1716" s="6"/>
      <c r="V1716" s="6"/>
      <c r="W1716" s="6"/>
      <c r="X1716" s="6"/>
      <c r="Y1716" s="6"/>
      <c r="Z1716" s="6"/>
    </row>
    <row r="1717" spans="1:26" ht="15.75" customHeight="1" x14ac:dyDescent="0.3">
      <c r="A1717" s="10" t="s">
        <v>1248</v>
      </c>
      <c r="B1717" s="10">
        <v>1982</v>
      </c>
      <c r="C1717" s="10" t="s">
        <v>4709</v>
      </c>
      <c r="D1717" s="10">
        <v>11</v>
      </c>
      <c r="E1717" s="10">
        <v>4</v>
      </c>
      <c r="F1717" s="24">
        <v>15828.82</v>
      </c>
      <c r="G1717" s="10" t="s">
        <v>4695</v>
      </c>
      <c r="H1717" s="10" t="s">
        <v>4696</v>
      </c>
      <c r="I1717" s="10" t="s">
        <v>4716</v>
      </c>
      <c r="J1717" s="17">
        <f t="shared" si="12"/>
        <v>30266</v>
      </c>
      <c r="K1717" s="10">
        <f t="shared" ca="1" si="13"/>
        <v>43</v>
      </c>
      <c r="L1717" s="6"/>
      <c r="M1717" s="6"/>
      <c r="N1717" s="6"/>
      <c r="O1717" s="6"/>
      <c r="P1717" s="6"/>
      <c r="Q1717" s="6"/>
      <c r="R1717" s="6"/>
      <c r="S1717" s="6"/>
      <c r="T1717" s="6"/>
      <c r="U1717" s="6"/>
      <c r="V1717" s="6"/>
      <c r="W1717" s="6"/>
      <c r="X1717" s="6"/>
      <c r="Y1717" s="6"/>
      <c r="Z1717" s="6"/>
    </row>
    <row r="1718" spans="1:26" ht="15.75" customHeight="1" x14ac:dyDescent="0.3">
      <c r="A1718" s="10" t="s">
        <v>1246</v>
      </c>
      <c r="B1718" s="10">
        <v>1962</v>
      </c>
      <c r="C1718" s="10" t="s">
        <v>4713</v>
      </c>
      <c r="D1718" s="10">
        <v>25</v>
      </c>
      <c r="E1718" s="10">
        <v>0</v>
      </c>
      <c r="F1718" s="24">
        <v>15840.81</v>
      </c>
      <c r="G1718" s="10" t="s">
        <v>4695</v>
      </c>
      <c r="H1718" s="10" t="s">
        <v>4694</v>
      </c>
      <c r="I1718" s="10" t="s">
        <v>4730</v>
      </c>
      <c r="J1718" s="17">
        <f t="shared" si="12"/>
        <v>23005</v>
      </c>
      <c r="K1718" s="10">
        <f t="shared" ca="1" si="13"/>
        <v>62</v>
      </c>
      <c r="L1718" s="6"/>
      <c r="M1718" s="6"/>
      <c r="N1718" s="6"/>
      <c r="O1718" s="6"/>
      <c r="P1718" s="6"/>
      <c r="Q1718" s="6"/>
      <c r="R1718" s="6"/>
      <c r="S1718" s="6"/>
      <c r="T1718" s="6"/>
      <c r="U1718" s="6"/>
      <c r="V1718" s="6"/>
      <c r="W1718" s="6"/>
      <c r="X1718" s="6"/>
      <c r="Y1718" s="6"/>
      <c r="Z1718" s="6"/>
    </row>
    <row r="1719" spans="1:26" ht="15.75" customHeight="1" x14ac:dyDescent="0.3">
      <c r="A1719" s="10" t="s">
        <v>1244</v>
      </c>
      <c r="B1719" s="10">
        <v>1980</v>
      </c>
      <c r="C1719" s="10" t="s">
        <v>4715</v>
      </c>
      <c r="D1719" s="10">
        <v>12</v>
      </c>
      <c r="E1719" s="10">
        <v>2</v>
      </c>
      <c r="F1719" s="24">
        <v>15922.29</v>
      </c>
      <c r="G1719" s="10" t="s">
        <v>4695</v>
      </c>
      <c r="H1719" s="10" t="s">
        <v>4696</v>
      </c>
      <c r="I1719" s="10" t="s">
        <v>4729</v>
      </c>
      <c r="J1719" s="17">
        <f t="shared" si="12"/>
        <v>29506</v>
      </c>
      <c r="K1719" s="10">
        <f t="shared" ca="1" si="13"/>
        <v>45</v>
      </c>
      <c r="L1719" s="6"/>
      <c r="M1719" s="6"/>
      <c r="N1719" s="6"/>
      <c r="O1719" s="6"/>
      <c r="P1719" s="6"/>
      <c r="Q1719" s="6"/>
      <c r="R1719" s="6"/>
      <c r="S1719" s="6"/>
      <c r="T1719" s="6"/>
      <c r="U1719" s="6"/>
      <c r="V1719" s="6"/>
      <c r="W1719" s="6"/>
      <c r="X1719" s="6"/>
      <c r="Y1719" s="6"/>
      <c r="Z1719" s="6"/>
    </row>
    <row r="1720" spans="1:26" ht="15.75" customHeight="1" x14ac:dyDescent="0.3">
      <c r="A1720" s="10" t="s">
        <v>1242</v>
      </c>
      <c r="B1720" s="10">
        <v>1982</v>
      </c>
      <c r="C1720" s="10" t="s">
        <v>4707</v>
      </c>
      <c r="D1720" s="10">
        <v>24</v>
      </c>
      <c r="E1720" s="10">
        <v>3</v>
      </c>
      <c r="F1720" s="24">
        <v>15965.29</v>
      </c>
      <c r="G1720" s="10" t="s">
        <v>4695</v>
      </c>
      <c r="H1720" s="10" t="s">
        <v>4694</v>
      </c>
      <c r="I1720" s="10" t="s">
        <v>4712</v>
      </c>
      <c r="J1720" s="17">
        <f t="shared" si="12"/>
        <v>30156</v>
      </c>
      <c r="K1720" s="10">
        <f t="shared" ca="1" si="13"/>
        <v>43</v>
      </c>
      <c r="L1720" s="6"/>
      <c r="M1720" s="6"/>
      <c r="N1720" s="6"/>
      <c r="O1720" s="6"/>
      <c r="P1720" s="6"/>
      <c r="Q1720" s="6"/>
      <c r="R1720" s="6"/>
      <c r="S1720" s="6"/>
      <c r="T1720" s="6"/>
      <c r="U1720" s="6"/>
      <c r="V1720" s="6"/>
      <c r="W1720" s="6"/>
      <c r="X1720" s="6"/>
      <c r="Y1720" s="6"/>
      <c r="Z1720" s="6"/>
    </row>
    <row r="1721" spans="1:26" ht="15.75" customHeight="1" x14ac:dyDescent="0.3">
      <c r="A1721" s="10" t="s">
        <v>1240</v>
      </c>
      <c r="B1721" s="10">
        <v>1980</v>
      </c>
      <c r="C1721" s="10" t="s">
        <v>4711</v>
      </c>
      <c r="D1721" s="10">
        <v>19</v>
      </c>
      <c r="E1721" s="10">
        <v>2</v>
      </c>
      <c r="F1721" s="24">
        <v>15966.19</v>
      </c>
      <c r="G1721" s="10" t="s">
        <v>4695</v>
      </c>
      <c r="H1721" s="10" t="s">
        <v>4695</v>
      </c>
      <c r="I1721" s="10" t="s">
        <v>4712</v>
      </c>
      <c r="J1721" s="17">
        <f t="shared" si="12"/>
        <v>29483</v>
      </c>
      <c r="K1721" s="10">
        <f t="shared" ca="1" si="13"/>
        <v>45</v>
      </c>
      <c r="L1721" s="6"/>
      <c r="M1721" s="6"/>
      <c r="N1721" s="6"/>
      <c r="O1721" s="6"/>
      <c r="P1721" s="6"/>
      <c r="Q1721" s="6"/>
      <c r="R1721" s="6"/>
      <c r="S1721" s="6"/>
      <c r="T1721" s="6"/>
      <c r="U1721" s="6"/>
      <c r="V1721" s="6"/>
      <c r="W1721" s="6"/>
      <c r="X1721" s="6"/>
      <c r="Y1721" s="6"/>
      <c r="Z1721" s="6"/>
    </row>
    <row r="1722" spans="1:26" ht="15.75" customHeight="1" x14ac:dyDescent="0.3">
      <c r="A1722" s="10" t="s">
        <v>1238</v>
      </c>
      <c r="B1722" s="10">
        <v>1988</v>
      </c>
      <c r="C1722" s="10" t="s">
        <v>4713</v>
      </c>
      <c r="D1722" s="10">
        <v>5</v>
      </c>
      <c r="E1722" s="10">
        <v>3</v>
      </c>
      <c r="F1722" s="24">
        <v>16059.06</v>
      </c>
      <c r="G1722" s="10" t="s">
        <v>4695</v>
      </c>
      <c r="H1722" s="10" t="s">
        <v>4696</v>
      </c>
      <c r="I1722" s="10" t="s">
        <v>4712</v>
      </c>
      <c r="J1722" s="17">
        <f t="shared" si="12"/>
        <v>32482</v>
      </c>
      <c r="K1722" s="10">
        <f t="shared" ca="1" si="13"/>
        <v>36</v>
      </c>
      <c r="L1722" s="6"/>
      <c r="M1722" s="6"/>
      <c r="N1722" s="6"/>
      <c r="O1722" s="6"/>
      <c r="P1722" s="6"/>
      <c r="Q1722" s="6"/>
      <c r="R1722" s="6"/>
      <c r="S1722" s="6"/>
      <c r="T1722" s="6"/>
      <c r="U1722" s="6"/>
      <c r="V1722" s="6"/>
      <c r="W1722" s="6"/>
      <c r="X1722" s="6"/>
      <c r="Y1722" s="6"/>
      <c r="Z1722" s="6"/>
    </row>
    <row r="1723" spans="1:26" ht="15.75" customHeight="1" x14ac:dyDescent="0.3">
      <c r="A1723" s="10" t="s">
        <v>1236</v>
      </c>
      <c r="B1723" s="10">
        <v>1978</v>
      </c>
      <c r="C1723" s="10" t="s">
        <v>4711</v>
      </c>
      <c r="D1723" s="10">
        <v>16</v>
      </c>
      <c r="E1723" s="10">
        <v>2</v>
      </c>
      <c r="F1723" s="24">
        <v>16062.89</v>
      </c>
      <c r="G1723" s="10" t="s">
        <v>4695</v>
      </c>
      <c r="H1723" s="10" t="s">
        <v>4695</v>
      </c>
      <c r="I1723" s="10" t="s">
        <v>4729</v>
      </c>
      <c r="J1723" s="17">
        <f t="shared" si="12"/>
        <v>28749</v>
      </c>
      <c r="K1723" s="10">
        <f t="shared" ca="1" si="13"/>
        <v>47</v>
      </c>
      <c r="L1723" s="6"/>
      <c r="M1723" s="6"/>
      <c r="N1723" s="6"/>
      <c r="O1723" s="6"/>
      <c r="P1723" s="6"/>
      <c r="Q1723" s="6"/>
      <c r="R1723" s="6"/>
      <c r="S1723" s="6"/>
      <c r="T1723" s="6"/>
      <c r="U1723" s="6"/>
      <c r="V1723" s="6"/>
      <c r="W1723" s="6"/>
      <c r="X1723" s="6"/>
      <c r="Y1723" s="6"/>
      <c r="Z1723" s="6"/>
    </row>
    <row r="1724" spans="1:26" ht="15.75" customHeight="1" x14ac:dyDescent="0.3">
      <c r="A1724" s="10" t="s">
        <v>1234</v>
      </c>
      <c r="B1724" s="10">
        <v>1958</v>
      </c>
      <c r="C1724" s="10" t="s">
        <v>4715</v>
      </c>
      <c r="D1724" s="10">
        <v>22</v>
      </c>
      <c r="E1724" s="10">
        <v>2</v>
      </c>
      <c r="F1724" s="24">
        <v>16069.08</v>
      </c>
      <c r="G1724" s="10" t="s">
        <v>4695</v>
      </c>
      <c r="H1724" s="10" t="s">
        <v>4695</v>
      </c>
      <c r="I1724" s="10" t="s">
        <v>4723</v>
      </c>
      <c r="J1724" s="17">
        <f t="shared" si="12"/>
        <v>21480</v>
      </c>
      <c r="K1724" s="10">
        <f t="shared" ca="1" si="13"/>
        <v>67</v>
      </c>
      <c r="L1724" s="6"/>
      <c r="M1724" s="6"/>
      <c r="N1724" s="6"/>
      <c r="O1724" s="6"/>
      <c r="P1724" s="6"/>
      <c r="Q1724" s="6"/>
      <c r="R1724" s="6"/>
      <c r="S1724" s="6"/>
      <c r="T1724" s="6"/>
      <c r="U1724" s="6"/>
      <c r="V1724" s="6"/>
      <c r="W1724" s="6"/>
      <c r="X1724" s="6"/>
      <c r="Y1724" s="6"/>
      <c r="Z1724" s="6"/>
    </row>
    <row r="1725" spans="1:26" ht="15.75" customHeight="1" x14ac:dyDescent="0.3">
      <c r="A1725" s="10" t="s">
        <v>1232</v>
      </c>
      <c r="B1725" s="10">
        <v>1958</v>
      </c>
      <c r="C1725" s="10" t="s">
        <v>4710</v>
      </c>
      <c r="D1725" s="10">
        <v>21</v>
      </c>
      <c r="E1725" s="10">
        <v>3</v>
      </c>
      <c r="F1725" s="24">
        <v>16085.13</v>
      </c>
      <c r="G1725" s="10" t="s">
        <v>4695</v>
      </c>
      <c r="H1725" s="10" t="s">
        <v>4695</v>
      </c>
      <c r="I1725" s="10" t="s">
        <v>4708</v>
      </c>
      <c r="J1725" s="17">
        <f t="shared" si="12"/>
        <v>21357</v>
      </c>
      <c r="K1725" s="10">
        <f t="shared" ca="1" si="13"/>
        <v>67</v>
      </c>
      <c r="L1725" s="6"/>
      <c r="M1725" s="6"/>
      <c r="N1725" s="6"/>
      <c r="O1725" s="6"/>
      <c r="P1725" s="6"/>
      <c r="Q1725" s="6"/>
      <c r="R1725" s="6"/>
      <c r="S1725" s="6"/>
      <c r="T1725" s="6"/>
      <c r="U1725" s="6"/>
      <c r="V1725" s="6"/>
      <c r="W1725" s="6"/>
      <c r="X1725" s="6"/>
      <c r="Y1725" s="6"/>
      <c r="Z1725" s="6"/>
    </row>
    <row r="1726" spans="1:26" ht="15.75" customHeight="1" x14ac:dyDescent="0.3">
      <c r="A1726" s="10" t="s">
        <v>1230</v>
      </c>
      <c r="B1726" s="10">
        <v>1985</v>
      </c>
      <c r="C1726" s="10" t="s">
        <v>4714</v>
      </c>
      <c r="D1726" s="10">
        <v>27</v>
      </c>
      <c r="E1726" s="10">
        <v>3</v>
      </c>
      <c r="F1726" s="24">
        <v>16097.94</v>
      </c>
      <c r="G1726" s="10" t="s">
        <v>4695</v>
      </c>
      <c r="H1726" s="10" t="s">
        <v>4696</v>
      </c>
      <c r="I1726" s="10" t="s">
        <v>4712</v>
      </c>
      <c r="J1726" s="17">
        <f t="shared" si="12"/>
        <v>31286</v>
      </c>
      <c r="K1726" s="10">
        <f t="shared" ca="1" si="13"/>
        <v>40</v>
      </c>
      <c r="L1726" s="6"/>
      <c r="M1726" s="6"/>
      <c r="N1726" s="6"/>
      <c r="O1726" s="6"/>
      <c r="P1726" s="6"/>
      <c r="Q1726" s="6"/>
      <c r="R1726" s="6"/>
      <c r="S1726" s="6"/>
      <c r="T1726" s="6"/>
      <c r="U1726" s="6"/>
      <c r="V1726" s="6"/>
      <c r="W1726" s="6"/>
      <c r="X1726" s="6"/>
      <c r="Y1726" s="6"/>
      <c r="Z1726" s="6"/>
    </row>
    <row r="1727" spans="1:26" ht="15.75" customHeight="1" x14ac:dyDescent="0.3">
      <c r="A1727" s="10" t="s">
        <v>1228</v>
      </c>
      <c r="B1727" s="10">
        <v>1993</v>
      </c>
      <c r="C1727" s="10" t="s">
        <v>4714</v>
      </c>
      <c r="D1727" s="10">
        <v>8</v>
      </c>
      <c r="E1727" s="10">
        <v>0</v>
      </c>
      <c r="F1727" s="24">
        <v>16115.3</v>
      </c>
      <c r="G1727" s="10" t="s">
        <v>4695</v>
      </c>
      <c r="H1727" s="10" t="s">
        <v>4694</v>
      </c>
      <c r="I1727" s="10" t="s">
        <v>4723</v>
      </c>
      <c r="J1727" s="17">
        <f t="shared" si="12"/>
        <v>34189</v>
      </c>
      <c r="K1727" s="10">
        <f t="shared" ca="1" si="13"/>
        <v>32</v>
      </c>
      <c r="L1727" s="6"/>
      <c r="M1727" s="6"/>
      <c r="N1727" s="6"/>
      <c r="O1727" s="6"/>
      <c r="P1727" s="6"/>
      <c r="Q1727" s="6"/>
      <c r="R1727" s="6"/>
      <c r="S1727" s="6"/>
      <c r="T1727" s="6"/>
      <c r="U1727" s="6"/>
      <c r="V1727" s="6"/>
      <c r="W1727" s="6"/>
      <c r="X1727" s="6"/>
      <c r="Y1727" s="6"/>
      <c r="Z1727" s="6"/>
    </row>
    <row r="1728" spans="1:26" ht="15.75" customHeight="1" x14ac:dyDescent="0.3">
      <c r="A1728" s="10" t="s">
        <v>1226</v>
      </c>
      <c r="B1728" s="10">
        <v>1987</v>
      </c>
      <c r="C1728" s="10" t="s">
        <v>4715</v>
      </c>
      <c r="D1728" s="10">
        <v>6</v>
      </c>
      <c r="E1728" s="10">
        <v>3</v>
      </c>
      <c r="F1728" s="24">
        <v>16122.65</v>
      </c>
      <c r="G1728" s="10" t="s">
        <v>4695</v>
      </c>
      <c r="H1728" s="10" t="s">
        <v>4694</v>
      </c>
      <c r="I1728" s="10" t="s">
        <v>4716</v>
      </c>
      <c r="J1728" s="17">
        <f t="shared" si="12"/>
        <v>32056</v>
      </c>
      <c r="K1728" s="10">
        <f t="shared" ca="1" si="13"/>
        <v>38</v>
      </c>
      <c r="L1728" s="6"/>
      <c r="M1728" s="6"/>
      <c r="N1728" s="6"/>
      <c r="O1728" s="6"/>
      <c r="P1728" s="6"/>
      <c r="Q1728" s="6"/>
      <c r="R1728" s="6"/>
      <c r="S1728" s="6"/>
      <c r="T1728" s="6"/>
      <c r="U1728" s="6"/>
      <c r="V1728" s="6"/>
      <c r="W1728" s="6"/>
      <c r="X1728" s="6"/>
      <c r="Y1728" s="6"/>
      <c r="Z1728" s="6"/>
    </row>
    <row r="1729" spans="1:26" ht="15.75" customHeight="1" x14ac:dyDescent="0.3">
      <c r="A1729" s="10" t="s">
        <v>1224</v>
      </c>
      <c r="B1729" s="10">
        <v>1993</v>
      </c>
      <c r="C1729" s="10" t="s">
        <v>4713</v>
      </c>
      <c r="D1729" s="10">
        <v>12</v>
      </c>
      <c r="E1729" s="10">
        <v>0</v>
      </c>
      <c r="F1729" s="24">
        <v>16138.76</v>
      </c>
      <c r="G1729" s="10" t="s">
        <v>4695</v>
      </c>
      <c r="H1729" s="10" t="s">
        <v>4696</v>
      </c>
      <c r="I1729" s="10" t="s">
        <v>4727</v>
      </c>
      <c r="J1729" s="17">
        <f t="shared" si="12"/>
        <v>34315</v>
      </c>
      <c r="K1729" s="10">
        <f t="shared" ca="1" si="13"/>
        <v>31</v>
      </c>
      <c r="L1729" s="6"/>
      <c r="M1729" s="6"/>
      <c r="N1729" s="6"/>
      <c r="O1729" s="6"/>
      <c r="P1729" s="6"/>
      <c r="Q1729" s="6"/>
      <c r="R1729" s="6"/>
      <c r="S1729" s="6"/>
      <c r="T1729" s="6"/>
      <c r="U1729" s="6"/>
      <c r="V1729" s="6"/>
      <c r="W1729" s="6"/>
      <c r="X1729" s="6"/>
      <c r="Y1729" s="6"/>
      <c r="Z1729" s="6"/>
    </row>
    <row r="1730" spans="1:26" ht="15.75" customHeight="1" x14ac:dyDescent="0.3">
      <c r="A1730" s="10" t="s">
        <v>1222</v>
      </c>
      <c r="B1730" s="10">
        <v>1982</v>
      </c>
      <c r="C1730" s="10" t="s">
        <v>4707</v>
      </c>
      <c r="D1730" s="10">
        <v>6</v>
      </c>
      <c r="E1730" s="10">
        <v>3</v>
      </c>
      <c r="F1730" s="24">
        <v>16152.04</v>
      </c>
      <c r="G1730" s="10" t="s">
        <v>4695</v>
      </c>
      <c r="H1730" s="10" t="s">
        <v>4694</v>
      </c>
      <c r="I1730" s="10" t="s">
        <v>4729</v>
      </c>
      <c r="J1730" s="17">
        <f t="shared" si="12"/>
        <v>30138</v>
      </c>
      <c r="K1730" s="10">
        <f t="shared" ca="1" si="13"/>
        <v>43</v>
      </c>
      <c r="L1730" s="6"/>
      <c r="M1730" s="6"/>
      <c r="N1730" s="6"/>
      <c r="O1730" s="6"/>
      <c r="P1730" s="6"/>
      <c r="Q1730" s="6"/>
      <c r="R1730" s="6"/>
      <c r="S1730" s="6"/>
      <c r="T1730" s="6"/>
      <c r="U1730" s="6"/>
      <c r="V1730" s="6"/>
      <c r="W1730" s="6"/>
      <c r="X1730" s="6"/>
      <c r="Y1730" s="6"/>
      <c r="Z1730" s="6"/>
    </row>
    <row r="1731" spans="1:26" ht="15.75" customHeight="1" x14ac:dyDescent="0.3">
      <c r="A1731" s="10" t="s">
        <v>1220</v>
      </c>
      <c r="B1731" s="10">
        <v>1974</v>
      </c>
      <c r="C1731" s="10" t="s">
        <v>4711</v>
      </c>
      <c r="D1731" s="10">
        <v>11</v>
      </c>
      <c r="E1731" s="10">
        <v>0</v>
      </c>
      <c r="F1731" s="24">
        <v>16190.97</v>
      </c>
      <c r="G1731" s="10" t="s">
        <v>4695</v>
      </c>
      <c r="H1731" s="10" t="s">
        <v>4696</v>
      </c>
      <c r="I1731" s="10" t="s">
        <v>4712</v>
      </c>
      <c r="J1731" s="17">
        <f t="shared" si="12"/>
        <v>27283</v>
      </c>
      <c r="K1731" s="10">
        <f t="shared" ca="1" si="13"/>
        <v>51</v>
      </c>
      <c r="L1731" s="6"/>
      <c r="M1731" s="6"/>
      <c r="N1731" s="6"/>
      <c r="O1731" s="6"/>
      <c r="P1731" s="6"/>
      <c r="Q1731" s="6"/>
      <c r="R1731" s="6"/>
      <c r="S1731" s="6"/>
      <c r="T1731" s="6"/>
      <c r="U1731" s="6"/>
      <c r="V1731" s="6"/>
      <c r="W1731" s="6"/>
      <c r="X1731" s="6"/>
      <c r="Y1731" s="6"/>
      <c r="Z1731" s="6"/>
    </row>
    <row r="1732" spans="1:26" ht="15.75" customHeight="1" x14ac:dyDescent="0.3">
      <c r="A1732" s="10" t="s">
        <v>1218</v>
      </c>
      <c r="B1732" s="10">
        <v>1988</v>
      </c>
      <c r="C1732" s="10" t="s">
        <v>4714</v>
      </c>
      <c r="D1732" s="10">
        <v>6</v>
      </c>
      <c r="E1732" s="10">
        <v>3</v>
      </c>
      <c r="F1732" s="24">
        <v>16199.1</v>
      </c>
      <c r="G1732" s="10" t="s">
        <v>4695</v>
      </c>
      <c r="H1732" s="10" t="s">
        <v>4695</v>
      </c>
      <c r="I1732" s="10" t="s">
        <v>4712</v>
      </c>
      <c r="J1732" s="17">
        <f t="shared" si="12"/>
        <v>32361</v>
      </c>
      <c r="K1732" s="10">
        <f t="shared" ca="1" si="13"/>
        <v>37</v>
      </c>
      <c r="L1732" s="6"/>
      <c r="M1732" s="6"/>
      <c r="N1732" s="6"/>
      <c r="O1732" s="6"/>
      <c r="P1732" s="6"/>
      <c r="Q1732" s="6"/>
      <c r="R1732" s="6"/>
      <c r="S1732" s="6"/>
      <c r="T1732" s="6"/>
      <c r="U1732" s="6"/>
      <c r="V1732" s="6"/>
      <c r="W1732" s="6"/>
      <c r="X1732" s="6"/>
      <c r="Y1732" s="6"/>
      <c r="Z1732" s="6"/>
    </row>
    <row r="1733" spans="1:26" ht="15.75" customHeight="1" x14ac:dyDescent="0.3">
      <c r="A1733" s="10" t="s">
        <v>1216</v>
      </c>
      <c r="B1733" s="10">
        <v>1988</v>
      </c>
      <c r="C1733" s="10" t="s">
        <v>4714</v>
      </c>
      <c r="D1733" s="10">
        <v>21</v>
      </c>
      <c r="E1733" s="10">
        <v>3</v>
      </c>
      <c r="F1733" s="24">
        <v>16205.88</v>
      </c>
      <c r="G1733" s="10" t="s">
        <v>4695</v>
      </c>
      <c r="H1733" s="10" t="s">
        <v>4694</v>
      </c>
      <c r="I1733" s="10" t="s">
        <v>4712</v>
      </c>
      <c r="J1733" s="17">
        <f t="shared" si="12"/>
        <v>32376</v>
      </c>
      <c r="K1733" s="10">
        <f t="shared" ca="1" si="13"/>
        <v>37</v>
      </c>
      <c r="L1733" s="6"/>
      <c r="M1733" s="6"/>
      <c r="N1733" s="6"/>
      <c r="O1733" s="6"/>
      <c r="P1733" s="6"/>
      <c r="Q1733" s="6"/>
      <c r="R1733" s="6"/>
      <c r="S1733" s="6"/>
      <c r="T1733" s="6"/>
      <c r="U1733" s="6"/>
      <c r="V1733" s="6"/>
      <c r="W1733" s="6"/>
      <c r="X1733" s="6"/>
      <c r="Y1733" s="6"/>
      <c r="Z1733" s="6"/>
    </row>
    <row r="1734" spans="1:26" ht="15.75" customHeight="1" x14ac:dyDescent="0.3">
      <c r="A1734" s="10" t="s">
        <v>1214</v>
      </c>
      <c r="B1734" s="10">
        <v>2002</v>
      </c>
      <c r="C1734" s="10" t="s">
        <v>4711</v>
      </c>
      <c r="D1734" s="10">
        <v>8</v>
      </c>
      <c r="E1734" s="10">
        <v>0</v>
      </c>
      <c r="F1734" s="24">
        <v>16232.85</v>
      </c>
      <c r="G1734" s="10" t="s">
        <v>4695</v>
      </c>
      <c r="H1734" s="10" t="s">
        <v>4694</v>
      </c>
      <c r="I1734" s="10" t="s">
        <v>4716</v>
      </c>
      <c r="J1734" s="17">
        <f t="shared" si="12"/>
        <v>37507</v>
      </c>
      <c r="K1734" s="10">
        <f t="shared" ca="1" si="13"/>
        <v>23</v>
      </c>
      <c r="L1734" s="6"/>
      <c r="M1734" s="6"/>
      <c r="N1734" s="6"/>
      <c r="O1734" s="6"/>
      <c r="P1734" s="6"/>
      <c r="Q1734" s="6"/>
      <c r="R1734" s="6"/>
      <c r="S1734" s="6"/>
      <c r="T1734" s="6"/>
      <c r="U1734" s="6"/>
      <c r="V1734" s="6"/>
      <c r="W1734" s="6"/>
      <c r="X1734" s="6"/>
      <c r="Y1734" s="6"/>
      <c r="Z1734" s="6"/>
    </row>
    <row r="1735" spans="1:26" ht="15.75" customHeight="1" x14ac:dyDescent="0.3">
      <c r="A1735" s="10" t="s">
        <v>1212</v>
      </c>
      <c r="B1735" s="10">
        <v>1972</v>
      </c>
      <c r="C1735" s="10" t="s">
        <v>4707</v>
      </c>
      <c r="D1735" s="10">
        <v>30</v>
      </c>
      <c r="E1735" s="10">
        <v>0</v>
      </c>
      <c r="F1735" s="24">
        <v>16267.32</v>
      </c>
      <c r="G1735" s="10" t="s">
        <v>4695</v>
      </c>
      <c r="H1735" s="10" t="s">
        <v>4695</v>
      </c>
      <c r="I1735" s="10" t="s">
        <v>4724</v>
      </c>
      <c r="J1735" s="17">
        <f t="shared" si="12"/>
        <v>26510</v>
      </c>
      <c r="K1735" s="10">
        <f t="shared" ca="1" si="13"/>
        <v>53</v>
      </c>
      <c r="L1735" s="6"/>
      <c r="M1735" s="6"/>
      <c r="N1735" s="6"/>
      <c r="O1735" s="6"/>
      <c r="P1735" s="6"/>
      <c r="Q1735" s="6"/>
      <c r="R1735" s="6"/>
      <c r="S1735" s="6"/>
      <c r="T1735" s="6"/>
      <c r="U1735" s="6"/>
      <c r="V1735" s="6"/>
      <c r="W1735" s="6"/>
      <c r="X1735" s="6"/>
      <c r="Y1735" s="6"/>
      <c r="Z1735" s="6"/>
    </row>
    <row r="1736" spans="1:26" ht="15.75" customHeight="1" x14ac:dyDescent="0.3">
      <c r="A1736" s="10" t="s">
        <v>1210</v>
      </c>
      <c r="B1736" s="10">
        <v>2003</v>
      </c>
      <c r="C1736" s="10" t="s">
        <v>4714</v>
      </c>
      <c r="D1736" s="10">
        <v>24</v>
      </c>
      <c r="E1736" s="10">
        <v>0</v>
      </c>
      <c r="F1736" s="24">
        <v>16297.85</v>
      </c>
      <c r="G1736" s="10" t="s">
        <v>4695</v>
      </c>
      <c r="H1736" s="10" t="s">
        <v>4696</v>
      </c>
      <c r="I1736" s="10" t="s">
        <v>4716</v>
      </c>
      <c r="J1736" s="17">
        <f t="shared" si="12"/>
        <v>37857</v>
      </c>
      <c r="K1736" s="10">
        <f t="shared" ca="1" si="13"/>
        <v>22</v>
      </c>
      <c r="L1736" s="6"/>
      <c r="M1736" s="6"/>
      <c r="N1736" s="6"/>
      <c r="O1736" s="6"/>
      <c r="P1736" s="6"/>
      <c r="Q1736" s="6"/>
      <c r="R1736" s="6"/>
      <c r="S1736" s="6"/>
      <c r="T1736" s="6"/>
      <c r="U1736" s="6"/>
      <c r="V1736" s="6"/>
      <c r="W1736" s="6"/>
      <c r="X1736" s="6"/>
      <c r="Y1736" s="6"/>
      <c r="Z1736" s="6"/>
    </row>
    <row r="1737" spans="1:26" ht="15.75" customHeight="1" x14ac:dyDescent="0.3">
      <c r="A1737" s="10" t="s">
        <v>1208</v>
      </c>
      <c r="B1737" s="10">
        <v>1969</v>
      </c>
      <c r="C1737" s="10" t="s">
        <v>4714</v>
      </c>
      <c r="D1737" s="10">
        <v>8</v>
      </c>
      <c r="E1737" s="10">
        <v>0</v>
      </c>
      <c r="F1737" s="24">
        <v>16311.05</v>
      </c>
      <c r="G1737" s="10" t="s">
        <v>4695</v>
      </c>
      <c r="H1737" s="10" t="s">
        <v>4696</v>
      </c>
      <c r="I1737" s="10" t="s">
        <v>4729</v>
      </c>
      <c r="J1737" s="17">
        <f t="shared" si="12"/>
        <v>25423</v>
      </c>
      <c r="K1737" s="10">
        <f t="shared" ca="1" si="13"/>
        <v>56</v>
      </c>
      <c r="L1737" s="6"/>
      <c r="M1737" s="6"/>
      <c r="N1737" s="6"/>
      <c r="O1737" s="6"/>
      <c r="P1737" s="6"/>
      <c r="Q1737" s="6"/>
      <c r="R1737" s="6"/>
      <c r="S1737" s="6"/>
      <c r="T1737" s="6"/>
      <c r="U1737" s="6"/>
      <c r="V1737" s="6"/>
      <c r="W1737" s="6"/>
      <c r="X1737" s="6"/>
      <c r="Y1737" s="6"/>
      <c r="Z1737" s="6"/>
    </row>
    <row r="1738" spans="1:26" ht="15.75" customHeight="1" x14ac:dyDescent="0.3">
      <c r="A1738" s="10" t="s">
        <v>1206</v>
      </c>
      <c r="B1738" s="10">
        <v>1965</v>
      </c>
      <c r="C1738" s="10" t="s">
        <v>4713</v>
      </c>
      <c r="D1738" s="10">
        <v>5</v>
      </c>
      <c r="E1738" s="10">
        <v>0</v>
      </c>
      <c r="F1738" s="24">
        <v>16351.42</v>
      </c>
      <c r="G1738" s="10" t="s">
        <v>4695</v>
      </c>
      <c r="H1738" s="10" t="s">
        <v>4696</v>
      </c>
      <c r="I1738" s="10" t="s">
        <v>4729</v>
      </c>
      <c r="J1738" s="17">
        <f t="shared" si="12"/>
        <v>24081</v>
      </c>
      <c r="K1738" s="10">
        <f t="shared" ca="1" si="13"/>
        <v>59</v>
      </c>
      <c r="L1738" s="6"/>
      <c r="M1738" s="6"/>
      <c r="N1738" s="6"/>
      <c r="O1738" s="6"/>
      <c r="P1738" s="6"/>
      <c r="Q1738" s="6"/>
      <c r="R1738" s="6"/>
      <c r="S1738" s="6"/>
      <c r="T1738" s="6"/>
      <c r="U1738" s="6"/>
      <c r="V1738" s="6"/>
      <c r="W1738" s="6"/>
      <c r="X1738" s="6"/>
      <c r="Y1738" s="6"/>
      <c r="Z1738" s="6"/>
    </row>
    <row r="1739" spans="1:26" ht="15.75" customHeight="1" x14ac:dyDescent="0.3">
      <c r="A1739" s="10" t="s">
        <v>1204</v>
      </c>
      <c r="B1739" s="10">
        <v>1995</v>
      </c>
      <c r="C1739" s="10" t="s">
        <v>4711</v>
      </c>
      <c r="D1739" s="10">
        <v>28</v>
      </c>
      <c r="E1739" s="10">
        <v>3</v>
      </c>
      <c r="F1739" s="24">
        <v>16420.490000000002</v>
      </c>
      <c r="G1739" s="10" t="s">
        <v>4695</v>
      </c>
      <c r="H1739" s="10" t="s">
        <v>4696</v>
      </c>
      <c r="I1739" s="10" t="s">
        <v>4712</v>
      </c>
      <c r="J1739" s="17">
        <f t="shared" si="12"/>
        <v>34970</v>
      </c>
      <c r="K1739" s="10">
        <f t="shared" ca="1" si="13"/>
        <v>30</v>
      </c>
      <c r="L1739" s="6"/>
      <c r="M1739" s="6"/>
      <c r="N1739" s="6"/>
      <c r="O1739" s="6"/>
      <c r="P1739" s="6"/>
      <c r="Q1739" s="6"/>
      <c r="R1739" s="6"/>
      <c r="S1739" s="6"/>
      <c r="T1739" s="6"/>
      <c r="U1739" s="6"/>
      <c r="V1739" s="6"/>
      <c r="W1739" s="6"/>
      <c r="X1739" s="6"/>
      <c r="Y1739" s="6"/>
      <c r="Z1739" s="6"/>
    </row>
    <row r="1740" spans="1:26" ht="15.75" customHeight="1" x14ac:dyDescent="0.3">
      <c r="A1740" s="10" t="s">
        <v>1202</v>
      </c>
      <c r="B1740" s="10">
        <v>2003</v>
      </c>
      <c r="C1740" s="10" t="s">
        <v>4713</v>
      </c>
      <c r="D1740" s="10">
        <v>20</v>
      </c>
      <c r="E1740" s="10">
        <v>1</v>
      </c>
      <c r="F1740" s="24">
        <v>16450.89</v>
      </c>
      <c r="G1740" s="10" t="s">
        <v>4695</v>
      </c>
      <c r="H1740" s="10" t="s">
        <v>4694</v>
      </c>
      <c r="I1740" s="10" t="s">
        <v>4712</v>
      </c>
      <c r="J1740" s="17">
        <f t="shared" si="12"/>
        <v>37975</v>
      </c>
      <c r="K1740" s="10">
        <f t="shared" ca="1" si="13"/>
        <v>21</v>
      </c>
      <c r="L1740" s="6"/>
      <c r="M1740" s="6"/>
      <c r="N1740" s="6"/>
      <c r="O1740" s="6"/>
      <c r="P1740" s="6"/>
      <c r="Q1740" s="6"/>
      <c r="R1740" s="6"/>
      <c r="S1740" s="6"/>
      <c r="T1740" s="6"/>
      <c r="U1740" s="6"/>
      <c r="V1740" s="6"/>
      <c r="W1740" s="6"/>
      <c r="X1740" s="6"/>
      <c r="Y1740" s="6"/>
      <c r="Z1740" s="6"/>
    </row>
    <row r="1741" spans="1:26" ht="15.75" customHeight="1" x14ac:dyDescent="0.3">
      <c r="A1741" s="10" t="s">
        <v>1200</v>
      </c>
      <c r="B1741" s="10">
        <v>1958</v>
      </c>
      <c r="C1741" s="10" t="s">
        <v>4715</v>
      </c>
      <c r="D1741" s="10">
        <v>10</v>
      </c>
      <c r="E1741" s="10">
        <v>3</v>
      </c>
      <c r="F1741" s="24">
        <v>16455.71</v>
      </c>
      <c r="G1741" s="10" t="s">
        <v>4695</v>
      </c>
      <c r="H1741" s="10" t="s">
        <v>4695</v>
      </c>
      <c r="I1741" s="10" t="s">
        <v>4712</v>
      </c>
      <c r="J1741" s="17">
        <f t="shared" si="12"/>
        <v>21468</v>
      </c>
      <c r="K1741" s="10">
        <f t="shared" ca="1" si="13"/>
        <v>67</v>
      </c>
      <c r="L1741" s="6"/>
      <c r="M1741" s="6"/>
      <c r="N1741" s="6"/>
      <c r="O1741" s="6"/>
      <c r="P1741" s="6"/>
      <c r="Q1741" s="6"/>
      <c r="R1741" s="6"/>
      <c r="S1741" s="6"/>
      <c r="T1741" s="6"/>
      <c r="U1741" s="6"/>
      <c r="V1741" s="6"/>
      <c r="W1741" s="6"/>
      <c r="X1741" s="6"/>
      <c r="Y1741" s="6"/>
      <c r="Z1741" s="6"/>
    </row>
    <row r="1742" spans="1:26" ht="15.75" customHeight="1" x14ac:dyDescent="0.3">
      <c r="A1742" s="10" t="s">
        <v>1198</v>
      </c>
      <c r="B1742" s="10">
        <v>1995</v>
      </c>
      <c r="C1742" s="10" t="s">
        <v>4713</v>
      </c>
      <c r="D1742" s="10">
        <v>23</v>
      </c>
      <c r="E1742" s="10">
        <v>0</v>
      </c>
      <c r="F1742" s="24">
        <v>16577.78</v>
      </c>
      <c r="G1742" s="10" t="s">
        <v>4695</v>
      </c>
      <c r="H1742" s="10" t="s">
        <v>4694</v>
      </c>
      <c r="I1742" s="10" t="s">
        <v>4708</v>
      </c>
      <c r="J1742" s="17">
        <f t="shared" si="12"/>
        <v>35056</v>
      </c>
      <c r="K1742" s="10">
        <f t="shared" ca="1" si="13"/>
        <v>29</v>
      </c>
      <c r="L1742" s="6"/>
      <c r="M1742" s="6"/>
      <c r="N1742" s="6"/>
      <c r="O1742" s="6"/>
      <c r="P1742" s="6"/>
      <c r="Q1742" s="6"/>
      <c r="R1742" s="6"/>
      <c r="S1742" s="6"/>
      <c r="T1742" s="6"/>
      <c r="U1742" s="6"/>
      <c r="V1742" s="6"/>
      <c r="W1742" s="6"/>
      <c r="X1742" s="6"/>
      <c r="Y1742" s="6"/>
      <c r="Z1742" s="6"/>
    </row>
    <row r="1743" spans="1:26" ht="15.75" customHeight="1" x14ac:dyDescent="0.3">
      <c r="A1743" s="10" t="s">
        <v>1196</v>
      </c>
      <c r="B1743" s="10">
        <v>2001</v>
      </c>
      <c r="C1743" s="10" t="s">
        <v>4710</v>
      </c>
      <c r="D1743" s="10">
        <v>25</v>
      </c>
      <c r="E1743" s="10">
        <v>0</v>
      </c>
      <c r="F1743" s="24">
        <v>16586.5</v>
      </c>
      <c r="G1743" s="10" t="s">
        <v>4695</v>
      </c>
      <c r="H1743" s="10" t="s">
        <v>4694</v>
      </c>
      <c r="I1743" s="10" t="s">
        <v>4708</v>
      </c>
      <c r="J1743" s="17">
        <f t="shared" si="12"/>
        <v>37067</v>
      </c>
      <c r="K1743" s="10">
        <f t="shared" ca="1" si="13"/>
        <v>24</v>
      </c>
      <c r="L1743" s="6"/>
      <c r="M1743" s="6"/>
      <c r="N1743" s="6"/>
      <c r="O1743" s="6"/>
      <c r="P1743" s="6"/>
      <c r="Q1743" s="6"/>
      <c r="R1743" s="6"/>
      <c r="S1743" s="6"/>
      <c r="T1743" s="6"/>
      <c r="U1743" s="6"/>
      <c r="V1743" s="6"/>
      <c r="W1743" s="6"/>
      <c r="X1743" s="6"/>
      <c r="Y1743" s="6"/>
      <c r="Z1743" s="6"/>
    </row>
    <row r="1744" spans="1:26" ht="15.75" customHeight="1" x14ac:dyDescent="0.3">
      <c r="A1744" s="10" t="s">
        <v>1194</v>
      </c>
      <c r="B1744" s="10">
        <v>1963</v>
      </c>
      <c r="C1744" s="10" t="s">
        <v>4710</v>
      </c>
      <c r="D1744" s="10">
        <v>25</v>
      </c>
      <c r="E1744" s="10">
        <v>0</v>
      </c>
      <c r="F1744" s="24">
        <v>16587.96</v>
      </c>
      <c r="G1744" s="10" t="s">
        <v>4695</v>
      </c>
      <c r="H1744" s="10" t="s">
        <v>4695</v>
      </c>
      <c r="I1744" s="10" t="s">
        <v>4724</v>
      </c>
      <c r="J1744" s="17">
        <f t="shared" si="12"/>
        <v>23187</v>
      </c>
      <c r="K1744" s="10">
        <f t="shared" ca="1" si="13"/>
        <v>62</v>
      </c>
      <c r="L1744" s="6"/>
      <c r="M1744" s="6"/>
      <c r="N1744" s="6"/>
      <c r="O1744" s="6"/>
      <c r="P1744" s="6"/>
      <c r="Q1744" s="6"/>
      <c r="R1744" s="6"/>
      <c r="S1744" s="6"/>
      <c r="T1744" s="6"/>
      <c r="U1744" s="6"/>
      <c r="V1744" s="6"/>
      <c r="W1744" s="6"/>
      <c r="X1744" s="6"/>
      <c r="Y1744" s="6"/>
      <c r="Z1744" s="6"/>
    </row>
    <row r="1745" spans="1:26" ht="15.75" customHeight="1" x14ac:dyDescent="0.3">
      <c r="A1745" s="10" t="s">
        <v>1192</v>
      </c>
      <c r="B1745" s="10">
        <v>1970</v>
      </c>
      <c r="C1745" s="10" t="s">
        <v>4707</v>
      </c>
      <c r="D1745" s="10">
        <v>10</v>
      </c>
      <c r="E1745" s="10">
        <v>0</v>
      </c>
      <c r="F1745" s="24">
        <v>16600.16</v>
      </c>
      <c r="G1745" s="10" t="s">
        <v>4695</v>
      </c>
      <c r="H1745" s="10" t="s">
        <v>4695</v>
      </c>
      <c r="I1745" s="10" t="s">
        <v>4716</v>
      </c>
      <c r="J1745" s="17">
        <f t="shared" si="12"/>
        <v>25759</v>
      </c>
      <c r="K1745" s="10">
        <f t="shared" ca="1" si="13"/>
        <v>55</v>
      </c>
      <c r="L1745" s="6"/>
      <c r="M1745" s="6"/>
      <c r="N1745" s="6"/>
      <c r="O1745" s="6"/>
      <c r="P1745" s="6"/>
      <c r="Q1745" s="6"/>
      <c r="R1745" s="6"/>
      <c r="S1745" s="6"/>
      <c r="T1745" s="6"/>
      <c r="U1745" s="6"/>
      <c r="V1745" s="6"/>
      <c r="W1745" s="6"/>
      <c r="X1745" s="6"/>
      <c r="Y1745" s="6"/>
      <c r="Z1745" s="6"/>
    </row>
    <row r="1746" spans="1:26" ht="15.75" customHeight="1" x14ac:dyDescent="0.3">
      <c r="A1746" s="10" t="s">
        <v>1190</v>
      </c>
      <c r="B1746" s="10">
        <v>1975</v>
      </c>
      <c r="C1746" s="10" t="s">
        <v>4707</v>
      </c>
      <c r="D1746" s="10">
        <v>24</v>
      </c>
      <c r="E1746" s="10">
        <v>1</v>
      </c>
      <c r="F1746" s="24">
        <v>16602.18</v>
      </c>
      <c r="G1746" s="10" t="s">
        <v>4695</v>
      </c>
      <c r="H1746" s="10" t="s">
        <v>4694</v>
      </c>
      <c r="I1746" s="10" t="s">
        <v>4729</v>
      </c>
      <c r="J1746" s="17">
        <f t="shared" si="12"/>
        <v>27599</v>
      </c>
      <c r="K1746" s="10">
        <f t="shared" ca="1" si="13"/>
        <v>50</v>
      </c>
      <c r="L1746" s="6"/>
      <c r="M1746" s="6"/>
      <c r="N1746" s="6"/>
      <c r="O1746" s="6"/>
      <c r="P1746" s="6"/>
      <c r="Q1746" s="6"/>
      <c r="R1746" s="6"/>
      <c r="S1746" s="6"/>
      <c r="T1746" s="6"/>
      <c r="U1746" s="6"/>
      <c r="V1746" s="6"/>
      <c r="W1746" s="6"/>
      <c r="X1746" s="6"/>
      <c r="Y1746" s="6"/>
      <c r="Z1746" s="6"/>
    </row>
    <row r="1747" spans="1:26" ht="15.75" customHeight="1" x14ac:dyDescent="0.3">
      <c r="A1747" s="10" t="s">
        <v>1188</v>
      </c>
      <c r="B1747" s="10">
        <v>1977</v>
      </c>
      <c r="C1747" s="10" t="s">
        <v>4711</v>
      </c>
      <c r="D1747" s="10">
        <v>25</v>
      </c>
      <c r="E1747" s="10">
        <v>2</v>
      </c>
      <c r="F1747" s="24">
        <v>16631.61</v>
      </c>
      <c r="G1747" s="10" t="s">
        <v>4695</v>
      </c>
      <c r="H1747" s="10" t="s">
        <v>4694</v>
      </c>
      <c r="I1747" s="10" t="s">
        <v>4712</v>
      </c>
      <c r="J1747" s="17">
        <f t="shared" si="12"/>
        <v>28393</v>
      </c>
      <c r="K1747" s="10">
        <f t="shared" ca="1" si="13"/>
        <v>48</v>
      </c>
      <c r="L1747" s="6"/>
      <c r="M1747" s="6"/>
      <c r="N1747" s="6"/>
      <c r="O1747" s="6"/>
      <c r="P1747" s="6"/>
      <c r="Q1747" s="6"/>
      <c r="R1747" s="6"/>
      <c r="S1747" s="6"/>
      <c r="T1747" s="6"/>
      <c r="U1747" s="6"/>
      <c r="V1747" s="6"/>
      <c r="W1747" s="6"/>
      <c r="X1747" s="6"/>
      <c r="Y1747" s="6"/>
      <c r="Z1747" s="6"/>
    </row>
    <row r="1748" spans="1:26" ht="15.75" customHeight="1" x14ac:dyDescent="0.3">
      <c r="A1748" s="10" t="s">
        <v>1186</v>
      </c>
      <c r="B1748" s="10">
        <v>1993</v>
      </c>
      <c r="C1748" s="10" t="s">
        <v>4709</v>
      </c>
      <c r="D1748" s="10">
        <v>5</v>
      </c>
      <c r="E1748" s="10">
        <v>1</v>
      </c>
      <c r="F1748" s="24">
        <v>16657.72</v>
      </c>
      <c r="G1748" s="10" t="s">
        <v>4695</v>
      </c>
      <c r="H1748" s="10" t="s">
        <v>4694</v>
      </c>
      <c r="I1748" s="10" t="s">
        <v>4723</v>
      </c>
      <c r="J1748" s="17">
        <f t="shared" si="12"/>
        <v>34278</v>
      </c>
      <c r="K1748" s="10">
        <f t="shared" ca="1" si="13"/>
        <v>32</v>
      </c>
      <c r="L1748" s="6"/>
      <c r="M1748" s="6"/>
      <c r="N1748" s="6"/>
      <c r="O1748" s="6"/>
      <c r="P1748" s="6"/>
      <c r="Q1748" s="6"/>
      <c r="R1748" s="6"/>
      <c r="S1748" s="6"/>
      <c r="T1748" s="6"/>
      <c r="U1748" s="6"/>
      <c r="V1748" s="6"/>
      <c r="W1748" s="6"/>
      <c r="X1748" s="6"/>
      <c r="Y1748" s="6"/>
      <c r="Z1748" s="6"/>
    </row>
    <row r="1749" spans="1:26" ht="15.75" customHeight="1" x14ac:dyDescent="0.3">
      <c r="A1749" s="10" t="s">
        <v>1184</v>
      </c>
      <c r="B1749" s="10">
        <v>1974</v>
      </c>
      <c r="C1749" s="10" t="s">
        <v>4714</v>
      </c>
      <c r="D1749" s="10">
        <v>28</v>
      </c>
      <c r="E1749" s="10">
        <v>0</v>
      </c>
      <c r="F1749" s="24">
        <v>16770.990000000002</v>
      </c>
      <c r="G1749" s="10" t="s">
        <v>4695</v>
      </c>
      <c r="H1749" s="10" t="s">
        <v>4694</v>
      </c>
      <c r="I1749" s="10" t="s">
        <v>4712</v>
      </c>
      <c r="J1749" s="17">
        <f t="shared" si="12"/>
        <v>27269</v>
      </c>
      <c r="K1749" s="10">
        <f t="shared" ca="1" si="13"/>
        <v>51</v>
      </c>
      <c r="L1749" s="6"/>
      <c r="M1749" s="6"/>
      <c r="N1749" s="6"/>
      <c r="O1749" s="6"/>
      <c r="P1749" s="6"/>
      <c r="Q1749" s="6"/>
      <c r="R1749" s="6"/>
      <c r="S1749" s="6"/>
      <c r="T1749" s="6"/>
      <c r="U1749" s="6"/>
      <c r="V1749" s="6"/>
      <c r="W1749" s="6"/>
      <c r="X1749" s="6"/>
      <c r="Y1749" s="6"/>
      <c r="Z1749" s="6"/>
    </row>
    <row r="1750" spans="1:26" ht="15.75" customHeight="1" x14ac:dyDescent="0.3">
      <c r="A1750" s="10" t="s">
        <v>1182</v>
      </c>
      <c r="B1750" s="10">
        <v>1989</v>
      </c>
      <c r="C1750" s="10" t="s">
        <v>4711</v>
      </c>
      <c r="D1750" s="10">
        <v>23</v>
      </c>
      <c r="E1750" s="10">
        <v>2</v>
      </c>
      <c r="F1750" s="24">
        <v>16776.3</v>
      </c>
      <c r="G1750" s="10" t="s">
        <v>4695</v>
      </c>
      <c r="H1750" s="10" t="s">
        <v>4695</v>
      </c>
      <c r="I1750" s="10" t="s">
        <v>4723</v>
      </c>
      <c r="J1750" s="17">
        <f t="shared" si="12"/>
        <v>32774</v>
      </c>
      <c r="K1750" s="10">
        <f t="shared" ca="1" si="13"/>
        <v>36</v>
      </c>
      <c r="L1750" s="6"/>
      <c r="M1750" s="6"/>
      <c r="N1750" s="6"/>
      <c r="O1750" s="6"/>
      <c r="P1750" s="6"/>
      <c r="Q1750" s="6"/>
      <c r="R1750" s="6"/>
      <c r="S1750" s="6"/>
      <c r="T1750" s="6"/>
      <c r="U1750" s="6"/>
      <c r="V1750" s="6"/>
      <c r="W1750" s="6"/>
      <c r="X1750" s="6"/>
      <c r="Y1750" s="6"/>
      <c r="Z1750" s="6"/>
    </row>
    <row r="1751" spans="1:26" ht="15.75" customHeight="1" x14ac:dyDescent="0.3">
      <c r="A1751" s="10" t="s">
        <v>1180</v>
      </c>
      <c r="B1751" s="10">
        <v>1962</v>
      </c>
      <c r="C1751" s="10" t="s">
        <v>4707</v>
      </c>
      <c r="D1751" s="10">
        <v>29</v>
      </c>
      <c r="E1751" s="10">
        <v>0</v>
      </c>
      <c r="F1751" s="24">
        <v>16779.400000000001</v>
      </c>
      <c r="G1751" s="10" t="s">
        <v>4695</v>
      </c>
      <c r="H1751" s="10" t="s">
        <v>4695</v>
      </c>
      <c r="I1751" s="10" t="s">
        <v>4729</v>
      </c>
      <c r="J1751" s="17">
        <f t="shared" si="12"/>
        <v>22856</v>
      </c>
      <c r="K1751" s="10">
        <f t="shared" ca="1" si="13"/>
        <v>63</v>
      </c>
      <c r="L1751" s="6"/>
      <c r="M1751" s="6"/>
      <c r="N1751" s="6"/>
      <c r="O1751" s="6"/>
      <c r="P1751" s="6"/>
      <c r="Q1751" s="6"/>
      <c r="R1751" s="6"/>
      <c r="S1751" s="6"/>
      <c r="T1751" s="6"/>
      <c r="U1751" s="6"/>
      <c r="V1751" s="6"/>
      <c r="W1751" s="6"/>
      <c r="X1751" s="6"/>
      <c r="Y1751" s="6"/>
      <c r="Z1751" s="6"/>
    </row>
    <row r="1752" spans="1:26" ht="15.75" customHeight="1" x14ac:dyDescent="0.3">
      <c r="A1752" s="10" t="s">
        <v>1178</v>
      </c>
      <c r="B1752" s="10">
        <v>1995</v>
      </c>
      <c r="C1752" s="10" t="s">
        <v>4715</v>
      </c>
      <c r="D1752" s="10">
        <v>19</v>
      </c>
      <c r="E1752" s="10">
        <v>1</v>
      </c>
      <c r="F1752" s="24">
        <v>16796.41</v>
      </c>
      <c r="G1752" s="10" t="s">
        <v>4695</v>
      </c>
      <c r="H1752" s="10" t="s">
        <v>4696</v>
      </c>
      <c r="I1752" s="10" t="s">
        <v>4723</v>
      </c>
      <c r="J1752" s="17">
        <f t="shared" si="12"/>
        <v>34991</v>
      </c>
      <c r="K1752" s="10">
        <f t="shared" ca="1" si="13"/>
        <v>30</v>
      </c>
      <c r="L1752" s="6"/>
      <c r="M1752" s="6"/>
      <c r="N1752" s="6"/>
      <c r="O1752" s="6"/>
      <c r="P1752" s="6"/>
      <c r="Q1752" s="6"/>
      <c r="R1752" s="6"/>
      <c r="S1752" s="6"/>
      <c r="T1752" s="6"/>
      <c r="U1752" s="6"/>
      <c r="V1752" s="6"/>
      <c r="W1752" s="6"/>
      <c r="X1752" s="6"/>
      <c r="Y1752" s="6"/>
      <c r="Z1752" s="6"/>
    </row>
    <row r="1753" spans="1:26" ht="15.75" customHeight="1" x14ac:dyDescent="0.3">
      <c r="A1753" s="10" t="s">
        <v>1176</v>
      </c>
      <c r="B1753" s="10">
        <v>1974</v>
      </c>
      <c r="C1753" s="10" t="s">
        <v>4714</v>
      </c>
      <c r="D1753" s="10">
        <v>8</v>
      </c>
      <c r="E1753" s="10">
        <v>0</v>
      </c>
      <c r="F1753" s="24">
        <v>16841.32</v>
      </c>
      <c r="G1753" s="10" t="s">
        <v>4695</v>
      </c>
      <c r="H1753" s="10" t="s">
        <v>4696</v>
      </c>
      <c r="I1753" s="10" t="s">
        <v>4716</v>
      </c>
      <c r="J1753" s="17">
        <f t="shared" si="12"/>
        <v>27249</v>
      </c>
      <c r="K1753" s="10">
        <f t="shared" ca="1" si="13"/>
        <v>51</v>
      </c>
      <c r="L1753" s="6"/>
      <c r="M1753" s="6"/>
      <c r="N1753" s="6"/>
      <c r="O1753" s="6"/>
      <c r="P1753" s="6"/>
      <c r="Q1753" s="6"/>
      <c r="R1753" s="6"/>
      <c r="S1753" s="6"/>
      <c r="T1753" s="6"/>
      <c r="U1753" s="6"/>
      <c r="V1753" s="6"/>
      <c r="W1753" s="6"/>
      <c r="X1753" s="6"/>
      <c r="Y1753" s="6"/>
      <c r="Z1753" s="6"/>
    </row>
    <row r="1754" spans="1:26" ht="15.75" customHeight="1" x14ac:dyDescent="0.3">
      <c r="A1754" s="10" t="s">
        <v>1174</v>
      </c>
      <c r="B1754" s="10">
        <v>2003</v>
      </c>
      <c r="C1754" s="10" t="s">
        <v>4711</v>
      </c>
      <c r="D1754" s="10">
        <v>10</v>
      </c>
      <c r="E1754" s="10">
        <v>0</v>
      </c>
      <c r="F1754" s="24">
        <v>16884.919999999998</v>
      </c>
      <c r="G1754" s="10" t="s">
        <v>4695</v>
      </c>
      <c r="H1754" s="10" t="s">
        <v>4695</v>
      </c>
      <c r="I1754" s="10" t="s">
        <v>4716</v>
      </c>
      <c r="J1754" s="17">
        <f t="shared" si="12"/>
        <v>37874</v>
      </c>
      <c r="K1754" s="10">
        <f t="shared" ca="1" si="13"/>
        <v>22</v>
      </c>
      <c r="L1754" s="6"/>
      <c r="M1754" s="6"/>
      <c r="N1754" s="6"/>
      <c r="O1754" s="6"/>
      <c r="P1754" s="6"/>
      <c r="Q1754" s="6"/>
      <c r="R1754" s="6"/>
      <c r="S1754" s="6"/>
      <c r="T1754" s="6"/>
      <c r="U1754" s="6"/>
      <c r="V1754" s="6"/>
      <c r="W1754" s="6"/>
      <c r="X1754" s="6"/>
      <c r="Y1754" s="6"/>
      <c r="Z1754" s="6"/>
    </row>
    <row r="1755" spans="1:26" ht="15.75" customHeight="1" x14ac:dyDescent="0.3">
      <c r="A1755" s="10" t="s">
        <v>1172</v>
      </c>
      <c r="B1755" s="10">
        <v>1968</v>
      </c>
      <c r="C1755" s="10" t="s">
        <v>4715</v>
      </c>
      <c r="D1755" s="10">
        <v>21</v>
      </c>
      <c r="E1755" s="10">
        <v>0</v>
      </c>
      <c r="F1755" s="24">
        <v>16903.5</v>
      </c>
      <c r="G1755" s="10" t="s">
        <v>4695</v>
      </c>
      <c r="H1755" s="10" t="s">
        <v>4696</v>
      </c>
      <c r="I1755" s="10" t="s">
        <v>4712</v>
      </c>
      <c r="J1755" s="17">
        <f t="shared" si="12"/>
        <v>25132</v>
      </c>
      <c r="K1755" s="10">
        <f t="shared" ca="1" si="13"/>
        <v>57</v>
      </c>
      <c r="L1755" s="6"/>
      <c r="M1755" s="6"/>
      <c r="N1755" s="6"/>
      <c r="O1755" s="6"/>
      <c r="P1755" s="6"/>
      <c r="Q1755" s="6"/>
      <c r="R1755" s="6"/>
      <c r="S1755" s="6"/>
      <c r="T1755" s="6"/>
      <c r="U1755" s="6"/>
      <c r="V1755" s="6"/>
      <c r="W1755" s="6"/>
      <c r="X1755" s="6"/>
      <c r="Y1755" s="6"/>
      <c r="Z1755" s="6"/>
    </row>
    <row r="1756" spans="1:26" ht="15.75" customHeight="1" x14ac:dyDescent="0.3">
      <c r="A1756" s="10" t="s">
        <v>1170</v>
      </c>
      <c r="B1756" s="10">
        <v>1977</v>
      </c>
      <c r="C1756" s="10" t="s">
        <v>4714</v>
      </c>
      <c r="D1756" s="10">
        <v>25</v>
      </c>
      <c r="E1756" s="10">
        <v>2</v>
      </c>
      <c r="F1756" s="24">
        <v>16921.09</v>
      </c>
      <c r="G1756" s="10" t="s">
        <v>4695</v>
      </c>
      <c r="H1756" s="10" t="s">
        <v>4696</v>
      </c>
      <c r="I1756" s="10" t="s">
        <v>4724</v>
      </c>
      <c r="J1756" s="17">
        <f t="shared" si="12"/>
        <v>28362</v>
      </c>
      <c r="K1756" s="10">
        <f t="shared" ca="1" si="13"/>
        <v>48</v>
      </c>
      <c r="L1756" s="6"/>
      <c r="M1756" s="6"/>
      <c r="N1756" s="6"/>
      <c r="O1756" s="6"/>
      <c r="P1756" s="6"/>
      <c r="Q1756" s="6"/>
      <c r="R1756" s="6"/>
      <c r="S1756" s="6"/>
      <c r="T1756" s="6"/>
      <c r="U1756" s="6"/>
      <c r="V1756" s="6"/>
      <c r="W1756" s="6"/>
      <c r="X1756" s="6"/>
      <c r="Y1756" s="6"/>
      <c r="Z1756" s="6"/>
    </row>
    <row r="1757" spans="1:26" ht="15.75" customHeight="1" x14ac:dyDescent="0.3">
      <c r="A1757" s="10" t="s">
        <v>1168</v>
      </c>
      <c r="B1757" s="10">
        <v>1980</v>
      </c>
      <c r="C1757" s="10" t="s">
        <v>4707</v>
      </c>
      <c r="D1757" s="10">
        <v>16</v>
      </c>
      <c r="E1757" s="10">
        <v>2</v>
      </c>
      <c r="F1757" s="24">
        <v>16990.55</v>
      </c>
      <c r="G1757" s="10" t="s">
        <v>4695</v>
      </c>
      <c r="H1757" s="10" t="s">
        <v>4696</v>
      </c>
      <c r="I1757" s="10" t="s">
        <v>4712</v>
      </c>
      <c r="J1757" s="17">
        <f t="shared" si="12"/>
        <v>29418</v>
      </c>
      <c r="K1757" s="10">
        <f t="shared" ca="1" si="13"/>
        <v>45</v>
      </c>
      <c r="L1757" s="6"/>
      <c r="M1757" s="6"/>
      <c r="N1757" s="6"/>
      <c r="O1757" s="6"/>
      <c r="P1757" s="6"/>
      <c r="Q1757" s="6"/>
      <c r="R1757" s="6"/>
      <c r="S1757" s="6"/>
      <c r="T1757" s="6"/>
      <c r="U1757" s="6"/>
      <c r="V1757" s="6"/>
      <c r="W1757" s="6"/>
      <c r="X1757" s="6"/>
      <c r="Y1757" s="6"/>
      <c r="Z1757" s="6"/>
    </row>
    <row r="1758" spans="1:26" ht="15.75" customHeight="1" x14ac:dyDescent="0.3">
      <c r="A1758" s="10" t="s">
        <v>1166</v>
      </c>
      <c r="B1758" s="10">
        <v>1971</v>
      </c>
      <c r="C1758" s="10" t="s">
        <v>4714</v>
      </c>
      <c r="D1758" s="10">
        <v>22</v>
      </c>
      <c r="E1758" s="10">
        <v>0</v>
      </c>
      <c r="F1758" s="24">
        <v>17016.009999999998</v>
      </c>
      <c r="G1758" s="10" t="s">
        <v>4695</v>
      </c>
      <c r="H1758" s="10" t="s">
        <v>4695</v>
      </c>
      <c r="I1758" s="10" t="s">
        <v>4724</v>
      </c>
      <c r="J1758" s="17">
        <f t="shared" si="12"/>
        <v>26167</v>
      </c>
      <c r="K1758" s="10">
        <f t="shared" ca="1" si="13"/>
        <v>54</v>
      </c>
      <c r="L1758" s="6"/>
      <c r="M1758" s="6"/>
      <c r="N1758" s="6"/>
      <c r="O1758" s="6"/>
      <c r="P1758" s="6"/>
      <c r="Q1758" s="6"/>
      <c r="R1758" s="6"/>
      <c r="S1758" s="6"/>
      <c r="T1758" s="6"/>
      <c r="U1758" s="6"/>
      <c r="V1758" s="6"/>
      <c r="W1758" s="6"/>
      <c r="X1758" s="6"/>
      <c r="Y1758" s="6"/>
      <c r="Z1758" s="6"/>
    </row>
    <row r="1759" spans="1:26" ht="15.75" customHeight="1" x14ac:dyDescent="0.3">
      <c r="A1759" s="10" t="s">
        <v>1164</v>
      </c>
      <c r="B1759" s="10">
        <v>1996</v>
      </c>
      <c r="C1759" s="10" t="s">
        <v>4710</v>
      </c>
      <c r="D1759" s="10">
        <v>10</v>
      </c>
      <c r="E1759" s="10">
        <v>0</v>
      </c>
      <c r="F1759" s="24">
        <v>17043.34</v>
      </c>
      <c r="G1759" s="10" t="s">
        <v>4695</v>
      </c>
      <c r="H1759" s="10" t="s">
        <v>4696</v>
      </c>
      <c r="I1759" s="10" t="s">
        <v>4708</v>
      </c>
      <c r="J1759" s="17">
        <f t="shared" si="12"/>
        <v>35226</v>
      </c>
      <c r="K1759" s="10">
        <f t="shared" ca="1" si="13"/>
        <v>29</v>
      </c>
      <c r="L1759" s="6"/>
      <c r="M1759" s="6"/>
      <c r="N1759" s="6"/>
      <c r="O1759" s="6"/>
      <c r="P1759" s="6"/>
      <c r="Q1759" s="6"/>
      <c r="R1759" s="6"/>
      <c r="S1759" s="6"/>
      <c r="T1759" s="6"/>
      <c r="U1759" s="6"/>
      <c r="V1759" s="6"/>
      <c r="W1759" s="6"/>
      <c r="X1759" s="6"/>
      <c r="Y1759" s="6"/>
      <c r="Z1759" s="6"/>
    </row>
    <row r="1760" spans="1:26" ht="15.75" customHeight="1" x14ac:dyDescent="0.3">
      <c r="A1760" s="10" t="s">
        <v>1162</v>
      </c>
      <c r="B1760" s="10">
        <v>2003</v>
      </c>
      <c r="C1760" s="10" t="s">
        <v>4713</v>
      </c>
      <c r="D1760" s="10">
        <v>26</v>
      </c>
      <c r="E1760" s="10">
        <v>0</v>
      </c>
      <c r="F1760" s="24">
        <v>17081.080000000002</v>
      </c>
      <c r="G1760" s="10" t="s">
        <v>4695</v>
      </c>
      <c r="H1760" s="10" t="s">
        <v>4695</v>
      </c>
      <c r="I1760" s="10" t="s">
        <v>4716</v>
      </c>
      <c r="J1760" s="17">
        <f t="shared" si="12"/>
        <v>37981</v>
      </c>
      <c r="K1760" s="10">
        <f t="shared" ca="1" si="13"/>
        <v>21</v>
      </c>
      <c r="L1760" s="6"/>
      <c r="M1760" s="6"/>
      <c r="N1760" s="6"/>
      <c r="O1760" s="6"/>
      <c r="P1760" s="6"/>
      <c r="Q1760" s="6"/>
      <c r="R1760" s="6"/>
      <c r="S1760" s="6"/>
      <c r="T1760" s="6"/>
      <c r="U1760" s="6"/>
      <c r="V1760" s="6"/>
      <c r="W1760" s="6"/>
      <c r="X1760" s="6"/>
      <c r="Y1760" s="6"/>
      <c r="Z1760" s="6"/>
    </row>
    <row r="1761" spans="1:26" ht="15.75" customHeight="1" x14ac:dyDescent="0.3">
      <c r="A1761" s="10" t="s">
        <v>1160</v>
      </c>
      <c r="B1761" s="10">
        <v>2002</v>
      </c>
      <c r="C1761" s="10" t="s">
        <v>4710</v>
      </c>
      <c r="D1761" s="10">
        <v>28</v>
      </c>
      <c r="E1761" s="10">
        <v>1</v>
      </c>
      <c r="F1761" s="24">
        <v>17085.27</v>
      </c>
      <c r="G1761" s="10" t="s">
        <v>4695</v>
      </c>
      <c r="H1761" s="10" t="s">
        <v>4696</v>
      </c>
      <c r="I1761" s="10" t="s">
        <v>4708</v>
      </c>
      <c r="J1761" s="17">
        <f t="shared" si="12"/>
        <v>37435</v>
      </c>
      <c r="K1761" s="10">
        <f t="shared" ca="1" si="13"/>
        <v>23</v>
      </c>
      <c r="L1761" s="6"/>
      <c r="M1761" s="6"/>
      <c r="N1761" s="6"/>
      <c r="O1761" s="6"/>
      <c r="P1761" s="6"/>
      <c r="Q1761" s="6"/>
      <c r="R1761" s="6"/>
      <c r="S1761" s="6"/>
      <c r="T1761" s="6"/>
      <c r="U1761" s="6"/>
      <c r="V1761" s="6"/>
      <c r="W1761" s="6"/>
      <c r="X1761" s="6"/>
      <c r="Y1761" s="6"/>
      <c r="Z1761" s="6"/>
    </row>
    <row r="1762" spans="1:26" ht="15.75" customHeight="1" x14ac:dyDescent="0.3">
      <c r="A1762" s="10" t="s">
        <v>1158</v>
      </c>
      <c r="B1762" s="10">
        <v>1998</v>
      </c>
      <c r="C1762" s="10" t="s">
        <v>4710</v>
      </c>
      <c r="D1762" s="10">
        <v>3</v>
      </c>
      <c r="E1762" s="10">
        <v>4</v>
      </c>
      <c r="F1762" s="24">
        <v>17128.43</v>
      </c>
      <c r="G1762" s="10" t="s">
        <v>4695</v>
      </c>
      <c r="H1762" s="10" t="s">
        <v>4696</v>
      </c>
      <c r="I1762" s="10" t="s">
        <v>4720</v>
      </c>
      <c r="J1762" s="17">
        <f t="shared" si="12"/>
        <v>35949</v>
      </c>
      <c r="K1762" s="10">
        <f t="shared" ca="1" si="13"/>
        <v>27</v>
      </c>
      <c r="L1762" s="6"/>
      <c r="M1762" s="6"/>
      <c r="N1762" s="6"/>
      <c r="O1762" s="6"/>
      <c r="P1762" s="6"/>
      <c r="Q1762" s="6"/>
      <c r="R1762" s="6"/>
      <c r="S1762" s="6"/>
      <c r="T1762" s="6"/>
      <c r="U1762" s="6"/>
      <c r="V1762" s="6"/>
      <c r="W1762" s="6"/>
      <c r="X1762" s="6"/>
      <c r="Y1762" s="6"/>
      <c r="Z1762" s="6"/>
    </row>
    <row r="1763" spans="1:26" ht="15.75" customHeight="1" x14ac:dyDescent="0.3">
      <c r="A1763" s="10" t="s">
        <v>1156</v>
      </c>
      <c r="B1763" s="10">
        <v>1965</v>
      </c>
      <c r="C1763" s="10" t="s">
        <v>4711</v>
      </c>
      <c r="D1763" s="10">
        <v>16</v>
      </c>
      <c r="E1763" s="10">
        <v>0</v>
      </c>
      <c r="F1763" s="24">
        <v>17172.27</v>
      </c>
      <c r="G1763" s="10" t="s">
        <v>4695</v>
      </c>
      <c r="H1763" s="10" t="s">
        <v>4695</v>
      </c>
      <c r="I1763" s="10" t="s">
        <v>4729</v>
      </c>
      <c r="J1763" s="17">
        <f t="shared" si="12"/>
        <v>24001</v>
      </c>
      <c r="K1763" s="10">
        <f t="shared" ca="1" si="13"/>
        <v>60</v>
      </c>
      <c r="L1763" s="6"/>
      <c r="M1763" s="6"/>
      <c r="N1763" s="6"/>
      <c r="O1763" s="6"/>
      <c r="P1763" s="6"/>
      <c r="Q1763" s="6"/>
      <c r="R1763" s="6"/>
      <c r="S1763" s="6"/>
      <c r="T1763" s="6"/>
      <c r="U1763" s="6"/>
      <c r="V1763" s="6"/>
      <c r="W1763" s="6"/>
      <c r="X1763" s="6"/>
      <c r="Y1763" s="6"/>
      <c r="Z1763" s="6"/>
    </row>
    <row r="1764" spans="1:26" ht="15.75" customHeight="1" x14ac:dyDescent="0.3">
      <c r="A1764" s="10" t="s">
        <v>1154</v>
      </c>
      <c r="B1764" s="10">
        <v>1964</v>
      </c>
      <c r="C1764" s="10" t="s">
        <v>4710</v>
      </c>
      <c r="D1764" s="10">
        <v>7</v>
      </c>
      <c r="E1764" s="10">
        <v>0</v>
      </c>
      <c r="F1764" s="24">
        <v>17174.52</v>
      </c>
      <c r="G1764" s="10" t="s">
        <v>4695</v>
      </c>
      <c r="H1764" s="10" t="s">
        <v>4695</v>
      </c>
      <c r="I1764" s="10" t="s">
        <v>4712</v>
      </c>
      <c r="J1764" s="17">
        <f t="shared" si="12"/>
        <v>23535</v>
      </c>
      <c r="K1764" s="10">
        <f t="shared" ca="1" si="13"/>
        <v>61</v>
      </c>
      <c r="L1764" s="6"/>
      <c r="M1764" s="6"/>
      <c r="N1764" s="6"/>
      <c r="O1764" s="6"/>
      <c r="P1764" s="6"/>
      <c r="Q1764" s="6"/>
      <c r="R1764" s="6"/>
      <c r="S1764" s="6"/>
      <c r="T1764" s="6"/>
      <c r="U1764" s="6"/>
      <c r="V1764" s="6"/>
      <c r="W1764" s="6"/>
      <c r="X1764" s="6"/>
      <c r="Y1764" s="6"/>
      <c r="Z1764" s="6"/>
    </row>
    <row r="1765" spans="1:26" ht="15.75" customHeight="1" x14ac:dyDescent="0.3">
      <c r="A1765" s="10" t="s">
        <v>1152</v>
      </c>
      <c r="B1765" s="10">
        <v>2004</v>
      </c>
      <c r="C1765" s="10" t="s">
        <v>4714</v>
      </c>
      <c r="D1765" s="10">
        <v>18</v>
      </c>
      <c r="E1765" s="10">
        <v>1</v>
      </c>
      <c r="F1765" s="24">
        <v>17178.68</v>
      </c>
      <c r="G1765" s="10" t="s">
        <v>4695</v>
      </c>
      <c r="H1765" s="10" t="s">
        <v>4695</v>
      </c>
      <c r="I1765" s="10" t="s">
        <v>4719</v>
      </c>
      <c r="J1765" s="17">
        <f t="shared" si="12"/>
        <v>38217</v>
      </c>
      <c r="K1765" s="10">
        <f t="shared" ca="1" si="13"/>
        <v>21</v>
      </c>
      <c r="L1765" s="6"/>
      <c r="M1765" s="6"/>
      <c r="N1765" s="6"/>
      <c r="O1765" s="6"/>
      <c r="P1765" s="6"/>
      <c r="Q1765" s="6"/>
      <c r="R1765" s="6"/>
      <c r="S1765" s="6"/>
      <c r="T1765" s="6"/>
      <c r="U1765" s="6"/>
      <c r="V1765" s="6"/>
      <c r="W1765" s="6"/>
      <c r="X1765" s="6"/>
      <c r="Y1765" s="6"/>
      <c r="Z1765" s="6"/>
    </row>
    <row r="1766" spans="1:26" ht="15.75" customHeight="1" x14ac:dyDescent="0.3">
      <c r="A1766" s="10" t="s">
        <v>1150</v>
      </c>
      <c r="B1766" s="10">
        <v>1982</v>
      </c>
      <c r="C1766" s="10" t="s">
        <v>4715</v>
      </c>
      <c r="D1766" s="10">
        <v>22</v>
      </c>
      <c r="E1766" s="10">
        <v>1</v>
      </c>
      <c r="F1766" s="24">
        <v>17179.52</v>
      </c>
      <c r="G1766" s="10" t="s">
        <v>4695</v>
      </c>
      <c r="H1766" s="10" t="s">
        <v>4694</v>
      </c>
      <c r="I1766" s="10" t="s">
        <v>4708</v>
      </c>
      <c r="J1766" s="17">
        <f t="shared" si="12"/>
        <v>30246</v>
      </c>
      <c r="K1766" s="10">
        <f t="shared" ca="1" si="13"/>
        <v>43</v>
      </c>
      <c r="L1766" s="6"/>
      <c r="M1766" s="6"/>
      <c r="N1766" s="6"/>
      <c r="O1766" s="6"/>
      <c r="P1766" s="6"/>
      <c r="Q1766" s="6"/>
      <c r="R1766" s="6"/>
      <c r="S1766" s="6"/>
      <c r="T1766" s="6"/>
      <c r="U1766" s="6"/>
      <c r="V1766" s="6"/>
      <c r="W1766" s="6"/>
      <c r="X1766" s="6"/>
      <c r="Y1766" s="6"/>
      <c r="Z1766" s="6"/>
    </row>
    <row r="1767" spans="1:26" ht="15.75" customHeight="1" x14ac:dyDescent="0.3">
      <c r="A1767" s="10" t="s">
        <v>1148</v>
      </c>
      <c r="B1767" s="10">
        <v>1975</v>
      </c>
      <c r="C1767" s="10" t="s">
        <v>4714</v>
      </c>
      <c r="D1767" s="10">
        <v>25</v>
      </c>
      <c r="E1767" s="10">
        <v>1</v>
      </c>
      <c r="F1767" s="24">
        <v>17253.43</v>
      </c>
      <c r="G1767" s="10" t="s">
        <v>4695</v>
      </c>
      <c r="H1767" s="10" t="s">
        <v>4696</v>
      </c>
      <c r="I1767" s="10" t="s">
        <v>4729</v>
      </c>
      <c r="J1767" s="17">
        <f t="shared" si="12"/>
        <v>27631</v>
      </c>
      <c r="K1767" s="10">
        <f t="shared" ca="1" si="13"/>
        <v>50</v>
      </c>
      <c r="L1767" s="6"/>
      <c r="M1767" s="6"/>
      <c r="N1767" s="6"/>
      <c r="O1767" s="6"/>
      <c r="P1767" s="6"/>
      <c r="Q1767" s="6"/>
      <c r="R1767" s="6"/>
      <c r="S1767" s="6"/>
      <c r="T1767" s="6"/>
      <c r="U1767" s="6"/>
      <c r="V1767" s="6"/>
      <c r="W1767" s="6"/>
      <c r="X1767" s="6"/>
      <c r="Y1767" s="6"/>
      <c r="Z1767" s="6"/>
    </row>
    <row r="1768" spans="1:26" ht="15.75" customHeight="1" x14ac:dyDescent="0.3">
      <c r="A1768" s="10" t="s">
        <v>1146</v>
      </c>
      <c r="B1768" s="10">
        <v>1963</v>
      </c>
      <c r="C1768" s="10" t="s">
        <v>4707</v>
      </c>
      <c r="D1768" s="10">
        <v>12</v>
      </c>
      <c r="E1768" s="10">
        <v>0</v>
      </c>
      <c r="F1768" s="24">
        <v>17337.580000000002</v>
      </c>
      <c r="G1768" s="10" t="s">
        <v>4695</v>
      </c>
      <c r="H1768" s="10" t="s">
        <v>4696</v>
      </c>
      <c r="I1768" s="10" t="s">
        <v>4724</v>
      </c>
      <c r="J1768" s="17">
        <f t="shared" si="12"/>
        <v>23204</v>
      </c>
      <c r="K1768" s="10">
        <f t="shared" ca="1" si="13"/>
        <v>62</v>
      </c>
      <c r="L1768" s="6"/>
      <c r="M1768" s="6"/>
      <c r="N1768" s="6"/>
      <c r="O1768" s="6"/>
      <c r="P1768" s="6"/>
      <c r="Q1768" s="6"/>
      <c r="R1768" s="6"/>
      <c r="S1768" s="6"/>
      <c r="T1768" s="6"/>
      <c r="U1768" s="6"/>
      <c r="V1768" s="6"/>
      <c r="W1768" s="6"/>
      <c r="X1768" s="6"/>
      <c r="Y1768" s="6"/>
      <c r="Z1768" s="6"/>
    </row>
    <row r="1769" spans="1:26" ht="15.75" customHeight="1" x14ac:dyDescent="0.3">
      <c r="A1769" s="10" t="s">
        <v>1144</v>
      </c>
      <c r="B1769" s="10">
        <v>2003</v>
      </c>
      <c r="C1769" s="10" t="s">
        <v>4709</v>
      </c>
      <c r="D1769" s="10">
        <v>1</v>
      </c>
      <c r="E1769" s="10">
        <v>0</v>
      </c>
      <c r="F1769" s="24">
        <v>17352.68</v>
      </c>
      <c r="G1769" s="10" t="s">
        <v>4695</v>
      </c>
      <c r="H1769" s="10" t="s">
        <v>4696</v>
      </c>
      <c r="I1769" s="10" t="s">
        <v>4712</v>
      </c>
      <c r="J1769" s="17">
        <f t="shared" si="12"/>
        <v>37926</v>
      </c>
      <c r="K1769" s="10">
        <f t="shared" ca="1" si="13"/>
        <v>22</v>
      </c>
      <c r="L1769" s="6"/>
      <c r="M1769" s="6"/>
      <c r="N1769" s="6"/>
      <c r="O1769" s="6"/>
      <c r="P1769" s="6"/>
      <c r="Q1769" s="6"/>
      <c r="R1769" s="6"/>
      <c r="S1769" s="6"/>
      <c r="T1769" s="6"/>
      <c r="U1769" s="6"/>
      <c r="V1769" s="6"/>
      <c r="W1769" s="6"/>
      <c r="X1769" s="6"/>
      <c r="Y1769" s="6"/>
      <c r="Z1769" s="6"/>
    </row>
    <row r="1770" spans="1:26" ht="15.75" customHeight="1" x14ac:dyDescent="0.3">
      <c r="A1770" s="10" t="s">
        <v>1142</v>
      </c>
      <c r="B1770" s="10">
        <v>1992</v>
      </c>
      <c r="C1770" s="10" t="s">
        <v>4715</v>
      </c>
      <c r="D1770" s="10">
        <v>18</v>
      </c>
      <c r="E1770" s="10">
        <v>2</v>
      </c>
      <c r="F1770" s="24">
        <v>17361.77</v>
      </c>
      <c r="G1770" s="10" t="s">
        <v>4695</v>
      </c>
      <c r="H1770" s="10" t="s">
        <v>4694</v>
      </c>
      <c r="I1770" s="10" t="s">
        <v>4712</v>
      </c>
      <c r="J1770" s="17">
        <f t="shared" si="12"/>
        <v>33895</v>
      </c>
      <c r="K1770" s="10">
        <f t="shared" ca="1" si="13"/>
        <v>33</v>
      </c>
      <c r="L1770" s="6"/>
      <c r="M1770" s="6"/>
      <c r="N1770" s="6"/>
      <c r="O1770" s="6"/>
      <c r="P1770" s="6"/>
      <c r="Q1770" s="6"/>
      <c r="R1770" s="6"/>
      <c r="S1770" s="6"/>
      <c r="T1770" s="6"/>
      <c r="U1770" s="6"/>
      <c r="V1770" s="6"/>
      <c r="W1770" s="6"/>
      <c r="X1770" s="6"/>
      <c r="Y1770" s="6"/>
      <c r="Z1770" s="6"/>
    </row>
    <row r="1771" spans="1:26" ht="15.75" customHeight="1" x14ac:dyDescent="0.3">
      <c r="A1771" s="10" t="s">
        <v>1140</v>
      </c>
      <c r="B1771" s="10">
        <v>2003</v>
      </c>
      <c r="C1771" s="10" t="s">
        <v>4709</v>
      </c>
      <c r="D1771" s="10">
        <v>2</v>
      </c>
      <c r="E1771" s="10">
        <v>0</v>
      </c>
      <c r="F1771" s="24">
        <v>17468.98</v>
      </c>
      <c r="G1771" s="10" t="s">
        <v>4695</v>
      </c>
      <c r="H1771" s="10" t="s">
        <v>4694</v>
      </c>
      <c r="I1771" s="10" t="s">
        <v>4712</v>
      </c>
      <c r="J1771" s="17">
        <f t="shared" si="12"/>
        <v>37927</v>
      </c>
      <c r="K1771" s="10">
        <f t="shared" ca="1" si="13"/>
        <v>22</v>
      </c>
      <c r="L1771" s="6"/>
      <c r="M1771" s="6"/>
      <c r="N1771" s="6"/>
      <c r="O1771" s="6"/>
      <c r="P1771" s="6"/>
      <c r="Q1771" s="6"/>
      <c r="R1771" s="6"/>
      <c r="S1771" s="6"/>
      <c r="T1771" s="6"/>
      <c r="U1771" s="6"/>
      <c r="V1771" s="6"/>
      <c r="W1771" s="6"/>
      <c r="X1771" s="6"/>
      <c r="Y1771" s="6"/>
      <c r="Z1771" s="6"/>
    </row>
    <row r="1772" spans="1:26" ht="15.75" customHeight="1" x14ac:dyDescent="0.3">
      <c r="A1772" s="10" t="s">
        <v>1138</v>
      </c>
      <c r="B1772" s="10">
        <v>1971</v>
      </c>
      <c r="C1772" s="10" t="s">
        <v>4710</v>
      </c>
      <c r="D1772" s="10">
        <v>8</v>
      </c>
      <c r="E1772" s="10">
        <v>0</v>
      </c>
      <c r="F1772" s="24">
        <v>17479.53</v>
      </c>
      <c r="G1772" s="10" t="s">
        <v>4694</v>
      </c>
      <c r="H1772" s="10" t="s">
        <v>4694</v>
      </c>
      <c r="I1772" s="10" t="s">
        <v>4712</v>
      </c>
      <c r="J1772" s="17">
        <f t="shared" si="12"/>
        <v>26092</v>
      </c>
      <c r="K1772" s="10">
        <f t="shared" ca="1" si="13"/>
        <v>54</v>
      </c>
      <c r="L1772" s="6"/>
      <c r="M1772" s="6"/>
      <c r="N1772" s="6"/>
      <c r="O1772" s="6"/>
      <c r="P1772" s="6"/>
      <c r="Q1772" s="6"/>
      <c r="R1772" s="6"/>
      <c r="S1772" s="6"/>
      <c r="T1772" s="6"/>
      <c r="U1772" s="6"/>
      <c r="V1772" s="6"/>
      <c r="W1772" s="6"/>
      <c r="X1772" s="6"/>
      <c r="Y1772" s="6"/>
      <c r="Z1772" s="6"/>
    </row>
    <row r="1773" spans="1:26" ht="15.75" customHeight="1" x14ac:dyDescent="0.3">
      <c r="A1773" s="10" t="s">
        <v>1136</v>
      </c>
      <c r="B1773" s="10">
        <v>1990</v>
      </c>
      <c r="C1773" s="10" t="s">
        <v>4713</v>
      </c>
      <c r="D1773" s="10">
        <v>29</v>
      </c>
      <c r="E1773" s="10">
        <v>0</v>
      </c>
      <c r="F1773" s="24">
        <v>17496.310000000001</v>
      </c>
      <c r="G1773" s="10" t="s">
        <v>4694</v>
      </c>
      <c r="H1773" s="10" t="s">
        <v>4695</v>
      </c>
      <c r="I1773" s="10" t="s">
        <v>4716</v>
      </c>
      <c r="J1773" s="17">
        <f t="shared" si="12"/>
        <v>33236</v>
      </c>
      <c r="K1773" s="10">
        <f t="shared" ca="1" si="13"/>
        <v>34</v>
      </c>
      <c r="L1773" s="6"/>
      <c r="M1773" s="6"/>
      <c r="N1773" s="6"/>
      <c r="O1773" s="6"/>
      <c r="P1773" s="6"/>
      <c r="Q1773" s="6"/>
      <c r="R1773" s="6"/>
      <c r="S1773" s="6"/>
      <c r="T1773" s="6"/>
      <c r="U1773" s="6"/>
      <c r="V1773" s="6"/>
      <c r="W1773" s="6"/>
      <c r="X1773" s="6"/>
      <c r="Y1773" s="6"/>
      <c r="Z1773" s="6"/>
    </row>
    <row r="1774" spans="1:26" ht="15.75" customHeight="1" x14ac:dyDescent="0.3">
      <c r="A1774" s="10" t="s">
        <v>1134</v>
      </c>
      <c r="B1774" s="10">
        <v>1965</v>
      </c>
      <c r="C1774" s="10" t="s">
        <v>4710</v>
      </c>
      <c r="D1774" s="10">
        <v>16</v>
      </c>
      <c r="E1774" s="10">
        <v>0</v>
      </c>
      <c r="F1774" s="24">
        <v>17505.650000000001</v>
      </c>
      <c r="G1774" s="10" t="s">
        <v>4694</v>
      </c>
      <c r="H1774" s="10" t="s">
        <v>4695</v>
      </c>
      <c r="I1774" s="10" t="s">
        <v>4724</v>
      </c>
      <c r="J1774" s="17">
        <f t="shared" si="12"/>
        <v>23909</v>
      </c>
      <c r="K1774" s="10">
        <f t="shared" ca="1" si="13"/>
        <v>60</v>
      </c>
      <c r="L1774" s="6"/>
      <c r="M1774" s="6"/>
      <c r="N1774" s="6"/>
      <c r="O1774" s="6"/>
      <c r="P1774" s="6"/>
      <c r="Q1774" s="6"/>
      <c r="R1774" s="6"/>
      <c r="S1774" s="6"/>
      <c r="T1774" s="6"/>
      <c r="U1774" s="6"/>
      <c r="V1774" s="6"/>
      <c r="W1774" s="6"/>
      <c r="X1774" s="6"/>
      <c r="Y1774" s="6"/>
      <c r="Z1774" s="6"/>
    </row>
    <row r="1775" spans="1:26" ht="15.75" customHeight="1" x14ac:dyDescent="0.3">
      <c r="A1775" s="10" t="s">
        <v>1132</v>
      </c>
      <c r="B1775" s="10">
        <v>1968</v>
      </c>
      <c r="C1775" s="10" t="s">
        <v>4707</v>
      </c>
      <c r="D1775" s="10">
        <v>12</v>
      </c>
      <c r="E1775" s="10">
        <v>0</v>
      </c>
      <c r="F1775" s="24">
        <v>17507.47</v>
      </c>
      <c r="G1775" s="10" t="s">
        <v>4694</v>
      </c>
      <c r="H1775" s="10" t="s">
        <v>4694</v>
      </c>
      <c r="I1775" s="10" t="s">
        <v>4729</v>
      </c>
      <c r="J1775" s="17">
        <f t="shared" si="12"/>
        <v>25031</v>
      </c>
      <c r="K1775" s="10">
        <f t="shared" ca="1" si="13"/>
        <v>57</v>
      </c>
      <c r="L1775" s="6"/>
      <c r="M1775" s="6"/>
      <c r="N1775" s="6"/>
      <c r="O1775" s="6"/>
      <c r="P1775" s="6"/>
      <c r="Q1775" s="6"/>
      <c r="R1775" s="6"/>
      <c r="S1775" s="6"/>
      <c r="T1775" s="6"/>
      <c r="U1775" s="6"/>
      <c r="V1775" s="6"/>
      <c r="W1775" s="6"/>
      <c r="X1775" s="6"/>
      <c r="Y1775" s="6"/>
      <c r="Z1775" s="6"/>
    </row>
    <row r="1776" spans="1:26" ht="15.75" customHeight="1" x14ac:dyDescent="0.3">
      <c r="A1776" s="10" t="s">
        <v>1130</v>
      </c>
      <c r="B1776" s="10">
        <v>1963</v>
      </c>
      <c r="C1776" s="10" t="s">
        <v>4709</v>
      </c>
      <c r="D1776" s="10">
        <v>16</v>
      </c>
      <c r="E1776" s="10">
        <v>0</v>
      </c>
      <c r="F1776" s="24">
        <v>17556.88</v>
      </c>
      <c r="G1776" s="10" t="s">
        <v>4694</v>
      </c>
      <c r="H1776" s="10" t="s">
        <v>4695</v>
      </c>
      <c r="I1776" s="10" t="s">
        <v>4712</v>
      </c>
      <c r="J1776" s="17">
        <f t="shared" si="12"/>
        <v>23331</v>
      </c>
      <c r="K1776" s="10">
        <f t="shared" ca="1" si="13"/>
        <v>62</v>
      </c>
      <c r="L1776" s="6"/>
      <c r="M1776" s="6"/>
      <c r="N1776" s="6"/>
      <c r="O1776" s="6"/>
      <c r="P1776" s="6"/>
      <c r="Q1776" s="6"/>
      <c r="R1776" s="6"/>
      <c r="S1776" s="6"/>
      <c r="T1776" s="6"/>
      <c r="U1776" s="6"/>
      <c r="V1776" s="6"/>
      <c r="W1776" s="6"/>
      <c r="X1776" s="6"/>
      <c r="Y1776" s="6"/>
      <c r="Z1776" s="6"/>
    </row>
    <row r="1777" spans="1:26" ht="15.75" customHeight="1" x14ac:dyDescent="0.3">
      <c r="A1777" s="10" t="s">
        <v>1128</v>
      </c>
      <c r="B1777" s="10">
        <v>2002</v>
      </c>
      <c r="C1777" s="10" t="s">
        <v>4714</v>
      </c>
      <c r="D1777" s="10">
        <v>25</v>
      </c>
      <c r="E1777" s="10">
        <v>1</v>
      </c>
      <c r="F1777" s="24">
        <v>17560.38</v>
      </c>
      <c r="G1777" s="10" t="s">
        <v>4694</v>
      </c>
      <c r="H1777" s="10" t="s">
        <v>4694</v>
      </c>
      <c r="I1777" s="10" t="s">
        <v>4712</v>
      </c>
      <c r="J1777" s="17">
        <f t="shared" si="12"/>
        <v>37493</v>
      </c>
      <c r="K1777" s="10">
        <f t="shared" ca="1" si="13"/>
        <v>23</v>
      </c>
      <c r="L1777" s="6"/>
      <c r="M1777" s="6"/>
      <c r="N1777" s="6"/>
      <c r="O1777" s="6"/>
      <c r="P1777" s="6"/>
      <c r="Q1777" s="6"/>
      <c r="R1777" s="6"/>
      <c r="S1777" s="6"/>
      <c r="T1777" s="6"/>
      <c r="U1777" s="6"/>
      <c r="V1777" s="6"/>
      <c r="W1777" s="6"/>
      <c r="X1777" s="6"/>
      <c r="Y1777" s="6"/>
      <c r="Z1777" s="6"/>
    </row>
    <row r="1778" spans="1:26" ht="15.75" customHeight="1" x14ac:dyDescent="0.3">
      <c r="A1778" s="10" t="s">
        <v>1126</v>
      </c>
      <c r="B1778" s="10">
        <v>1970</v>
      </c>
      <c r="C1778" s="10" t="s">
        <v>4707</v>
      </c>
      <c r="D1778" s="10">
        <v>26</v>
      </c>
      <c r="E1778" s="10">
        <v>0</v>
      </c>
      <c r="F1778" s="24">
        <v>17584.72</v>
      </c>
      <c r="G1778" s="10" t="s">
        <v>4694</v>
      </c>
      <c r="H1778" s="10" t="s">
        <v>4696</v>
      </c>
      <c r="I1778" s="10" t="s">
        <v>4712</v>
      </c>
      <c r="J1778" s="17">
        <f t="shared" si="12"/>
        <v>25775</v>
      </c>
      <c r="K1778" s="10">
        <f t="shared" ca="1" si="13"/>
        <v>55</v>
      </c>
      <c r="L1778" s="6"/>
      <c r="M1778" s="6"/>
      <c r="N1778" s="6"/>
      <c r="O1778" s="6"/>
      <c r="P1778" s="6"/>
      <c r="Q1778" s="6"/>
      <c r="R1778" s="6"/>
      <c r="S1778" s="6"/>
      <c r="T1778" s="6"/>
      <c r="U1778" s="6"/>
      <c r="V1778" s="6"/>
      <c r="W1778" s="6"/>
      <c r="X1778" s="6"/>
      <c r="Y1778" s="6"/>
      <c r="Z1778" s="6"/>
    </row>
    <row r="1779" spans="1:26" ht="15.75" customHeight="1" x14ac:dyDescent="0.3">
      <c r="A1779" s="10" t="s">
        <v>1124</v>
      </c>
      <c r="B1779" s="10">
        <v>1990</v>
      </c>
      <c r="C1779" s="10" t="s">
        <v>4715</v>
      </c>
      <c r="D1779" s="10">
        <v>25</v>
      </c>
      <c r="E1779" s="10">
        <v>1</v>
      </c>
      <c r="F1779" s="24">
        <v>17626.240000000002</v>
      </c>
      <c r="G1779" s="10" t="s">
        <v>4694</v>
      </c>
      <c r="H1779" s="10" t="s">
        <v>4696</v>
      </c>
      <c r="I1779" s="10" t="s">
        <v>4708</v>
      </c>
      <c r="J1779" s="17">
        <f t="shared" si="12"/>
        <v>33171</v>
      </c>
      <c r="K1779" s="10">
        <f t="shared" ca="1" si="13"/>
        <v>35</v>
      </c>
      <c r="L1779" s="6"/>
      <c r="M1779" s="6"/>
      <c r="N1779" s="6"/>
      <c r="O1779" s="6"/>
      <c r="P1779" s="6"/>
      <c r="Q1779" s="6"/>
      <c r="R1779" s="6"/>
      <c r="S1779" s="6"/>
      <c r="T1779" s="6"/>
      <c r="U1779" s="6"/>
      <c r="V1779" s="6"/>
      <c r="W1779" s="6"/>
      <c r="X1779" s="6"/>
      <c r="Y1779" s="6"/>
      <c r="Z1779" s="6"/>
    </row>
    <row r="1780" spans="1:26" ht="15.75" customHeight="1" x14ac:dyDescent="0.3">
      <c r="A1780" s="10" t="s">
        <v>1122</v>
      </c>
      <c r="B1780" s="10">
        <v>1994</v>
      </c>
      <c r="C1780" s="10" t="s">
        <v>4707</v>
      </c>
      <c r="D1780" s="10">
        <v>1</v>
      </c>
      <c r="E1780" s="10">
        <v>3</v>
      </c>
      <c r="F1780" s="24">
        <v>17663.14</v>
      </c>
      <c r="G1780" s="10" t="s">
        <v>4694</v>
      </c>
      <c r="H1780" s="10" t="s">
        <v>4696</v>
      </c>
      <c r="I1780" s="10" t="s">
        <v>4708</v>
      </c>
      <c r="J1780" s="17">
        <f t="shared" si="12"/>
        <v>34516</v>
      </c>
      <c r="K1780" s="10">
        <f t="shared" ca="1" si="13"/>
        <v>31</v>
      </c>
      <c r="L1780" s="6"/>
      <c r="M1780" s="6"/>
      <c r="N1780" s="6"/>
      <c r="O1780" s="6"/>
      <c r="P1780" s="6"/>
      <c r="Q1780" s="6"/>
      <c r="R1780" s="6"/>
      <c r="S1780" s="6"/>
      <c r="T1780" s="6"/>
      <c r="U1780" s="6"/>
      <c r="V1780" s="6"/>
      <c r="W1780" s="6"/>
      <c r="X1780" s="6"/>
      <c r="Y1780" s="6"/>
      <c r="Z1780" s="6"/>
    </row>
    <row r="1781" spans="1:26" ht="15.75" customHeight="1" x14ac:dyDescent="0.3">
      <c r="A1781" s="10" t="s">
        <v>1120</v>
      </c>
      <c r="B1781" s="10">
        <v>2003</v>
      </c>
      <c r="C1781" s="10" t="s">
        <v>4707</v>
      </c>
      <c r="D1781" s="10">
        <v>14</v>
      </c>
      <c r="E1781" s="10">
        <v>0</v>
      </c>
      <c r="F1781" s="24">
        <v>17748.509999999998</v>
      </c>
      <c r="G1781" s="10" t="s">
        <v>4694</v>
      </c>
      <c r="H1781" s="10" t="s">
        <v>4694</v>
      </c>
      <c r="I1781" s="10" t="s">
        <v>4712</v>
      </c>
      <c r="J1781" s="17">
        <f t="shared" si="12"/>
        <v>37816</v>
      </c>
      <c r="K1781" s="10">
        <f t="shared" ca="1" si="13"/>
        <v>22</v>
      </c>
      <c r="L1781" s="6"/>
      <c r="M1781" s="6"/>
      <c r="N1781" s="6"/>
      <c r="O1781" s="6"/>
      <c r="P1781" s="6"/>
      <c r="Q1781" s="6"/>
      <c r="R1781" s="6"/>
      <c r="S1781" s="6"/>
      <c r="T1781" s="6"/>
      <c r="U1781" s="6"/>
      <c r="V1781" s="6"/>
      <c r="W1781" s="6"/>
      <c r="X1781" s="6"/>
      <c r="Y1781" s="6"/>
      <c r="Z1781" s="6"/>
    </row>
    <row r="1782" spans="1:26" ht="15.75" customHeight="1" x14ac:dyDescent="0.3">
      <c r="A1782" s="10" t="s">
        <v>1118</v>
      </c>
      <c r="B1782" s="10">
        <v>1966</v>
      </c>
      <c r="C1782" s="10" t="s">
        <v>4710</v>
      </c>
      <c r="D1782" s="10">
        <v>21</v>
      </c>
      <c r="E1782" s="10">
        <v>0</v>
      </c>
      <c r="F1782" s="24">
        <v>17777.73</v>
      </c>
      <c r="G1782" s="10" t="s">
        <v>4694</v>
      </c>
      <c r="H1782" s="10" t="s">
        <v>4696</v>
      </c>
      <c r="I1782" s="10" t="s">
        <v>4712</v>
      </c>
      <c r="J1782" s="17">
        <f t="shared" si="12"/>
        <v>24279</v>
      </c>
      <c r="K1782" s="10">
        <f t="shared" ca="1" si="13"/>
        <v>59</v>
      </c>
      <c r="L1782" s="6"/>
      <c r="M1782" s="6"/>
      <c r="N1782" s="6"/>
      <c r="O1782" s="6"/>
      <c r="P1782" s="6"/>
      <c r="Q1782" s="6"/>
      <c r="R1782" s="6"/>
      <c r="S1782" s="6"/>
      <c r="T1782" s="6"/>
      <c r="U1782" s="6"/>
      <c r="V1782" s="6"/>
      <c r="W1782" s="6"/>
      <c r="X1782" s="6"/>
      <c r="Y1782" s="6"/>
      <c r="Z1782" s="6"/>
    </row>
    <row r="1783" spans="1:26" ht="15.75" customHeight="1" x14ac:dyDescent="0.3">
      <c r="A1783" s="10" t="s">
        <v>1116</v>
      </c>
      <c r="B1783" s="10">
        <v>1979</v>
      </c>
      <c r="C1783" s="10" t="s">
        <v>4715</v>
      </c>
      <c r="D1783" s="10">
        <v>10</v>
      </c>
      <c r="E1783" s="10">
        <v>2</v>
      </c>
      <c r="F1783" s="24">
        <v>17779.939999999999</v>
      </c>
      <c r="G1783" s="10" t="s">
        <v>4694</v>
      </c>
      <c r="H1783" s="10" t="s">
        <v>4695</v>
      </c>
      <c r="I1783" s="10" t="s">
        <v>4712</v>
      </c>
      <c r="J1783" s="17">
        <f t="shared" si="12"/>
        <v>29138</v>
      </c>
      <c r="K1783" s="10">
        <f t="shared" ca="1" si="13"/>
        <v>46</v>
      </c>
      <c r="L1783" s="6"/>
      <c r="M1783" s="6"/>
      <c r="N1783" s="6"/>
      <c r="O1783" s="6"/>
      <c r="P1783" s="6"/>
      <c r="Q1783" s="6"/>
      <c r="R1783" s="6"/>
      <c r="S1783" s="6"/>
      <c r="T1783" s="6"/>
      <c r="U1783" s="6"/>
      <c r="V1783" s="6"/>
      <c r="W1783" s="6"/>
      <c r="X1783" s="6"/>
      <c r="Y1783" s="6"/>
      <c r="Z1783" s="6"/>
    </row>
    <row r="1784" spans="1:26" ht="15.75" customHeight="1" x14ac:dyDescent="0.3">
      <c r="A1784" s="10" t="s">
        <v>1114</v>
      </c>
      <c r="B1784" s="10">
        <v>1963</v>
      </c>
      <c r="C1784" s="10" t="s">
        <v>4713</v>
      </c>
      <c r="D1784" s="10">
        <v>8</v>
      </c>
      <c r="E1784" s="10">
        <v>0</v>
      </c>
      <c r="F1784" s="24">
        <v>17832.599999999999</v>
      </c>
      <c r="G1784" s="10" t="s">
        <v>4694</v>
      </c>
      <c r="H1784" s="10" t="s">
        <v>4695</v>
      </c>
      <c r="I1784" s="10" t="s">
        <v>4712</v>
      </c>
      <c r="J1784" s="17">
        <f t="shared" si="12"/>
        <v>23353</v>
      </c>
      <c r="K1784" s="10">
        <f t="shared" ca="1" si="13"/>
        <v>61</v>
      </c>
      <c r="L1784" s="6"/>
      <c r="M1784" s="6"/>
      <c r="N1784" s="6"/>
      <c r="O1784" s="6"/>
      <c r="P1784" s="6"/>
      <c r="Q1784" s="6"/>
      <c r="R1784" s="6"/>
      <c r="S1784" s="6"/>
      <c r="T1784" s="6"/>
      <c r="U1784" s="6"/>
      <c r="V1784" s="6"/>
      <c r="W1784" s="6"/>
      <c r="X1784" s="6"/>
      <c r="Y1784" s="6"/>
      <c r="Z1784" s="6"/>
    </row>
    <row r="1785" spans="1:26" ht="15.75" customHeight="1" x14ac:dyDescent="0.3">
      <c r="A1785" s="10" t="s">
        <v>1112</v>
      </c>
      <c r="B1785" s="10">
        <v>1976</v>
      </c>
      <c r="C1785" s="10" t="s">
        <v>4713</v>
      </c>
      <c r="D1785" s="10">
        <v>12</v>
      </c>
      <c r="E1785" s="10">
        <v>2</v>
      </c>
      <c r="F1785" s="24">
        <v>17862.919999999998</v>
      </c>
      <c r="G1785" s="10" t="s">
        <v>4694</v>
      </c>
      <c r="H1785" s="10" t="s">
        <v>4695</v>
      </c>
      <c r="I1785" s="10" t="s">
        <v>4712</v>
      </c>
      <c r="J1785" s="17">
        <f t="shared" si="12"/>
        <v>28106</v>
      </c>
      <c r="K1785" s="10">
        <f t="shared" ca="1" si="13"/>
        <v>48</v>
      </c>
      <c r="L1785" s="6"/>
      <c r="M1785" s="6"/>
      <c r="N1785" s="6"/>
      <c r="O1785" s="6"/>
      <c r="P1785" s="6"/>
      <c r="Q1785" s="6"/>
      <c r="R1785" s="6"/>
      <c r="S1785" s="6"/>
      <c r="T1785" s="6"/>
      <c r="U1785" s="6"/>
      <c r="V1785" s="6"/>
      <c r="W1785" s="6"/>
      <c r="X1785" s="6"/>
      <c r="Y1785" s="6"/>
      <c r="Z1785" s="6"/>
    </row>
    <row r="1786" spans="1:26" ht="15.75" customHeight="1" x14ac:dyDescent="0.3">
      <c r="A1786" s="10" t="s">
        <v>1110</v>
      </c>
      <c r="B1786" s="10">
        <v>1997</v>
      </c>
      <c r="C1786" s="10" t="s">
        <v>4714</v>
      </c>
      <c r="D1786" s="10">
        <v>26</v>
      </c>
      <c r="E1786" s="10">
        <v>0</v>
      </c>
      <c r="F1786" s="24">
        <v>17878.900000000001</v>
      </c>
      <c r="G1786" s="10" t="s">
        <v>4694</v>
      </c>
      <c r="H1786" s="10" t="s">
        <v>4695</v>
      </c>
      <c r="I1786" s="10" t="s">
        <v>4723</v>
      </c>
      <c r="J1786" s="17">
        <f t="shared" si="12"/>
        <v>35668</v>
      </c>
      <c r="K1786" s="10">
        <f t="shared" ca="1" si="13"/>
        <v>28</v>
      </c>
      <c r="L1786" s="6"/>
      <c r="M1786" s="6"/>
      <c r="N1786" s="6"/>
      <c r="O1786" s="6"/>
      <c r="P1786" s="6"/>
      <c r="Q1786" s="6"/>
      <c r="R1786" s="6"/>
      <c r="S1786" s="6"/>
      <c r="T1786" s="6"/>
      <c r="U1786" s="6"/>
      <c r="V1786" s="6"/>
      <c r="W1786" s="6"/>
      <c r="X1786" s="6"/>
      <c r="Y1786" s="6"/>
      <c r="Z1786" s="6"/>
    </row>
    <row r="1787" spans="1:26" ht="15.75" customHeight="1" x14ac:dyDescent="0.3">
      <c r="A1787" s="10" t="s">
        <v>1108</v>
      </c>
      <c r="B1787" s="10">
        <v>1979</v>
      </c>
      <c r="C1787" s="10" t="s">
        <v>4709</v>
      </c>
      <c r="D1787" s="10">
        <v>12</v>
      </c>
      <c r="E1787" s="10">
        <v>2</v>
      </c>
      <c r="F1787" s="24">
        <v>17882.669999999998</v>
      </c>
      <c r="G1787" s="10" t="s">
        <v>4694</v>
      </c>
      <c r="H1787" s="10" t="s">
        <v>4696</v>
      </c>
      <c r="I1787" s="10" t="s">
        <v>4712</v>
      </c>
      <c r="J1787" s="17">
        <f t="shared" ref="J1787:J2041" si="14">DATEVALUE(D1787&amp;"-"&amp;C1787&amp;" -"&amp;B1787)</f>
        <v>29171</v>
      </c>
      <c r="K1787" s="10">
        <f t="shared" ref="K1787:K2041" ca="1" si="15">DATEDIF(J1787,TODAY(),"Y")</f>
        <v>46</v>
      </c>
      <c r="L1787" s="6"/>
      <c r="M1787" s="6"/>
      <c r="N1787" s="6"/>
      <c r="O1787" s="6"/>
      <c r="P1787" s="6"/>
      <c r="Q1787" s="6"/>
      <c r="R1787" s="6"/>
      <c r="S1787" s="6"/>
      <c r="T1787" s="6"/>
      <c r="U1787" s="6"/>
      <c r="V1787" s="6"/>
      <c r="W1787" s="6"/>
      <c r="X1787" s="6"/>
      <c r="Y1787" s="6"/>
      <c r="Z1787" s="6"/>
    </row>
    <row r="1788" spans="1:26" ht="15.75" customHeight="1" x14ac:dyDescent="0.3">
      <c r="A1788" s="10" t="s">
        <v>1106</v>
      </c>
      <c r="B1788" s="10">
        <v>1989</v>
      </c>
      <c r="C1788" s="10" t="s">
        <v>4713</v>
      </c>
      <c r="D1788" s="10">
        <v>4</v>
      </c>
      <c r="E1788" s="10">
        <v>0</v>
      </c>
      <c r="F1788" s="24">
        <v>17904.53</v>
      </c>
      <c r="G1788" s="10" t="s">
        <v>4694</v>
      </c>
      <c r="H1788" s="10" t="s">
        <v>4695</v>
      </c>
      <c r="I1788" s="10" t="s">
        <v>4727</v>
      </c>
      <c r="J1788" s="17">
        <f t="shared" si="14"/>
        <v>32846</v>
      </c>
      <c r="K1788" s="10">
        <f t="shared" ca="1" si="15"/>
        <v>35</v>
      </c>
      <c r="L1788" s="6"/>
      <c r="M1788" s="6"/>
      <c r="N1788" s="6"/>
      <c r="O1788" s="6"/>
      <c r="P1788" s="6"/>
      <c r="Q1788" s="6"/>
      <c r="R1788" s="6"/>
      <c r="S1788" s="6"/>
      <c r="T1788" s="6"/>
      <c r="U1788" s="6"/>
      <c r="V1788" s="6"/>
      <c r="W1788" s="6"/>
      <c r="X1788" s="6"/>
      <c r="Y1788" s="6"/>
      <c r="Z1788" s="6"/>
    </row>
    <row r="1789" spans="1:26" ht="15.75" customHeight="1" x14ac:dyDescent="0.3">
      <c r="A1789" s="10" t="s">
        <v>1104</v>
      </c>
      <c r="B1789" s="10">
        <v>1977</v>
      </c>
      <c r="C1789" s="10" t="s">
        <v>4715</v>
      </c>
      <c r="D1789" s="10">
        <v>17</v>
      </c>
      <c r="E1789" s="10">
        <v>0</v>
      </c>
      <c r="F1789" s="24">
        <v>17929.3</v>
      </c>
      <c r="G1789" s="10" t="s">
        <v>4694</v>
      </c>
      <c r="H1789" s="10" t="s">
        <v>4695</v>
      </c>
      <c r="I1789" s="10" t="s">
        <v>4708</v>
      </c>
      <c r="J1789" s="17">
        <f t="shared" si="14"/>
        <v>28415</v>
      </c>
      <c r="K1789" s="10">
        <f t="shared" ca="1" si="15"/>
        <v>48</v>
      </c>
      <c r="L1789" s="6"/>
      <c r="M1789" s="6"/>
      <c r="N1789" s="6"/>
      <c r="O1789" s="6"/>
      <c r="P1789" s="6"/>
      <c r="Q1789" s="6"/>
      <c r="R1789" s="6"/>
      <c r="S1789" s="6"/>
      <c r="T1789" s="6"/>
      <c r="U1789" s="6"/>
      <c r="V1789" s="6"/>
      <c r="W1789" s="6"/>
      <c r="X1789" s="6"/>
      <c r="Y1789" s="6"/>
      <c r="Z1789" s="6"/>
    </row>
    <row r="1790" spans="1:26" ht="15.75" customHeight="1" x14ac:dyDescent="0.3">
      <c r="A1790" s="10" t="s">
        <v>1102</v>
      </c>
      <c r="B1790" s="10">
        <v>2001</v>
      </c>
      <c r="C1790" s="10" t="s">
        <v>4711</v>
      </c>
      <c r="D1790" s="10">
        <v>28</v>
      </c>
      <c r="E1790" s="10">
        <v>4</v>
      </c>
      <c r="F1790" s="24">
        <v>17942.11</v>
      </c>
      <c r="G1790" s="10" t="s">
        <v>4694</v>
      </c>
      <c r="H1790" s="10" t="s">
        <v>4695</v>
      </c>
      <c r="I1790" s="10" t="s">
        <v>4716</v>
      </c>
      <c r="J1790" s="17">
        <f t="shared" si="14"/>
        <v>37162</v>
      </c>
      <c r="K1790" s="10">
        <f t="shared" ca="1" si="15"/>
        <v>24</v>
      </c>
      <c r="L1790" s="6"/>
      <c r="M1790" s="6"/>
      <c r="N1790" s="6"/>
      <c r="O1790" s="6"/>
      <c r="P1790" s="6"/>
      <c r="Q1790" s="6"/>
      <c r="R1790" s="6"/>
      <c r="S1790" s="6"/>
      <c r="T1790" s="6"/>
      <c r="U1790" s="6"/>
      <c r="V1790" s="6"/>
      <c r="W1790" s="6"/>
      <c r="X1790" s="6"/>
      <c r="Y1790" s="6"/>
      <c r="Z1790" s="6"/>
    </row>
    <row r="1791" spans="1:26" ht="15.75" customHeight="1" x14ac:dyDescent="0.3">
      <c r="A1791" s="10" t="s">
        <v>1100</v>
      </c>
      <c r="B1791" s="10">
        <v>1975</v>
      </c>
      <c r="C1791" s="10" t="s">
        <v>4710</v>
      </c>
      <c r="D1791" s="10">
        <v>27</v>
      </c>
      <c r="E1791" s="10">
        <v>1</v>
      </c>
      <c r="F1791" s="24">
        <v>18031.16</v>
      </c>
      <c r="G1791" s="10" t="s">
        <v>4694</v>
      </c>
      <c r="H1791" s="10" t="s">
        <v>4696</v>
      </c>
      <c r="I1791" s="10" t="s">
        <v>4724</v>
      </c>
      <c r="J1791" s="17">
        <f t="shared" si="14"/>
        <v>27572</v>
      </c>
      <c r="K1791" s="10">
        <f t="shared" ca="1" si="15"/>
        <v>50</v>
      </c>
      <c r="L1791" s="6"/>
      <c r="M1791" s="6"/>
      <c r="N1791" s="6"/>
      <c r="O1791" s="6"/>
      <c r="P1791" s="6"/>
      <c r="Q1791" s="6"/>
      <c r="R1791" s="6"/>
      <c r="S1791" s="6"/>
      <c r="T1791" s="6"/>
      <c r="U1791" s="6"/>
      <c r="V1791" s="6"/>
      <c r="W1791" s="6"/>
      <c r="X1791" s="6"/>
      <c r="Y1791" s="6"/>
      <c r="Z1791" s="6"/>
    </row>
    <row r="1792" spans="1:26" ht="15.75" customHeight="1" x14ac:dyDescent="0.3">
      <c r="A1792" s="10" t="s">
        <v>1098</v>
      </c>
      <c r="B1792" s="10">
        <v>1965</v>
      </c>
      <c r="C1792" s="10" t="s">
        <v>4715</v>
      </c>
      <c r="D1792" s="10">
        <v>17</v>
      </c>
      <c r="E1792" s="10">
        <v>0</v>
      </c>
      <c r="F1792" s="24">
        <v>18031.189999999999</v>
      </c>
      <c r="G1792" s="10" t="s">
        <v>4694</v>
      </c>
      <c r="H1792" s="10" t="s">
        <v>4695</v>
      </c>
      <c r="I1792" s="10" t="s">
        <v>4712</v>
      </c>
      <c r="J1792" s="17">
        <f t="shared" si="14"/>
        <v>24032</v>
      </c>
      <c r="K1792" s="10">
        <f t="shared" ca="1" si="15"/>
        <v>60</v>
      </c>
      <c r="L1792" s="6"/>
      <c r="M1792" s="6"/>
      <c r="N1792" s="6"/>
      <c r="O1792" s="6"/>
      <c r="P1792" s="6"/>
      <c r="Q1792" s="6"/>
      <c r="R1792" s="6"/>
      <c r="S1792" s="6"/>
      <c r="T1792" s="6"/>
      <c r="U1792" s="6"/>
      <c r="V1792" s="6"/>
      <c r="W1792" s="6"/>
      <c r="X1792" s="6"/>
      <c r="Y1792" s="6"/>
      <c r="Z1792" s="6"/>
    </row>
    <row r="1793" spans="1:26" ht="15.75" customHeight="1" x14ac:dyDescent="0.3">
      <c r="A1793" s="10" t="s">
        <v>1096</v>
      </c>
      <c r="B1793" s="10">
        <v>1999</v>
      </c>
      <c r="C1793" s="10" t="s">
        <v>4715</v>
      </c>
      <c r="D1793" s="10">
        <v>24</v>
      </c>
      <c r="E1793" s="10">
        <v>0</v>
      </c>
      <c r="F1793" s="24">
        <v>18033.97</v>
      </c>
      <c r="G1793" s="10" t="s">
        <v>4694</v>
      </c>
      <c r="H1793" s="10" t="s">
        <v>4694</v>
      </c>
      <c r="I1793" s="10" t="s">
        <v>4712</v>
      </c>
      <c r="J1793" s="17">
        <f t="shared" si="14"/>
        <v>36457</v>
      </c>
      <c r="K1793" s="10">
        <f t="shared" ca="1" si="15"/>
        <v>26</v>
      </c>
      <c r="L1793" s="6"/>
      <c r="M1793" s="6"/>
      <c r="N1793" s="6"/>
      <c r="O1793" s="6"/>
      <c r="P1793" s="6"/>
      <c r="Q1793" s="6"/>
      <c r="R1793" s="6"/>
      <c r="S1793" s="6"/>
      <c r="T1793" s="6"/>
      <c r="U1793" s="6"/>
      <c r="V1793" s="6"/>
      <c r="W1793" s="6"/>
      <c r="X1793" s="6"/>
      <c r="Y1793" s="6"/>
      <c r="Z1793" s="6"/>
    </row>
    <row r="1794" spans="1:26" ht="15.75" customHeight="1" x14ac:dyDescent="0.3">
      <c r="A1794" s="10" t="s">
        <v>1094</v>
      </c>
      <c r="B1794" s="10">
        <v>1993</v>
      </c>
      <c r="C1794" s="10" t="s">
        <v>4707</v>
      </c>
      <c r="D1794" s="10">
        <v>12</v>
      </c>
      <c r="E1794" s="10">
        <v>2</v>
      </c>
      <c r="F1794" s="24">
        <v>18157.88</v>
      </c>
      <c r="G1794" s="10" t="s">
        <v>4694</v>
      </c>
      <c r="H1794" s="10" t="s">
        <v>4694</v>
      </c>
      <c r="I1794" s="10" t="s">
        <v>4712</v>
      </c>
      <c r="J1794" s="17">
        <f t="shared" si="14"/>
        <v>34162</v>
      </c>
      <c r="K1794" s="10">
        <f t="shared" ca="1" si="15"/>
        <v>32</v>
      </c>
      <c r="L1794" s="6"/>
      <c r="M1794" s="6"/>
      <c r="N1794" s="6"/>
      <c r="O1794" s="6"/>
      <c r="P1794" s="6"/>
      <c r="Q1794" s="6"/>
      <c r="R1794" s="6"/>
      <c r="S1794" s="6"/>
      <c r="T1794" s="6"/>
      <c r="U1794" s="6"/>
      <c r="V1794" s="6"/>
      <c r="W1794" s="6"/>
      <c r="X1794" s="6"/>
      <c r="Y1794" s="6"/>
      <c r="Z1794" s="6"/>
    </row>
    <row r="1795" spans="1:26" ht="15.75" customHeight="1" x14ac:dyDescent="0.3">
      <c r="A1795" s="10" t="s">
        <v>1092</v>
      </c>
      <c r="B1795" s="10">
        <v>1963</v>
      </c>
      <c r="C1795" s="10" t="s">
        <v>4707</v>
      </c>
      <c r="D1795" s="10">
        <v>4</v>
      </c>
      <c r="E1795" s="10">
        <v>0</v>
      </c>
      <c r="F1795" s="24">
        <v>18208.34</v>
      </c>
      <c r="G1795" s="10" t="s">
        <v>4694</v>
      </c>
      <c r="H1795" s="10" t="s">
        <v>4695</v>
      </c>
      <c r="I1795" s="10" t="s">
        <v>4729</v>
      </c>
      <c r="J1795" s="17">
        <f t="shared" si="14"/>
        <v>23196</v>
      </c>
      <c r="K1795" s="10">
        <f t="shared" ca="1" si="15"/>
        <v>62</v>
      </c>
      <c r="L1795" s="6"/>
      <c r="M1795" s="6"/>
      <c r="N1795" s="6"/>
      <c r="O1795" s="6"/>
      <c r="P1795" s="6"/>
      <c r="Q1795" s="6"/>
      <c r="R1795" s="6"/>
      <c r="S1795" s="6"/>
      <c r="T1795" s="6"/>
      <c r="U1795" s="6"/>
      <c r="V1795" s="6"/>
      <c r="W1795" s="6"/>
      <c r="X1795" s="6"/>
      <c r="Y1795" s="6"/>
      <c r="Z1795" s="6"/>
    </row>
    <row r="1796" spans="1:26" ht="15.75" customHeight="1" x14ac:dyDescent="0.3">
      <c r="A1796" s="10" t="s">
        <v>1090</v>
      </c>
      <c r="B1796" s="10">
        <v>1997</v>
      </c>
      <c r="C1796" s="10" t="s">
        <v>4710</v>
      </c>
      <c r="D1796" s="10">
        <v>15</v>
      </c>
      <c r="E1796" s="10">
        <v>1</v>
      </c>
      <c r="F1796" s="24">
        <v>18218.16</v>
      </c>
      <c r="G1796" s="10" t="s">
        <v>4694</v>
      </c>
      <c r="H1796" s="10" t="s">
        <v>4694</v>
      </c>
      <c r="I1796" s="10" t="s">
        <v>4708</v>
      </c>
      <c r="J1796" s="17">
        <f t="shared" si="14"/>
        <v>35596</v>
      </c>
      <c r="K1796" s="10">
        <f t="shared" ca="1" si="15"/>
        <v>28</v>
      </c>
      <c r="L1796" s="6"/>
      <c r="M1796" s="6"/>
      <c r="N1796" s="6"/>
      <c r="O1796" s="6"/>
      <c r="P1796" s="6"/>
      <c r="Q1796" s="6"/>
      <c r="R1796" s="6"/>
      <c r="S1796" s="6"/>
      <c r="T1796" s="6"/>
      <c r="U1796" s="6"/>
      <c r="V1796" s="6"/>
      <c r="W1796" s="6"/>
      <c r="X1796" s="6"/>
      <c r="Y1796" s="6"/>
      <c r="Z1796" s="6"/>
    </row>
    <row r="1797" spans="1:26" ht="15.75" customHeight="1" x14ac:dyDescent="0.3">
      <c r="A1797" s="10" t="s">
        <v>1088</v>
      </c>
      <c r="B1797" s="10">
        <v>2004</v>
      </c>
      <c r="C1797" s="10" t="s">
        <v>4711</v>
      </c>
      <c r="D1797" s="10">
        <v>10</v>
      </c>
      <c r="E1797" s="10">
        <v>3</v>
      </c>
      <c r="F1797" s="24">
        <v>18223.45</v>
      </c>
      <c r="G1797" s="10" t="s">
        <v>4694</v>
      </c>
      <c r="H1797" s="10" t="s">
        <v>4696</v>
      </c>
      <c r="I1797" s="10" t="s">
        <v>4708</v>
      </c>
      <c r="J1797" s="17">
        <f t="shared" si="14"/>
        <v>38240</v>
      </c>
      <c r="K1797" s="10">
        <f t="shared" ca="1" si="15"/>
        <v>21</v>
      </c>
      <c r="L1797" s="6"/>
      <c r="M1797" s="6"/>
      <c r="N1797" s="6"/>
      <c r="O1797" s="6"/>
      <c r="P1797" s="6"/>
      <c r="Q1797" s="6"/>
      <c r="R1797" s="6"/>
      <c r="S1797" s="6"/>
      <c r="T1797" s="6"/>
      <c r="U1797" s="6"/>
      <c r="V1797" s="6"/>
      <c r="W1797" s="6"/>
      <c r="X1797" s="6"/>
      <c r="Y1797" s="6"/>
      <c r="Z1797" s="6"/>
    </row>
    <row r="1798" spans="1:26" ht="15.75" customHeight="1" x14ac:dyDescent="0.3">
      <c r="A1798" s="10" t="s">
        <v>1086</v>
      </c>
      <c r="B1798" s="10">
        <v>1995</v>
      </c>
      <c r="C1798" s="10" t="s">
        <v>4714</v>
      </c>
      <c r="D1798" s="10">
        <v>3</v>
      </c>
      <c r="E1798" s="10">
        <v>0</v>
      </c>
      <c r="F1798" s="24">
        <v>18246.5</v>
      </c>
      <c r="G1798" s="10" t="s">
        <v>4694</v>
      </c>
      <c r="H1798" s="10" t="s">
        <v>4694</v>
      </c>
      <c r="I1798" s="10" t="s">
        <v>4708</v>
      </c>
      <c r="J1798" s="17">
        <f t="shared" si="14"/>
        <v>34914</v>
      </c>
      <c r="K1798" s="10">
        <f t="shared" ca="1" si="15"/>
        <v>30</v>
      </c>
      <c r="L1798" s="6"/>
      <c r="M1798" s="6"/>
      <c r="N1798" s="6"/>
      <c r="O1798" s="6"/>
      <c r="P1798" s="6"/>
      <c r="Q1798" s="6"/>
      <c r="R1798" s="6"/>
      <c r="S1798" s="6"/>
      <c r="T1798" s="6"/>
      <c r="U1798" s="6"/>
      <c r="V1798" s="6"/>
      <c r="W1798" s="6"/>
      <c r="X1798" s="6"/>
      <c r="Y1798" s="6"/>
      <c r="Z1798" s="6"/>
    </row>
    <row r="1799" spans="1:26" ht="15.75" customHeight="1" x14ac:dyDescent="0.3">
      <c r="A1799" s="10" t="s">
        <v>1084</v>
      </c>
      <c r="B1799" s="10">
        <v>1992</v>
      </c>
      <c r="C1799" s="10" t="s">
        <v>4713</v>
      </c>
      <c r="D1799" s="10">
        <v>25</v>
      </c>
      <c r="E1799" s="10">
        <v>3</v>
      </c>
      <c r="F1799" s="24">
        <v>18259.22</v>
      </c>
      <c r="G1799" s="10" t="s">
        <v>4694</v>
      </c>
      <c r="H1799" s="10" t="s">
        <v>4696</v>
      </c>
      <c r="I1799" s="10" t="s">
        <v>4716</v>
      </c>
      <c r="J1799" s="17">
        <f t="shared" si="14"/>
        <v>33963</v>
      </c>
      <c r="K1799" s="10">
        <f t="shared" ca="1" si="15"/>
        <v>32</v>
      </c>
      <c r="L1799" s="6"/>
      <c r="M1799" s="6"/>
      <c r="N1799" s="6"/>
      <c r="O1799" s="6"/>
      <c r="P1799" s="6"/>
      <c r="Q1799" s="6"/>
      <c r="R1799" s="6"/>
      <c r="S1799" s="6"/>
      <c r="T1799" s="6"/>
      <c r="U1799" s="6"/>
      <c r="V1799" s="6"/>
      <c r="W1799" s="6"/>
      <c r="X1799" s="6"/>
      <c r="Y1799" s="6"/>
      <c r="Z1799" s="6"/>
    </row>
    <row r="1800" spans="1:26" ht="15.75" customHeight="1" x14ac:dyDescent="0.3">
      <c r="A1800" s="10" t="s">
        <v>1082</v>
      </c>
      <c r="B1800" s="10">
        <v>1995</v>
      </c>
      <c r="C1800" s="10" t="s">
        <v>4707</v>
      </c>
      <c r="D1800" s="10">
        <v>4</v>
      </c>
      <c r="E1800" s="10">
        <v>0</v>
      </c>
      <c r="F1800" s="24">
        <v>18310.740000000002</v>
      </c>
      <c r="G1800" s="10" t="s">
        <v>4694</v>
      </c>
      <c r="H1800" s="10" t="s">
        <v>4696</v>
      </c>
      <c r="I1800" s="10" t="s">
        <v>4712</v>
      </c>
      <c r="J1800" s="17">
        <f t="shared" si="14"/>
        <v>34884</v>
      </c>
      <c r="K1800" s="10">
        <f t="shared" ca="1" si="15"/>
        <v>30</v>
      </c>
      <c r="L1800" s="6"/>
      <c r="M1800" s="6"/>
      <c r="N1800" s="6"/>
      <c r="O1800" s="6"/>
      <c r="P1800" s="6"/>
      <c r="Q1800" s="6"/>
      <c r="R1800" s="6"/>
      <c r="S1800" s="6"/>
      <c r="T1800" s="6"/>
      <c r="U1800" s="6"/>
      <c r="V1800" s="6"/>
      <c r="W1800" s="6"/>
      <c r="X1800" s="6"/>
      <c r="Y1800" s="6"/>
      <c r="Z1800" s="6"/>
    </row>
    <row r="1801" spans="1:26" ht="15.75" customHeight="1" x14ac:dyDescent="0.3">
      <c r="A1801" s="10" t="s">
        <v>1080</v>
      </c>
      <c r="B1801" s="10">
        <v>1999</v>
      </c>
      <c r="C1801" s="10" t="s">
        <v>4713</v>
      </c>
      <c r="D1801" s="10">
        <v>15</v>
      </c>
      <c r="E1801" s="10">
        <v>1</v>
      </c>
      <c r="F1801" s="24">
        <v>18328.240000000002</v>
      </c>
      <c r="G1801" s="10" t="s">
        <v>4694</v>
      </c>
      <c r="H1801" s="10" t="s">
        <v>4695</v>
      </c>
      <c r="I1801" s="10" t="s">
        <v>4708</v>
      </c>
      <c r="J1801" s="17">
        <f t="shared" si="14"/>
        <v>36509</v>
      </c>
      <c r="K1801" s="10">
        <f t="shared" ca="1" si="15"/>
        <v>25</v>
      </c>
      <c r="L1801" s="6"/>
      <c r="M1801" s="6"/>
      <c r="N1801" s="6"/>
      <c r="O1801" s="6"/>
      <c r="P1801" s="6"/>
      <c r="Q1801" s="6"/>
      <c r="R1801" s="6"/>
      <c r="S1801" s="6"/>
      <c r="T1801" s="6"/>
      <c r="U1801" s="6"/>
      <c r="V1801" s="6"/>
      <c r="W1801" s="6"/>
      <c r="X1801" s="6"/>
      <c r="Y1801" s="6"/>
      <c r="Z1801" s="6"/>
    </row>
    <row r="1802" spans="1:26" ht="15.75" customHeight="1" x14ac:dyDescent="0.3">
      <c r="A1802" s="10" t="s">
        <v>1078</v>
      </c>
      <c r="B1802" s="10">
        <v>1964</v>
      </c>
      <c r="C1802" s="10" t="s">
        <v>4711</v>
      </c>
      <c r="D1802" s="10">
        <v>26</v>
      </c>
      <c r="E1802" s="10">
        <v>0</v>
      </c>
      <c r="F1802" s="24">
        <v>18443.11</v>
      </c>
      <c r="G1802" s="10" t="s">
        <v>4694</v>
      </c>
      <c r="H1802" s="10" t="s">
        <v>4695</v>
      </c>
      <c r="I1802" s="10" t="s">
        <v>4712</v>
      </c>
      <c r="J1802" s="17">
        <f t="shared" si="14"/>
        <v>23646</v>
      </c>
      <c r="K1802" s="10">
        <f t="shared" ca="1" si="15"/>
        <v>61</v>
      </c>
      <c r="L1802" s="6"/>
      <c r="M1802" s="6"/>
      <c r="N1802" s="6"/>
      <c r="O1802" s="6"/>
      <c r="P1802" s="6"/>
      <c r="Q1802" s="6"/>
      <c r="R1802" s="6"/>
      <c r="S1802" s="6"/>
      <c r="T1802" s="6"/>
      <c r="U1802" s="6"/>
      <c r="V1802" s="6"/>
      <c r="W1802" s="6"/>
      <c r="X1802" s="6"/>
      <c r="Y1802" s="6"/>
      <c r="Z1802" s="6"/>
    </row>
    <row r="1803" spans="1:26" ht="15.75" customHeight="1" x14ac:dyDescent="0.3">
      <c r="A1803" s="10" t="s">
        <v>1076</v>
      </c>
      <c r="B1803" s="10">
        <v>1986</v>
      </c>
      <c r="C1803" s="10" t="s">
        <v>4714</v>
      </c>
      <c r="D1803" s="10">
        <v>12</v>
      </c>
      <c r="E1803" s="10">
        <v>2</v>
      </c>
      <c r="F1803" s="24">
        <v>18608.259999999998</v>
      </c>
      <c r="G1803" s="10" t="s">
        <v>4694</v>
      </c>
      <c r="H1803" s="10" t="s">
        <v>4696</v>
      </c>
      <c r="I1803" s="10" t="s">
        <v>4716</v>
      </c>
      <c r="J1803" s="17">
        <f t="shared" si="14"/>
        <v>31636</v>
      </c>
      <c r="K1803" s="10">
        <f t="shared" ca="1" si="15"/>
        <v>39</v>
      </c>
      <c r="L1803" s="6"/>
      <c r="M1803" s="6"/>
      <c r="N1803" s="6"/>
      <c r="O1803" s="6"/>
      <c r="P1803" s="6"/>
      <c r="Q1803" s="6"/>
      <c r="R1803" s="6"/>
      <c r="S1803" s="6"/>
      <c r="T1803" s="6"/>
      <c r="U1803" s="6"/>
      <c r="V1803" s="6"/>
      <c r="W1803" s="6"/>
      <c r="X1803" s="6"/>
      <c r="Y1803" s="6"/>
      <c r="Z1803" s="6"/>
    </row>
    <row r="1804" spans="1:26" ht="15.75" customHeight="1" x14ac:dyDescent="0.3">
      <c r="A1804" s="10" t="s">
        <v>1074</v>
      </c>
      <c r="B1804" s="10">
        <v>1998</v>
      </c>
      <c r="C1804" s="10" t="s">
        <v>4711</v>
      </c>
      <c r="D1804" s="10">
        <v>23</v>
      </c>
      <c r="E1804" s="10">
        <v>0</v>
      </c>
      <c r="F1804" s="24">
        <v>18648.419999999998</v>
      </c>
      <c r="G1804" s="10" t="s">
        <v>4694</v>
      </c>
      <c r="H1804" s="10" t="s">
        <v>4694</v>
      </c>
      <c r="I1804" s="10" t="s">
        <v>4719</v>
      </c>
      <c r="J1804" s="17">
        <f t="shared" si="14"/>
        <v>36061</v>
      </c>
      <c r="K1804" s="10">
        <f t="shared" ca="1" si="15"/>
        <v>27</v>
      </c>
      <c r="L1804" s="6"/>
      <c r="M1804" s="6"/>
      <c r="N1804" s="6"/>
      <c r="O1804" s="6"/>
      <c r="P1804" s="6"/>
      <c r="Q1804" s="6"/>
      <c r="R1804" s="6"/>
      <c r="S1804" s="6"/>
      <c r="T1804" s="6"/>
      <c r="U1804" s="6"/>
      <c r="V1804" s="6"/>
      <c r="W1804" s="6"/>
      <c r="X1804" s="6"/>
      <c r="Y1804" s="6"/>
      <c r="Z1804" s="6"/>
    </row>
    <row r="1805" spans="1:26" ht="15.75" customHeight="1" x14ac:dyDescent="0.3">
      <c r="A1805" s="10" t="s">
        <v>1072</v>
      </c>
      <c r="B1805" s="10">
        <v>1970</v>
      </c>
      <c r="C1805" s="10" t="s">
        <v>4715</v>
      </c>
      <c r="D1805" s="10">
        <v>17</v>
      </c>
      <c r="E1805" s="10">
        <v>0</v>
      </c>
      <c r="F1805" s="24">
        <v>18682.740000000002</v>
      </c>
      <c r="G1805" s="10" t="s">
        <v>4694</v>
      </c>
      <c r="H1805" s="10" t="s">
        <v>4696</v>
      </c>
      <c r="I1805" s="10" t="s">
        <v>4712</v>
      </c>
      <c r="J1805" s="17">
        <f t="shared" si="14"/>
        <v>25858</v>
      </c>
      <c r="K1805" s="10">
        <f t="shared" ca="1" si="15"/>
        <v>55</v>
      </c>
      <c r="L1805" s="6"/>
      <c r="M1805" s="6"/>
      <c r="N1805" s="6"/>
      <c r="O1805" s="6"/>
      <c r="P1805" s="6"/>
      <c r="Q1805" s="6"/>
      <c r="R1805" s="6"/>
      <c r="S1805" s="6"/>
      <c r="T1805" s="6"/>
      <c r="U1805" s="6"/>
      <c r="V1805" s="6"/>
      <c r="W1805" s="6"/>
      <c r="X1805" s="6"/>
      <c r="Y1805" s="6"/>
      <c r="Z1805" s="6"/>
    </row>
    <row r="1806" spans="1:26" ht="15.75" customHeight="1" x14ac:dyDescent="0.3">
      <c r="A1806" s="10" t="s">
        <v>1070</v>
      </c>
      <c r="B1806" s="10">
        <v>1967</v>
      </c>
      <c r="C1806" s="10" t="s">
        <v>4714</v>
      </c>
      <c r="D1806" s="10">
        <v>30</v>
      </c>
      <c r="E1806" s="10">
        <v>0</v>
      </c>
      <c r="F1806" s="24">
        <v>18694.689999999999</v>
      </c>
      <c r="G1806" s="10" t="s">
        <v>4694</v>
      </c>
      <c r="H1806" s="10" t="s">
        <v>4694</v>
      </c>
      <c r="I1806" s="10" t="s">
        <v>4724</v>
      </c>
      <c r="J1806" s="17">
        <f t="shared" si="14"/>
        <v>24714</v>
      </c>
      <c r="K1806" s="10">
        <f t="shared" ca="1" si="15"/>
        <v>58</v>
      </c>
      <c r="L1806" s="6"/>
      <c r="M1806" s="6"/>
      <c r="N1806" s="6"/>
      <c r="O1806" s="6"/>
      <c r="P1806" s="6"/>
      <c r="Q1806" s="6"/>
      <c r="R1806" s="6"/>
      <c r="S1806" s="6"/>
      <c r="T1806" s="6"/>
      <c r="U1806" s="6"/>
      <c r="V1806" s="6"/>
      <c r="W1806" s="6"/>
      <c r="X1806" s="6"/>
      <c r="Y1806" s="6"/>
      <c r="Z1806" s="6"/>
    </row>
    <row r="1807" spans="1:26" ht="15.75" customHeight="1" x14ac:dyDescent="0.3">
      <c r="A1807" s="10" t="s">
        <v>1068</v>
      </c>
      <c r="B1807" s="10">
        <v>1992</v>
      </c>
      <c r="C1807" s="10" t="s">
        <v>4713</v>
      </c>
      <c r="D1807" s="10">
        <v>27</v>
      </c>
      <c r="E1807" s="10">
        <v>3</v>
      </c>
      <c r="F1807" s="24">
        <v>18765.88</v>
      </c>
      <c r="G1807" s="10" t="s">
        <v>4694</v>
      </c>
      <c r="H1807" s="10" t="s">
        <v>4695</v>
      </c>
      <c r="I1807" s="10" t="s">
        <v>4712</v>
      </c>
      <c r="J1807" s="17">
        <f t="shared" si="14"/>
        <v>33965</v>
      </c>
      <c r="K1807" s="10">
        <f t="shared" ca="1" si="15"/>
        <v>32</v>
      </c>
      <c r="L1807" s="6"/>
      <c r="M1807" s="6"/>
      <c r="N1807" s="6"/>
      <c r="O1807" s="6"/>
      <c r="P1807" s="6"/>
      <c r="Q1807" s="6"/>
      <c r="R1807" s="6"/>
      <c r="S1807" s="6"/>
      <c r="T1807" s="6"/>
      <c r="U1807" s="6"/>
      <c r="V1807" s="6"/>
      <c r="W1807" s="6"/>
      <c r="X1807" s="6"/>
      <c r="Y1807" s="6"/>
      <c r="Z1807" s="6"/>
    </row>
    <row r="1808" spans="1:26" ht="15.75" customHeight="1" x14ac:dyDescent="0.3">
      <c r="A1808" s="10" t="s">
        <v>1066</v>
      </c>
      <c r="B1808" s="10">
        <v>1979</v>
      </c>
      <c r="C1808" s="10" t="s">
        <v>4709</v>
      </c>
      <c r="D1808" s="10">
        <v>19</v>
      </c>
      <c r="E1808" s="10">
        <v>2</v>
      </c>
      <c r="F1808" s="24">
        <v>18767.740000000002</v>
      </c>
      <c r="G1808" s="10" t="s">
        <v>4694</v>
      </c>
      <c r="H1808" s="10" t="s">
        <v>4694</v>
      </c>
      <c r="I1808" s="10" t="s">
        <v>4708</v>
      </c>
      <c r="J1808" s="17">
        <f t="shared" si="14"/>
        <v>29178</v>
      </c>
      <c r="K1808" s="10">
        <f t="shared" ca="1" si="15"/>
        <v>46</v>
      </c>
      <c r="L1808" s="6"/>
      <c r="M1808" s="6"/>
      <c r="N1808" s="6"/>
      <c r="O1808" s="6"/>
      <c r="P1808" s="6"/>
      <c r="Q1808" s="6"/>
      <c r="R1808" s="6"/>
      <c r="S1808" s="6"/>
      <c r="T1808" s="6"/>
      <c r="U1808" s="6"/>
      <c r="V1808" s="6"/>
      <c r="W1808" s="6"/>
      <c r="X1808" s="6"/>
      <c r="Y1808" s="6"/>
      <c r="Z1808" s="6"/>
    </row>
    <row r="1809" spans="1:26" ht="15.75" customHeight="1" x14ac:dyDescent="0.3">
      <c r="A1809" s="10" t="s">
        <v>1064</v>
      </c>
      <c r="B1809" s="10">
        <v>1995</v>
      </c>
      <c r="C1809" s="10" t="s">
        <v>4709</v>
      </c>
      <c r="D1809" s="10">
        <v>28</v>
      </c>
      <c r="E1809" s="10">
        <v>3</v>
      </c>
      <c r="F1809" s="24">
        <v>18804.75</v>
      </c>
      <c r="G1809" s="10" t="s">
        <v>4694</v>
      </c>
      <c r="H1809" s="10" t="s">
        <v>4694</v>
      </c>
      <c r="I1809" s="10" t="s">
        <v>4712</v>
      </c>
      <c r="J1809" s="17">
        <f t="shared" si="14"/>
        <v>35031</v>
      </c>
      <c r="K1809" s="10">
        <f t="shared" ca="1" si="15"/>
        <v>30</v>
      </c>
      <c r="L1809" s="6"/>
      <c r="M1809" s="6"/>
      <c r="N1809" s="6"/>
      <c r="O1809" s="6"/>
      <c r="P1809" s="6"/>
      <c r="Q1809" s="6"/>
      <c r="R1809" s="6"/>
      <c r="S1809" s="6"/>
      <c r="T1809" s="6"/>
      <c r="U1809" s="6"/>
      <c r="V1809" s="6"/>
      <c r="W1809" s="6"/>
      <c r="X1809" s="6"/>
      <c r="Y1809" s="6"/>
      <c r="Z1809" s="6"/>
    </row>
    <row r="1810" spans="1:26" ht="15.75" customHeight="1" x14ac:dyDescent="0.3">
      <c r="A1810" s="10" t="s">
        <v>1062</v>
      </c>
      <c r="B1810" s="10">
        <v>1979</v>
      </c>
      <c r="C1810" s="10" t="s">
        <v>4715</v>
      </c>
      <c r="D1810" s="10">
        <v>15</v>
      </c>
      <c r="E1810" s="10">
        <v>2</v>
      </c>
      <c r="F1810" s="24">
        <v>18806.150000000001</v>
      </c>
      <c r="G1810" s="10" t="s">
        <v>4694</v>
      </c>
      <c r="H1810" s="10" t="s">
        <v>4695</v>
      </c>
      <c r="I1810" s="10" t="s">
        <v>4708</v>
      </c>
      <c r="J1810" s="17">
        <f t="shared" si="14"/>
        <v>29143</v>
      </c>
      <c r="K1810" s="10">
        <f t="shared" ca="1" si="15"/>
        <v>46</v>
      </c>
      <c r="L1810" s="6"/>
      <c r="M1810" s="6"/>
      <c r="N1810" s="6"/>
      <c r="O1810" s="6"/>
      <c r="P1810" s="6"/>
      <c r="Q1810" s="6"/>
      <c r="R1810" s="6"/>
      <c r="S1810" s="6"/>
      <c r="T1810" s="6"/>
      <c r="U1810" s="6"/>
      <c r="V1810" s="6"/>
      <c r="W1810" s="6"/>
      <c r="X1810" s="6"/>
      <c r="Y1810" s="6"/>
      <c r="Z1810" s="6"/>
    </row>
    <row r="1811" spans="1:26" ht="15.75" customHeight="1" x14ac:dyDescent="0.3">
      <c r="A1811" s="10" t="s">
        <v>1060</v>
      </c>
      <c r="B1811" s="10">
        <v>1962</v>
      </c>
      <c r="C1811" s="10" t="s">
        <v>4713</v>
      </c>
      <c r="D1811" s="10">
        <v>18</v>
      </c>
      <c r="E1811" s="10">
        <v>0</v>
      </c>
      <c r="F1811" s="24">
        <v>18815.53</v>
      </c>
      <c r="G1811" s="10" t="s">
        <v>4694</v>
      </c>
      <c r="H1811" s="10" t="s">
        <v>4694</v>
      </c>
      <c r="I1811" s="10" t="s">
        <v>4724</v>
      </c>
      <c r="J1811" s="17">
        <f t="shared" si="14"/>
        <v>22998</v>
      </c>
      <c r="K1811" s="10">
        <f t="shared" ca="1" si="15"/>
        <v>62</v>
      </c>
      <c r="L1811" s="6"/>
      <c r="M1811" s="6"/>
      <c r="N1811" s="6"/>
      <c r="O1811" s="6"/>
      <c r="P1811" s="6"/>
      <c r="Q1811" s="6"/>
      <c r="R1811" s="6"/>
      <c r="S1811" s="6"/>
      <c r="T1811" s="6"/>
      <c r="U1811" s="6"/>
      <c r="V1811" s="6"/>
      <c r="W1811" s="6"/>
      <c r="X1811" s="6"/>
      <c r="Y1811" s="6"/>
      <c r="Z1811" s="6"/>
    </row>
    <row r="1812" spans="1:26" ht="15.75" customHeight="1" x14ac:dyDescent="0.3">
      <c r="A1812" s="10" t="s">
        <v>1058</v>
      </c>
      <c r="B1812" s="10">
        <v>2003</v>
      </c>
      <c r="C1812" s="10" t="s">
        <v>4707</v>
      </c>
      <c r="D1812" s="10">
        <v>24</v>
      </c>
      <c r="E1812" s="10">
        <v>3</v>
      </c>
      <c r="F1812" s="24">
        <v>18838.7</v>
      </c>
      <c r="G1812" s="10" t="s">
        <v>4694</v>
      </c>
      <c r="H1812" s="10" t="s">
        <v>4696</v>
      </c>
      <c r="I1812" s="10" t="s">
        <v>4712</v>
      </c>
      <c r="J1812" s="17">
        <f t="shared" si="14"/>
        <v>37826</v>
      </c>
      <c r="K1812" s="10">
        <f t="shared" ca="1" si="15"/>
        <v>22</v>
      </c>
      <c r="L1812" s="6"/>
      <c r="M1812" s="6"/>
      <c r="N1812" s="6"/>
      <c r="O1812" s="6"/>
      <c r="P1812" s="6"/>
      <c r="Q1812" s="6"/>
      <c r="R1812" s="6"/>
      <c r="S1812" s="6"/>
      <c r="T1812" s="6"/>
      <c r="U1812" s="6"/>
      <c r="V1812" s="6"/>
      <c r="W1812" s="6"/>
      <c r="X1812" s="6"/>
      <c r="Y1812" s="6"/>
      <c r="Z1812" s="6"/>
    </row>
    <row r="1813" spans="1:26" ht="15.75" customHeight="1" x14ac:dyDescent="0.3">
      <c r="A1813" s="10" t="s">
        <v>1056</v>
      </c>
      <c r="B1813" s="10">
        <v>1963</v>
      </c>
      <c r="C1813" s="10" t="s">
        <v>4713</v>
      </c>
      <c r="D1813" s="10">
        <v>6</v>
      </c>
      <c r="E1813" s="10">
        <v>0</v>
      </c>
      <c r="F1813" s="24">
        <v>18883.330000000002</v>
      </c>
      <c r="G1813" s="10" t="s">
        <v>4694</v>
      </c>
      <c r="H1813" s="10" t="s">
        <v>4694</v>
      </c>
      <c r="I1813" s="10" t="s">
        <v>4729</v>
      </c>
      <c r="J1813" s="17">
        <f t="shared" si="14"/>
        <v>23351</v>
      </c>
      <c r="K1813" s="10">
        <f t="shared" ca="1" si="15"/>
        <v>61</v>
      </c>
      <c r="L1813" s="6"/>
      <c r="M1813" s="6"/>
      <c r="N1813" s="6"/>
      <c r="O1813" s="6"/>
      <c r="P1813" s="6"/>
      <c r="Q1813" s="6"/>
      <c r="R1813" s="6"/>
      <c r="S1813" s="6"/>
      <c r="T1813" s="6"/>
      <c r="U1813" s="6"/>
      <c r="V1813" s="6"/>
      <c r="W1813" s="6"/>
      <c r="X1813" s="6"/>
      <c r="Y1813" s="6"/>
      <c r="Z1813" s="6"/>
    </row>
    <row r="1814" spans="1:26" ht="15.75" customHeight="1" x14ac:dyDescent="0.3">
      <c r="A1814" s="10" t="s">
        <v>1054</v>
      </c>
      <c r="B1814" s="10">
        <v>1995</v>
      </c>
      <c r="C1814" s="10" t="s">
        <v>4711</v>
      </c>
      <c r="D1814" s="10">
        <v>27</v>
      </c>
      <c r="E1814" s="10">
        <v>1</v>
      </c>
      <c r="F1814" s="24">
        <v>18903.490000000002</v>
      </c>
      <c r="G1814" s="10" t="s">
        <v>4694</v>
      </c>
      <c r="H1814" s="10" t="s">
        <v>4695</v>
      </c>
      <c r="I1814" s="10" t="s">
        <v>4723</v>
      </c>
      <c r="J1814" s="17">
        <f t="shared" si="14"/>
        <v>34969</v>
      </c>
      <c r="K1814" s="10">
        <f t="shared" ca="1" si="15"/>
        <v>30</v>
      </c>
      <c r="L1814" s="6"/>
      <c r="M1814" s="6"/>
      <c r="N1814" s="6"/>
      <c r="O1814" s="6"/>
      <c r="P1814" s="6"/>
      <c r="Q1814" s="6"/>
      <c r="R1814" s="6"/>
      <c r="S1814" s="6"/>
      <c r="T1814" s="6"/>
      <c r="U1814" s="6"/>
      <c r="V1814" s="6"/>
      <c r="W1814" s="6"/>
      <c r="X1814" s="6"/>
      <c r="Y1814" s="6"/>
      <c r="Z1814" s="6"/>
    </row>
    <row r="1815" spans="1:26" ht="15.75" customHeight="1" x14ac:dyDescent="0.3">
      <c r="A1815" s="10" t="s">
        <v>1052</v>
      </c>
      <c r="B1815" s="10">
        <v>1969</v>
      </c>
      <c r="C1815" s="10" t="s">
        <v>4714</v>
      </c>
      <c r="D1815" s="10">
        <v>3</v>
      </c>
      <c r="E1815" s="10">
        <v>0</v>
      </c>
      <c r="F1815" s="24">
        <v>18932.810000000001</v>
      </c>
      <c r="G1815" s="10" t="s">
        <v>4694</v>
      </c>
      <c r="H1815" s="10" t="s">
        <v>4696</v>
      </c>
      <c r="I1815" s="10" t="s">
        <v>4712</v>
      </c>
      <c r="J1815" s="17">
        <f t="shared" si="14"/>
        <v>25418</v>
      </c>
      <c r="K1815" s="10">
        <f t="shared" ca="1" si="15"/>
        <v>56</v>
      </c>
      <c r="L1815" s="6"/>
      <c r="M1815" s="6"/>
      <c r="N1815" s="6"/>
      <c r="O1815" s="6"/>
      <c r="P1815" s="6"/>
      <c r="Q1815" s="6"/>
      <c r="R1815" s="6"/>
      <c r="S1815" s="6"/>
      <c r="T1815" s="6"/>
      <c r="U1815" s="6"/>
      <c r="V1815" s="6"/>
      <c r="W1815" s="6"/>
      <c r="X1815" s="6"/>
      <c r="Y1815" s="6"/>
      <c r="Z1815" s="6"/>
    </row>
    <row r="1816" spans="1:26" ht="15.75" customHeight="1" x14ac:dyDescent="0.3">
      <c r="A1816" s="10" t="s">
        <v>1050</v>
      </c>
      <c r="B1816" s="10">
        <v>1963</v>
      </c>
      <c r="C1816" s="10" t="s">
        <v>4715</v>
      </c>
      <c r="D1816" s="10">
        <v>20</v>
      </c>
      <c r="E1816" s="10">
        <v>0</v>
      </c>
      <c r="F1816" s="24">
        <v>18954.560000000001</v>
      </c>
      <c r="G1816" s="10" t="s">
        <v>4694</v>
      </c>
      <c r="H1816" s="10" t="s">
        <v>4694</v>
      </c>
      <c r="I1816" s="10" t="s">
        <v>4729</v>
      </c>
      <c r="J1816" s="17">
        <f t="shared" si="14"/>
        <v>23304</v>
      </c>
      <c r="K1816" s="10">
        <f t="shared" ca="1" si="15"/>
        <v>62</v>
      </c>
      <c r="L1816" s="6"/>
      <c r="M1816" s="6"/>
      <c r="N1816" s="6"/>
      <c r="O1816" s="6"/>
      <c r="P1816" s="6"/>
      <c r="Q1816" s="6"/>
      <c r="R1816" s="6"/>
      <c r="S1816" s="6"/>
      <c r="T1816" s="6"/>
      <c r="U1816" s="6"/>
      <c r="V1816" s="6"/>
      <c r="W1816" s="6"/>
      <c r="X1816" s="6"/>
      <c r="Y1816" s="6"/>
      <c r="Z1816" s="6"/>
    </row>
    <row r="1817" spans="1:26" ht="15.75" customHeight="1" x14ac:dyDescent="0.3">
      <c r="A1817" s="10" t="s">
        <v>1048</v>
      </c>
      <c r="B1817" s="10">
        <v>1998</v>
      </c>
      <c r="C1817" s="10" t="s">
        <v>4714</v>
      </c>
      <c r="D1817" s="10">
        <v>6</v>
      </c>
      <c r="E1817" s="10">
        <v>0</v>
      </c>
      <c r="F1817" s="24">
        <v>18955.22</v>
      </c>
      <c r="G1817" s="10" t="s">
        <v>4694</v>
      </c>
      <c r="H1817" s="10" t="s">
        <v>4696</v>
      </c>
      <c r="I1817" s="10" t="s">
        <v>4716</v>
      </c>
      <c r="J1817" s="17">
        <f t="shared" si="14"/>
        <v>36013</v>
      </c>
      <c r="K1817" s="10">
        <f t="shared" ca="1" si="15"/>
        <v>27</v>
      </c>
      <c r="L1817" s="6"/>
      <c r="M1817" s="6"/>
      <c r="N1817" s="6"/>
      <c r="O1817" s="6"/>
      <c r="P1817" s="6"/>
      <c r="Q1817" s="6"/>
      <c r="R1817" s="6"/>
      <c r="S1817" s="6"/>
      <c r="T1817" s="6"/>
      <c r="U1817" s="6"/>
      <c r="V1817" s="6"/>
      <c r="W1817" s="6"/>
      <c r="X1817" s="6"/>
      <c r="Y1817" s="6"/>
      <c r="Z1817" s="6"/>
    </row>
    <row r="1818" spans="1:26" ht="15.75" customHeight="1" x14ac:dyDescent="0.3">
      <c r="A1818" s="10" t="s">
        <v>1046</v>
      </c>
      <c r="B1818" s="10">
        <v>1992</v>
      </c>
      <c r="C1818" s="10" t="s">
        <v>4709</v>
      </c>
      <c r="D1818" s="10">
        <v>30</v>
      </c>
      <c r="E1818" s="10">
        <v>1</v>
      </c>
      <c r="F1818" s="24">
        <v>18963.169999999998</v>
      </c>
      <c r="G1818" s="10" t="s">
        <v>4694</v>
      </c>
      <c r="H1818" s="10" t="s">
        <v>4694</v>
      </c>
      <c r="I1818" s="10" t="s">
        <v>4708</v>
      </c>
      <c r="J1818" s="17">
        <f t="shared" si="14"/>
        <v>33938</v>
      </c>
      <c r="K1818" s="10">
        <f t="shared" ca="1" si="15"/>
        <v>32</v>
      </c>
      <c r="L1818" s="6"/>
      <c r="M1818" s="6"/>
      <c r="N1818" s="6"/>
      <c r="O1818" s="6"/>
      <c r="P1818" s="6"/>
      <c r="Q1818" s="6"/>
      <c r="R1818" s="6"/>
      <c r="S1818" s="6"/>
      <c r="T1818" s="6"/>
      <c r="U1818" s="6"/>
      <c r="V1818" s="6"/>
      <c r="W1818" s="6"/>
      <c r="X1818" s="6"/>
      <c r="Y1818" s="6"/>
      <c r="Z1818" s="6"/>
    </row>
    <row r="1819" spans="1:26" ht="15.75" customHeight="1" x14ac:dyDescent="0.3">
      <c r="A1819" s="10" t="s">
        <v>1044</v>
      </c>
      <c r="B1819" s="10">
        <v>1988</v>
      </c>
      <c r="C1819" s="10" t="s">
        <v>4715</v>
      </c>
      <c r="D1819" s="10">
        <v>24</v>
      </c>
      <c r="E1819" s="10">
        <v>2</v>
      </c>
      <c r="F1819" s="24">
        <v>18972.5</v>
      </c>
      <c r="G1819" s="10" t="s">
        <v>4694</v>
      </c>
      <c r="H1819" s="10" t="s">
        <v>4696</v>
      </c>
      <c r="I1819" s="10" t="s">
        <v>4708</v>
      </c>
      <c r="J1819" s="17">
        <f t="shared" si="14"/>
        <v>32440</v>
      </c>
      <c r="K1819" s="10">
        <f t="shared" ca="1" si="15"/>
        <v>37</v>
      </c>
      <c r="L1819" s="6"/>
      <c r="M1819" s="6"/>
      <c r="N1819" s="6"/>
      <c r="O1819" s="6"/>
      <c r="P1819" s="6"/>
      <c r="Q1819" s="6"/>
      <c r="R1819" s="6"/>
      <c r="S1819" s="6"/>
      <c r="T1819" s="6"/>
      <c r="U1819" s="6"/>
      <c r="V1819" s="6"/>
      <c r="W1819" s="6"/>
      <c r="X1819" s="6"/>
      <c r="Y1819" s="6"/>
      <c r="Z1819" s="6"/>
    </row>
    <row r="1820" spans="1:26" ht="15.75" customHeight="1" x14ac:dyDescent="0.3">
      <c r="A1820" s="10" t="s">
        <v>1042</v>
      </c>
      <c r="B1820" s="10">
        <v>1983</v>
      </c>
      <c r="C1820" s="10" t="s">
        <v>4713</v>
      </c>
      <c r="D1820" s="10">
        <v>19</v>
      </c>
      <c r="E1820" s="10">
        <v>5</v>
      </c>
      <c r="F1820" s="24">
        <v>19023.259999999998</v>
      </c>
      <c r="G1820" s="10" t="s">
        <v>4694</v>
      </c>
      <c r="H1820" s="10" t="s">
        <v>4696</v>
      </c>
      <c r="I1820" s="10" t="s">
        <v>4716</v>
      </c>
      <c r="J1820" s="17">
        <f t="shared" si="14"/>
        <v>30669</v>
      </c>
      <c r="K1820" s="10">
        <f t="shared" ca="1" si="15"/>
        <v>41</v>
      </c>
      <c r="L1820" s="6"/>
      <c r="M1820" s="6"/>
      <c r="N1820" s="6"/>
      <c r="O1820" s="6"/>
      <c r="P1820" s="6"/>
      <c r="Q1820" s="6"/>
      <c r="R1820" s="6"/>
      <c r="S1820" s="6"/>
      <c r="T1820" s="6"/>
      <c r="U1820" s="6"/>
      <c r="V1820" s="6"/>
      <c r="W1820" s="6"/>
      <c r="X1820" s="6"/>
      <c r="Y1820" s="6"/>
      <c r="Z1820" s="6"/>
    </row>
    <row r="1821" spans="1:26" ht="15.75" customHeight="1" x14ac:dyDescent="0.3">
      <c r="A1821" s="10" t="s">
        <v>1040</v>
      </c>
      <c r="B1821" s="10">
        <v>1989</v>
      </c>
      <c r="C1821" s="10" t="s">
        <v>4710</v>
      </c>
      <c r="D1821" s="10">
        <v>5</v>
      </c>
      <c r="E1821" s="10">
        <v>1</v>
      </c>
      <c r="F1821" s="24">
        <v>19040.88</v>
      </c>
      <c r="G1821" s="10" t="s">
        <v>4694</v>
      </c>
      <c r="H1821" s="10" t="s">
        <v>4696</v>
      </c>
      <c r="I1821" s="10" t="s">
        <v>4716</v>
      </c>
      <c r="J1821" s="17">
        <f t="shared" si="14"/>
        <v>32664</v>
      </c>
      <c r="K1821" s="10">
        <f t="shared" ca="1" si="15"/>
        <v>36</v>
      </c>
      <c r="L1821" s="6"/>
      <c r="M1821" s="6"/>
      <c r="N1821" s="6"/>
      <c r="O1821" s="6"/>
      <c r="P1821" s="6"/>
      <c r="Q1821" s="6"/>
      <c r="R1821" s="6"/>
      <c r="S1821" s="6"/>
      <c r="T1821" s="6"/>
      <c r="U1821" s="6"/>
      <c r="V1821" s="6"/>
      <c r="W1821" s="6"/>
      <c r="X1821" s="6"/>
      <c r="Y1821" s="6"/>
      <c r="Z1821" s="6"/>
    </row>
    <row r="1822" spans="1:26" ht="15.75" customHeight="1" x14ac:dyDescent="0.3">
      <c r="A1822" s="10" t="s">
        <v>1038</v>
      </c>
      <c r="B1822" s="10">
        <v>1993</v>
      </c>
      <c r="C1822" s="10" t="s">
        <v>4711</v>
      </c>
      <c r="D1822" s="10">
        <v>28</v>
      </c>
      <c r="E1822" s="10">
        <v>1</v>
      </c>
      <c r="F1822" s="24">
        <v>19107.78</v>
      </c>
      <c r="G1822" s="10" t="s">
        <v>4694</v>
      </c>
      <c r="H1822" s="10" t="s">
        <v>4695</v>
      </c>
      <c r="I1822" s="10" t="s">
        <v>4708</v>
      </c>
      <c r="J1822" s="17">
        <f t="shared" si="14"/>
        <v>34240</v>
      </c>
      <c r="K1822" s="10">
        <f t="shared" ca="1" si="15"/>
        <v>32</v>
      </c>
      <c r="L1822" s="6"/>
      <c r="M1822" s="6"/>
      <c r="N1822" s="6"/>
      <c r="O1822" s="6"/>
      <c r="P1822" s="6"/>
      <c r="Q1822" s="6"/>
      <c r="R1822" s="6"/>
      <c r="S1822" s="6"/>
      <c r="T1822" s="6"/>
      <c r="U1822" s="6"/>
      <c r="V1822" s="6"/>
      <c r="W1822" s="6"/>
      <c r="X1822" s="6"/>
      <c r="Y1822" s="6"/>
      <c r="Z1822" s="6"/>
    </row>
    <row r="1823" spans="1:26" ht="15.75" customHeight="1" x14ac:dyDescent="0.3">
      <c r="A1823" s="10" t="s">
        <v>1036</v>
      </c>
      <c r="B1823" s="10">
        <v>1979</v>
      </c>
      <c r="C1823" s="10" t="s">
        <v>4707</v>
      </c>
      <c r="D1823" s="10">
        <v>2</v>
      </c>
      <c r="E1823" s="10">
        <v>2</v>
      </c>
      <c r="F1823" s="24">
        <v>19144.580000000002</v>
      </c>
      <c r="G1823" s="10" t="s">
        <v>4694</v>
      </c>
      <c r="H1823" s="10" t="s">
        <v>4694</v>
      </c>
      <c r="I1823" s="10" t="s">
        <v>4723</v>
      </c>
      <c r="J1823" s="17">
        <f t="shared" si="14"/>
        <v>29038</v>
      </c>
      <c r="K1823" s="10">
        <f t="shared" ca="1" si="15"/>
        <v>46</v>
      </c>
      <c r="L1823" s="6"/>
      <c r="M1823" s="6"/>
      <c r="N1823" s="6"/>
      <c r="O1823" s="6"/>
      <c r="P1823" s="6"/>
      <c r="Q1823" s="6"/>
      <c r="R1823" s="6"/>
      <c r="S1823" s="6"/>
      <c r="T1823" s="6"/>
      <c r="U1823" s="6"/>
      <c r="V1823" s="6"/>
      <c r="W1823" s="6"/>
      <c r="X1823" s="6"/>
      <c r="Y1823" s="6"/>
      <c r="Z1823" s="6"/>
    </row>
    <row r="1824" spans="1:26" ht="15.75" customHeight="1" x14ac:dyDescent="0.3">
      <c r="A1824" s="10" t="s">
        <v>1034</v>
      </c>
      <c r="B1824" s="10">
        <v>1991</v>
      </c>
      <c r="C1824" s="10" t="s">
        <v>4711</v>
      </c>
      <c r="D1824" s="10">
        <v>16</v>
      </c>
      <c r="E1824" s="10">
        <v>3</v>
      </c>
      <c r="F1824" s="24">
        <v>19199.939999999999</v>
      </c>
      <c r="G1824" s="10" t="s">
        <v>4694</v>
      </c>
      <c r="H1824" s="10" t="s">
        <v>4696</v>
      </c>
      <c r="I1824" s="10" t="s">
        <v>4716</v>
      </c>
      <c r="J1824" s="17">
        <f t="shared" si="14"/>
        <v>33497</v>
      </c>
      <c r="K1824" s="10">
        <f t="shared" ca="1" si="15"/>
        <v>34</v>
      </c>
      <c r="L1824" s="6"/>
      <c r="M1824" s="6"/>
      <c r="N1824" s="6"/>
      <c r="O1824" s="6"/>
      <c r="P1824" s="6"/>
      <c r="Q1824" s="6"/>
      <c r="R1824" s="6"/>
      <c r="S1824" s="6"/>
      <c r="T1824" s="6"/>
      <c r="U1824" s="6"/>
      <c r="V1824" s="6"/>
      <c r="W1824" s="6"/>
      <c r="X1824" s="6"/>
      <c r="Y1824" s="6"/>
      <c r="Z1824" s="6"/>
    </row>
    <row r="1825" spans="1:26" ht="15.75" customHeight="1" x14ac:dyDescent="0.3">
      <c r="A1825" s="10" t="s">
        <v>1032</v>
      </c>
      <c r="B1825" s="10">
        <v>1985</v>
      </c>
      <c r="C1825" s="10" t="s">
        <v>4713</v>
      </c>
      <c r="D1825" s="10">
        <v>28</v>
      </c>
      <c r="E1825" s="10">
        <v>0</v>
      </c>
      <c r="F1825" s="24">
        <v>19214.71</v>
      </c>
      <c r="G1825" s="10" t="s">
        <v>4694</v>
      </c>
      <c r="H1825" s="10" t="s">
        <v>4696</v>
      </c>
      <c r="I1825" s="10" t="s">
        <v>4708</v>
      </c>
      <c r="J1825" s="17">
        <f t="shared" si="14"/>
        <v>31409</v>
      </c>
      <c r="K1825" s="10">
        <f t="shared" ca="1" si="15"/>
        <v>39</v>
      </c>
      <c r="L1825" s="6"/>
      <c r="M1825" s="6"/>
      <c r="N1825" s="6"/>
      <c r="O1825" s="6"/>
      <c r="P1825" s="6"/>
      <c r="Q1825" s="6"/>
      <c r="R1825" s="6"/>
      <c r="S1825" s="6"/>
      <c r="T1825" s="6"/>
      <c r="U1825" s="6"/>
      <c r="V1825" s="6"/>
      <c r="W1825" s="6"/>
      <c r="X1825" s="6"/>
      <c r="Y1825" s="6"/>
      <c r="Z1825" s="6"/>
    </row>
    <row r="1826" spans="1:26" ht="15.75" customHeight="1" x14ac:dyDescent="0.3">
      <c r="A1826" s="10" t="s">
        <v>1030</v>
      </c>
      <c r="B1826" s="10">
        <v>1967</v>
      </c>
      <c r="C1826" s="10" t="s">
        <v>4707</v>
      </c>
      <c r="D1826" s="10">
        <v>29</v>
      </c>
      <c r="E1826" s="10">
        <v>0</v>
      </c>
      <c r="F1826" s="24">
        <v>19259.96</v>
      </c>
      <c r="G1826" s="10" t="s">
        <v>4694</v>
      </c>
      <c r="H1826" s="10" t="s">
        <v>4694</v>
      </c>
      <c r="I1826" s="10" t="s">
        <v>4712</v>
      </c>
      <c r="J1826" s="17">
        <f t="shared" si="14"/>
        <v>24682</v>
      </c>
      <c r="K1826" s="10">
        <f t="shared" ca="1" si="15"/>
        <v>58</v>
      </c>
      <c r="L1826" s="6"/>
      <c r="M1826" s="6"/>
      <c r="N1826" s="6"/>
      <c r="O1826" s="6"/>
      <c r="P1826" s="6"/>
      <c r="Q1826" s="6"/>
      <c r="R1826" s="6"/>
      <c r="S1826" s="6"/>
      <c r="T1826" s="6"/>
      <c r="U1826" s="6"/>
      <c r="V1826" s="6"/>
      <c r="W1826" s="6"/>
      <c r="X1826" s="6"/>
      <c r="Y1826" s="6"/>
      <c r="Z1826" s="6"/>
    </row>
    <row r="1827" spans="1:26" ht="15.75" customHeight="1" x14ac:dyDescent="0.3">
      <c r="A1827" s="10" t="s">
        <v>1028</v>
      </c>
      <c r="B1827" s="10">
        <v>1966</v>
      </c>
      <c r="C1827" s="10" t="s">
        <v>4709</v>
      </c>
      <c r="D1827" s="10">
        <v>15</v>
      </c>
      <c r="E1827" s="10">
        <v>0</v>
      </c>
      <c r="F1827" s="24">
        <v>19321.060000000001</v>
      </c>
      <c r="G1827" s="10" t="s">
        <v>4694</v>
      </c>
      <c r="H1827" s="10" t="s">
        <v>4694</v>
      </c>
      <c r="I1827" s="10" t="s">
        <v>4712</v>
      </c>
      <c r="J1827" s="17">
        <f t="shared" si="14"/>
        <v>24426</v>
      </c>
      <c r="K1827" s="10">
        <f t="shared" ca="1" si="15"/>
        <v>59</v>
      </c>
      <c r="L1827" s="6"/>
      <c r="M1827" s="6"/>
      <c r="N1827" s="6"/>
      <c r="O1827" s="6"/>
      <c r="P1827" s="6"/>
      <c r="Q1827" s="6"/>
      <c r="R1827" s="6"/>
      <c r="S1827" s="6"/>
      <c r="T1827" s="6"/>
      <c r="U1827" s="6"/>
      <c r="V1827" s="6"/>
      <c r="W1827" s="6"/>
      <c r="X1827" s="6"/>
      <c r="Y1827" s="6"/>
      <c r="Z1827" s="6"/>
    </row>
    <row r="1828" spans="1:26" ht="15.75" customHeight="1" x14ac:dyDescent="0.3">
      <c r="A1828" s="10" t="s">
        <v>1026</v>
      </c>
      <c r="B1828" s="10">
        <v>1991</v>
      </c>
      <c r="C1828" s="10" t="s">
        <v>4714</v>
      </c>
      <c r="D1828" s="10">
        <v>24</v>
      </c>
      <c r="E1828" s="10">
        <v>0</v>
      </c>
      <c r="F1828" s="24">
        <v>19350.37</v>
      </c>
      <c r="G1828" s="10" t="s">
        <v>4694</v>
      </c>
      <c r="H1828" s="10" t="s">
        <v>4696</v>
      </c>
      <c r="I1828" s="10" t="s">
        <v>4708</v>
      </c>
      <c r="J1828" s="17">
        <f t="shared" si="14"/>
        <v>33474</v>
      </c>
      <c r="K1828" s="10">
        <f t="shared" ca="1" si="15"/>
        <v>34</v>
      </c>
      <c r="L1828" s="6"/>
      <c r="M1828" s="6"/>
      <c r="N1828" s="6"/>
      <c r="O1828" s="6"/>
      <c r="P1828" s="6"/>
      <c r="Q1828" s="6"/>
      <c r="R1828" s="6"/>
      <c r="S1828" s="6"/>
      <c r="T1828" s="6"/>
      <c r="U1828" s="6"/>
      <c r="V1828" s="6"/>
      <c r="W1828" s="6"/>
      <c r="X1828" s="6"/>
      <c r="Y1828" s="6"/>
      <c r="Z1828" s="6"/>
    </row>
    <row r="1829" spans="1:26" ht="15.75" customHeight="1" x14ac:dyDescent="0.3">
      <c r="A1829" s="10" t="s">
        <v>1024</v>
      </c>
      <c r="B1829" s="10">
        <v>1987</v>
      </c>
      <c r="C1829" s="10" t="s">
        <v>4710</v>
      </c>
      <c r="D1829" s="10">
        <v>30</v>
      </c>
      <c r="E1829" s="10">
        <v>3</v>
      </c>
      <c r="F1829" s="24">
        <v>19362</v>
      </c>
      <c r="G1829" s="10" t="s">
        <v>4694</v>
      </c>
      <c r="H1829" s="10" t="s">
        <v>4696</v>
      </c>
      <c r="I1829" s="10" t="s">
        <v>4708</v>
      </c>
      <c r="J1829" s="17">
        <f t="shared" si="14"/>
        <v>31958</v>
      </c>
      <c r="K1829" s="10">
        <f t="shared" ca="1" si="15"/>
        <v>38</v>
      </c>
      <c r="L1829" s="6"/>
      <c r="M1829" s="6"/>
      <c r="N1829" s="6"/>
      <c r="O1829" s="6"/>
      <c r="P1829" s="6"/>
      <c r="Q1829" s="6"/>
      <c r="R1829" s="6"/>
      <c r="S1829" s="6"/>
      <c r="T1829" s="6"/>
      <c r="U1829" s="6"/>
      <c r="V1829" s="6"/>
      <c r="W1829" s="6"/>
      <c r="X1829" s="6"/>
      <c r="Y1829" s="6"/>
      <c r="Z1829" s="6"/>
    </row>
    <row r="1830" spans="1:26" ht="15.75" customHeight="1" x14ac:dyDescent="0.3">
      <c r="A1830" s="10" t="s">
        <v>1022</v>
      </c>
      <c r="B1830" s="10">
        <v>1993</v>
      </c>
      <c r="C1830" s="10" t="s">
        <v>4711</v>
      </c>
      <c r="D1830" s="10">
        <v>6</v>
      </c>
      <c r="E1830" s="10">
        <v>2</v>
      </c>
      <c r="F1830" s="24">
        <v>19442.349999999999</v>
      </c>
      <c r="G1830" s="10" t="s">
        <v>4694</v>
      </c>
      <c r="H1830" s="10" t="s">
        <v>4696</v>
      </c>
      <c r="I1830" s="10" t="s">
        <v>4712</v>
      </c>
      <c r="J1830" s="17">
        <f t="shared" si="14"/>
        <v>34218</v>
      </c>
      <c r="K1830" s="10">
        <f t="shared" ca="1" si="15"/>
        <v>32</v>
      </c>
      <c r="L1830" s="6"/>
      <c r="M1830" s="6"/>
      <c r="N1830" s="6"/>
      <c r="O1830" s="6"/>
      <c r="P1830" s="6"/>
      <c r="Q1830" s="6"/>
      <c r="R1830" s="6"/>
      <c r="S1830" s="6"/>
      <c r="T1830" s="6"/>
      <c r="U1830" s="6"/>
      <c r="V1830" s="6"/>
      <c r="W1830" s="6"/>
      <c r="X1830" s="6"/>
      <c r="Y1830" s="6"/>
      <c r="Z1830" s="6"/>
    </row>
    <row r="1831" spans="1:26" ht="15.75" customHeight="1" x14ac:dyDescent="0.3">
      <c r="A1831" s="10" t="s">
        <v>1020</v>
      </c>
      <c r="B1831" s="10">
        <v>1982</v>
      </c>
      <c r="C1831" s="10" t="s">
        <v>4713</v>
      </c>
      <c r="D1831" s="10">
        <v>15</v>
      </c>
      <c r="E1831" s="10">
        <v>2</v>
      </c>
      <c r="F1831" s="24">
        <v>19444.27</v>
      </c>
      <c r="G1831" s="10" t="s">
        <v>4694</v>
      </c>
      <c r="H1831" s="10" t="s">
        <v>4694</v>
      </c>
      <c r="I1831" s="10" t="s">
        <v>4708</v>
      </c>
      <c r="J1831" s="17">
        <f t="shared" si="14"/>
        <v>30300</v>
      </c>
      <c r="K1831" s="10">
        <f t="shared" ca="1" si="15"/>
        <v>42</v>
      </c>
      <c r="L1831" s="6"/>
      <c r="M1831" s="6"/>
      <c r="N1831" s="6"/>
      <c r="O1831" s="6"/>
      <c r="P1831" s="6"/>
      <c r="Q1831" s="6"/>
      <c r="R1831" s="6"/>
      <c r="S1831" s="6"/>
      <c r="T1831" s="6"/>
      <c r="U1831" s="6"/>
      <c r="V1831" s="6"/>
      <c r="W1831" s="6"/>
      <c r="X1831" s="6"/>
      <c r="Y1831" s="6"/>
      <c r="Z1831" s="6"/>
    </row>
    <row r="1832" spans="1:26" ht="15.75" customHeight="1" x14ac:dyDescent="0.3">
      <c r="A1832" s="10" t="s">
        <v>1018</v>
      </c>
      <c r="B1832" s="10">
        <v>1987</v>
      </c>
      <c r="C1832" s="10" t="s">
        <v>4709</v>
      </c>
      <c r="D1832" s="10">
        <v>30</v>
      </c>
      <c r="E1832" s="10">
        <v>4</v>
      </c>
      <c r="F1832" s="24">
        <v>19496.72</v>
      </c>
      <c r="G1832" s="10" t="s">
        <v>4694</v>
      </c>
      <c r="H1832" s="10" t="s">
        <v>4696</v>
      </c>
      <c r="I1832" s="10" t="s">
        <v>4719</v>
      </c>
      <c r="J1832" s="17">
        <f t="shared" si="14"/>
        <v>32111</v>
      </c>
      <c r="K1832" s="10">
        <f t="shared" ca="1" si="15"/>
        <v>37</v>
      </c>
      <c r="L1832" s="6"/>
      <c r="M1832" s="6"/>
      <c r="N1832" s="6"/>
      <c r="O1832" s="6"/>
      <c r="P1832" s="6"/>
      <c r="Q1832" s="6"/>
      <c r="R1832" s="6"/>
      <c r="S1832" s="6"/>
      <c r="T1832" s="6"/>
      <c r="U1832" s="6"/>
      <c r="V1832" s="6"/>
      <c r="W1832" s="6"/>
      <c r="X1832" s="6"/>
      <c r="Y1832" s="6"/>
      <c r="Z1832" s="6"/>
    </row>
    <row r="1833" spans="1:26" ht="15.75" customHeight="1" x14ac:dyDescent="0.3">
      <c r="A1833" s="10" t="s">
        <v>1016</v>
      </c>
      <c r="B1833" s="10">
        <v>1980</v>
      </c>
      <c r="C1833" s="10" t="s">
        <v>4709</v>
      </c>
      <c r="D1833" s="10">
        <v>8</v>
      </c>
      <c r="E1833" s="10">
        <v>0</v>
      </c>
      <c r="F1833" s="24">
        <v>19515.54</v>
      </c>
      <c r="G1833" s="10" t="s">
        <v>4694</v>
      </c>
      <c r="H1833" s="10" t="s">
        <v>4694</v>
      </c>
      <c r="I1833" s="10" t="s">
        <v>4708</v>
      </c>
      <c r="J1833" s="17">
        <f t="shared" si="14"/>
        <v>29533</v>
      </c>
      <c r="K1833" s="10">
        <f t="shared" ca="1" si="15"/>
        <v>45</v>
      </c>
      <c r="L1833" s="6"/>
      <c r="M1833" s="6"/>
      <c r="N1833" s="6"/>
      <c r="O1833" s="6"/>
      <c r="P1833" s="6"/>
      <c r="Q1833" s="6"/>
      <c r="R1833" s="6"/>
      <c r="S1833" s="6"/>
      <c r="T1833" s="6"/>
      <c r="U1833" s="6"/>
      <c r="V1833" s="6"/>
      <c r="W1833" s="6"/>
      <c r="X1833" s="6"/>
      <c r="Y1833" s="6"/>
      <c r="Z1833" s="6"/>
    </row>
    <row r="1834" spans="1:26" ht="15.75" customHeight="1" x14ac:dyDescent="0.3">
      <c r="A1834" s="10" t="s">
        <v>1014</v>
      </c>
      <c r="B1834" s="10">
        <v>1992</v>
      </c>
      <c r="C1834" s="10" t="s">
        <v>4714</v>
      </c>
      <c r="D1834" s="10">
        <v>19</v>
      </c>
      <c r="E1834" s="10">
        <v>1</v>
      </c>
      <c r="F1834" s="24">
        <v>19521.97</v>
      </c>
      <c r="G1834" s="10" t="s">
        <v>4694</v>
      </c>
      <c r="H1834" s="10" t="s">
        <v>4695</v>
      </c>
      <c r="I1834" s="10" t="s">
        <v>4708</v>
      </c>
      <c r="J1834" s="17">
        <f t="shared" si="14"/>
        <v>33835</v>
      </c>
      <c r="K1834" s="10">
        <f t="shared" ca="1" si="15"/>
        <v>33</v>
      </c>
      <c r="L1834" s="6"/>
      <c r="M1834" s="6"/>
      <c r="N1834" s="6"/>
      <c r="O1834" s="6"/>
      <c r="P1834" s="6"/>
      <c r="Q1834" s="6"/>
      <c r="R1834" s="6"/>
      <c r="S1834" s="6"/>
      <c r="T1834" s="6"/>
      <c r="U1834" s="6"/>
      <c r="V1834" s="6"/>
      <c r="W1834" s="6"/>
      <c r="X1834" s="6"/>
      <c r="Y1834" s="6"/>
      <c r="Z1834" s="6"/>
    </row>
    <row r="1835" spans="1:26" ht="15.75" customHeight="1" x14ac:dyDescent="0.3">
      <c r="A1835" s="10" t="s">
        <v>1012</v>
      </c>
      <c r="B1835" s="10">
        <v>1985</v>
      </c>
      <c r="C1835" s="10" t="s">
        <v>4711</v>
      </c>
      <c r="D1835" s="10">
        <v>17</v>
      </c>
      <c r="E1835" s="10">
        <v>0</v>
      </c>
      <c r="F1835" s="24">
        <v>19539.240000000002</v>
      </c>
      <c r="G1835" s="10" t="s">
        <v>4694</v>
      </c>
      <c r="H1835" s="10" t="s">
        <v>4694</v>
      </c>
      <c r="I1835" s="10" t="s">
        <v>4708</v>
      </c>
      <c r="J1835" s="17">
        <f t="shared" si="14"/>
        <v>31307</v>
      </c>
      <c r="K1835" s="10">
        <f t="shared" ca="1" si="15"/>
        <v>40</v>
      </c>
      <c r="L1835" s="6"/>
      <c r="M1835" s="6"/>
      <c r="N1835" s="6"/>
      <c r="O1835" s="6"/>
      <c r="P1835" s="6"/>
      <c r="Q1835" s="6"/>
      <c r="R1835" s="6"/>
      <c r="S1835" s="6"/>
      <c r="T1835" s="6"/>
      <c r="U1835" s="6"/>
      <c r="V1835" s="6"/>
      <c r="W1835" s="6"/>
      <c r="X1835" s="6"/>
      <c r="Y1835" s="6"/>
      <c r="Z1835" s="6"/>
    </row>
    <row r="1836" spans="1:26" ht="15.75" customHeight="1" x14ac:dyDescent="0.3">
      <c r="A1836" s="10" t="s">
        <v>1010</v>
      </c>
      <c r="B1836" s="10">
        <v>1963</v>
      </c>
      <c r="C1836" s="10" t="s">
        <v>4707</v>
      </c>
      <c r="D1836" s="10">
        <v>14</v>
      </c>
      <c r="E1836" s="10">
        <v>0</v>
      </c>
      <c r="F1836" s="24">
        <v>19551.34</v>
      </c>
      <c r="G1836" s="10" t="s">
        <v>4694</v>
      </c>
      <c r="H1836" s="10" t="s">
        <v>4696</v>
      </c>
      <c r="I1836" s="10" t="s">
        <v>4712</v>
      </c>
      <c r="J1836" s="17">
        <f t="shared" si="14"/>
        <v>23206</v>
      </c>
      <c r="K1836" s="10">
        <f t="shared" ca="1" si="15"/>
        <v>62</v>
      </c>
      <c r="L1836" s="6"/>
      <c r="M1836" s="6"/>
      <c r="N1836" s="6"/>
      <c r="O1836" s="6"/>
      <c r="P1836" s="6"/>
      <c r="Q1836" s="6"/>
      <c r="R1836" s="6"/>
      <c r="S1836" s="6"/>
      <c r="T1836" s="6"/>
      <c r="U1836" s="6"/>
      <c r="V1836" s="6"/>
      <c r="W1836" s="6"/>
      <c r="X1836" s="6"/>
      <c r="Y1836" s="6"/>
      <c r="Z1836" s="6"/>
    </row>
    <row r="1837" spans="1:26" ht="15.75" customHeight="1" x14ac:dyDescent="0.3">
      <c r="A1837" s="10" t="s">
        <v>1008</v>
      </c>
      <c r="B1837" s="10">
        <v>1978</v>
      </c>
      <c r="C1837" s="10" t="s">
        <v>4711</v>
      </c>
      <c r="D1837" s="10">
        <v>24</v>
      </c>
      <c r="E1837" s="10">
        <v>1</v>
      </c>
      <c r="F1837" s="24">
        <v>19594.810000000001</v>
      </c>
      <c r="G1837" s="10" t="s">
        <v>4694</v>
      </c>
      <c r="H1837" s="10" t="s">
        <v>4694</v>
      </c>
      <c r="I1837" s="10" t="s">
        <v>4723</v>
      </c>
      <c r="J1837" s="17">
        <f t="shared" si="14"/>
        <v>28757</v>
      </c>
      <c r="K1837" s="10">
        <f t="shared" ca="1" si="15"/>
        <v>47</v>
      </c>
      <c r="L1837" s="6"/>
      <c r="M1837" s="6"/>
      <c r="N1837" s="6"/>
      <c r="O1837" s="6"/>
      <c r="P1837" s="6"/>
      <c r="Q1837" s="6"/>
      <c r="R1837" s="6"/>
      <c r="S1837" s="6"/>
      <c r="T1837" s="6"/>
      <c r="U1837" s="6"/>
      <c r="V1837" s="6"/>
      <c r="W1837" s="6"/>
      <c r="X1837" s="6"/>
      <c r="Y1837" s="6"/>
      <c r="Z1837" s="6"/>
    </row>
    <row r="1838" spans="1:26" ht="15.75" customHeight="1" x14ac:dyDescent="0.3">
      <c r="A1838" s="10" t="s">
        <v>1006</v>
      </c>
      <c r="B1838" s="10">
        <v>1994</v>
      </c>
      <c r="C1838" s="10" t="s">
        <v>4714</v>
      </c>
      <c r="D1838" s="10">
        <v>27</v>
      </c>
      <c r="E1838" s="10">
        <v>0</v>
      </c>
      <c r="F1838" s="24">
        <v>19673.34</v>
      </c>
      <c r="G1838" s="10" t="s">
        <v>4694</v>
      </c>
      <c r="H1838" s="10" t="s">
        <v>4695</v>
      </c>
      <c r="I1838" s="10" t="s">
        <v>4712</v>
      </c>
      <c r="J1838" s="17">
        <f t="shared" si="14"/>
        <v>34573</v>
      </c>
      <c r="K1838" s="10">
        <f t="shared" ca="1" si="15"/>
        <v>31</v>
      </c>
      <c r="L1838" s="6"/>
      <c r="M1838" s="6"/>
      <c r="N1838" s="6"/>
      <c r="O1838" s="6"/>
      <c r="P1838" s="6"/>
      <c r="Q1838" s="6"/>
      <c r="R1838" s="6"/>
      <c r="S1838" s="6"/>
      <c r="T1838" s="6"/>
      <c r="U1838" s="6"/>
      <c r="V1838" s="6"/>
      <c r="W1838" s="6"/>
      <c r="X1838" s="6"/>
      <c r="Y1838" s="6"/>
      <c r="Z1838" s="6"/>
    </row>
    <row r="1839" spans="1:26" ht="15.75" customHeight="1" x14ac:dyDescent="0.3">
      <c r="A1839" s="10" t="s">
        <v>1004</v>
      </c>
      <c r="B1839" s="10">
        <v>1990</v>
      </c>
      <c r="C1839" s="10" t="s">
        <v>4714</v>
      </c>
      <c r="D1839" s="10">
        <v>8</v>
      </c>
      <c r="E1839" s="10">
        <v>1</v>
      </c>
      <c r="F1839" s="24">
        <v>19719.689999999999</v>
      </c>
      <c r="G1839" s="10" t="s">
        <v>4694</v>
      </c>
      <c r="H1839" s="10" t="s">
        <v>4695</v>
      </c>
      <c r="I1839" s="10" t="s">
        <v>4708</v>
      </c>
      <c r="J1839" s="17">
        <f t="shared" si="14"/>
        <v>33093</v>
      </c>
      <c r="K1839" s="10">
        <f t="shared" ca="1" si="15"/>
        <v>35</v>
      </c>
      <c r="L1839" s="6"/>
      <c r="M1839" s="6"/>
      <c r="N1839" s="6"/>
      <c r="O1839" s="6"/>
      <c r="P1839" s="6"/>
      <c r="Q1839" s="6"/>
      <c r="R1839" s="6"/>
      <c r="S1839" s="6"/>
      <c r="T1839" s="6"/>
      <c r="U1839" s="6"/>
      <c r="V1839" s="6"/>
      <c r="W1839" s="6"/>
      <c r="X1839" s="6"/>
      <c r="Y1839" s="6"/>
      <c r="Z1839" s="6"/>
    </row>
    <row r="1840" spans="1:26" ht="15.75" customHeight="1" x14ac:dyDescent="0.3">
      <c r="A1840" s="10" t="s">
        <v>1002</v>
      </c>
      <c r="B1840" s="10">
        <v>1972</v>
      </c>
      <c r="C1840" s="10" t="s">
        <v>4710</v>
      </c>
      <c r="D1840" s="10">
        <v>14</v>
      </c>
      <c r="E1840" s="10">
        <v>3</v>
      </c>
      <c r="F1840" s="24">
        <v>19749.38</v>
      </c>
      <c r="G1840" s="10" t="s">
        <v>4694</v>
      </c>
      <c r="H1840" s="10" t="s">
        <v>4696</v>
      </c>
      <c r="I1840" s="10" t="s">
        <v>4708</v>
      </c>
      <c r="J1840" s="17">
        <f t="shared" si="14"/>
        <v>26464</v>
      </c>
      <c r="K1840" s="10">
        <f t="shared" ca="1" si="15"/>
        <v>53</v>
      </c>
      <c r="L1840" s="6"/>
      <c r="M1840" s="6"/>
      <c r="N1840" s="6"/>
      <c r="O1840" s="6"/>
      <c r="P1840" s="6"/>
      <c r="Q1840" s="6"/>
      <c r="R1840" s="6"/>
      <c r="S1840" s="6"/>
      <c r="T1840" s="6"/>
      <c r="U1840" s="6"/>
      <c r="V1840" s="6"/>
      <c r="W1840" s="6"/>
      <c r="X1840" s="6"/>
      <c r="Y1840" s="6"/>
      <c r="Z1840" s="6"/>
    </row>
    <row r="1841" spans="1:26" ht="15.75" customHeight="1" x14ac:dyDescent="0.3">
      <c r="A1841" s="10" t="s">
        <v>1000</v>
      </c>
      <c r="B1841" s="10">
        <v>1979</v>
      </c>
      <c r="C1841" s="10" t="s">
        <v>4715</v>
      </c>
      <c r="D1841" s="10">
        <v>30</v>
      </c>
      <c r="E1841" s="10">
        <v>2</v>
      </c>
      <c r="F1841" s="24">
        <v>19798.05</v>
      </c>
      <c r="G1841" s="10" t="s">
        <v>4694</v>
      </c>
      <c r="H1841" s="10" t="s">
        <v>4694</v>
      </c>
      <c r="I1841" s="10" t="s">
        <v>4723</v>
      </c>
      <c r="J1841" s="17">
        <f t="shared" si="14"/>
        <v>29158</v>
      </c>
      <c r="K1841" s="10">
        <f t="shared" ca="1" si="15"/>
        <v>46</v>
      </c>
      <c r="L1841" s="6"/>
      <c r="M1841" s="6"/>
      <c r="N1841" s="6"/>
      <c r="O1841" s="6"/>
      <c r="P1841" s="6"/>
      <c r="Q1841" s="6"/>
      <c r="R1841" s="6"/>
      <c r="S1841" s="6"/>
      <c r="T1841" s="6"/>
      <c r="U1841" s="6"/>
      <c r="V1841" s="6"/>
      <c r="W1841" s="6"/>
      <c r="X1841" s="6"/>
      <c r="Y1841" s="6"/>
      <c r="Z1841" s="6"/>
    </row>
    <row r="1842" spans="1:26" ht="15.75" customHeight="1" x14ac:dyDescent="0.3">
      <c r="A1842" s="10" t="s">
        <v>998</v>
      </c>
      <c r="B1842" s="10">
        <v>1997</v>
      </c>
      <c r="C1842" s="10" t="s">
        <v>4715</v>
      </c>
      <c r="D1842" s="10">
        <v>18</v>
      </c>
      <c r="E1842" s="10">
        <v>3</v>
      </c>
      <c r="F1842" s="24">
        <v>19933.46</v>
      </c>
      <c r="G1842" s="10" t="s">
        <v>4694</v>
      </c>
      <c r="H1842" s="10" t="s">
        <v>4696</v>
      </c>
      <c r="I1842" s="10" t="s">
        <v>4716</v>
      </c>
      <c r="J1842" s="17">
        <f t="shared" si="14"/>
        <v>35721</v>
      </c>
      <c r="K1842" s="10">
        <f t="shared" ca="1" si="15"/>
        <v>28</v>
      </c>
      <c r="L1842" s="6"/>
      <c r="M1842" s="6"/>
      <c r="N1842" s="6"/>
      <c r="O1842" s="6"/>
      <c r="P1842" s="6"/>
      <c r="Q1842" s="6"/>
      <c r="R1842" s="6"/>
      <c r="S1842" s="6"/>
      <c r="T1842" s="6"/>
      <c r="U1842" s="6"/>
      <c r="V1842" s="6"/>
      <c r="W1842" s="6"/>
      <c r="X1842" s="6"/>
      <c r="Y1842" s="6"/>
      <c r="Z1842" s="6"/>
    </row>
    <row r="1843" spans="1:26" ht="15.75" customHeight="1" x14ac:dyDescent="0.3">
      <c r="A1843" s="10" t="s">
        <v>996</v>
      </c>
      <c r="B1843" s="10">
        <v>1980</v>
      </c>
      <c r="C1843" s="10" t="s">
        <v>4715</v>
      </c>
      <c r="D1843" s="10">
        <v>9</v>
      </c>
      <c r="E1843" s="10">
        <v>0</v>
      </c>
      <c r="F1843" s="24">
        <v>19964.75</v>
      </c>
      <c r="G1843" s="10" t="s">
        <v>4694</v>
      </c>
      <c r="H1843" s="10" t="s">
        <v>4695</v>
      </c>
      <c r="I1843" s="10" t="s">
        <v>4723</v>
      </c>
      <c r="J1843" s="17">
        <f t="shared" si="14"/>
        <v>29503</v>
      </c>
      <c r="K1843" s="10">
        <f t="shared" ca="1" si="15"/>
        <v>45</v>
      </c>
      <c r="L1843" s="6"/>
      <c r="M1843" s="6"/>
      <c r="N1843" s="6"/>
      <c r="O1843" s="6"/>
      <c r="P1843" s="6"/>
      <c r="Q1843" s="6"/>
      <c r="R1843" s="6"/>
      <c r="S1843" s="6"/>
      <c r="T1843" s="6"/>
      <c r="U1843" s="6"/>
      <c r="V1843" s="6"/>
      <c r="W1843" s="6"/>
      <c r="X1843" s="6"/>
      <c r="Y1843" s="6"/>
      <c r="Z1843" s="6"/>
    </row>
    <row r="1844" spans="1:26" ht="15.75" customHeight="1" x14ac:dyDescent="0.3">
      <c r="A1844" s="10" t="s">
        <v>994</v>
      </c>
      <c r="B1844" s="10">
        <v>1966</v>
      </c>
      <c r="C1844" s="10" t="s">
        <v>4714</v>
      </c>
      <c r="D1844" s="10">
        <v>10</v>
      </c>
      <c r="E1844" s="10">
        <v>0</v>
      </c>
      <c r="F1844" s="24">
        <v>19995.29</v>
      </c>
      <c r="G1844" s="10" t="s">
        <v>4694</v>
      </c>
      <c r="H1844" s="10" t="s">
        <v>4696</v>
      </c>
      <c r="I1844" s="10" t="s">
        <v>4729</v>
      </c>
      <c r="J1844" s="17">
        <f t="shared" si="14"/>
        <v>24329</v>
      </c>
      <c r="K1844" s="10">
        <f t="shared" ca="1" si="15"/>
        <v>59</v>
      </c>
      <c r="L1844" s="6"/>
      <c r="M1844" s="6"/>
      <c r="N1844" s="6"/>
      <c r="O1844" s="6"/>
      <c r="P1844" s="6"/>
      <c r="Q1844" s="6"/>
      <c r="R1844" s="6"/>
      <c r="S1844" s="6"/>
      <c r="T1844" s="6"/>
      <c r="U1844" s="6"/>
      <c r="V1844" s="6"/>
      <c r="W1844" s="6"/>
      <c r="X1844" s="6"/>
      <c r="Y1844" s="6"/>
      <c r="Z1844" s="6"/>
    </row>
    <row r="1845" spans="1:26" ht="15.75" customHeight="1" x14ac:dyDescent="0.3">
      <c r="A1845" s="10" t="s">
        <v>992</v>
      </c>
      <c r="B1845" s="10">
        <v>1988</v>
      </c>
      <c r="C1845" s="10" t="s">
        <v>4707</v>
      </c>
      <c r="D1845" s="10">
        <v>25</v>
      </c>
      <c r="E1845" s="10">
        <v>1</v>
      </c>
      <c r="F1845" s="24">
        <v>20009.63</v>
      </c>
      <c r="G1845" s="10" t="s">
        <v>4695</v>
      </c>
      <c r="H1845" s="10" t="s">
        <v>4694</v>
      </c>
      <c r="I1845" s="10" t="s">
        <v>4712</v>
      </c>
      <c r="J1845" s="17">
        <f t="shared" si="14"/>
        <v>32349</v>
      </c>
      <c r="K1845" s="10">
        <f t="shared" ca="1" si="15"/>
        <v>37</v>
      </c>
      <c r="L1845" s="6"/>
      <c r="M1845" s="6"/>
      <c r="N1845" s="6"/>
      <c r="O1845" s="6"/>
      <c r="P1845" s="6"/>
      <c r="Q1845" s="6"/>
      <c r="R1845" s="6"/>
      <c r="S1845" s="6"/>
      <c r="T1845" s="6"/>
      <c r="U1845" s="6"/>
      <c r="V1845" s="6"/>
      <c r="W1845" s="6"/>
      <c r="X1845" s="6"/>
      <c r="Y1845" s="6"/>
      <c r="Z1845" s="6"/>
    </row>
    <row r="1846" spans="1:26" ht="15.75" customHeight="1" x14ac:dyDescent="0.3">
      <c r="A1846" s="10" t="s">
        <v>990</v>
      </c>
      <c r="B1846" s="10">
        <v>1983</v>
      </c>
      <c r="C1846" s="10" t="s">
        <v>4715</v>
      </c>
      <c r="D1846" s="10">
        <v>6</v>
      </c>
      <c r="E1846" s="10">
        <v>0</v>
      </c>
      <c r="F1846" s="24">
        <v>20149.32</v>
      </c>
      <c r="G1846" s="10" t="s">
        <v>4695</v>
      </c>
      <c r="H1846" s="10" t="s">
        <v>4694</v>
      </c>
      <c r="I1846" s="10" t="s">
        <v>4720</v>
      </c>
      <c r="J1846" s="17">
        <f t="shared" si="14"/>
        <v>30595</v>
      </c>
      <c r="K1846" s="10">
        <f t="shared" ca="1" si="15"/>
        <v>42</v>
      </c>
      <c r="L1846" s="6"/>
      <c r="M1846" s="6"/>
      <c r="N1846" s="6"/>
      <c r="O1846" s="6"/>
      <c r="P1846" s="6"/>
      <c r="Q1846" s="6"/>
      <c r="R1846" s="6"/>
      <c r="S1846" s="6"/>
      <c r="T1846" s="6"/>
      <c r="U1846" s="6"/>
      <c r="V1846" s="6"/>
      <c r="W1846" s="6"/>
      <c r="X1846" s="6"/>
      <c r="Y1846" s="6"/>
      <c r="Z1846" s="6"/>
    </row>
    <row r="1847" spans="1:26" ht="15.75" customHeight="1" x14ac:dyDescent="0.3">
      <c r="A1847" s="10" t="s">
        <v>988</v>
      </c>
      <c r="B1847" s="10">
        <v>2002</v>
      </c>
      <c r="C1847" s="10" t="s">
        <v>4707</v>
      </c>
      <c r="D1847" s="10">
        <v>9</v>
      </c>
      <c r="E1847" s="10">
        <v>0</v>
      </c>
      <c r="F1847" s="24">
        <v>20167.34</v>
      </c>
      <c r="G1847" s="10" t="s">
        <v>4696</v>
      </c>
      <c r="H1847" s="10" t="s">
        <v>4696</v>
      </c>
      <c r="I1847" s="10" t="s">
        <v>4716</v>
      </c>
      <c r="J1847" s="17">
        <f t="shared" si="14"/>
        <v>37446</v>
      </c>
      <c r="K1847" s="10">
        <f t="shared" ca="1" si="15"/>
        <v>23</v>
      </c>
      <c r="L1847" s="6"/>
      <c r="M1847" s="6"/>
      <c r="N1847" s="6"/>
      <c r="O1847" s="6"/>
      <c r="P1847" s="6"/>
      <c r="Q1847" s="6"/>
      <c r="R1847" s="6"/>
      <c r="S1847" s="6"/>
      <c r="T1847" s="6"/>
      <c r="U1847" s="6"/>
      <c r="V1847" s="6"/>
      <c r="W1847" s="6"/>
      <c r="X1847" s="6"/>
      <c r="Y1847" s="6"/>
      <c r="Z1847" s="6"/>
    </row>
    <row r="1848" spans="1:26" ht="15.75" customHeight="1" x14ac:dyDescent="0.3">
      <c r="A1848" s="10" t="s">
        <v>986</v>
      </c>
      <c r="B1848" s="10">
        <v>1994</v>
      </c>
      <c r="C1848" s="10" t="s">
        <v>4710</v>
      </c>
      <c r="D1848" s="10">
        <v>8</v>
      </c>
      <c r="E1848" s="10">
        <v>2</v>
      </c>
      <c r="F1848" s="24">
        <v>20177.669999999998</v>
      </c>
      <c r="G1848" s="10" t="s">
        <v>4695</v>
      </c>
      <c r="H1848" s="10" t="s">
        <v>4694</v>
      </c>
      <c r="I1848" s="10" t="s">
        <v>4716</v>
      </c>
      <c r="J1848" s="17">
        <f t="shared" si="14"/>
        <v>34493</v>
      </c>
      <c r="K1848" s="10">
        <f t="shared" ca="1" si="15"/>
        <v>31</v>
      </c>
      <c r="L1848" s="6"/>
      <c r="M1848" s="6"/>
      <c r="N1848" s="6"/>
      <c r="O1848" s="6"/>
      <c r="P1848" s="6"/>
      <c r="Q1848" s="6"/>
      <c r="R1848" s="6"/>
      <c r="S1848" s="6"/>
      <c r="T1848" s="6"/>
      <c r="U1848" s="6"/>
      <c r="V1848" s="6"/>
      <c r="W1848" s="6"/>
      <c r="X1848" s="6"/>
      <c r="Y1848" s="6"/>
      <c r="Z1848" s="6"/>
    </row>
    <row r="1849" spans="1:26" ht="15.75" customHeight="1" x14ac:dyDescent="0.3">
      <c r="A1849" s="10" t="s">
        <v>984</v>
      </c>
      <c r="B1849" s="10">
        <v>1987</v>
      </c>
      <c r="C1849" s="10" t="s">
        <v>4715</v>
      </c>
      <c r="D1849" s="10">
        <v>17</v>
      </c>
      <c r="E1849" s="10">
        <v>0</v>
      </c>
      <c r="F1849" s="24">
        <v>20234.849999999999</v>
      </c>
      <c r="G1849" s="10" t="s">
        <v>4695</v>
      </c>
      <c r="H1849" s="10" t="s">
        <v>4696</v>
      </c>
      <c r="I1849" s="10" t="s">
        <v>4712</v>
      </c>
      <c r="J1849" s="17">
        <f t="shared" si="14"/>
        <v>32067</v>
      </c>
      <c r="K1849" s="10">
        <f t="shared" ca="1" si="15"/>
        <v>38</v>
      </c>
      <c r="L1849" s="6"/>
      <c r="M1849" s="6"/>
      <c r="N1849" s="6"/>
      <c r="O1849" s="6"/>
      <c r="P1849" s="6"/>
      <c r="Q1849" s="6"/>
      <c r="R1849" s="6"/>
      <c r="S1849" s="6"/>
      <c r="T1849" s="6"/>
      <c r="U1849" s="6"/>
      <c r="V1849" s="6"/>
      <c r="W1849" s="6"/>
      <c r="X1849" s="6"/>
      <c r="Y1849" s="6"/>
      <c r="Z1849" s="6"/>
    </row>
    <row r="1850" spans="1:26" ht="15.75" customHeight="1" x14ac:dyDescent="0.3">
      <c r="A1850" s="10" t="s">
        <v>982</v>
      </c>
      <c r="B1850" s="10">
        <v>1966</v>
      </c>
      <c r="C1850" s="10" t="s">
        <v>4714</v>
      </c>
      <c r="D1850" s="10">
        <v>22</v>
      </c>
      <c r="E1850" s="10">
        <v>0</v>
      </c>
      <c r="F1850" s="24">
        <v>20253.84</v>
      </c>
      <c r="G1850" s="10" t="s">
        <v>4695</v>
      </c>
      <c r="H1850" s="10" t="s">
        <v>4696</v>
      </c>
      <c r="I1850" s="10" t="s">
        <v>4712</v>
      </c>
      <c r="J1850" s="17">
        <f t="shared" si="14"/>
        <v>24341</v>
      </c>
      <c r="K1850" s="10">
        <f t="shared" ca="1" si="15"/>
        <v>59</v>
      </c>
      <c r="L1850" s="6"/>
      <c r="M1850" s="6"/>
      <c r="N1850" s="6"/>
      <c r="O1850" s="6"/>
      <c r="P1850" s="6"/>
      <c r="Q1850" s="6"/>
      <c r="R1850" s="6"/>
      <c r="S1850" s="6"/>
      <c r="T1850" s="6"/>
      <c r="U1850" s="6"/>
      <c r="V1850" s="6"/>
      <c r="W1850" s="6"/>
      <c r="X1850" s="6"/>
      <c r="Y1850" s="6"/>
      <c r="Z1850" s="6"/>
    </row>
    <row r="1851" spans="1:26" ht="15.75" customHeight="1" x14ac:dyDescent="0.3">
      <c r="A1851" s="10" t="s">
        <v>980</v>
      </c>
      <c r="B1851" s="10">
        <v>1993</v>
      </c>
      <c r="C1851" s="10" t="s">
        <v>4711</v>
      </c>
      <c r="D1851" s="10">
        <v>7</v>
      </c>
      <c r="E1851" s="10">
        <v>1</v>
      </c>
      <c r="F1851" s="24">
        <v>20277.810000000001</v>
      </c>
      <c r="G1851" s="10" t="s">
        <v>4696</v>
      </c>
      <c r="H1851" s="10" t="s">
        <v>4696</v>
      </c>
      <c r="I1851" s="10" t="s">
        <v>4720</v>
      </c>
      <c r="J1851" s="17">
        <f t="shared" si="14"/>
        <v>34219</v>
      </c>
      <c r="K1851" s="10">
        <f t="shared" ca="1" si="15"/>
        <v>32</v>
      </c>
      <c r="L1851" s="6"/>
      <c r="M1851" s="6"/>
      <c r="N1851" s="6"/>
      <c r="O1851" s="6"/>
      <c r="P1851" s="6"/>
      <c r="Q1851" s="6"/>
      <c r="R1851" s="6"/>
      <c r="S1851" s="6"/>
      <c r="T1851" s="6"/>
      <c r="U1851" s="6"/>
      <c r="V1851" s="6"/>
      <c r="W1851" s="6"/>
      <c r="X1851" s="6"/>
      <c r="Y1851" s="6"/>
      <c r="Z1851" s="6"/>
    </row>
    <row r="1852" spans="1:26" ht="15.75" customHeight="1" x14ac:dyDescent="0.3">
      <c r="A1852" s="10" t="s">
        <v>978</v>
      </c>
      <c r="B1852" s="10">
        <v>1985</v>
      </c>
      <c r="C1852" s="10" t="s">
        <v>4711</v>
      </c>
      <c r="D1852" s="10">
        <v>17</v>
      </c>
      <c r="E1852" s="10">
        <v>1</v>
      </c>
      <c r="F1852" s="24">
        <v>20296.86</v>
      </c>
      <c r="G1852" s="10" t="s">
        <v>4696</v>
      </c>
      <c r="H1852" s="10" t="s">
        <v>4694</v>
      </c>
      <c r="I1852" s="10" t="s">
        <v>4723</v>
      </c>
      <c r="J1852" s="17">
        <f t="shared" si="14"/>
        <v>31307</v>
      </c>
      <c r="K1852" s="10">
        <f t="shared" ca="1" si="15"/>
        <v>40</v>
      </c>
      <c r="L1852" s="6"/>
      <c r="M1852" s="6"/>
      <c r="N1852" s="6"/>
      <c r="O1852" s="6"/>
      <c r="P1852" s="6"/>
      <c r="Q1852" s="6"/>
      <c r="R1852" s="6"/>
      <c r="S1852" s="6"/>
      <c r="T1852" s="6"/>
      <c r="U1852" s="6"/>
      <c r="V1852" s="6"/>
      <c r="W1852" s="6"/>
      <c r="X1852" s="6"/>
      <c r="Y1852" s="6"/>
      <c r="Z1852" s="6"/>
    </row>
    <row r="1853" spans="1:26" ht="15.75" customHeight="1" x14ac:dyDescent="0.3">
      <c r="A1853" s="10" t="s">
        <v>976</v>
      </c>
      <c r="B1853" s="10">
        <v>1962</v>
      </c>
      <c r="C1853" s="10" t="s">
        <v>4707</v>
      </c>
      <c r="D1853" s="10">
        <v>2</v>
      </c>
      <c r="E1853" s="10">
        <v>0</v>
      </c>
      <c r="F1853" s="24">
        <v>20354.5</v>
      </c>
      <c r="G1853" s="10" t="s">
        <v>4696</v>
      </c>
      <c r="H1853" s="10" t="s">
        <v>4695</v>
      </c>
      <c r="I1853" s="10" t="s">
        <v>4729</v>
      </c>
      <c r="J1853" s="17">
        <f t="shared" si="14"/>
        <v>22829</v>
      </c>
      <c r="K1853" s="10">
        <f t="shared" ca="1" si="15"/>
        <v>63</v>
      </c>
      <c r="L1853" s="6"/>
      <c r="M1853" s="6"/>
      <c r="N1853" s="6"/>
      <c r="O1853" s="6"/>
      <c r="P1853" s="6"/>
      <c r="Q1853" s="6"/>
      <c r="R1853" s="6"/>
      <c r="S1853" s="6"/>
      <c r="T1853" s="6"/>
      <c r="U1853" s="6"/>
      <c r="V1853" s="6"/>
      <c r="W1853" s="6"/>
      <c r="X1853" s="6"/>
      <c r="Y1853" s="6"/>
      <c r="Z1853" s="6"/>
    </row>
    <row r="1854" spans="1:26" ht="15.75" customHeight="1" x14ac:dyDescent="0.3">
      <c r="A1854" s="10" t="s">
        <v>974</v>
      </c>
      <c r="B1854" s="10">
        <v>1985</v>
      </c>
      <c r="C1854" s="10" t="s">
        <v>4707</v>
      </c>
      <c r="D1854" s="10">
        <v>12</v>
      </c>
      <c r="E1854" s="10">
        <v>0</v>
      </c>
      <c r="F1854" s="24">
        <v>20420.599999999999</v>
      </c>
      <c r="G1854" s="10" t="s">
        <v>4696</v>
      </c>
      <c r="H1854" s="10" t="s">
        <v>4695</v>
      </c>
      <c r="I1854" s="10" t="s">
        <v>4716</v>
      </c>
      <c r="J1854" s="17">
        <f t="shared" si="14"/>
        <v>31240</v>
      </c>
      <c r="K1854" s="10">
        <f t="shared" ca="1" si="15"/>
        <v>40</v>
      </c>
      <c r="L1854" s="6"/>
      <c r="M1854" s="6"/>
      <c r="N1854" s="6"/>
      <c r="O1854" s="6"/>
      <c r="P1854" s="6"/>
      <c r="Q1854" s="6"/>
      <c r="R1854" s="6"/>
      <c r="S1854" s="6"/>
      <c r="T1854" s="6"/>
      <c r="U1854" s="6"/>
      <c r="V1854" s="6"/>
      <c r="W1854" s="6"/>
      <c r="X1854" s="6"/>
      <c r="Y1854" s="6"/>
      <c r="Z1854" s="6"/>
    </row>
    <row r="1855" spans="1:26" ht="15.75" customHeight="1" x14ac:dyDescent="0.3">
      <c r="A1855" s="10" t="s">
        <v>972</v>
      </c>
      <c r="B1855" s="10">
        <v>1962</v>
      </c>
      <c r="C1855" s="10" t="s">
        <v>4715</v>
      </c>
      <c r="D1855" s="10">
        <v>18</v>
      </c>
      <c r="E1855" s="10">
        <v>0</v>
      </c>
      <c r="F1855" s="24">
        <v>20446.849999999999</v>
      </c>
      <c r="G1855" s="10" t="s">
        <v>4695</v>
      </c>
      <c r="H1855" s="10" t="s">
        <v>4694</v>
      </c>
      <c r="I1855" s="10" t="s">
        <v>4712</v>
      </c>
      <c r="J1855" s="17">
        <f t="shared" si="14"/>
        <v>22937</v>
      </c>
      <c r="K1855" s="10">
        <f t="shared" ca="1" si="15"/>
        <v>63</v>
      </c>
      <c r="L1855" s="6"/>
      <c r="M1855" s="6"/>
      <c r="N1855" s="6"/>
      <c r="O1855" s="6"/>
      <c r="P1855" s="6"/>
      <c r="Q1855" s="6"/>
      <c r="R1855" s="6"/>
      <c r="S1855" s="6"/>
      <c r="T1855" s="6"/>
      <c r="U1855" s="6"/>
      <c r="V1855" s="6"/>
      <c r="W1855" s="6"/>
      <c r="X1855" s="6"/>
      <c r="Y1855" s="6"/>
      <c r="Z1855" s="6"/>
    </row>
    <row r="1856" spans="1:26" ht="15.75" customHeight="1" x14ac:dyDescent="0.3">
      <c r="A1856" s="10" t="s">
        <v>970</v>
      </c>
      <c r="B1856" s="10">
        <v>1969</v>
      </c>
      <c r="C1856" s="10" t="s">
        <v>4715</v>
      </c>
      <c r="D1856" s="10">
        <v>13</v>
      </c>
      <c r="E1856" s="10">
        <v>3</v>
      </c>
      <c r="F1856" s="24">
        <v>20463</v>
      </c>
      <c r="G1856" s="10" t="s">
        <v>4695</v>
      </c>
      <c r="H1856" s="10" t="s">
        <v>4695</v>
      </c>
      <c r="I1856" s="10" t="s">
        <v>4708</v>
      </c>
      <c r="J1856" s="17">
        <f t="shared" si="14"/>
        <v>25489</v>
      </c>
      <c r="K1856" s="10">
        <f t="shared" ca="1" si="15"/>
        <v>56</v>
      </c>
      <c r="L1856" s="6"/>
      <c r="M1856" s="6"/>
      <c r="N1856" s="6"/>
      <c r="O1856" s="6"/>
      <c r="P1856" s="6"/>
      <c r="Q1856" s="6"/>
      <c r="R1856" s="6"/>
      <c r="S1856" s="6"/>
      <c r="T1856" s="6"/>
      <c r="U1856" s="6"/>
      <c r="V1856" s="6"/>
      <c r="W1856" s="6"/>
      <c r="X1856" s="6"/>
      <c r="Y1856" s="6"/>
      <c r="Z1856" s="6"/>
    </row>
    <row r="1857" spans="1:26" ht="15.75" customHeight="1" x14ac:dyDescent="0.3">
      <c r="A1857" s="10" t="s">
        <v>968</v>
      </c>
      <c r="B1857" s="10">
        <v>1966</v>
      </c>
      <c r="C1857" s="10" t="s">
        <v>4707</v>
      </c>
      <c r="D1857" s="10">
        <v>9</v>
      </c>
      <c r="E1857" s="10">
        <v>0</v>
      </c>
      <c r="F1857" s="24">
        <v>20568.32</v>
      </c>
      <c r="G1857" s="10" t="s">
        <v>4696</v>
      </c>
      <c r="H1857" s="10" t="s">
        <v>4695</v>
      </c>
      <c r="I1857" s="10" t="s">
        <v>4712</v>
      </c>
      <c r="J1857" s="17">
        <f t="shared" si="14"/>
        <v>24297</v>
      </c>
      <c r="K1857" s="10">
        <f t="shared" ca="1" si="15"/>
        <v>59</v>
      </c>
      <c r="L1857" s="6"/>
      <c r="M1857" s="6"/>
      <c r="N1857" s="6"/>
      <c r="O1857" s="6"/>
      <c r="P1857" s="6"/>
      <c r="Q1857" s="6"/>
      <c r="R1857" s="6"/>
      <c r="S1857" s="6"/>
      <c r="T1857" s="6"/>
      <c r="U1857" s="6"/>
      <c r="V1857" s="6"/>
      <c r="W1857" s="6"/>
      <c r="X1857" s="6"/>
      <c r="Y1857" s="6"/>
      <c r="Z1857" s="6"/>
    </row>
    <row r="1858" spans="1:26" ht="15.75" customHeight="1" x14ac:dyDescent="0.3">
      <c r="A1858" s="10" t="s">
        <v>966</v>
      </c>
      <c r="B1858" s="10">
        <v>1967</v>
      </c>
      <c r="C1858" s="10" t="s">
        <v>4713</v>
      </c>
      <c r="D1858" s="10">
        <v>17</v>
      </c>
      <c r="E1858" s="10">
        <v>0</v>
      </c>
      <c r="F1858" s="24">
        <v>20630.28</v>
      </c>
      <c r="G1858" s="10" t="s">
        <v>4695</v>
      </c>
      <c r="H1858" s="10" t="s">
        <v>4696</v>
      </c>
      <c r="I1858" s="10" t="s">
        <v>4716</v>
      </c>
      <c r="J1858" s="17">
        <f t="shared" si="14"/>
        <v>24823</v>
      </c>
      <c r="K1858" s="10">
        <f t="shared" ca="1" si="15"/>
        <v>57</v>
      </c>
      <c r="L1858" s="6"/>
      <c r="M1858" s="6"/>
      <c r="N1858" s="6"/>
      <c r="O1858" s="6"/>
      <c r="P1858" s="6"/>
      <c r="Q1858" s="6"/>
      <c r="R1858" s="6"/>
      <c r="S1858" s="6"/>
      <c r="T1858" s="6"/>
      <c r="U1858" s="6"/>
      <c r="V1858" s="6"/>
      <c r="W1858" s="6"/>
      <c r="X1858" s="6"/>
      <c r="Y1858" s="6"/>
      <c r="Z1858" s="6"/>
    </row>
    <row r="1859" spans="1:26" ht="15.75" customHeight="1" x14ac:dyDescent="0.3">
      <c r="A1859" s="10" t="s">
        <v>964</v>
      </c>
      <c r="B1859" s="10">
        <v>1965</v>
      </c>
      <c r="C1859" s="10" t="s">
        <v>4714</v>
      </c>
      <c r="D1859" s="10">
        <v>1</v>
      </c>
      <c r="E1859" s="10">
        <v>0</v>
      </c>
      <c r="F1859" s="24">
        <v>20709.02</v>
      </c>
      <c r="G1859" s="10" t="s">
        <v>4696</v>
      </c>
      <c r="H1859" s="10" t="s">
        <v>4695</v>
      </c>
      <c r="I1859" s="10" t="s">
        <v>4719</v>
      </c>
      <c r="J1859" s="17">
        <f t="shared" si="14"/>
        <v>23955</v>
      </c>
      <c r="K1859" s="10">
        <f t="shared" ca="1" si="15"/>
        <v>60</v>
      </c>
      <c r="L1859" s="6"/>
      <c r="M1859" s="6"/>
      <c r="N1859" s="6"/>
      <c r="O1859" s="6"/>
      <c r="P1859" s="6"/>
      <c r="Q1859" s="6"/>
      <c r="R1859" s="6"/>
      <c r="S1859" s="6"/>
      <c r="T1859" s="6"/>
      <c r="U1859" s="6"/>
      <c r="V1859" s="6"/>
      <c r="W1859" s="6"/>
      <c r="X1859" s="6"/>
      <c r="Y1859" s="6"/>
      <c r="Z1859" s="6"/>
    </row>
    <row r="1860" spans="1:26" ht="15.75" customHeight="1" x14ac:dyDescent="0.3">
      <c r="A1860" s="10" t="s">
        <v>962</v>
      </c>
      <c r="B1860" s="10">
        <v>1992</v>
      </c>
      <c r="C1860" s="10" t="s">
        <v>4711</v>
      </c>
      <c r="D1860" s="10">
        <v>14</v>
      </c>
      <c r="E1860" s="10">
        <v>3</v>
      </c>
      <c r="F1860" s="24">
        <v>20745.990000000002</v>
      </c>
      <c r="G1860" s="10" t="s">
        <v>4696</v>
      </c>
      <c r="H1860" s="10" t="s">
        <v>4694</v>
      </c>
      <c r="I1860" s="10" t="s">
        <v>4712</v>
      </c>
      <c r="J1860" s="17">
        <f t="shared" si="14"/>
        <v>33861</v>
      </c>
      <c r="K1860" s="10">
        <f t="shared" ca="1" si="15"/>
        <v>33</v>
      </c>
      <c r="L1860" s="6"/>
      <c r="M1860" s="6"/>
      <c r="N1860" s="6"/>
      <c r="O1860" s="6"/>
      <c r="P1860" s="6"/>
      <c r="Q1860" s="6"/>
      <c r="R1860" s="6"/>
      <c r="S1860" s="6"/>
      <c r="T1860" s="6"/>
      <c r="U1860" s="6"/>
      <c r="V1860" s="6"/>
      <c r="W1860" s="6"/>
      <c r="X1860" s="6"/>
      <c r="Y1860" s="6"/>
      <c r="Z1860" s="6"/>
    </row>
    <row r="1861" spans="1:26" ht="15.75" customHeight="1" x14ac:dyDescent="0.3">
      <c r="A1861" s="10" t="s">
        <v>960</v>
      </c>
      <c r="B1861" s="10">
        <v>1986</v>
      </c>
      <c r="C1861" s="10" t="s">
        <v>4714</v>
      </c>
      <c r="D1861" s="10">
        <v>4</v>
      </c>
      <c r="E1861" s="10">
        <v>1</v>
      </c>
      <c r="F1861" s="24">
        <v>20773.63</v>
      </c>
      <c r="G1861" s="10" t="s">
        <v>4695</v>
      </c>
      <c r="H1861" s="10" t="s">
        <v>4696</v>
      </c>
      <c r="I1861" s="10" t="s">
        <v>4727</v>
      </c>
      <c r="J1861" s="17">
        <f t="shared" si="14"/>
        <v>31628</v>
      </c>
      <c r="K1861" s="10">
        <f t="shared" ca="1" si="15"/>
        <v>39</v>
      </c>
      <c r="L1861" s="6"/>
      <c r="M1861" s="6"/>
      <c r="N1861" s="6"/>
      <c r="O1861" s="6"/>
      <c r="P1861" s="6"/>
      <c r="Q1861" s="6"/>
      <c r="R1861" s="6"/>
      <c r="S1861" s="6"/>
      <c r="T1861" s="6"/>
      <c r="U1861" s="6"/>
      <c r="V1861" s="6"/>
      <c r="W1861" s="6"/>
      <c r="X1861" s="6"/>
      <c r="Y1861" s="6"/>
      <c r="Z1861" s="6"/>
    </row>
    <row r="1862" spans="1:26" ht="15.75" customHeight="1" x14ac:dyDescent="0.3">
      <c r="A1862" s="10" t="s">
        <v>958</v>
      </c>
      <c r="B1862" s="10">
        <v>1967</v>
      </c>
      <c r="C1862" s="10" t="s">
        <v>4711</v>
      </c>
      <c r="D1862" s="10">
        <v>8</v>
      </c>
      <c r="E1862" s="10">
        <v>0</v>
      </c>
      <c r="F1862" s="24">
        <v>20781.490000000002</v>
      </c>
      <c r="G1862" s="10" t="s">
        <v>4695</v>
      </c>
      <c r="H1862" s="10" t="s">
        <v>4696</v>
      </c>
      <c r="I1862" s="10" t="s">
        <v>4708</v>
      </c>
      <c r="J1862" s="17">
        <f t="shared" si="14"/>
        <v>24723</v>
      </c>
      <c r="K1862" s="10">
        <f t="shared" ca="1" si="15"/>
        <v>58</v>
      </c>
      <c r="L1862" s="6"/>
      <c r="M1862" s="6"/>
      <c r="N1862" s="6"/>
      <c r="O1862" s="6"/>
      <c r="P1862" s="6"/>
      <c r="Q1862" s="6"/>
      <c r="R1862" s="6"/>
      <c r="S1862" s="6"/>
      <c r="T1862" s="6"/>
      <c r="U1862" s="6"/>
      <c r="V1862" s="6"/>
      <c r="W1862" s="6"/>
      <c r="X1862" s="6"/>
      <c r="Y1862" s="6"/>
      <c r="Z1862" s="6"/>
    </row>
    <row r="1863" spans="1:26" ht="15.75" customHeight="1" x14ac:dyDescent="0.3">
      <c r="A1863" s="10" t="s">
        <v>956</v>
      </c>
      <c r="B1863" s="10">
        <v>1975</v>
      </c>
      <c r="C1863" s="10" t="s">
        <v>4713</v>
      </c>
      <c r="D1863" s="10">
        <v>8</v>
      </c>
      <c r="E1863" s="10">
        <v>0</v>
      </c>
      <c r="F1863" s="24">
        <v>20878.78</v>
      </c>
      <c r="G1863" s="10" t="s">
        <v>4695</v>
      </c>
      <c r="H1863" s="10" t="s">
        <v>4694</v>
      </c>
      <c r="I1863" s="10" t="s">
        <v>4723</v>
      </c>
      <c r="J1863" s="17">
        <f t="shared" si="14"/>
        <v>27736</v>
      </c>
      <c r="K1863" s="10">
        <f t="shared" ca="1" si="15"/>
        <v>49</v>
      </c>
      <c r="L1863" s="6"/>
      <c r="M1863" s="6"/>
      <c r="N1863" s="6"/>
      <c r="O1863" s="6"/>
      <c r="P1863" s="6"/>
      <c r="Q1863" s="6"/>
      <c r="R1863" s="6"/>
      <c r="S1863" s="6"/>
      <c r="T1863" s="6"/>
      <c r="U1863" s="6"/>
      <c r="V1863" s="6"/>
      <c r="W1863" s="6"/>
      <c r="X1863" s="6"/>
      <c r="Y1863" s="6"/>
      <c r="Z1863" s="6"/>
    </row>
    <row r="1864" spans="1:26" ht="15.75" customHeight="1" x14ac:dyDescent="0.3">
      <c r="A1864" s="10" t="s">
        <v>954</v>
      </c>
      <c r="B1864" s="10">
        <v>1964</v>
      </c>
      <c r="C1864" s="10" t="s">
        <v>4709</v>
      </c>
      <c r="D1864" s="10">
        <v>19</v>
      </c>
      <c r="E1864" s="10">
        <v>0</v>
      </c>
      <c r="F1864" s="24">
        <v>20893.060000000001</v>
      </c>
      <c r="G1864" s="10" t="s">
        <v>4695</v>
      </c>
      <c r="H1864" s="10" t="s">
        <v>4696</v>
      </c>
      <c r="I1864" s="10" t="s">
        <v>4712</v>
      </c>
      <c r="J1864" s="17">
        <f t="shared" si="14"/>
        <v>23700</v>
      </c>
      <c r="K1864" s="10">
        <f t="shared" ca="1" si="15"/>
        <v>61</v>
      </c>
      <c r="L1864" s="6"/>
      <c r="M1864" s="6"/>
      <c r="N1864" s="6"/>
      <c r="O1864" s="6"/>
      <c r="P1864" s="6"/>
      <c r="Q1864" s="6"/>
      <c r="R1864" s="6"/>
      <c r="S1864" s="6"/>
      <c r="T1864" s="6"/>
      <c r="U1864" s="6"/>
      <c r="V1864" s="6"/>
      <c r="W1864" s="6"/>
      <c r="X1864" s="6"/>
      <c r="Y1864" s="6"/>
      <c r="Z1864" s="6"/>
    </row>
    <row r="1865" spans="1:26" ht="15.75" customHeight="1" x14ac:dyDescent="0.3">
      <c r="A1865" s="10" t="s">
        <v>4688</v>
      </c>
      <c r="B1865" s="10">
        <v>1987</v>
      </c>
      <c r="C1865" s="10" t="s">
        <v>4709</v>
      </c>
      <c r="D1865" s="10">
        <v>27</v>
      </c>
      <c r="E1865" s="10">
        <v>2</v>
      </c>
      <c r="F1865" s="24">
        <v>20984.09</v>
      </c>
      <c r="G1865" s="10" t="s">
        <v>4695</v>
      </c>
      <c r="H1865" s="10" t="s">
        <v>4695</v>
      </c>
      <c r="I1865" s="10" t="s">
        <v>4718</v>
      </c>
      <c r="J1865" s="17">
        <f t="shared" si="14"/>
        <v>32108</v>
      </c>
      <c r="K1865" s="10">
        <f t="shared" ca="1" si="15"/>
        <v>38</v>
      </c>
      <c r="L1865" s="6"/>
      <c r="M1865" s="6"/>
      <c r="N1865" s="6"/>
      <c r="O1865" s="6"/>
      <c r="P1865" s="6"/>
      <c r="Q1865" s="6"/>
      <c r="R1865" s="6"/>
      <c r="S1865" s="6"/>
      <c r="T1865" s="6"/>
      <c r="U1865" s="6"/>
      <c r="V1865" s="6"/>
      <c r="W1865" s="6"/>
      <c r="X1865" s="6"/>
      <c r="Y1865" s="6"/>
      <c r="Z1865" s="6"/>
    </row>
    <row r="1866" spans="1:26" ht="15.75" customHeight="1" x14ac:dyDescent="0.3">
      <c r="A1866" s="10" t="s">
        <v>952</v>
      </c>
      <c r="B1866" s="10">
        <v>1983</v>
      </c>
      <c r="C1866" s="10" t="s">
        <v>4707</v>
      </c>
      <c r="D1866" s="10">
        <v>2</v>
      </c>
      <c r="E1866" s="10">
        <v>1</v>
      </c>
      <c r="F1866" s="24">
        <v>21082.16</v>
      </c>
      <c r="G1866" s="10" t="s">
        <v>4696</v>
      </c>
      <c r="H1866" s="10" t="s">
        <v>4695</v>
      </c>
      <c r="I1866" s="10" t="s">
        <v>4716</v>
      </c>
      <c r="J1866" s="17">
        <f t="shared" si="14"/>
        <v>30499</v>
      </c>
      <c r="K1866" s="10">
        <f t="shared" ca="1" si="15"/>
        <v>42</v>
      </c>
      <c r="L1866" s="6"/>
      <c r="M1866" s="6"/>
      <c r="N1866" s="6"/>
      <c r="O1866" s="6"/>
      <c r="P1866" s="6"/>
      <c r="Q1866" s="6"/>
      <c r="R1866" s="6"/>
      <c r="S1866" s="6"/>
      <c r="T1866" s="6"/>
      <c r="U1866" s="6"/>
      <c r="V1866" s="6"/>
      <c r="W1866" s="6"/>
      <c r="X1866" s="6"/>
      <c r="Y1866" s="6"/>
      <c r="Z1866" s="6"/>
    </row>
    <row r="1867" spans="1:26" ht="15.75" customHeight="1" x14ac:dyDescent="0.3">
      <c r="A1867" s="10" t="s">
        <v>950</v>
      </c>
      <c r="B1867" s="10">
        <v>1977</v>
      </c>
      <c r="C1867" s="10" t="s">
        <v>4709</v>
      </c>
      <c r="D1867" s="10">
        <v>23</v>
      </c>
      <c r="E1867" s="10">
        <v>2</v>
      </c>
      <c r="F1867" s="24">
        <v>21098.55</v>
      </c>
      <c r="G1867" s="10" t="s">
        <v>4696</v>
      </c>
      <c r="H1867" s="10" t="s">
        <v>4696</v>
      </c>
      <c r="I1867" s="10" t="s">
        <v>4712</v>
      </c>
      <c r="J1867" s="17">
        <f t="shared" si="14"/>
        <v>28452</v>
      </c>
      <c r="K1867" s="10">
        <f t="shared" ca="1" si="15"/>
        <v>48</v>
      </c>
      <c r="L1867" s="6"/>
      <c r="M1867" s="6"/>
      <c r="N1867" s="6"/>
      <c r="O1867" s="6"/>
      <c r="P1867" s="6"/>
      <c r="Q1867" s="6"/>
      <c r="R1867" s="6"/>
      <c r="S1867" s="6"/>
      <c r="T1867" s="6"/>
      <c r="U1867" s="6"/>
      <c r="V1867" s="6"/>
      <c r="W1867" s="6"/>
      <c r="X1867" s="6"/>
      <c r="Y1867" s="6"/>
      <c r="Z1867" s="6"/>
    </row>
    <row r="1868" spans="1:26" ht="15.75" customHeight="1" x14ac:dyDescent="0.3">
      <c r="A1868" s="10" t="s">
        <v>948</v>
      </c>
      <c r="B1868" s="10">
        <v>1969</v>
      </c>
      <c r="C1868" s="10" t="s">
        <v>4714</v>
      </c>
      <c r="D1868" s="10">
        <v>26</v>
      </c>
      <c r="E1868" s="10">
        <v>0</v>
      </c>
      <c r="F1868" s="24">
        <v>21195.82</v>
      </c>
      <c r="G1868" s="10" t="s">
        <v>4696</v>
      </c>
      <c r="H1868" s="10" t="s">
        <v>4694</v>
      </c>
      <c r="I1868" s="10" t="s">
        <v>4708</v>
      </c>
      <c r="J1868" s="17">
        <f t="shared" si="14"/>
        <v>25441</v>
      </c>
      <c r="K1868" s="10">
        <f t="shared" ca="1" si="15"/>
        <v>56</v>
      </c>
      <c r="L1868" s="6"/>
      <c r="M1868" s="6"/>
      <c r="N1868" s="6"/>
      <c r="O1868" s="6"/>
      <c r="P1868" s="6"/>
      <c r="Q1868" s="6"/>
      <c r="R1868" s="6"/>
      <c r="S1868" s="6"/>
      <c r="T1868" s="6"/>
      <c r="U1868" s="6"/>
      <c r="V1868" s="6"/>
      <c r="W1868" s="6"/>
      <c r="X1868" s="6"/>
      <c r="Y1868" s="6"/>
      <c r="Z1868" s="6"/>
    </row>
    <row r="1869" spans="1:26" ht="15.75" customHeight="1" x14ac:dyDescent="0.3">
      <c r="A1869" s="10" t="s">
        <v>946</v>
      </c>
      <c r="B1869" s="10">
        <v>1974</v>
      </c>
      <c r="C1869" s="10" t="s">
        <v>4715</v>
      </c>
      <c r="D1869" s="10">
        <v>14</v>
      </c>
      <c r="E1869" s="10">
        <v>0</v>
      </c>
      <c r="F1869" s="24">
        <v>21223.68</v>
      </c>
      <c r="G1869" s="10" t="s">
        <v>4696</v>
      </c>
      <c r="H1869" s="10" t="s">
        <v>4695</v>
      </c>
      <c r="I1869" s="10" t="s">
        <v>4708</v>
      </c>
      <c r="J1869" s="17">
        <f t="shared" si="14"/>
        <v>27316</v>
      </c>
      <c r="K1869" s="10">
        <f t="shared" ca="1" si="15"/>
        <v>51</v>
      </c>
      <c r="L1869" s="6"/>
      <c r="M1869" s="6"/>
      <c r="N1869" s="6"/>
      <c r="O1869" s="6"/>
      <c r="P1869" s="6"/>
      <c r="Q1869" s="6"/>
      <c r="R1869" s="6"/>
      <c r="S1869" s="6"/>
      <c r="T1869" s="6"/>
      <c r="U1869" s="6"/>
      <c r="V1869" s="6"/>
      <c r="W1869" s="6"/>
      <c r="X1869" s="6"/>
      <c r="Y1869" s="6"/>
      <c r="Z1869" s="6"/>
    </row>
    <row r="1870" spans="1:26" ht="15.75" customHeight="1" x14ac:dyDescent="0.3">
      <c r="A1870" s="10" t="s">
        <v>944</v>
      </c>
      <c r="B1870" s="10">
        <v>1974</v>
      </c>
      <c r="C1870" s="10" t="s">
        <v>4711</v>
      </c>
      <c r="D1870" s="10">
        <v>3</v>
      </c>
      <c r="E1870" s="10">
        <v>0</v>
      </c>
      <c r="F1870" s="24">
        <v>21232.18</v>
      </c>
      <c r="G1870" s="10" t="s">
        <v>4696</v>
      </c>
      <c r="H1870" s="10" t="s">
        <v>4695</v>
      </c>
      <c r="I1870" s="10" t="s">
        <v>4716</v>
      </c>
      <c r="J1870" s="17">
        <f t="shared" si="14"/>
        <v>27275</v>
      </c>
      <c r="K1870" s="10">
        <f t="shared" ca="1" si="15"/>
        <v>51</v>
      </c>
      <c r="L1870" s="6"/>
      <c r="M1870" s="6"/>
      <c r="N1870" s="6"/>
      <c r="O1870" s="6"/>
      <c r="P1870" s="6"/>
      <c r="Q1870" s="6"/>
      <c r="R1870" s="6"/>
      <c r="S1870" s="6"/>
      <c r="T1870" s="6"/>
      <c r="U1870" s="6"/>
      <c r="V1870" s="6"/>
      <c r="W1870" s="6"/>
      <c r="X1870" s="6"/>
      <c r="Y1870" s="6"/>
      <c r="Z1870" s="6"/>
    </row>
    <row r="1871" spans="1:26" ht="15.75" customHeight="1" x14ac:dyDescent="0.3">
      <c r="A1871" s="10" t="s">
        <v>942</v>
      </c>
      <c r="B1871" s="10">
        <v>1980</v>
      </c>
      <c r="C1871" s="10" t="s">
        <v>4713</v>
      </c>
      <c r="D1871" s="10">
        <v>10</v>
      </c>
      <c r="E1871" s="10">
        <v>2</v>
      </c>
      <c r="F1871" s="24">
        <v>21259.38</v>
      </c>
      <c r="G1871" s="10" t="s">
        <v>4696</v>
      </c>
      <c r="H1871" s="10" t="s">
        <v>4696</v>
      </c>
      <c r="I1871" s="10" t="s">
        <v>4719</v>
      </c>
      <c r="J1871" s="17">
        <f t="shared" si="14"/>
        <v>29565</v>
      </c>
      <c r="K1871" s="10">
        <f t="shared" ca="1" si="15"/>
        <v>44</v>
      </c>
      <c r="L1871" s="6"/>
      <c r="M1871" s="6"/>
      <c r="N1871" s="6"/>
      <c r="O1871" s="6"/>
      <c r="P1871" s="6"/>
      <c r="Q1871" s="6"/>
      <c r="R1871" s="6"/>
      <c r="S1871" s="6"/>
      <c r="T1871" s="6"/>
      <c r="U1871" s="6"/>
      <c r="V1871" s="6"/>
      <c r="W1871" s="6"/>
      <c r="X1871" s="6"/>
      <c r="Y1871" s="6"/>
      <c r="Z1871" s="6"/>
    </row>
    <row r="1872" spans="1:26" ht="15.75" customHeight="1" x14ac:dyDescent="0.3">
      <c r="A1872" s="10" t="s">
        <v>940</v>
      </c>
      <c r="B1872" s="10">
        <v>2004</v>
      </c>
      <c r="C1872" s="10" t="s">
        <v>4714</v>
      </c>
      <c r="D1872" s="10">
        <v>4</v>
      </c>
      <c r="E1872" s="10">
        <v>0</v>
      </c>
      <c r="F1872" s="24">
        <v>21344.85</v>
      </c>
      <c r="G1872" s="10" t="s">
        <v>4696</v>
      </c>
      <c r="H1872" s="10" t="s">
        <v>4694</v>
      </c>
      <c r="I1872" s="10" t="s">
        <v>4723</v>
      </c>
      <c r="J1872" s="17">
        <f t="shared" si="14"/>
        <v>38203</v>
      </c>
      <c r="K1872" s="10">
        <f t="shared" ca="1" si="15"/>
        <v>21</v>
      </c>
      <c r="L1872" s="6"/>
      <c r="M1872" s="6"/>
      <c r="N1872" s="6"/>
      <c r="O1872" s="6"/>
      <c r="P1872" s="6"/>
      <c r="Q1872" s="6"/>
      <c r="R1872" s="6"/>
      <c r="S1872" s="6"/>
      <c r="T1872" s="6"/>
      <c r="U1872" s="6"/>
      <c r="V1872" s="6"/>
      <c r="W1872" s="6"/>
      <c r="X1872" s="6"/>
      <c r="Y1872" s="6"/>
      <c r="Z1872" s="6"/>
    </row>
    <row r="1873" spans="1:26" ht="15.75" customHeight="1" x14ac:dyDescent="0.3">
      <c r="A1873" s="10" t="s">
        <v>938</v>
      </c>
      <c r="B1873" s="10">
        <v>1980</v>
      </c>
      <c r="C1873" s="10" t="s">
        <v>4711</v>
      </c>
      <c r="D1873" s="10">
        <v>4</v>
      </c>
      <c r="E1873" s="10">
        <v>0</v>
      </c>
      <c r="F1873" s="24">
        <v>21348.71</v>
      </c>
      <c r="G1873" s="10" t="s">
        <v>4695</v>
      </c>
      <c r="H1873" s="10" t="s">
        <v>4694</v>
      </c>
      <c r="I1873" s="10" t="s">
        <v>4712</v>
      </c>
      <c r="J1873" s="17">
        <f t="shared" si="14"/>
        <v>29468</v>
      </c>
      <c r="K1873" s="10">
        <f t="shared" ca="1" si="15"/>
        <v>45</v>
      </c>
      <c r="L1873" s="6"/>
      <c r="M1873" s="6"/>
      <c r="N1873" s="6"/>
      <c r="O1873" s="6"/>
      <c r="P1873" s="6"/>
      <c r="Q1873" s="6"/>
      <c r="R1873" s="6"/>
      <c r="S1873" s="6"/>
      <c r="T1873" s="6"/>
      <c r="U1873" s="6"/>
      <c r="V1873" s="6"/>
      <c r="W1873" s="6"/>
      <c r="X1873" s="6"/>
      <c r="Y1873" s="6"/>
      <c r="Z1873" s="6"/>
    </row>
    <row r="1874" spans="1:26" ht="15.75" customHeight="1" x14ac:dyDescent="0.3">
      <c r="A1874" s="10" t="s">
        <v>936</v>
      </c>
      <c r="B1874" s="10">
        <v>1990</v>
      </c>
      <c r="C1874" s="10" t="s">
        <v>4709</v>
      </c>
      <c r="D1874" s="10">
        <v>21</v>
      </c>
      <c r="E1874" s="10">
        <v>4</v>
      </c>
      <c r="F1874" s="24">
        <v>21472.48</v>
      </c>
      <c r="G1874" s="10" t="s">
        <v>4695</v>
      </c>
      <c r="H1874" s="10" t="s">
        <v>4695</v>
      </c>
      <c r="I1874" s="10" t="s">
        <v>4712</v>
      </c>
      <c r="J1874" s="17">
        <f t="shared" si="14"/>
        <v>33198</v>
      </c>
      <c r="K1874" s="10">
        <f t="shared" ca="1" si="15"/>
        <v>35</v>
      </c>
      <c r="L1874" s="6"/>
      <c r="M1874" s="6"/>
      <c r="N1874" s="6"/>
      <c r="O1874" s="6"/>
      <c r="P1874" s="6"/>
      <c r="Q1874" s="6"/>
      <c r="R1874" s="6"/>
      <c r="S1874" s="6"/>
      <c r="T1874" s="6"/>
      <c r="U1874" s="6"/>
      <c r="V1874" s="6"/>
      <c r="W1874" s="6"/>
      <c r="X1874" s="6"/>
      <c r="Y1874" s="6"/>
      <c r="Z1874" s="6"/>
    </row>
    <row r="1875" spans="1:26" ht="15.75" customHeight="1" x14ac:dyDescent="0.3">
      <c r="A1875" s="10" t="s">
        <v>934</v>
      </c>
      <c r="B1875" s="10">
        <v>1999</v>
      </c>
      <c r="C1875" s="10" t="s">
        <v>4710</v>
      </c>
      <c r="D1875" s="10">
        <v>12</v>
      </c>
      <c r="E1875" s="10">
        <v>0</v>
      </c>
      <c r="F1875" s="24">
        <v>21595.38</v>
      </c>
      <c r="G1875" s="10" t="s">
        <v>4695</v>
      </c>
      <c r="H1875" s="10" t="s">
        <v>4696</v>
      </c>
      <c r="I1875" s="10" t="s">
        <v>4712</v>
      </c>
      <c r="J1875" s="17">
        <f t="shared" si="14"/>
        <v>36323</v>
      </c>
      <c r="K1875" s="10">
        <f t="shared" ca="1" si="15"/>
        <v>26</v>
      </c>
      <c r="L1875" s="6"/>
      <c r="M1875" s="6"/>
      <c r="N1875" s="6"/>
      <c r="O1875" s="6"/>
      <c r="P1875" s="6"/>
      <c r="Q1875" s="6"/>
      <c r="R1875" s="6"/>
      <c r="S1875" s="6"/>
      <c r="T1875" s="6"/>
      <c r="U1875" s="6"/>
      <c r="V1875" s="6"/>
      <c r="W1875" s="6"/>
      <c r="X1875" s="6"/>
      <c r="Y1875" s="6"/>
      <c r="Z1875" s="6"/>
    </row>
    <row r="1876" spans="1:26" ht="15.75" customHeight="1" x14ac:dyDescent="0.3">
      <c r="A1876" s="10" t="s">
        <v>932</v>
      </c>
      <c r="B1876" s="10">
        <v>1983</v>
      </c>
      <c r="C1876" s="10" t="s">
        <v>4713</v>
      </c>
      <c r="D1876" s="10">
        <v>25</v>
      </c>
      <c r="E1876" s="10">
        <v>3</v>
      </c>
      <c r="F1876" s="24">
        <v>21659.93</v>
      </c>
      <c r="G1876" s="10" t="s">
        <v>4696</v>
      </c>
      <c r="H1876" s="10" t="s">
        <v>4696</v>
      </c>
      <c r="I1876" s="10" t="s">
        <v>4723</v>
      </c>
      <c r="J1876" s="17">
        <f t="shared" si="14"/>
        <v>30675</v>
      </c>
      <c r="K1876" s="10">
        <f t="shared" ca="1" si="15"/>
        <v>41</v>
      </c>
      <c r="L1876" s="6"/>
      <c r="M1876" s="6"/>
      <c r="N1876" s="6"/>
      <c r="O1876" s="6"/>
      <c r="P1876" s="6"/>
      <c r="Q1876" s="6"/>
      <c r="R1876" s="6"/>
      <c r="S1876" s="6"/>
      <c r="T1876" s="6"/>
      <c r="U1876" s="6"/>
      <c r="V1876" s="6"/>
      <c r="W1876" s="6"/>
      <c r="X1876" s="6"/>
      <c r="Y1876" s="6"/>
      <c r="Z1876" s="6"/>
    </row>
    <row r="1877" spans="1:26" ht="15.75" customHeight="1" x14ac:dyDescent="0.3">
      <c r="A1877" s="10" t="s">
        <v>930</v>
      </c>
      <c r="B1877" s="10">
        <v>1962</v>
      </c>
      <c r="C1877" s="10" t="s">
        <v>4709</v>
      </c>
      <c r="D1877" s="10">
        <v>16</v>
      </c>
      <c r="E1877" s="10">
        <v>0</v>
      </c>
      <c r="F1877" s="24">
        <v>21661.16</v>
      </c>
      <c r="G1877" s="10" t="s">
        <v>4695</v>
      </c>
      <c r="H1877" s="10" t="s">
        <v>4695</v>
      </c>
      <c r="I1877" s="10" t="s">
        <v>4712</v>
      </c>
      <c r="J1877" s="17">
        <f t="shared" si="14"/>
        <v>22966</v>
      </c>
      <c r="K1877" s="10">
        <f t="shared" ca="1" si="15"/>
        <v>63</v>
      </c>
      <c r="L1877" s="6"/>
      <c r="M1877" s="6"/>
      <c r="N1877" s="6"/>
      <c r="O1877" s="6"/>
      <c r="P1877" s="6"/>
      <c r="Q1877" s="6"/>
      <c r="R1877" s="6"/>
      <c r="S1877" s="6"/>
      <c r="T1877" s="6"/>
      <c r="U1877" s="6"/>
      <c r="V1877" s="6"/>
      <c r="W1877" s="6"/>
      <c r="X1877" s="6"/>
      <c r="Y1877" s="6"/>
      <c r="Z1877" s="6"/>
    </row>
    <row r="1878" spans="1:26" ht="15.75" customHeight="1" x14ac:dyDescent="0.3">
      <c r="A1878" s="10" t="s">
        <v>928</v>
      </c>
      <c r="B1878" s="10">
        <v>1976</v>
      </c>
      <c r="C1878" s="10" t="s">
        <v>4707</v>
      </c>
      <c r="D1878" s="10">
        <v>18</v>
      </c>
      <c r="E1878" s="10">
        <v>1</v>
      </c>
      <c r="F1878" s="24">
        <v>21677.279999999999</v>
      </c>
      <c r="G1878" s="10" t="s">
        <v>4696</v>
      </c>
      <c r="H1878" s="10" t="s">
        <v>4694</v>
      </c>
      <c r="I1878" s="10" t="s">
        <v>4712</v>
      </c>
      <c r="J1878" s="17">
        <f t="shared" si="14"/>
        <v>27959</v>
      </c>
      <c r="K1878" s="10">
        <f t="shared" ca="1" si="15"/>
        <v>49</v>
      </c>
      <c r="L1878" s="6"/>
      <c r="M1878" s="6"/>
      <c r="N1878" s="6"/>
      <c r="O1878" s="6"/>
      <c r="P1878" s="6"/>
      <c r="Q1878" s="6"/>
      <c r="R1878" s="6"/>
      <c r="S1878" s="6"/>
      <c r="T1878" s="6"/>
      <c r="U1878" s="6"/>
      <c r="V1878" s="6"/>
      <c r="W1878" s="6"/>
      <c r="X1878" s="6"/>
      <c r="Y1878" s="6"/>
      <c r="Z1878" s="6"/>
    </row>
    <row r="1879" spans="1:26" ht="15.75" customHeight="1" x14ac:dyDescent="0.3">
      <c r="A1879" s="10" t="s">
        <v>926</v>
      </c>
      <c r="B1879" s="10">
        <v>1979</v>
      </c>
      <c r="C1879" s="10" t="s">
        <v>4711</v>
      </c>
      <c r="D1879" s="10">
        <v>20</v>
      </c>
      <c r="E1879" s="10">
        <v>1</v>
      </c>
      <c r="F1879" s="24">
        <v>21771.34</v>
      </c>
      <c r="G1879" s="10" t="s">
        <v>4696</v>
      </c>
      <c r="H1879" s="10" t="s">
        <v>4694</v>
      </c>
      <c r="I1879" s="10" t="s">
        <v>4723</v>
      </c>
      <c r="J1879" s="17">
        <f t="shared" si="14"/>
        <v>29118</v>
      </c>
      <c r="K1879" s="10">
        <f t="shared" ca="1" si="15"/>
        <v>46</v>
      </c>
      <c r="L1879" s="6"/>
      <c r="M1879" s="6"/>
      <c r="N1879" s="6"/>
      <c r="O1879" s="6"/>
      <c r="P1879" s="6"/>
      <c r="Q1879" s="6"/>
      <c r="R1879" s="6"/>
      <c r="S1879" s="6"/>
      <c r="T1879" s="6"/>
      <c r="U1879" s="6"/>
      <c r="V1879" s="6"/>
      <c r="W1879" s="6"/>
      <c r="X1879" s="6"/>
      <c r="Y1879" s="6"/>
      <c r="Z1879" s="6"/>
    </row>
    <row r="1880" spans="1:26" ht="15.75" customHeight="1" x14ac:dyDescent="0.3">
      <c r="A1880" s="10" t="s">
        <v>924</v>
      </c>
      <c r="B1880" s="10">
        <v>1979</v>
      </c>
      <c r="C1880" s="10" t="s">
        <v>4711</v>
      </c>
      <c r="D1880" s="10">
        <v>28</v>
      </c>
      <c r="E1880" s="10">
        <v>0</v>
      </c>
      <c r="F1880" s="24">
        <v>21774.32</v>
      </c>
      <c r="G1880" s="10" t="s">
        <v>4696</v>
      </c>
      <c r="H1880" s="10" t="s">
        <v>4695</v>
      </c>
      <c r="I1880" s="10" t="s">
        <v>4712</v>
      </c>
      <c r="J1880" s="17">
        <f t="shared" si="14"/>
        <v>29126</v>
      </c>
      <c r="K1880" s="10">
        <f t="shared" ca="1" si="15"/>
        <v>46</v>
      </c>
      <c r="L1880" s="6"/>
      <c r="M1880" s="6"/>
      <c r="N1880" s="6"/>
      <c r="O1880" s="6"/>
      <c r="P1880" s="6"/>
      <c r="Q1880" s="6"/>
      <c r="R1880" s="6"/>
      <c r="S1880" s="6"/>
      <c r="T1880" s="6"/>
      <c r="U1880" s="6"/>
      <c r="V1880" s="6"/>
      <c r="W1880" s="6"/>
      <c r="X1880" s="6"/>
      <c r="Y1880" s="6"/>
      <c r="Z1880" s="6"/>
    </row>
    <row r="1881" spans="1:26" ht="15.75" customHeight="1" x14ac:dyDescent="0.3">
      <c r="A1881" s="10" t="s">
        <v>922</v>
      </c>
      <c r="B1881" s="10">
        <v>1963</v>
      </c>
      <c r="C1881" s="10" t="s">
        <v>4714</v>
      </c>
      <c r="D1881" s="10">
        <v>27</v>
      </c>
      <c r="E1881" s="10">
        <v>0</v>
      </c>
      <c r="F1881" s="24">
        <v>21797</v>
      </c>
      <c r="G1881" s="10" t="s">
        <v>4696</v>
      </c>
      <c r="H1881" s="10" t="s">
        <v>4694</v>
      </c>
      <c r="I1881" s="10" t="s">
        <v>4716</v>
      </c>
      <c r="J1881" s="17">
        <f t="shared" si="14"/>
        <v>23250</v>
      </c>
      <c r="K1881" s="10">
        <f t="shared" ca="1" si="15"/>
        <v>62</v>
      </c>
      <c r="L1881" s="6"/>
      <c r="M1881" s="6"/>
      <c r="N1881" s="6"/>
      <c r="O1881" s="6"/>
      <c r="P1881" s="6"/>
      <c r="Q1881" s="6"/>
      <c r="R1881" s="6"/>
      <c r="S1881" s="6"/>
      <c r="T1881" s="6"/>
      <c r="U1881" s="6"/>
      <c r="V1881" s="6"/>
      <c r="W1881" s="6"/>
      <c r="X1881" s="6"/>
      <c r="Y1881" s="6"/>
      <c r="Z1881" s="6"/>
    </row>
    <row r="1882" spans="1:26" ht="15.75" customHeight="1" x14ac:dyDescent="0.3">
      <c r="A1882" s="10" t="s">
        <v>920</v>
      </c>
      <c r="B1882" s="10">
        <v>1979</v>
      </c>
      <c r="C1882" s="10" t="s">
        <v>4714</v>
      </c>
      <c r="D1882" s="10">
        <v>17</v>
      </c>
      <c r="E1882" s="10">
        <v>2</v>
      </c>
      <c r="F1882" s="24">
        <v>21880.82</v>
      </c>
      <c r="G1882" s="10" t="s">
        <v>4696</v>
      </c>
      <c r="H1882" s="10" t="s">
        <v>4694</v>
      </c>
      <c r="I1882" s="10" t="s">
        <v>4712</v>
      </c>
      <c r="J1882" s="17">
        <f t="shared" si="14"/>
        <v>29084</v>
      </c>
      <c r="K1882" s="10">
        <f t="shared" ca="1" si="15"/>
        <v>46</v>
      </c>
      <c r="L1882" s="6"/>
      <c r="M1882" s="6"/>
      <c r="N1882" s="6"/>
      <c r="O1882" s="6"/>
      <c r="P1882" s="6"/>
      <c r="Q1882" s="6"/>
      <c r="R1882" s="6"/>
      <c r="S1882" s="6"/>
      <c r="T1882" s="6"/>
      <c r="U1882" s="6"/>
      <c r="V1882" s="6"/>
      <c r="W1882" s="6"/>
      <c r="X1882" s="6"/>
      <c r="Y1882" s="6"/>
      <c r="Z1882" s="6"/>
    </row>
    <row r="1883" spans="1:26" ht="15.75" customHeight="1" x14ac:dyDescent="0.3">
      <c r="A1883" s="10" t="s">
        <v>918</v>
      </c>
      <c r="B1883" s="10">
        <v>2003</v>
      </c>
      <c r="C1883" s="10" t="s">
        <v>4711</v>
      </c>
      <c r="D1883" s="10">
        <v>28</v>
      </c>
      <c r="E1883" s="10">
        <v>0</v>
      </c>
      <c r="F1883" s="24">
        <v>21882.400000000001</v>
      </c>
      <c r="G1883" s="10" t="s">
        <v>4695</v>
      </c>
      <c r="H1883" s="10" t="s">
        <v>4694</v>
      </c>
      <c r="I1883" s="10" t="s">
        <v>4716</v>
      </c>
      <c r="J1883" s="17">
        <f t="shared" si="14"/>
        <v>37892</v>
      </c>
      <c r="K1883" s="10">
        <f t="shared" ca="1" si="15"/>
        <v>22</v>
      </c>
      <c r="L1883" s="6"/>
      <c r="M1883" s="6"/>
      <c r="N1883" s="6"/>
      <c r="O1883" s="6"/>
      <c r="P1883" s="6"/>
      <c r="Q1883" s="6"/>
      <c r="R1883" s="6"/>
      <c r="S1883" s="6"/>
      <c r="T1883" s="6"/>
      <c r="U1883" s="6"/>
      <c r="V1883" s="6"/>
      <c r="W1883" s="6"/>
      <c r="X1883" s="6"/>
      <c r="Y1883" s="6"/>
      <c r="Z1883" s="6"/>
    </row>
    <row r="1884" spans="1:26" ht="15.75" customHeight="1" x14ac:dyDescent="0.3">
      <c r="A1884" s="10" t="s">
        <v>916</v>
      </c>
      <c r="B1884" s="10">
        <v>1975</v>
      </c>
      <c r="C1884" s="10" t="s">
        <v>4713</v>
      </c>
      <c r="D1884" s="10">
        <v>19</v>
      </c>
      <c r="E1884" s="10">
        <v>1</v>
      </c>
      <c r="F1884" s="24">
        <v>21978.68</v>
      </c>
      <c r="G1884" s="10" t="s">
        <v>4696</v>
      </c>
      <c r="H1884" s="10" t="s">
        <v>4696</v>
      </c>
      <c r="I1884" s="10" t="s">
        <v>4708</v>
      </c>
      <c r="J1884" s="17">
        <f t="shared" si="14"/>
        <v>27747</v>
      </c>
      <c r="K1884" s="10">
        <f t="shared" ca="1" si="15"/>
        <v>49</v>
      </c>
      <c r="L1884" s="6"/>
      <c r="M1884" s="6"/>
      <c r="N1884" s="6"/>
      <c r="O1884" s="6"/>
      <c r="P1884" s="6"/>
      <c r="Q1884" s="6"/>
      <c r="R1884" s="6"/>
      <c r="S1884" s="6"/>
      <c r="T1884" s="6"/>
      <c r="U1884" s="6"/>
      <c r="V1884" s="6"/>
      <c r="W1884" s="6"/>
      <c r="X1884" s="6"/>
      <c r="Y1884" s="6"/>
      <c r="Z1884" s="6"/>
    </row>
    <row r="1885" spans="1:26" ht="15.75" customHeight="1" x14ac:dyDescent="0.3">
      <c r="A1885" s="10" t="s">
        <v>914</v>
      </c>
      <c r="B1885" s="10">
        <v>1989</v>
      </c>
      <c r="C1885" s="10" t="s">
        <v>4715</v>
      </c>
      <c r="D1885" s="10">
        <v>14</v>
      </c>
      <c r="E1885" s="10">
        <v>0</v>
      </c>
      <c r="F1885" s="24">
        <v>21984.47</v>
      </c>
      <c r="G1885" s="10" t="s">
        <v>4696</v>
      </c>
      <c r="H1885" s="10" t="s">
        <v>4694</v>
      </c>
      <c r="I1885" s="10" t="s">
        <v>4712</v>
      </c>
      <c r="J1885" s="17">
        <f t="shared" si="14"/>
        <v>32795</v>
      </c>
      <c r="K1885" s="10">
        <f t="shared" ca="1" si="15"/>
        <v>36</v>
      </c>
      <c r="L1885" s="6"/>
      <c r="M1885" s="6"/>
      <c r="N1885" s="6"/>
      <c r="O1885" s="6"/>
      <c r="P1885" s="6"/>
      <c r="Q1885" s="6"/>
      <c r="R1885" s="6"/>
      <c r="S1885" s="6"/>
      <c r="T1885" s="6"/>
      <c r="U1885" s="6"/>
      <c r="V1885" s="6"/>
      <c r="W1885" s="6"/>
      <c r="X1885" s="6"/>
      <c r="Y1885" s="6"/>
      <c r="Z1885" s="6"/>
    </row>
    <row r="1886" spans="1:26" ht="15.75" customHeight="1" x14ac:dyDescent="0.3">
      <c r="A1886" s="10" t="s">
        <v>912</v>
      </c>
      <c r="B1886" s="10">
        <v>2001</v>
      </c>
      <c r="C1886" s="10" t="s">
        <v>4714</v>
      </c>
      <c r="D1886" s="10">
        <v>28</v>
      </c>
      <c r="E1886" s="10">
        <v>0</v>
      </c>
      <c r="F1886" s="24">
        <v>22097.62</v>
      </c>
      <c r="G1886" s="10" t="s">
        <v>4696</v>
      </c>
      <c r="H1886" s="10" t="s">
        <v>4694</v>
      </c>
      <c r="I1886" s="10" t="s">
        <v>4716</v>
      </c>
      <c r="J1886" s="17">
        <f t="shared" si="14"/>
        <v>37131</v>
      </c>
      <c r="K1886" s="10">
        <f t="shared" ca="1" si="15"/>
        <v>24</v>
      </c>
      <c r="L1886" s="6"/>
      <c r="M1886" s="6"/>
      <c r="N1886" s="6"/>
      <c r="O1886" s="6"/>
      <c r="P1886" s="6"/>
      <c r="Q1886" s="6"/>
      <c r="R1886" s="6"/>
      <c r="S1886" s="6"/>
      <c r="T1886" s="6"/>
      <c r="U1886" s="6"/>
      <c r="V1886" s="6"/>
      <c r="W1886" s="6"/>
      <c r="X1886" s="6"/>
      <c r="Y1886" s="6"/>
      <c r="Z1886" s="6"/>
    </row>
    <row r="1887" spans="1:26" ht="15.75" customHeight="1" x14ac:dyDescent="0.3">
      <c r="A1887" s="10" t="s">
        <v>910</v>
      </c>
      <c r="B1887" s="10">
        <v>1980</v>
      </c>
      <c r="C1887" s="10" t="s">
        <v>4711</v>
      </c>
      <c r="D1887" s="10">
        <v>12</v>
      </c>
      <c r="E1887" s="10">
        <v>0</v>
      </c>
      <c r="F1887" s="24">
        <v>22144.03</v>
      </c>
      <c r="G1887" s="10" t="s">
        <v>4695</v>
      </c>
      <c r="H1887" s="10" t="s">
        <v>4695</v>
      </c>
      <c r="I1887" s="10" t="s">
        <v>4716</v>
      </c>
      <c r="J1887" s="17">
        <f t="shared" si="14"/>
        <v>29476</v>
      </c>
      <c r="K1887" s="10">
        <f t="shared" ca="1" si="15"/>
        <v>45</v>
      </c>
      <c r="L1887" s="6"/>
      <c r="M1887" s="6"/>
      <c r="N1887" s="6"/>
      <c r="O1887" s="6"/>
      <c r="P1887" s="6"/>
      <c r="Q1887" s="6"/>
      <c r="R1887" s="6"/>
      <c r="S1887" s="6"/>
      <c r="T1887" s="6"/>
      <c r="U1887" s="6"/>
      <c r="V1887" s="6"/>
      <c r="W1887" s="6"/>
      <c r="X1887" s="6"/>
      <c r="Y1887" s="6"/>
      <c r="Z1887" s="6"/>
    </row>
    <row r="1888" spans="1:26" ht="15.75" customHeight="1" x14ac:dyDescent="0.3">
      <c r="A1888" s="10" t="s">
        <v>908</v>
      </c>
      <c r="B1888" s="10">
        <v>1965</v>
      </c>
      <c r="C1888" s="10" t="s">
        <v>4714</v>
      </c>
      <c r="D1888" s="10">
        <v>24</v>
      </c>
      <c r="E1888" s="10">
        <v>1</v>
      </c>
      <c r="F1888" s="24">
        <v>22192.44</v>
      </c>
      <c r="G1888" s="10" t="s">
        <v>4696</v>
      </c>
      <c r="H1888" s="10" t="s">
        <v>4694</v>
      </c>
      <c r="I1888" s="10" t="s">
        <v>4708</v>
      </c>
      <c r="J1888" s="17">
        <f t="shared" si="14"/>
        <v>23978</v>
      </c>
      <c r="K1888" s="10">
        <f t="shared" ca="1" si="15"/>
        <v>60</v>
      </c>
      <c r="L1888" s="6"/>
      <c r="M1888" s="6"/>
      <c r="N1888" s="6"/>
      <c r="O1888" s="6"/>
      <c r="P1888" s="6"/>
      <c r="Q1888" s="6"/>
      <c r="R1888" s="6"/>
      <c r="S1888" s="6"/>
      <c r="T1888" s="6"/>
      <c r="U1888" s="6"/>
      <c r="V1888" s="6"/>
      <c r="W1888" s="6"/>
      <c r="X1888" s="6"/>
      <c r="Y1888" s="6"/>
      <c r="Z1888" s="6"/>
    </row>
    <row r="1889" spans="1:26" ht="15.75" customHeight="1" x14ac:dyDescent="0.3">
      <c r="A1889" s="10" t="s">
        <v>906</v>
      </c>
      <c r="B1889" s="10">
        <v>1971</v>
      </c>
      <c r="C1889" s="10" t="s">
        <v>4710</v>
      </c>
      <c r="D1889" s="10">
        <v>16</v>
      </c>
      <c r="E1889" s="10">
        <v>1</v>
      </c>
      <c r="F1889" s="24">
        <v>22218.11</v>
      </c>
      <c r="G1889" s="10" t="s">
        <v>4695</v>
      </c>
      <c r="H1889" s="10" t="s">
        <v>4696</v>
      </c>
      <c r="I1889" s="10" t="s">
        <v>4708</v>
      </c>
      <c r="J1889" s="17">
        <f t="shared" si="14"/>
        <v>26100</v>
      </c>
      <c r="K1889" s="10">
        <f t="shared" ca="1" si="15"/>
        <v>54</v>
      </c>
      <c r="L1889" s="6"/>
      <c r="M1889" s="6"/>
      <c r="N1889" s="6"/>
      <c r="O1889" s="6"/>
      <c r="P1889" s="6"/>
      <c r="Q1889" s="6"/>
      <c r="R1889" s="6"/>
      <c r="S1889" s="6"/>
      <c r="T1889" s="6"/>
      <c r="U1889" s="6"/>
      <c r="V1889" s="6"/>
      <c r="W1889" s="6"/>
      <c r="X1889" s="6"/>
      <c r="Y1889" s="6"/>
      <c r="Z1889" s="6"/>
    </row>
    <row r="1890" spans="1:26" ht="15.75" customHeight="1" x14ac:dyDescent="0.3">
      <c r="A1890" s="10" t="s">
        <v>904</v>
      </c>
      <c r="B1890" s="10">
        <v>1982</v>
      </c>
      <c r="C1890" s="10" t="s">
        <v>4713</v>
      </c>
      <c r="D1890" s="10">
        <v>27</v>
      </c>
      <c r="E1890" s="10">
        <v>1</v>
      </c>
      <c r="F1890" s="24">
        <v>22331.57</v>
      </c>
      <c r="G1890" s="10" t="s">
        <v>4695</v>
      </c>
      <c r="H1890" s="10" t="s">
        <v>4696</v>
      </c>
      <c r="I1890" s="10" t="s">
        <v>4723</v>
      </c>
      <c r="J1890" s="17">
        <f t="shared" si="14"/>
        <v>30312</v>
      </c>
      <c r="K1890" s="10">
        <f t="shared" ca="1" si="15"/>
        <v>42</v>
      </c>
      <c r="L1890" s="6"/>
      <c r="M1890" s="6"/>
      <c r="N1890" s="6"/>
      <c r="O1890" s="6"/>
      <c r="P1890" s="6"/>
      <c r="Q1890" s="6"/>
      <c r="R1890" s="6"/>
      <c r="S1890" s="6"/>
      <c r="T1890" s="6"/>
      <c r="U1890" s="6"/>
      <c r="V1890" s="6"/>
      <c r="W1890" s="6"/>
      <c r="X1890" s="6"/>
      <c r="Y1890" s="6"/>
      <c r="Z1890" s="6"/>
    </row>
    <row r="1891" spans="1:26" ht="15.75" customHeight="1" x14ac:dyDescent="0.3">
      <c r="A1891" s="10" t="s">
        <v>902</v>
      </c>
      <c r="B1891" s="10">
        <v>1999</v>
      </c>
      <c r="C1891" s="10" t="s">
        <v>4714</v>
      </c>
      <c r="D1891" s="10">
        <v>26</v>
      </c>
      <c r="E1891" s="10">
        <v>2</v>
      </c>
      <c r="F1891" s="24">
        <v>22395.74</v>
      </c>
      <c r="G1891" s="10" t="s">
        <v>4696</v>
      </c>
      <c r="H1891" s="10" t="s">
        <v>4695</v>
      </c>
      <c r="I1891" s="10" t="s">
        <v>4723</v>
      </c>
      <c r="J1891" s="17">
        <f t="shared" si="14"/>
        <v>36398</v>
      </c>
      <c r="K1891" s="10">
        <f t="shared" ca="1" si="15"/>
        <v>26</v>
      </c>
      <c r="L1891" s="6"/>
      <c r="M1891" s="6"/>
      <c r="N1891" s="6"/>
      <c r="O1891" s="6"/>
      <c r="P1891" s="6"/>
      <c r="Q1891" s="6"/>
      <c r="R1891" s="6"/>
      <c r="S1891" s="6"/>
      <c r="T1891" s="6"/>
      <c r="U1891" s="6"/>
      <c r="V1891" s="6"/>
      <c r="W1891" s="6"/>
      <c r="X1891" s="6"/>
      <c r="Y1891" s="6"/>
      <c r="Z1891" s="6"/>
    </row>
    <row r="1892" spans="1:26" ht="15.75" customHeight="1" x14ac:dyDescent="0.3">
      <c r="A1892" s="10" t="s">
        <v>900</v>
      </c>
      <c r="B1892" s="10">
        <v>1966</v>
      </c>
      <c r="C1892" s="10" t="s">
        <v>4714</v>
      </c>
      <c r="D1892" s="10">
        <v>18</v>
      </c>
      <c r="E1892" s="10">
        <v>0</v>
      </c>
      <c r="F1892" s="24">
        <v>22412.65</v>
      </c>
      <c r="G1892" s="10" t="s">
        <v>4696</v>
      </c>
      <c r="H1892" s="10" t="s">
        <v>4696</v>
      </c>
      <c r="I1892" s="10" t="s">
        <v>4725</v>
      </c>
      <c r="J1892" s="17">
        <f t="shared" si="14"/>
        <v>24337</v>
      </c>
      <c r="K1892" s="10">
        <f t="shared" ca="1" si="15"/>
        <v>59</v>
      </c>
      <c r="L1892" s="6"/>
      <c r="M1892" s="6"/>
      <c r="N1892" s="6"/>
      <c r="O1892" s="6"/>
      <c r="P1892" s="6"/>
      <c r="Q1892" s="6"/>
      <c r="R1892" s="6"/>
      <c r="S1892" s="6"/>
      <c r="T1892" s="6"/>
      <c r="U1892" s="6"/>
      <c r="V1892" s="6"/>
      <c r="W1892" s="6"/>
      <c r="X1892" s="6"/>
      <c r="Y1892" s="6"/>
      <c r="Z1892" s="6"/>
    </row>
    <row r="1893" spans="1:26" ht="15.75" customHeight="1" x14ac:dyDescent="0.3">
      <c r="A1893" s="10" t="s">
        <v>898</v>
      </c>
      <c r="B1893" s="10">
        <v>1983</v>
      </c>
      <c r="C1893" s="10" t="s">
        <v>4713</v>
      </c>
      <c r="D1893" s="10">
        <v>21</v>
      </c>
      <c r="E1893" s="10">
        <v>1</v>
      </c>
      <c r="F1893" s="24">
        <v>22462.04</v>
      </c>
      <c r="G1893" s="10" t="s">
        <v>4696</v>
      </c>
      <c r="H1893" s="10" t="s">
        <v>4694</v>
      </c>
      <c r="I1893" s="10" t="s">
        <v>4719</v>
      </c>
      <c r="J1893" s="17">
        <f t="shared" si="14"/>
        <v>30671</v>
      </c>
      <c r="K1893" s="10">
        <f t="shared" ca="1" si="15"/>
        <v>41</v>
      </c>
      <c r="L1893" s="6"/>
      <c r="M1893" s="6"/>
      <c r="N1893" s="6"/>
      <c r="O1893" s="6"/>
      <c r="P1893" s="6"/>
      <c r="Q1893" s="6"/>
      <c r="R1893" s="6"/>
      <c r="S1893" s="6"/>
      <c r="T1893" s="6"/>
      <c r="U1893" s="6"/>
      <c r="V1893" s="6"/>
      <c r="W1893" s="6"/>
      <c r="X1893" s="6"/>
      <c r="Y1893" s="6"/>
      <c r="Z1893" s="6"/>
    </row>
    <row r="1894" spans="1:26" ht="15.75" customHeight="1" x14ac:dyDescent="0.3">
      <c r="A1894" s="10" t="s">
        <v>896</v>
      </c>
      <c r="B1894" s="10">
        <v>1979</v>
      </c>
      <c r="C1894" s="10" t="s">
        <v>4709</v>
      </c>
      <c r="D1894" s="10">
        <v>14</v>
      </c>
      <c r="E1894" s="10">
        <v>2</v>
      </c>
      <c r="F1894" s="24">
        <v>22478.6</v>
      </c>
      <c r="G1894" s="10" t="s">
        <v>4696</v>
      </c>
      <c r="H1894" s="10" t="s">
        <v>4695</v>
      </c>
      <c r="I1894" s="10" t="s">
        <v>4716</v>
      </c>
      <c r="J1894" s="17">
        <f t="shared" si="14"/>
        <v>29173</v>
      </c>
      <c r="K1894" s="10">
        <f t="shared" ca="1" si="15"/>
        <v>46</v>
      </c>
      <c r="L1894" s="6"/>
      <c r="M1894" s="6"/>
      <c r="N1894" s="6"/>
      <c r="O1894" s="6"/>
      <c r="P1894" s="6"/>
      <c r="Q1894" s="6"/>
      <c r="R1894" s="6"/>
      <c r="S1894" s="6"/>
      <c r="T1894" s="6"/>
      <c r="U1894" s="6"/>
      <c r="V1894" s="6"/>
      <c r="W1894" s="6"/>
      <c r="X1894" s="6"/>
      <c r="Y1894" s="6"/>
      <c r="Z1894" s="6"/>
    </row>
    <row r="1895" spans="1:26" ht="15.75" customHeight="1" x14ac:dyDescent="0.3">
      <c r="A1895" s="10" t="s">
        <v>894</v>
      </c>
      <c r="B1895" s="10">
        <v>2003</v>
      </c>
      <c r="C1895" s="10" t="s">
        <v>4707</v>
      </c>
      <c r="D1895" s="10">
        <v>25</v>
      </c>
      <c r="E1895" s="10">
        <v>2</v>
      </c>
      <c r="F1895" s="24">
        <v>22493.66</v>
      </c>
      <c r="G1895" s="10" t="s">
        <v>4695</v>
      </c>
      <c r="H1895" s="10" t="s">
        <v>4694</v>
      </c>
      <c r="I1895" s="10" t="s">
        <v>4712</v>
      </c>
      <c r="J1895" s="17">
        <f t="shared" si="14"/>
        <v>37827</v>
      </c>
      <c r="K1895" s="10">
        <f t="shared" ca="1" si="15"/>
        <v>22</v>
      </c>
      <c r="L1895" s="6"/>
      <c r="M1895" s="6"/>
      <c r="N1895" s="6"/>
      <c r="O1895" s="6"/>
      <c r="P1895" s="6"/>
      <c r="Q1895" s="6"/>
      <c r="R1895" s="6"/>
      <c r="S1895" s="6"/>
      <c r="T1895" s="6"/>
      <c r="U1895" s="6"/>
      <c r="V1895" s="6"/>
      <c r="W1895" s="6"/>
      <c r="X1895" s="6"/>
      <c r="Y1895" s="6"/>
      <c r="Z1895" s="6"/>
    </row>
    <row r="1896" spans="1:26" ht="15.75" customHeight="1" x14ac:dyDescent="0.3">
      <c r="A1896" s="10" t="s">
        <v>892</v>
      </c>
      <c r="B1896" s="10">
        <v>1970</v>
      </c>
      <c r="C1896" s="10" t="s">
        <v>4709</v>
      </c>
      <c r="D1896" s="10">
        <v>9</v>
      </c>
      <c r="E1896" s="10">
        <v>0</v>
      </c>
      <c r="F1896" s="24">
        <v>23045.57</v>
      </c>
      <c r="G1896" s="10" t="s">
        <v>4695</v>
      </c>
      <c r="H1896" s="10" t="s">
        <v>4695</v>
      </c>
      <c r="I1896" s="10" t="s">
        <v>4723</v>
      </c>
      <c r="J1896" s="17">
        <f t="shared" si="14"/>
        <v>25881</v>
      </c>
      <c r="K1896" s="10">
        <f t="shared" ca="1" si="15"/>
        <v>55</v>
      </c>
      <c r="L1896" s="6"/>
      <c r="M1896" s="6"/>
      <c r="N1896" s="6"/>
      <c r="O1896" s="6"/>
      <c r="P1896" s="6"/>
      <c r="Q1896" s="6"/>
      <c r="R1896" s="6"/>
      <c r="S1896" s="6"/>
      <c r="T1896" s="6"/>
      <c r="U1896" s="6"/>
      <c r="V1896" s="6"/>
      <c r="W1896" s="6"/>
      <c r="X1896" s="6"/>
      <c r="Y1896" s="6"/>
      <c r="Z1896" s="6"/>
    </row>
    <row r="1897" spans="1:26" ht="15.75" customHeight="1" x14ac:dyDescent="0.3">
      <c r="A1897" s="10" t="s">
        <v>890</v>
      </c>
      <c r="B1897" s="10">
        <v>1975</v>
      </c>
      <c r="C1897" s="10" t="s">
        <v>4711</v>
      </c>
      <c r="D1897" s="10">
        <v>9</v>
      </c>
      <c r="E1897" s="10">
        <v>0</v>
      </c>
      <c r="F1897" s="24">
        <v>23065.42</v>
      </c>
      <c r="G1897" s="10" t="s">
        <v>4695</v>
      </c>
      <c r="H1897" s="10" t="s">
        <v>4695</v>
      </c>
      <c r="I1897" s="10" t="s">
        <v>4708</v>
      </c>
      <c r="J1897" s="17">
        <f t="shared" si="14"/>
        <v>27646</v>
      </c>
      <c r="K1897" s="10">
        <f t="shared" ca="1" si="15"/>
        <v>50</v>
      </c>
      <c r="L1897" s="6"/>
      <c r="M1897" s="6"/>
      <c r="N1897" s="6"/>
      <c r="O1897" s="6"/>
      <c r="P1897" s="6"/>
      <c r="Q1897" s="6"/>
      <c r="R1897" s="6"/>
      <c r="S1897" s="6"/>
      <c r="T1897" s="6"/>
      <c r="U1897" s="6"/>
      <c r="V1897" s="6"/>
      <c r="W1897" s="6"/>
      <c r="X1897" s="6"/>
      <c r="Y1897" s="6"/>
      <c r="Z1897" s="6"/>
    </row>
    <row r="1898" spans="1:26" ht="15.75" customHeight="1" x14ac:dyDescent="0.3">
      <c r="A1898" s="10" t="s">
        <v>888</v>
      </c>
      <c r="B1898" s="10">
        <v>2003</v>
      </c>
      <c r="C1898" s="10" t="s">
        <v>4713</v>
      </c>
      <c r="D1898" s="10">
        <v>14</v>
      </c>
      <c r="E1898" s="10">
        <v>0</v>
      </c>
      <c r="F1898" s="24">
        <v>23082.959999999999</v>
      </c>
      <c r="G1898" s="10" t="s">
        <v>4695</v>
      </c>
      <c r="H1898" s="10" t="s">
        <v>4695</v>
      </c>
      <c r="I1898" s="10" t="s">
        <v>4716</v>
      </c>
      <c r="J1898" s="17">
        <f t="shared" si="14"/>
        <v>37969</v>
      </c>
      <c r="K1898" s="10">
        <f t="shared" ca="1" si="15"/>
        <v>21</v>
      </c>
      <c r="L1898" s="6"/>
      <c r="M1898" s="6"/>
      <c r="N1898" s="6"/>
      <c r="O1898" s="6"/>
      <c r="P1898" s="6"/>
      <c r="Q1898" s="6"/>
      <c r="R1898" s="6"/>
      <c r="S1898" s="6"/>
      <c r="T1898" s="6"/>
      <c r="U1898" s="6"/>
      <c r="V1898" s="6"/>
      <c r="W1898" s="6"/>
      <c r="X1898" s="6"/>
      <c r="Y1898" s="6"/>
      <c r="Z1898" s="6"/>
    </row>
    <row r="1899" spans="1:26" ht="15.75" customHeight="1" x14ac:dyDescent="0.3">
      <c r="A1899" s="10" t="s">
        <v>886</v>
      </c>
      <c r="B1899" s="10">
        <v>1997</v>
      </c>
      <c r="C1899" s="10" t="s">
        <v>4714</v>
      </c>
      <c r="D1899" s="10">
        <v>7</v>
      </c>
      <c r="E1899" s="10">
        <v>2</v>
      </c>
      <c r="F1899" s="24">
        <v>23241.47</v>
      </c>
      <c r="G1899" s="10" t="s">
        <v>4695</v>
      </c>
      <c r="H1899" s="10" t="s">
        <v>4696</v>
      </c>
      <c r="I1899" s="10" t="s">
        <v>4721</v>
      </c>
      <c r="J1899" s="17">
        <f t="shared" si="14"/>
        <v>35649</v>
      </c>
      <c r="K1899" s="10">
        <f t="shared" ca="1" si="15"/>
        <v>28</v>
      </c>
      <c r="L1899" s="6"/>
      <c r="M1899" s="6"/>
      <c r="N1899" s="6"/>
      <c r="O1899" s="6"/>
      <c r="P1899" s="6"/>
      <c r="Q1899" s="6"/>
      <c r="R1899" s="6"/>
      <c r="S1899" s="6"/>
      <c r="T1899" s="6"/>
      <c r="U1899" s="6"/>
      <c r="V1899" s="6"/>
      <c r="W1899" s="6"/>
      <c r="X1899" s="6"/>
      <c r="Y1899" s="6"/>
      <c r="Z1899" s="6"/>
    </row>
    <row r="1900" spans="1:26" ht="15.75" customHeight="1" x14ac:dyDescent="0.3">
      <c r="A1900" s="10" t="s">
        <v>884</v>
      </c>
      <c r="B1900" s="10">
        <v>1969</v>
      </c>
      <c r="C1900" s="10" t="s">
        <v>4709</v>
      </c>
      <c r="D1900" s="10">
        <v>14</v>
      </c>
      <c r="E1900" s="10">
        <v>1</v>
      </c>
      <c r="F1900" s="24">
        <v>23244.79</v>
      </c>
      <c r="G1900" s="10" t="s">
        <v>4695</v>
      </c>
      <c r="H1900" s="10" t="s">
        <v>4696</v>
      </c>
      <c r="I1900" s="10" t="s">
        <v>4708</v>
      </c>
      <c r="J1900" s="17">
        <f t="shared" si="14"/>
        <v>25521</v>
      </c>
      <c r="K1900" s="10">
        <f t="shared" ca="1" si="15"/>
        <v>56</v>
      </c>
      <c r="L1900" s="6"/>
      <c r="M1900" s="6"/>
      <c r="N1900" s="6"/>
      <c r="O1900" s="6"/>
      <c r="P1900" s="6"/>
      <c r="Q1900" s="6"/>
      <c r="R1900" s="6"/>
      <c r="S1900" s="6"/>
      <c r="T1900" s="6"/>
      <c r="U1900" s="6"/>
      <c r="V1900" s="6"/>
      <c r="W1900" s="6"/>
      <c r="X1900" s="6"/>
      <c r="Y1900" s="6"/>
      <c r="Z1900" s="6"/>
    </row>
    <row r="1901" spans="1:26" ht="15.75" customHeight="1" x14ac:dyDescent="0.3">
      <c r="A1901" s="10" t="s">
        <v>882</v>
      </c>
      <c r="B1901" s="10">
        <v>1994</v>
      </c>
      <c r="C1901" s="10" t="s">
        <v>4715</v>
      </c>
      <c r="D1901" s="10">
        <v>3</v>
      </c>
      <c r="E1901" s="10">
        <v>1</v>
      </c>
      <c r="F1901" s="24">
        <v>23288.93</v>
      </c>
      <c r="G1901" s="10" t="s">
        <v>4695</v>
      </c>
      <c r="H1901" s="10" t="s">
        <v>4696</v>
      </c>
      <c r="I1901" s="10" t="s">
        <v>4723</v>
      </c>
      <c r="J1901" s="17">
        <f t="shared" si="14"/>
        <v>34610</v>
      </c>
      <c r="K1901" s="10">
        <f t="shared" ca="1" si="15"/>
        <v>31</v>
      </c>
      <c r="L1901" s="6"/>
      <c r="M1901" s="6"/>
      <c r="N1901" s="6"/>
      <c r="O1901" s="6"/>
      <c r="P1901" s="6"/>
      <c r="Q1901" s="6"/>
      <c r="R1901" s="6"/>
      <c r="S1901" s="6"/>
      <c r="T1901" s="6"/>
      <c r="U1901" s="6"/>
      <c r="V1901" s="6"/>
      <c r="W1901" s="6"/>
      <c r="X1901" s="6"/>
      <c r="Y1901" s="6"/>
      <c r="Z1901" s="6"/>
    </row>
    <row r="1902" spans="1:26" ht="15.75" customHeight="1" x14ac:dyDescent="0.3">
      <c r="A1902" s="10" t="s">
        <v>880</v>
      </c>
      <c r="B1902" s="10">
        <v>1973</v>
      </c>
      <c r="C1902" s="10" t="s">
        <v>4715</v>
      </c>
      <c r="D1902" s="10">
        <v>22</v>
      </c>
      <c r="E1902" s="10">
        <v>2</v>
      </c>
      <c r="F1902" s="24">
        <v>23306.55</v>
      </c>
      <c r="G1902" s="10" t="s">
        <v>4695</v>
      </c>
      <c r="H1902" s="10" t="s">
        <v>4695</v>
      </c>
      <c r="I1902" s="10" t="s">
        <v>4716</v>
      </c>
      <c r="J1902" s="17">
        <f t="shared" si="14"/>
        <v>26959</v>
      </c>
      <c r="K1902" s="10">
        <f t="shared" ca="1" si="15"/>
        <v>52</v>
      </c>
      <c r="L1902" s="6"/>
      <c r="M1902" s="6"/>
      <c r="N1902" s="6"/>
      <c r="O1902" s="6"/>
      <c r="P1902" s="6"/>
      <c r="Q1902" s="6"/>
      <c r="R1902" s="6"/>
      <c r="S1902" s="6"/>
      <c r="T1902" s="6"/>
      <c r="U1902" s="6"/>
      <c r="V1902" s="6"/>
      <c r="W1902" s="6"/>
      <c r="X1902" s="6"/>
      <c r="Y1902" s="6"/>
      <c r="Z1902" s="6"/>
    </row>
    <row r="1903" spans="1:26" ht="15.75" customHeight="1" x14ac:dyDescent="0.3">
      <c r="A1903" s="10" t="s">
        <v>878</v>
      </c>
      <c r="B1903" s="10">
        <v>1975</v>
      </c>
      <c r="C1903" s="10" t="s">
        <v>4709</v>
      </c>
      <c r="D1903" s="10">
        <v>13</v>
      </c>
      <c r="E1903" s="10">
        <v>1</v>
      </c>
      <c r="F1903" s="24">
        <v>23401.31</v>
      </c>
      <c r="G1903" s="10" t="s">
        <v>4695</v>
      </c>
      <c r="H1903" s="10" t="s">
        <v>4696</v>
      </c>
      <c r="I1903" s="10" t="s">
        <v>4723</v>
      </c>
      <c r="J1903" s="17">
        <f t="shared" si="14"/>
        <v>27711</v>
      </c>
      <c r="K1903" s="10">
        <f t="shared" ca="1" si="15"/>
        <v>50</v>
      </c>
      <c r="L1903" s="6"/>
      <c r="M1903" s="6"/>
      <c r="N1903" s="6"/>
      <c r="O1903" s="6"/>
      <c r="P1903" s="6"/>
      <c r="Q1903" s="6"/>
      <c r="R1903" s="6"/>
      <c r="S1903" s="6"/>
      <c r="T1903" s="6"/>
      <c r="U1903" s="6"/>
      <c r="V1903" s="6"/>
      <c r="W1903" s="6"/>
      <c r="X1903" s="6"/>
      <c r="Y1903" s="6"/>
      <c r="Z1903" s="6"/>
    </row>
    <row r="1904" spans="1:26" ht="15.75" customHeight="1" x14ac:dyDescent="0.3">
      <c r="A1904" s="10" t="s">
        <v>876</v>
      </c>
      <c r="B1904" s="10">
        <v>1983</v>
      </c>
      <c r="C1904" s="10" t="s">
        <v>4714</v>
      </c>
      <c r="D1904" s="10">
        <v>26</v>
      </c>
      <c r="E1904" s="10">
        <v>2</v>
      </c>
      <c r="F1904" s="24">
        <v>23563.02</v>
      </c>
      <c r="G1904" s="10" t="s">
        <v>4695</v>
      </c>
      <c r="H1904" s="10" t="s">
        <v>4695</v>
      </c>
      <c r="I1904" s="10" t="s">
        <v>4708</v>
      </c>
      <c r="J1904" s="17">
        <f t="shared" si="14"/>
        <v>30554</v>
      </c>
      <c r="K1904" s="10">
        <f t="shared" ca="1" si="15"/>
        <v>42</v>
      </c>
      <c r="L1904" s="6"/>
      <c r="M1904" s="6"/>
      <c r="N1904" s="6"/>
      <c r="O1904" s="6"/>
      <c r="P1904" s="6"/>
      <c r="Q1904" s="6"/>
      <c r="R1904" s="6"/>
      <c r="S1904" s="6"/>
      <c r="T1904" s="6"/>
      <c r="U1904" s="6"/>
      <c r="V1904" s="6"/>
      <c r="W1904" s="6"/>
      <c r="X1904" s="6"/>
      <c r="Y1904" s="6"/>
      <c r="Z1904" s="6"/>
    </row>
    <row r="1905" spans="1:26" ht="15.75" customHeight="1" x14ac:dyDescent="0.3">
      <c r="A1905" s="10" t="s">
        <v>874</v>
      </c>
      <c r="B1905" s="10">
        <v>1974</v>
      </c>
      <c r="C1905" s="10" t="s">
        <v>4710</v>
      </c>
      <c r="D1905" s="10">
        <v>2</v>
      </c>
      <c r="E1905" s="10">
        <v>1</v>
      </c>
      <c r="F1905" s="24">
        <v>23568.27</v>
      </c>
      <c r="G1905" s="10" t="s">
        <v>4695</v>
      </c>
      <c r="H1905" s="10" t="s">
        <v>4695</v>
      </c>
      <c r="I1905" s="10" t="s">
        <v>4716</v>
      </c>
      <c r="J1905" s="17">
        <f t="shared" si="14"/>
        <v>27182</v>
      </c>
      <c r="K1905" s="10">
        <f t="shared" ca="1" si="15"/>
        <v>51</v>
      </c>
      <c r="L1905" s="6"/>
      <c r="M1905" s="6"/>
      <c r="N1905" s="6"/>
      <c r="O1905" s="6"/>
      <c r="P1905" s="6"/>
      <c r="Q1905" s="6"/>
      <c r="R1905" s="6"/>
      <c r="S1905" s="6"/>
      <c r="T1905" s="6"/>
      <c r="U1905" s="6"/>
      <c r="V1905" s="6"/>
      <c r="W1905" s="6"/>
      <c r="X1905" s="6"/>
      <c r="Y1905" s="6"/>
      <c r="Z1905" s="6"/>
    </row>
    <row r="1906" spans="1:26" ht="15.75" customHeight="1" x14ac:dyDescent="0.3">
      <c r="A1906" s="10" t="s">
        <v>872</v>
      </c>
      <c r="B1906" s="10">
        <v>1973</v>
      </c>
      <c r="C1906" s="10" t="s">
        <v>4710</v>
      </c>
      <c r="D1906" s="10">
        <v>27</v>
      </c>
      <c r="E1906" s="10">
        <v>2</v>
      </c>
      <c r="F1906" s="24">
        <v>23807.24</v>
      </c>
      <c r="G1906" s="10" t="s">
        <v>4695</v>
      </c>
      <c r="H1906" s="10" t="s">
        <v>4696</v>
      </c>
      <c r="I1906" s="10" t="s">
        <v>4712</v>
      </c>
      <c r="J1906" s="17">
        <f t="shared" si="14"/>
        <v>26842</v>
      </c>
      <c r="K1906" s="10">
        <f t="shared" ca="1" si="15"/>
        <v>52</v>
      </c>
      <c r="L1906" s="6"/>
      <c r="M1906" s="6"/>
      <c r="N1906" s="6"/>
      <c r="O1906" s="6"/>
      <c r="P1906" s="6"/>
      <c r="Q1906" s="6"/>
      <c r="R1906" s="6"/>
      <c r="S1906" s="6"/>
      <c r="T1906" s="6"/>
      <c r="U1906" s="6"/>
      <c r="V1906" s="6"/>
      <c r="W1906" s="6"/>
      <c r="X1906" s="6"/>
      <c r="Y1906" s="6"/>
      <c r="Z1906" s="6"/>
    </row>
    <row r="1907" spans="1:26" ht="15.75" customHeight="1" x14ac:dyDescent="0.3">
      <c r="A1907" s="10" t="s">
        <v>870</v>
      </c>
      <c r="B1907" s="10">
        <v>1970</v>
      </c>
      <c r="C1907" s="10" t="s">
        <v>4714</v>
      </c>
      <c r="D1907" s="10">
        <v>8</v>
      </c>
      <c r="E1907" s="10">
        <v>1</v>
      </c>
      <c r="F1907" s="24">
        <v>23887.66</v>
      </c>
      <c r="G1907" s="10" t="s">
        <v>4695</v>
      </c>
      <c r="H1907" s="10" t="s">
        <v>4696</v>
      </c>
      <c r="I1907" s="10" t="s">
        <v>4712</v>
      </c>
      <c r="J1907" s="17">
        <f t="shared" si="14"/>
        <v>25788</v>
      </c>
      <c r="K1907" s="10">
        <f t="shared" ca="1" si="15"/>
        <v>55</v>
      </c>
      <c r="L1907" s="6"/>
      <c r="M1907" s="6"/>
      <c r="N1907" s="6"/>
      <c r="O1907" s="6"/>
      <c r="P1907" s="6"/>
      <c r="Q1907" s="6"/>
      <c r="R1907" s="6"/>
      <c r="S1907" s="6"/>
      <c r="T1907" s="6"/>
      <c r="U1907" s="6"/>
      <c r="V1907" s="6"/>
      <c r="W1907" s="6"/>
      <c r="X1907" s="6"/>
      <c r="Y1907" s="6"/>
      <c r="Z1907" s="6"/>
    </row>
    <row r="1908" spans="1:26" ht="15.75" customHeight="1" x14ac:dyDescent="0.3">
      <c r="A1908" s="10" t="s">
        <v>868</v>
      </c>
      <c r="B1908" s="10">
        <v>1971</v>
      </c>
      <c r="C1908" s="10" t="s">
        <v>4707</v>
      </c>
      <c r="D1908" s="10">
        <v>10</v>
      </c>
      <c r="E1908" s="10">
        <v>2</v>
      </c>
      <c r="F1908" s="24">
        <v>23967.38</v>
      </c>
      <c r="G1908" s="10" t="s">
        <v>4695</v>
      </c>
      <c r="H1908" s="10" t="s">
        <v>4695</v>
      </c>
      <c r="I1908" s="10" t="s">
        <v>4712</v>
      </c>
      <c r="J1908" s="17">
        <f t="shared" si="14"/>
        <v>26124</v>
      </c>
      <c r="K1908" s="10">
        <f t="shared" ca="1" si="15"/>
        <v>54</v>
      </c>
      <c r="L1908" s="6"/>
      <c r="M1908" s="6"/>
      <c r="N1908" s="6"/>
      <c r="O1908" s="6"/>
      <c r="P1908" s="6"/>
      <c r="Q1908" s="6"/>
      <c r="R1908" s="6"/>
      <c r="S1908" s="6"/>
      <c r="T1908" s="6"/>
      <c r="U1908" s="6"/>
      <c r="V1908" s="6"/>
      <c r="W1908" s="6"/>
      <c r="X1908" s="6"/>
      <c r="Y1908" s="6"/>
      <c r="Z1908" s="6"/>
    </row>
    <row r="1909" spans="1:26" ht="15.75" customHeight="1" x14ac:dyDescent="0.3">
      <c r="A1909" s="10" t="s">
        <v>866</v>
      </c>
      <c r="B1909" s="10">
        <v>2003</v>
      </c>
      <c r="C1909" s="10" t="s">
        <v>4713</v>
      </c>
      <c r="D1909" s="10">
        <v>30</v>
      </c>
      <c r="E1909" s="10">
        <v>2</v>
      </c>
      <c r="F1909" s="24">
        <v>24059.68</v>
      </c>
      <c r="G1909" s="10" t="s">
        <v>4695</v>
      </c>
      <c r="H1909" s="10" t="s">
        <v>4695</v>
      </c>
      <c r="I1909" s="10" t="s">
        <v>4712</v>
      </c>
      <c r="J1909" s="17">
        <f t="shared" si="14"/>
        <v>37985</v>
      </c>
      <c r="K1909" s="10">
        <f t="shared" ca="1" si="15"/>
        <v>21</v>
      </c>
      <c r="L1909" s="6"/>
      <c r="M1909" s="6"/>
      <c r="N1909" s="6"/>
      <c r="O1909" s="6"/>
      <c r="P1909" s="6"/>
      <c r="Q1909" s="6"/>
      <c r="R1909" s="6"/>
      <c r="S1909" s="6"/>
      <c r="T1909" s="6"/>
      <c r="U1909" s="6"/>
      <c r="V1909" s="6"/>
      <c r="W1909" s="6"/>
      <c r="X1909" s="6"/>
      <c r="Y1909" s="6"/>
      <c r="Z1909" s="6"/>
    </row>
    <row r="1910" spans="1:26" ht="15.75" customHeight="1" x14ac:dyDescent="0.3">
      <c r="A1910" s="10" t="s">
        <v>864</v>
      </c>
      <c r="B1910" s="10">
        <v>1973</v>
      </c>
      <c r="C1910" s="10" t="s">
        <v>4710</v>
      </c>
      <c r="D1910" s="10">
        <v>13</v>
      </c>
      <c r="E1910" s="10">
        <v>3</v>
      </c>
      <c r="F1910" s="24">
        <v>24106.91</v>
      </c>
      <c r="G1910" s="10" t="s">
        <v>4695</v>
      </c>
      <c r="H1910" s="10" t="s">
        <v>4695</v>
      </c>
      <c r="I1910" s="10" t="s">
        <v>4723</v>
      </c>
      <c r="J1910" s="17">
        <f t="shared" si="14"/>
        <v>26828</v>
      </c>
      <c r="K1910" s="10">
        <f t="shared" ca="1" si="15"/>
        <v>52</v>
      </c>
      <c r="L1910" s="6"/>
      <c r="M1910" s="6"/>
      <c r="N1910" s="6"/>
      <c r="O1910" s="6"/>
      <c r="P1910" s="6"/>
      <c r="Q1910" s="6"/>
      <c r="R1910" s="6"/>
      <c r="S1910" s="6"/>
      <c r="T1910" s="6"/>
      <c r="U1910" s="6"/>
      <c r="V1910" s="6"/>
      <c r="W1910" s="6"/>
      <c r="X1910" s="6"/>
      <c r="Y1910" s="6"/>
      <c r="Z1910" s="6"/>
    </row>
    <row r="1911" spans="1:26" ht="15.75" customHeight="1" x14ac:dyDescent="0.3">
      <c r="A1911" s="10" t="s">
        <v>862</v>
      </c>
      <c r="B1911" s="10">
        <v>1974</v>
      </c>
      <c r="C1911" s="10" t="s">
        <v>4711</v>
      </c>
      <c r="D1911" s="10">
        <v>10</v>
      </c>
      <c r="E1911" s="10">
        <v>3</v>
      </c>
      <c r="F1911" s="24">
        <v>24180.93</v>
      </c>
      <c r="G1911" s="10" t="s">
        <v>4695</v>
      </c>
      <c r="H1911" s="10" t="s">
        <v>4694</v>
      </c>
      <c r="I1911" s="10" t="s">
        <v>4708</v>
      </c>
      <c r="J1911" s="17">
        <f t="shared" si="14"/>
        <v>27282</v>
      </c>
      <c r="K1911" s="10">
        <f t="shared" ca="1" si="15"/>
        <v>51</v>
      </c>
      <c r="L1911" s="6"/>
      <c r="M1911" s="6"/>
      <c r="N1911" s="6"/>
      <c r="O1911" s="6"/>
      <c r="P1911" s="6"/>
      <c r="Q1911" s="6"/>
      <c r="R1911" s="6"/>
      <c r="S1911" s="6"/>
      <c r="T1911" s="6"/>
      <c r="U1911" s="6"/>
      <c r="V1911" s="6"/>
      <c r="W1911" s="6"/>
      <c r="X1911" s="6"/>
      <c r="Y1911" s="6"/>
      <c r="Z1911" s="6"/>
    </row>
    <row r="1912" spans="1:26" ht="15.75" customHeight="1" x14ac:dyDescent="0.3">
      <c r="A1912" s="10" t="s">
        <v>860</v>
      </c>
      <c r="B1912" s="10">
        <v>1964</v>
      </c>
      <c r="C1912" s="10" t="s">
        <v>4713</v>
      </c>
      <c r="D1912" s="10">
        <v>16</v>
      </c>
      <c r="E1912" s="10">
        <v>0</v>
      </c>
      <c r="F1912" s="24">
        <v>24227.34</v>
      </c>
      <c r="G1912" s="10" t="s">
        <v>4695</v>
      </c>
      <c r="H1912" s="10" t="s">
        <v>4694</v>
      </c>
      <c r="I1912" s="10" t="s">
        <v>4708</v>
      </c>
      <c r="J1912" s="17">
        <f t="shared" si="14"/>
        <v>23727</v>
      </c>
      <c r="K1912" s="10">
        <f t="shared" ca="1" si="15"/>
        <v>60</v>
      </c>
      <c r="L1912" s="6"/>
      <c r="M1912" s="6"/>
      <c r="N1912" s="6"/>
      <c r="O1912" s="6"/>
      <c r="P1912" s="6"/>
      <c r="Q1912" s="6"/>
      <c r="R1912" s="6"/>
      <c r="S1912" s="6"/>
      <c r="T1912" s="6"/>
      <c r="U1912" s="6"/>
      <c r="V1912" s="6"/>
      <c r="W1912" s="6"/>
      <c r="X1912" s="6"/>
      <c r="Y1912" s="6"/>
      <c r="Z1912" s="6"/>
    </row>
    <row r="1913" spans="1:26" ht="15.75" customHeight="1" x14ac:dyDescent="0.3">
      <c r="A1913" s="10" t="s">
        <v>858</v>
      </c>
      <c r="B1913" s="10">
        <v>2004</v>
      </c>
      <c r="C1913" s="10" t="s">
        <v>4714</v>
      </c>
      <c r="D1913" s="10">
        <v>3</v>
      </c>
      <c r="E1913" s="10">
        <v>0</v>
      </c>
      <c r="F1913" s="24">
        <v>24294.02</v>
      </c>
      <c r="G1913" s="10" t="s">
        <v>4695</v>
      </c>
      <c r="H1913" s="10" t="s">
        <v>4694</v>
      </c>
      <c r="I1913" s="10" t="s">
        <v>4716</v>
      </c>
      <c r="J1913" s="17">
        <f t="shared" si="14"/>
        <v>38202</v>
      </c>
      <c r="K1913" s="10">
        <f t="shared" ca="1" si="15"/>
        <v>21</v>
      </c>
      <c r="L1913" s="6"/>
      <c r="M1913" s="6"/>
      <c r="N1913" s="6"/>
      <c r="O1913" s="6"/>
      <c r="P1913" s="6"/>
      <c r="Q1913" s="6"/>
      <c r="R1913" s="6"/>
      <c r="S1913" s="6"/>
      <c r="T1913" s="6"/>
      <c r="U1913" s="6"/>
      <c r="V1913" s="6"/>
      <c r="W1913" s="6"/>
      <c r="X1913" s="6"/>
      <c r="Y1913" s="6"/>
      <c r="Z1913" s="6"/>
    </row>
    <row r="1914" spans="1:26" ht="15.75" customHeight="1" x14ac:dyDescent="0.3">
      <c r="A1914" s="10" t="s">
        <v>856</v>
      </c>
      <c r="B1914" s="10">
        <v>1999</v>
      </c>
      <c r="C1914" s="10" t="s">
        <v>4715</v>
      </c>
      <c r="D1914" s="10">
        <v>7</v>
      </c>
      <c r="E1914" s="10">
        <v>0</v>
      </c>
      <c r="F1914" s="24">
        <v>24387.74</v>
      </c>
      <c r="G1914" s="10" t="s">
        <v>4695</v>
      </c>
      <c r="H1914" s="10" t="s">
        <v>4694</v>
      </c>
      <c r="I1914" s="10" t="s">
        <v>4716</v>
      </c>
      <c r="J1914" s="17">
        <f t="shared" si="14"/>
        <v>36440</v>
      </c>
      <c r="K1914" s="10">
        <f t="shared" ca="1" si="15"/>
        <v>26</v>
      </c>
      <c r="L1914" s="6"/>
      <c r="M1914" s="6"/>
      <c r="N1914" s="6"/>
      <c r="O1914" s="6"/>
      <c r="P1914" s="6"/>
      <c r="Q1914" s="6"/>
      <c r="R1914" s="6"/>
      <c r="S1914" s="6"/>
      <c r="T1914" s="6"/>
      <c r="U1914" s="6"/>
      <c r="V1914" s="6"/>
      <c r="W1914" s="6"/>
      <c r="X1914" s="6"/>
      <c r="Y1914" s="6"/>
      <c r="Z1914" s="6"/>
    </row>
    <row r="1915" spans="1:26" ht="15.75" customHeight="1" x14ac:dyDescent="0.3">
      <c r="A1915" s="10" t="s">
        <v>854</v>
      </c>
      <c r="B1915" s="10">
        <v>1970</v>
      </c>
      <c r="C1915" s="10" t="s">
        <v>4709</v>
      </c>
      <c r="D1915" s="10">
        <v>30</v>
      </c>
      <c r="E1915" s="10">
        <v>0</v>
      </c>
      <c r="F1915" s="24">
        <v>24393.62</v>
      </c>
      <c r="G1915" s="10" t="s">
        <v>4695</v>
      </c>
      <c r="H1915" s="10" t="s">
        <v>4696</v>
      </c>
      <c r="I1915" s="10" t="s">
        <v>4712</v>
      </c>
      <c r="J1915" s="17">
        <f t="shared" si="14"/>
        <v>25902</v>
      </c>
      <c r="K1915" s="10">
        <f t="shared" ca="1" si="15"/>
        <v>54</v>
      </c>
      <c r="L1915" s="6"/>
      <c r="M1915" s="6"/>
      <c r="N1915" s="6"/>
      <c r="O1915" s="6"/>
      <c r="P1915" s="6"/>
      <c r="Q1915" s="6"/>
      <c r="R1915" s="6"/>
      <c r="S1915" s="6"/>
      <c r="T1915" s="6"/>
      <c r="U1915" s="6"/>
      <c r="V1915" s="6"/>
      <c r="W1915" s="6"/>
      <c r="X1915" s="6"/>
      <c r="Y1915" s="6"/>
      <c r="Z1915" s="6"/>
    </row>
    <row r="1916" spans="1:26" ht="15.75" customHeight="1" x14ac:dyDescent="0.3">
      <c r="A1916" s="10" t="s">
        <v>852</v>
      </c>
      <c r="B1916" s="10">
        <v>1968</v>
      </c>
      <c r="C1916" s="10" t="s">
        <v>4707</v>
      </c>
      <c r="D1916" s="10">
        <v>6</v>
      </c>
      <c r="E1916" s="10">
        <v>0</v>
      </c>
      <c r="F1916" s="24">
        <v>24476.48</v>
      </c>
      <c r="G1916" s="10" t="s">
        <v>4695</v>
      </c>
      <c r="H1916" s="10" t="s">
        <v>4695</v>
      </c>
      <c r="I1916" s="10" t="s">
        <v>4712</v>
      </c>
      <c r="J1916" s="17">
        <f t="shared" si="14"/>
        <v>25025</v>
      </c>
      <c r="K1916" s="10">
        <f t="shared" ca="1" si="15"/>
        <v>57</v>
      </c>
      <c r="L1916" s="6"/>
      <c r="M1916" s="6"/>
      <c r="N1916" s="6"/>
      <c r="O1916" s="6"/>
      <c r="P1916" s="6"/>
      <c r="Q1916" s="6"/>
      <c r="R1916" s="6"/>
      <c r="S1916" s="6"/>
      <c r="T1916" s="6"/>
      <c r="U1916" s="6"/>
      <c r="V1916" s="6"/>
      <c r="W1916" s="6"/>
      <c r="X1916" s="6"/>
      <c r="Y1916" s="6"/>
      <c r="Z1916" s="6"/>
    </row>
    <row r="1917" spans="1:26" ht="15.75" customHeight="1" x14ac:dyDescent="0.3">
      <c r="A1917" s="10" t="s">
        <v>850</v>
      </c>
      <c r="B1917" s="10">
        <v>1961</v>
      </c>
      <c r="C1917" s="10" t="s">
        <v>4715</v>
      </c>
      <c r="D1917" s="10">
        <v>21</v>
      </c>
      <c r="E1917" s="10">
        <v>0</v>
      </c>
      <c r="F1917" s="24">
        <v>24513.09</v>
      </c>
      <c r="G1917" s="10" t="s">
        <v>4695</v>
      </c>
      <c r="H1917" s="10" t="s">
        <v>4695</v>
      </c>
      <c r="I1917" s="10" t="s">
        <v>4708</v>
      </c>
      <c r="J1917" s="17">
        <f t="shared" si="14"/>
        <v>22575</v>
      </c>
      <c r="K1917" s="10">
        <f t="shared" ca="1" si="15"/>
        <v>64</v>
      </c>
      <c r="L1917" s="6"/>
      <c r="M1917" s="6"/>
      <c r="N1917" s="6"/>
      <c r="O1917" s="6"/>
      <c r="P1917" s="6"/>
      <c r="Q1917" s="6"/>
      <c r="R1917" s="6"/>
      <c r="S1917" s="6"/>
      <c r="T1917" s="6"/>
      <c r="U1917" s="6"/>
      <c r="V1917" s="6"/>
      <c r="W1917" s="6"/>
      <c r="X1917" s="6"/>
      <c r="Y1917" s="6"/>
      <c r="Z1917" s="6"/>
    </row>
    <row r="1918" spans="1:26" ht="15.75" customHeight="1" x14ac:dyDescent="0.3">
      <c r="A1918" s="10" t="s">
        <v>848</v>
      </c>
      <c r="B1918" s="10">
        <v>1972</v>
      </c>
      <c r="C1918" s="10" t="s">
        <v>4711</v>
      </c>
      <c r="D1918" s="10">
        <v>14</v>
      </c>
      <c r="E1918" s="10">
        <v>1</v>
      </c>
      <c r="F1918" s="24">
        <v>24520.26</v>
      </c>
      <c r="G1918" s="10" t="s">
        <v>4695</v>
      </c>
      <c r="H1918" s="10" t="s">
        <v>4696</v>
      </c>
      <c r="I1918" s="10" t="s">
        <v>4716</v>
      </c>
      <c r="J1918" s="17">
        <f t="shared" si="14"/>
        <v>26556</v>
      </c>
      <c r="K1918" s="10">
        <f t="shared" ca="1" si="15"/>
        <v>53</v>
      </c>
      <c r="L1918" s="6"/>
      <c r="M1918" s="6"/>
      <c r="N1918" s="6"/>
      <c r="O1918" s="6"/>
      <c r="P1918" s="6"/>
      <c r="Q1918" s="6"/>
      <c r="R1918" s="6"/>
      <c r="S1918" s="6"/>
      <c r="T1918" s="6"/>
      <c r="U1918" s="6"/>
      <c r="V1918" s="6"/>
      <c r="W1918" s="6"/>
      <c r="X1918" s="6"/>
      <c r="Y1918" s="6"/>
      <c r="Z1918" s="6"/>
    </row>
    <row r="1919" spans="1:26" ht="15.75" customHeight="1" x14ac:dyDescent="0.3">
      <c r="A1919" s="10" t="s">
        <v>846</v>
      </c>
      <c r="B1919" s="10">
        <v>1975</v>
      </c>
      <c r="C1919" s="10" t="s">
        <v>4710</v>
      </c>
      <c r="D1919" s="10">
        <v>13</v>
      </c>
      <c r="E1919" s="10">
        <v>2</v>
      </c>
      <c r="F1919" s="24">
        <v>24535.7</v>
      </c>
      <c r="G1919" s="10" t="s">
        <v>4695</v>
      </c>
      <c r="H1919" s="10" t="s">
        <v>4695</v>
      </c>
      <c r="I1919" s="10" t="s">
        <v>4712</v>
      </c>
      <c r="J1919" s="17">
        <f t="shared" si="14"/>
        <v>27558</v>
      </c>
      <c r="K1919" s="10">
        <f t="shared" ca="1" si="15"/>
        <v>50</v>
      </c>
      <c r="L1919" s="6"/>
      <c r="M1919" s="6"/>
      <c r="N1919" s="6"/>
      <c r="O1919" s="6"/>
      <c r="P1919" s="6"/>
      <c r="Q1919" s="6"/>
      <c r="R1919" s="6"/>
      <c r="S1919" s="6"/>
      <c r="T1919" s="6"/>
      <c r="U1919" s="6"/>
      <c r="V1919" s="6"/>
      <c r="W1919" s="6"/>
      <c r="X1919" s="6"/>
      <c r="Y1919" s="6"/>
      <c r="Z1919" s="6"/>
    </row>
    <row r="1920" spans="1:26" ht="15.75" customHeight="1" x14ac:dyDescent="0.3">
      <c r="A1920" s="10" t="s">
        <v>844</v>
      </c>
      <c r="B1920" s="10">
        <v>1976</v>
      </c>
      <c r="C1920" s="10" t="s">
        <v>4715</v>
      </c>
      <c r="D1920" s="10">
        <v>12</v>
      </c>
      <c r="E1920" s="10">
        <v>0</v>
      </c>
      <c r="F1920" s="24">
        <v>24603.05</v>
      </c>
      <c r="G1920" s="10" t="s">
        <v>4695</v>
      </c>
      <c r="H1920" s="10" t="s">
        <v>4695</v>
      </c>
      <c r="I1920" s="10" t="s">
        <v>4716</v>
      </c>
      <c r="J1920" s="17">
        <f t="shared" si="14"/>
        <v>28045</v>
      </c>
      <c r="K1920" s="10">
        <f t="shared" ca="1" si="15"/>
        <v>49</v>
      </c>
      <c r="L1920" s="6"/>
      <c r="M1920" s="6"/>
      <c r="N1920" s="6"/>
      <c r="O1920" s="6"/>
      <c r="P1920" s="6"/>
      <c r="Q1920" s="6"/>
      <c r="R1920" s="6"/>
      <c r="S1920" s="6"/>
      <c r="T1920" s="6"/>
      <c r="U1920" s="6"/>
      <c r="V1920" s="6"/>
      <c r="W1920" s="6"/>
      <c r="X1920" s="6"/>
      <c r="Y1920" s="6"/>
      <c r="Z1920" s="6"/>
    </row>
    <row r="1921" spans="1:26" ht="15.75" customHeight="1" x14ac:dyDescent="0.3">
      <c r="A1921" s="10" t="s">
        <v>842</v>
      </c>
      <c r="B1921" s="10">
        <v>1970</v>
      </c>
      <c r="C1921" s="10" t="s">
        <v>4710</v>
      </c>
      <c r="D1921" s="10">
        <v>12</v>
      </c>
      <c r="E1921" s="10">
        <v>2</v>
      </c>
      <c r="F1921" s="24">
        <v>24667.42</v>
      </c>
      <c r="G1921" s="10" t="s">
        <v>4695</v>
      </c>
      <c r="H1921" s="10" t="s">
        <v>4696</v>
      </c>
      <c r="I1921" s="10" t="s">
        <v>4708</v>
      </c>
      <c r="J1921" s="17">
        <f t="shared" si="14"/>
        <v>25731</v>
      </c>
      <c r="K1921" s="10">
        <f t="shared" ca="1" si="15"/>
        <v>55</v>
      </c>
      <c r="L1921" s="6"/>
      <c r="M1921" s="6"/>
      <c r="N1921" s="6"/>
      <c r="O1921" s="6"/>
      <c r="P1921" s="6"/>
      <c r="Q1921" s="6"/>
      <c r="R1921" s="6"/>
      <c r="S1921" s="6"/>
      <c r="T1921" s="6"/>
      <c r="U1921" s="6"/>
      <c r="V1921" s="6"/>
      <c r="W1921" s="6"/>
      <c r="X1921" s="6"/>
      <c r="Y1921" s="6"/>
      <c r="Z1921" s="6"/>
    </row>
    <row r="1922" spans="1:26" ht="15.75" customHeight="1" x14ac:dyDescent="0.3">
      <c r="A1922" s="10" t="s">
        <v>840</v>
      </c>
      <c r="B1922" s="10">
        <v>1996</v>
      </c>
      <c r="C1922" s="10" t="s">
        <v>4714</v>
      </c>
      <c r="D1922" s="10">
        <v>28</v>
      </c>
      <c r="E1922" s="10">
        <v>4</v>
      </c>
      <c r="F1922" s="24">
        <v>24671.66</v>
      </c>
      <c r="G1922" s="10" t="s">
        <v>4695</v>
      </c>
      <c r="H1922" s="10" t="s">
        <v>4694</v>
      </c>
      <c r="I1922" s="10" t="s">
        <v>4723</v>
      </c>
      <c r="J1922" s="17">
        <f t="shared" si="14"/>
        <v>35305</v>
      </c>
      <c r="K1922" s="10">
        <f t="shared" ca="1" si="15"/>
        <v>29</v>
      </c>
      <c r="L1922" s="6"/>
      <c r="M1922" s="6"/>
      <c r="N1922" s="6"/>
      <c r="O1922" s="6"/>
      <c r="P1922" s="6"/>
      <c r="Q1922" s="6"/>
      <c r="R1922" s="6"/>
      <c r="S1922" s="6"/>
      <c r="T1922" s="6"/>
      <c r="U1922" s="6"/>
      <c r="V1922" s="6"/>
      <c r="W1922" s="6"/>
      <c r="X1922" s="6"/>
      <c r="Y1922" s="6"/>
      <c r="Z1922" s="6"/>
    </row>
    <row r="1923" spans="1:26" ht="15.75" customHeight="1" x14ac:dyDescent="0.3">
      <c r="A1923" s="10" t="s">
        <v>838</v>
      </c>
      <c r="B1923" s="10">
        <v>1992</v>
      </c>
      <c r="C1923" s="10" t="s">
        <v>4715</v>
      </c>
      <c r="D1923" s="10">
        <v>11</v>
      </c>
      <c r="E1923" s="10">
        <v>0</v>
      </c>
      <c r="F1923" s="24">
        <v>24795.040000000001</v>
      </c>
      <c r="G1923" s="10" t="s">
        <v>4695</v>
      </c>
      <c r="H1923" s="10" t="s">
        <v>4696</v>
      </c>
      <c r="I1923" s="10" t="s">
        <v>4716</v>
      </c>
      <c r="J1923" s="17">
        <f t="shared" si="14"/>
        <v>33888</v>
      </c>
      <c r="K1923" s="10">
        <f t="shared" ca="1" si="15"/>
        <v>33</v>
      </c>
      <c r="L1923" s="6"/>
      <c r="M1923" s="6"/>
      <c r="N1923" s="6"/>
      <c r="O1923" s="6"/>
      <c r="P1923" s="6"/>
      <c r="Q1923" s="6"/>
      <c r="R1923" s="6"/>
      <c r="S1923" s="6"/>
      <c r="T1923" s="6"/>
      <c r="U1923" s="6"/>
      <c r="V1923" s="6"/>
      <c r="W1923" s="6"/>
      <c r="X1923" s="6"/>
      <c r="Y1923" s="6"/>
      <c r="Z1923" s="6"/>
    </row>
    <row r="1924" spans="1:26" ht="15.75" customHeight="1" x14ac:dyDescent="0.3">
      <c r="A1924" s="10" t="s">
        <v>836</v>
      </c>
      <c r="B1924" s="10">
        <v>1994</v>
      </c>
      <c r="C1924" s="10" t="s">
        <v>4711</v>
      </c>
      <c r="D1924" s="10">
        <v>9</v>
      </c>
      <c r="E1924" s="10">
        <v>0</v>
      </c>
      <c r="F1924" s="24">
        <v>24817.25</v>
      </c>
      <c r="G1924" s="10" t="s">
        <v>4695</v>
      </c>
      <c r="H1924" s="10" t="s">
        <v>4695</v>
      </c>
      <c r="I1924" s="10" t="s">
        <v>4716</v>
      </c>
      <c r="J1924" s="17">
        <f t="shared" si="14"/>
        <v>34586</v>
      </c>
      <c r="K1924" s="10">
        <f t="shared" ca="1" si="15"/>
        <v>31</v>
      </c>
      <c r="L1924" s="6"/>
      <c r="M1924" s="6"/>
      <c r="N1924" s="6"/>
      <c r="O1924" s="6"/>
      <c r="P1924" s="6"/>
      <c r="Q1924" s="6"/>
      <c r="R1924" s="6"/>
      <c r="S1924" s="6"/>
      <c r="T1924" s="6"/>
      <c r="U1924" s="6"/>
      <c r="V1924" s="6"/>
      <c r="W1924" s="6"/>
      <c r="X1924" s="6"/>
      <c r="Y1924" s="6"/>
      <c r="Z1924" s="6"/>
    </row>
    <row r="1925" spans="1:26" ht="15.75" customHeight="1" x14ac:dyDescent="0.3">
      <c r="A1925" s="10" t="s">
        <v>834</v>
      </c>
      <c r="B1925" s="10">
        <v>1995</v>
      </c>
      <c r="C1925" s="10" t="s">
        <v>4710</v>
      </c>
      <c r="D1925" s="10">
        <v>10</v>
      </c>
      <c r="E1925" s="10">
        <v>0</v>
      </c>
      <c r="F1925" s="24">
        <v>24863.25</v>
      </c>
      <c r="G1925" s="10" t="s">
        <v>4695</v>
      </c>
      <c r="H1925" s="10" t="s">
        <v>4696</v>
      </c>
      <c r="I1925" s="10" t="s">
        <v>4716</v>
      </c>
      <c r="J1925" s="17">
        <f t="shared" si="14"/>
        <v>34860</v>
      </c>
      <c r="K1925" s="10">
        <f t="shared" ca="1" si="15"/>
        <v>30</v>
      </c>
      <c r="L1925" s="6"/>
      <c r="M1925" s="6"/>
      <c r="N1925" s="6"/>
      <c r="O1925" s="6"/>
      <c r="P1925" s="6"/>
      <c r="Q1925" s="6"/>
      <c r="R1925" s="6"/>
      <c r="S1925" s="6"/>
      <c r="T1925" s="6"/>
      <c r="U1925" s="6"/>
      <c r="V1925" s="6"/>
      <c r="W1925" s="6"/>
      <c r="X1925" s="6"/>
      <c r="Y1925" s="6"/>
      <c r="Z1925" s="6"/>
    </row>
    <row r="1926" spans="1:26" ht="15.75" customHeight="1" x14ac:dyDescent="0.3">
      <c r="A1926" s="10" t="s">
        <v>832</v>
      </c>
      <c r="B1926" s="10">
        <v>1970</v>
      </c>
      <c r="C1926" s="10" t="s">
        <v>4709</v>
      </c>
      <c r="D1926" s="10">
        <v>26</v>
      </c>
      <c r="E1926" s="10">
        <v>3</v>
      </c>
      <c r="F1926" s="24">
        <v>24869.84</v>
      </c>
      <c r="G1926" s="10" t="s">
        <v>4695</v>
      </c>
      <c r="H1926" s="10" t="s">
        <v>4695</v>
      </c>
      <c r="I1926" s="10" t="s">
        <v>4720</v>
      </c>
      <c r="J1926" s="17">
        <f t="shared" si="14"/>
        <v>25898</v>
      </c>
      <c r="K1926" s="10">
        <f t="shared" ca="1" si="15"/>
        <v>55</v>
      </c>
      <c r="L1926" s="6"/>
      <c r="M1926" s="6"/>
      <c r="N1926" s="6"/>
      <c r="O1926" s="6"/>
      <c r="P1926" s="6"/>
      <c r="Q1926" s="6"/>
      <c r="R1926" s="6"/>
      <c r="S1926" s="6"/>
      <c r="T1926" s="6"/>
      <c r="U1926" s="6"/>
      <c r="V1926" s="6"/>
      <c r="W1926" s="6"/>
      <c r="X1926" s="6"/>
      <c r="Y1926" s="6"/>
      <c r="Z1926" s="6"/>
    </row>
    <row r="1927" spans="1:26" ht="15.75" customHeight="1" x14ac:dyDescent="0.3">
      <c r="A1927" s="10" t="s">
        <v>830</v>
      </c>
      <c r="B1927" s="10">
        <v>1969</v>
      </c>
      <c r="C1927" s="10" t="s">
        <v>4707</v>
      </c>
      <c r="D1927" s="10">
        <v>23</v>
      </c>
      <c r="E1927" s="10">
        <v>3</v>
      </c>
      <c r="F1927" s="24">
        <v>24873.38</v>
      </c>
      <c r="G1927" s="10" t="s">
        <v>4695</v>
      </c>
      <c r="H1927" s="10" t="s">
        <v>4694</v>
      </c>
      <c r="I1927" s="10" t="s">
        <v>4723</v>
      </c>
      <c r="J1927" s="17">
        <f t="shared" si="14"/>
        <v>25407</v>
      </c>
      <c r="K1927" s="10">
        <f t="shared" ca="1" si="15"/>
        <v>56</v>
      </c>
      <c r="L1927" s="6"/>
      <c r="M1927" s="6"/>
      <c r="N1927" s="6"/>
      <c r="O1927" s="6"/>
      <c r="P1927" s="6"/>
      <c r="Q1927" s="6"/>
      <c r="R1927" s="6"/>
      <c r="S1927" s="6"/>
      <c r="T1927" s="6"/>
      <c r="U1927" s="6"/>
      <c r="V1927" s="6"/>
      <c r="W1927" s="6"/>
      <c r="X1927" s="6"/>
      <c r="Y1927" s="6"/>
      <c r="Z1927" s="6"/>
    </row>
    <row r="1928" spans="1:26" ht="15.75" customHeight="1" x14ac:dyDescent="0.3">
      <c r="A1928" s="10" t="s">
        <v>828</v>
      </c>
      <c r="B1928" s="10">
        <v>1987</v>
      </c>
      <c r="C1928" s="10" t="s">
        <v>4710</v>
      </c>
      <c r="D1928" s="10">
        <v>14</v>
      </c>
      <c r="E1928" s="10">
        <v>2</v>
      </c>
      <c r="F1928" s="24">
        <v>24915.05</v>
      </c>
      <c r="G1928" s="10" t="s">
        <v>4695</v>
      </c>
      <c r="H1928" s="10" t="s">
        <v>4694</v>
      </c>
      <c r="I1928" s="10" t="s">
        <v>4723</v>
      </c>
      <c r="J1928" s="17">
        <f t="shared" si="14"/>
        <v>31942</v>
      </c>
      <c r="K1928" s="10">
        <f t="shared" ca="1" si="15"/>
        <v>38</v>
      </c>
      <c r="L1928" s="6"/>
      <c r="M1928" s="6"/>
      <c r="N1928" s="6"/>
      <c r="O1928" s="6"/>
      <c r="P1928" s="6"/>
      <c r="Q1928" s="6"/>
      <c r="R1928" s="6"/>
      <c r="S1928" s="6"/>
      <c r="T1928" s="6"/>
      <c r="U1928" s="6"/>
      <c r="V1928" s="6"/>
      <c r="W1928" s="6"/>
      <c r="X1928" s="6"/>
      <c r="Y1928" s="6"/>
      <c r="Z1928" s="6"/>
    </row>
    <row r="1929" spans="1:26" ht="15.75" customHeight="1" x14ac:dyDescent="0.3">
      <c r="A1929" s="10" t="s">
        <v>826</v>
      </c>
      <c r="B1929" s="10">
        <v>1975</v>
      </c>
      <c r="C1929" s="10" t="s">
        <v>4709</v>
      </c>
      <c r="D1929" s="10">
        <v>14</v>
      </c>
      <c r="E1929" s="10">
        <v>3</v>
      </c>
      <c r="F1929" s="24">
        <v>24915.22</v>
      </c>
      <c r="G1929" s="10" t="s">
        <v>4695</v>
      </c>
      <c r="H1929" s="10" t="s">
        <v>4696</v>
      </c>
      <c r="I1929" s="10" t="s">
        <v>4712</v>
      </c>
      <c r="J1929" s="17">
        <f t="shared" si="14"/>
        <v>27712</v>
      </c>
      <c r="K1929" s="10">
        <f t="shared" ca="1" si="15"/>
        <v>50</v>
      </c>
      <c r="L1929" s="6"/>
      <c r="M1929" s="6"/>
      <c r="N1929" s="6"/>
      <c r="O1929" s="6"/>
      <c r="P1929" s="6"/>
      <c r="Q1929" s="6"/>
      <c r="R1929" s="6"/>
      <c r="S1929" s="6"/>
      <c r="T1929" s="6"/>
      <c r="U1929" s="6"/>
      <c r="V1929" s="6"/>
      <c r="W1929" s="6"/>
      <c r="X1929" s="6"/>
      <c r="Y1929" s="6"/>
      <c r="Z1929" s="6"/>
    </row>
    <row r="1930" spans="1:26" ht="15.75" customHeight="1" x14ac:dyDescent="0.3">
      <c r="A1930" s="10" t="s">
        <v>824</v>
      </c>
      <c r="B1930" s="10">
        <v>1995</v>
      </c>
      <c r="C1930" s="10" t="s">
        <v>4713</v>
      </c>
      <c r="D1930" s="10">
        <v>4</v>
      </c>
      <c r="E1930" s="10">
        <v>0</v>
      </c>
      <c r="F1930" s="24">
        <v>25075.97</v>
      </c>
      <c r="G1930" s="10" t="s">
        <v>4695</v>
      </c>
      <c r="H1930" s="10" t="s">
        <v>4695</v>
      </c>
      <c r="I1930" s="10" t="s">
        <v>4716</v>
      </c>
      <c r="J1930" s="17">
        <f t="shared" si="14"/>
        <v>35037</v>
      </c>
      <c r="K1930" s="10">
        <f t="shared" ca="1" si="15"/>
        <v>29</v>
      </c>
      <c r="L1930" s="6"/>
      <c r="M1930" s="6"/>
      <c r="N1930" s="6"/>
      <c r="O1930" s="6"/>
      <c r="P1930" s="6"/>
      <c r="Q1930" s="6"/>
      <c r="R1930" s="6"/>
      <c r="S1930" s="6"/>
      <c r="T1930" s="6"/>
      <c r="U1930" s="6"/>
      <c r="V1930" s="6"/>
      <c r="W1930" s="6"/>
      <c r="X1930" s="6"/>
      <c r="Y1930" s="6"/>
      <c r="Z1930" s="6"/>
    </row>
    <row r="1931" spans="1:26" ht="15.75" customHeight="1" x14ac:dyDescent="0.3">
      <c r="A1931" s="10" t="s">
        <v>822</v>
      </c>
      <c r="B1931" s="10">
        <v>1998</v>
      </c>
      <c r="C1931" s="10" t="s">
        <v>4710</v>
      </c>
      <c r="D1931" s="10">
        <v>14</v>
      </c>
      <c r="E1931" s="10">
        <v>0</v>
      </c>
      <c r="F1931" s="24">
        <v>25081.77</v>
      </c>
      <c r="G1931" s="10" t="s">
        <v>4695</v>
      </c>
      <c r="H1931" s="10" t="s">
        <v>4695</v>
      </c>
      <c r="I1931" s="10" t="s">
        <v>4708</v>
      </c>
      <c r="J1931" s="17">
        <f t="shared" si="14"/>
        <v>35960</v>
      </c>
      <c r="K1931" s="10">
        <f t="shared" ca="1" si="15"/>
        <v>27</v>
      </c>
      <c r="L1931" s="6"/>
      <c r="M1931" s="6"/>
      <c r="N1931" s="6"/>
      <c r="O1931" s="6"/>
      <c r="P1931" s="6"/>
      <c r="Q1931" s="6"/>
      <c r="R1931" s="6"/>
      <c r="S1931" s="6"/>
      <c r="T1931" s="6"/>
      <c r="U1931" s="6"/>
      <c r="V1931" s="6"/>
      <c r="W1931" s="6"/>
      <c r="X1931" s="6"/>
      <c r="Y1931" s="6"/>
      <c r="Z1931" s="6"/>
    </row>
    <row r="1932" spans="1:26" ht="15.75" customHeight="1" x14ac:dyDescent="0.3">
      <c r="A1932" s="10" t="s">
        <v>820</v>
      </c>
      <c r="B1932" s="10">
        <v>1998</v>
      </c>
      <c r="C1932" s="10" t="s">
        <v>4709</v>
      </c>
      <c r="D1932" s="10">
        <v>24</v>
      </c>
      <c r="E1932" s="10">
        <v>0</v>
      </c>
      <c r="F1932" s="24">
        <v>25127.22</v>
      </c>
      <c r="G1932" s="10" t="s">
        <v>4695</v>
      </c>
      <c r="H1932" s="10" t="s">
        <v>4696</v>
      </c>
      <c r="I1932" s="10" t="s">
        <v>4716</v>
      </c>
      <c r="J1932" s="17">
        <f t="shared" si="14"/>
        <v>36123</v>
      </c>
      <c r="K1932" s="10">
        <f t="shared" ca="1" si="15"/>
        <v>27</v>
      </c>
      <c r="L1932" s="6"/>
      <c r="M1932" s="6"/>
      <c r="N1932" s="6"/>
      <c r="O1932" s="6"/>
      <c r="P1932" s="6"/>
      <c r="Q1932" s="6"/>
      <c r="R1932" s="6"/>
      <c r="S1932" s="6"/>
      <c r="T1932" s="6"/>
      <c r="U1932" s="6"/>
      <c r="V1932" s="6"/>
      <c r="W1932" s="6"/>
      <c r="X1932" s="6"/>
      <c r="Y1932" s="6"/>
      <c r="Z1932" s="6"/>
    </row>
    <row r="1933" spans="1:26" ht="15.75" customHeight="1" x14ac:dyDescent="0.3">
      <c r="A1933" s="10" t="s">
        <v>818</v>
      </c>
      <c r="B1933" s="10">
        <v>1975</v>
      </c>
      <c r="C1933" s="10" t="s">
        <v>4713</v>
      </c>
      <c r="D1933" s="10">
        <v>14</v>
      </c>
      <c r="E1933" s="10">
        <v>3</v>
      </c>
      <c r="F1933" s="24">
        <v>25309.49</v>
      </c>
      <c r="G1933" s="10" t="s">
        <v>4695</v>
      </c>
      <c r="H1933" s="10" t="s">
        <v>4694</v>
      </c>
      <c r="I1933" s="10" t="s">
        <v>4716</v>
      </c>
      <c r="J1933" s="17">
        <f t="shared" si="14"/>
        <v>27742</v>
      </c>
      <c r="K1933" s="10">
        <f t="shared" ca="1" si="15"/>
        <v>49</v>
      </c>
      <c r="L1933" s="6"/>
      <c r="M1933" s="6"/>
      <c r="N1933" s="6"/>
      <c r="O1933" s="6"/>
      <c r="P1933" s="6"/>
      <c r="Q1933" s="6"/>
      <c r="R1933" s="6"/>
      <c r="S1933" s="6"/>
      <c r="T1933" s="6"/>
      <c r="U1933" s="6"/>
      <c r="V1933" s="6"/>
      <c r="W1933" s="6"/>
      <c r="X1933" s="6"/>
      <c r="Y1933" s="6"/>
      <c r="Z1933" s="6"/>
    </row>
    <row r="1934" spans="1:26" ht="15.75" customHeight="1" x14ac:dyDescent="0.3">
      <c r="A1934" s="10" t="s">
        <v>816</v>
      </c>
      <c r="B1934" s="10">
        <v>1972</v>
      </c>
      <c r="C1934" s="10" t="s">
        <v>4711</v>
      </c>
      <c r="D1934" s="10">
        <v>26</v>
      </c>
      <c r="E1934" s="10">
        <v>2</v>
      </c>
      <c r="F1934" s="24">
        <v>25333.33</v>
      </c>
      <c r="G1934" s="10" t="s">
        <v>4695</v>
      </c>
      <c r="H1934" s="10" t="s">
        <v>4695</v>
      </c>
      <c r="I1934" s="10" t="s">
        <v>4727</v>
      </c>
      <c r="J1934" s="17">
        <f t="shared" si="14"/>
        <v>26568</v>
      </c>
      <c r="K1934" s="10">
        <f t="shared" ca="1" si="15"/>
        <v>53</v>
      </c>
      <c r="L1934" s="6"/>
      <c r="M1934" s="6"/>
      <c r="N1934" s="6"/>
      <c r="O1934" s="6"/>
      <c r="P1934" s="6"/>
      <c r="Q1934" s="6"/>
      <c r="R1934" s="6"/>
      <c r="S1934" s="6"/>
      <c r="T1934" s="6"/>
      <c r="U1934" s="6"/>
      <c r="V1934" s="6"/>
      <c r="W1934" s="6"/>
      <c r="X1934" s="6"/>
      <c r="Y1934" s="6"/>
      <c r="Z1934" s="6"/>
    </row>
    <row r="1935" spans="1:26" ht="15.75" customHeight="1" x14ac:dyDescent="0.3">
      <c r="A1935" s="10" t="s">
        <v>814</v>
      </c>
      <c r="B1935" s="10">
        <v>1968</v>
      </c>
      <c r="C1935" s="10" t="s">
        <v>4714</v>
      </c>
      <c r="D1935" s="10">
        <v>22</v>
      </c>
      <c r="E1935" s="10">
        <v>3</v>
      </c>
      <c r="F1935" s="24">
        <v>25382.3</v>
      </c>
      <c r="G1935" s="10" t="s">
        <v>4695</v>
      </c>
      <c r="H1935" s="10" t="s">
        <v>4695</v>
      </c>
      <c r="I1935" s="10" t="s">
        <v>4716</v>
      </c>
      <c r="J1935" s="17">
        <f t="shared" si="14"/>
        <v>25072</v>
      </c>
      <c r="K1935" s="10">
        <f t="shared" ca="1" si="15"/>
        <v>57</v>
      </c>
      <c r="L1935" s="6"/>
      <c r="M1935" s="6"/>
      <c r="N1935" s="6"/>
      <c r="O1935" s="6"/>
      <c r="P1935" s="6"/>
      <c r="Q1935" s="6"/>
      <c r="R1935" s="6"/>
      <c r="S1935" s="6"/>
      <c r="T1935" s="6"/>
      <c r="U1935" s="6"/>
      <c r="V1935" s="6"/>
      <c r="W1935" s="6"/>
      <c r="X1935" s="6"/>
      <c r="Y1935" s="6"/>
      <c r="Z1935" s="6"/>
    </row>
    <row r="1936" spans="1:26" ht="15.75" customHeight="1" x14ac:dyDescent="0.3">
      <c r="A1936" s="10" t="s">
        <v>812</v>
      </c>
      <c r="B1936" s="10">
        <v>1968</v>
      </c>
      <c r="C1936" s="10" t="s">
        <v>4713</v>
      </c>
      <c r="D1936" s="10">
        <v>11</v>
      </c>
      <c r="E1936" s="10">
        <v>1</v>
      </c>
      <c r="F1936" s="24">
        <v>25517.11</v>
      </c>
      <c r="G1936" s="10" t="s">
        <v>4695</v>
      </c>
      <c r="H1936" s="10" t="s">
        <v>4696</v>
      </c>
      <c r="I1936" s="10" t="s">
        <v>4727</v>
      </c>
      <c r="J1936" s="17">
        <f t="shared" si="14"/>
        <v>25183</v>
      </c>
      <c r="K1936" s="10">
        <f t="shared" ca="1" si="15"/>
        <v>56</v>
      </c>
      <c r="L1936" s="6"/>
      <c r="M1936" s="6"/>
      <c r="N1936" s="6"/>
      <c r="O1936" s="6"/>
      <c r="P1936" s="6"/>
      <c r="Q1936" s="6"/>
      <c r="R1936" s="6"/>
      <c r="S1936" s="6"/>
      <c r="T1936" s="6"/>
      <c r="U1936" s="6"/>
      <c r="V1936" s="6"/>
      <c r="W1936" s="6"/>
      <c r="X1936" s="6"/>
      <c r="Y1936" s="6"/>
      <c r="Z1936" s="6"/>
    </row>
    <row r="1937" spans="1:26" ht="15.75" customHeight="1" x14ac:dyDescent="0.3">
      <c r="A1937" s="10" t="s">
        <v>810</v>
      </c>
      <c r="B1937" s="10">
        <v>2001</v>
      </c>
      <c r="C1937" s="10" t="s">
        <v>4714</v>
      </c>
      <c r="D1937" s="10">
        <v>2</v>
      </c>
      <c r="E1937" s="10">
        <v>0</v>
      </c>
      <c r="F1937" s="24">
        <v>25648.98</v>
      </c>
      <c r="G1937" s="10" t="s">
        <v>4695</v>
      </c>
      <c r="H1937" s="10" t="s">
        <v>4694</v>
      </c>
      <c r="I1937" s="10" t="s">
        <v>4716</v>
      </c>
      <c r="J1937" s="17">
        <f t="shared" si="14"/>
        <v>37105</v>
      </c>
      <c r="K1937" s="10">
        <f t="shared" ca="1" si="15"/>
        <v>24</v>
      </c>
      <c r="L1937" s="6"/>
      <c r="M1937" s="6"/>
      <c r="N1937" s="6"/>
      <c r="O1937" s="6"/>
      <c r="P1937" s="6"/>
      <c r="Q1937" s="6"/>
      <c r="R1937" s="6"/>
      <c r="S1937" s="6"/>
      <c r="T1937" s="6"/>
      <c r="U1937" s="6"/>
      <c r="V1937" s="6"/>
      <c r="W1937" s="6"/>
      <c r="X1937" s="6"/>
      <c r="Y1937" s="6"/>
      <c r="Z1937" s="6"/>
    </row>
    <row r="1938" spans="1:26" ht="15.75" customHeight="1" x14ac:dyDescent="0.3">
      <c r="A1938" s="10" t="s">
        <v>808</v>
      </c>
      <c r="B1938" s="10">
        <v>1972</v>
      </c>
      <c r="C1938" s="10" t="s">
        <v>4707</v>
      </c>
      <c r="D1938" s="10">
        <v>17</v>
      </c>
      <c r="E1938" s="10">
        <v>0</v>
      </c>
      <c r="F1938" s="24">
        <v>25656.58</v>
      </c>
      <c r="G1938" s="10" t="s">
        <v>4695</v>
      </c>
      <c r="H1938" s="10" t="s">
        <v>4696</v>
      </c>
      <c r="I1938" s="10" t="s">
        <v>4723</v>
      </c>
      <c r="J1938" s="17">
        <f t="shared" si="14"/>
        <v>26497</v>
      </c>
      <c r="K1938" s="10">
        <f t="shared" ca="1" si="15"/>
        <v>53</v>
      </c>
      <c r="L1938" s="6"/>
      <c r="M1938" s="6"/>
      <c r="N1938" s="6"/>
      <c r="O1938" s="6"/>
      <c r="P1938" s="6"/>
      <c r="Q1938" s="6"/>
      <c r="R1938" s="6"/>
      <c r="S1938" s="6"/>
      <c r="T1938" s="6"/>
      <c r="U1938" s="6"/>
      <c r="V1938" s="6"/>
      <c r="W1938" s="6"/>
      <c r="X1938" s="6"/>
      <c r="Y1938" s="6"/>
      <c r="Z1938" s="6"/>
    </row>
    <row r="1939" spans="1:26" ht="15.75" customHeight="1" x14ac:dyDescent="0.3">
      <c r="A1939" s="10" t="s">
        <v>806</v>
      </c>
      <c r="B1939" s="10">
        <v>1963</v>
      </c>
      <c r="C1939" s="10" t="s">
        <v>4714</v>
      </c>
      <c r="D1939" s="10">
        <v>21</v>
      </c>
      <c r="E1939" s="10">
        <v>0</v>
      </c>
      <c r="F1939" s="24">
        <v>25678.78</v>
      </c>
      <c r="G1939" s="10" t="s">
        <v>4695</v>
      </c>
      <c r="H1939" s="10" t="s">
        <v>4696</v>
      </c>
      <c r="I1939" s="10" t="s">
        <v>4712</v>
      </c>
      <c r="J1939" s="17">
        <f t="shared" si="14"/>
        <v>23244</v>
      </c>
      <c r="K1939" s="10">
        <f t="shared" ca="1" si="15"/>
        <v>62</v>
      </c>
      <c r="L1939" s="6"/>
      <c r="M1939" s="6"/>
      <c r="N1939" s="6"/>
      <c r="O1939" s="6"/>
      <c r="P1939" s="6"/>
      <c r="Q1939" s="6"/>
      <c r="R1939" s="6"/>
      <c r="S1939" s="6"/>
      <c r="T1939" s="6"/>
      <c r="U1939" s="6"/>
      <c r="V1939" s="6"/>
      <c r="W1939" s="6"/>
      <c r="X1939" s="6"/>
      <c r="Y1939" s="6"/>
      <c r="Z1939" s="6"/>
    </row>
    <row r="1940" spans="1:26" ht="15.75" customHeight="1" x14ac:dyDescent="0.3">
      <c r="A1940" s="10" t="s">
        <v>804</v>
      </c>
      <c r="B1940" s="10">
        <v>1970</v>
      </c>
      <c r="C1940" s="10" t="s">
        <v>4713</v>
      </c>
      <c r="D1940" s="10">
        <v>3</v>
      </c>
      <c r="E1940" s="10">
        <v>3</v>
      </c>
      <c r="F1940" s="24">
        <v>25992.82</v>
      </c>
      <c r="G1940" s="10" t="s">
        <v>4695</v>
      </c>
      <c r="H1940" s="10" t="s">
        <v>4695</v>
      </c>
      <c r="I1940" s="10" t="s">
        <v>4708</v>
      </c>
      <c r="J1940" s="17">
        <f t="shared" si="14"/>
        <v>25905</v>
      </c>
      <c r="K1940" s="10">
        <f t="shared" ca="1" si="15"/>
        <v>54</v>
      </c>
      <c r="L1940" s="6"/>
      <c r="M1940" s="6"/>
      <c r="N1940" s="6"/>
      <c r="O1940" s="6"/>
      <c r="P1940" s="6"/>
      <c r="Q1940" s="6"/>
      <c r="R1940" s="6"/>
      <c r="S1940" s="6"/>
      <c r="T1940" s="6"/>
      <c r="U1940" s="6"/>
      <c r="V1940" s="6"/>
      <c r="W1940" s="6"/>
      <c r="X1940" s="6"/>
      <c r="Y1940" s="6"/>
      <c r="Z1940" s="6"/>
    </row>
    <row r="1941" spans="1:26" ht="15.75" customHeight="1" x14ac:dyDescent="0.3">
      <c r="A1941" s="10" t="s">
        <v>802</v>
      </c>
      <c r="B1941" s="10">
        <v>2001</v>
      </c>
      <c r="C1941" s="10" t="s">
        <v>4710</v>
      </c>
      <c r="D1941" s="10">
        <v>5</v>
      </c>
      <c r="E1941" s="10">
        <v>2</v>
      </c>
      <c r="F1941" s="24">
        <v>26018.95</v>
      </c>
      <c r="G1941" s="10" t="s">
        <v>4695</v>
      </c>
      <c r="H1941" s="10" t="s">
        <v>4695</v>
      </c>
      <c r="I1941" s="10" t="s">
        <v>4712</v>
      </c>
      <c r="J1941" s="17">
        <f t="shared" si="14"/>
        <v>37047</v>
      </c>
      <c r="K1941" s="10">
        <f t="shared" ca="1" si="15"/>
        <v>24</v>
      </c>
      <c r="L1941" s="6"/>
      <c r="M1941" s="6"/>
      <c r="N1941" s="6"/>
      <c r="O1941" s="6"/>
      <c r="P1941" s="6"/>
      <c r="Q1941" s="6"/>
      <c r="R1941" s="6"/>
      <c r="S1941" s="6"/>
      <c r="T1941" s="6"/>
      <c r="U1941" s="6"/>
      <c r="V1941" s="6"/>
      <c r="W1941" s="6"/>
      <c r="X1941" s="6"/>
      <c r="Y1941" s="6"/>
      <c r="Z1941" s="6"/>
    </row>
    <row r="1942" spans="1:26" ht="15.75" customHeight="1" x14ac:dyDescent="0.3">
      <c r="A1942" s="10" t="s">
        <v>800</v>
      </c>
      <c r="B1942" s="10">
        <v>2000</v>
      </c>
      <c r="C1942" s="10" t="s">
        <v>4713</v>
      </c>
      <c r="D1942" s="10">
        <v>26</v>
      </c>
      <c r="E1942" s="10">
        <v>0</v>
      </c>
      <c r="F1942" s="24">
        <v>26026.97</v>
      </c>
      <c r="G1942" s="10" t="s">
        <v>4695</v>
      </c>
      <c r="H1942" s="10" t="s">
        <v>4696</v>
      </c>
      <c r="I1942" s="10" t="s">
        <v>4716</v>
      </c>
      <c r="J1942" s="17">
        <f t="shared" si="14"/>
        <v>36886</v>
      </c>
      <c r="K1942" s="10">
        <f t="shared" ca="1" si="15"/>
        <v>24</v>
      </c>
      <c r="L1942" s="6"/>
      <c r="M1942" s="6"/>
      <c r="N1942" s="6"/>
      <c r="O1942" s="6"/>
      <c r="P1942" s="6"/>
      <c r="Q1942" s="6"/>
      <c r="R1942" s="6"/>
      <c r="S1942" s="6"/>
      <c r="T1942" s="6"/>
      <c r="U1942" s="6"/>
      <c r="V1942" s="6"/>
      <c r="W1942" s="6"/>
      <c r="X1942" s="6"/>
      <c r="Y1942" s="6"/>
      <c r="Z1942" s="6"/>
    </row>
    <row r="1943" spans="1:26" ht="15.75" customHeight="1" x14ac:dyDescent="0.3">
      <c r="A1943" s="10" t="s">
        <v>798</v>
      </c>
      <c r="B1943" s="10">
        <v>1966</v>
      </c>
      <c r="C1943" s="10" t="s">
        <v>4707</v>
      </c>
      <c r="D1943" s="10">
        <v>9</v>
      </c>
      <c r="E1943" s="10">
        <v>1</v>
      </c>
      <c r="F1943" s="24">
        <v>26109.33</v>
      </c>
      <c r="G1943" s="10" t="s">
        <v>4695</v>
      </c>
      <c r="H1943" s="10" t="s">
        <v>4696</v>
      </c>
      <c r="I1943" s="10" t="s">
        <v>4712</v>
      </c>
      <c r="J1943" s="17">
        <f t="shared" si="14"/>
        <v>24297</v>
      </c>
      <c r="K1943" s="10">
        <f t="shared" ca="1" si="15"/>
        <v>59</v>
      </c>
      <c r="L1943" s="6"/>
      <c r="M1943" s="6"/>
      <c r="N1943" s="6"/>
      <c r="O1943" s="6"/>
      <c r="P1943" s="6"/>
      <c r="Q1943" s="6"/>
      <c r="R1943" s="6"/>
      <c r="S1943" s="6"/>
      <c r="T1943" s="6"/>
      <c r="U1943" s="6"/>
      <c r="V1943" s="6"/>
      <c r="W1943" s="6"/>
      <c r="X1943" s="6"/>
      <c r="Y1943" s="6"/>
      <c r="Z1943" s="6"/>
    </row>
    <row r="1944" spans="1:26" ht="15.75" customHeight="1" x14ac:dyDescent="0.3">
      <c r="A1944" s="10" t="s">
        <v>796</v>
      </c>
      <c r="B1944" s="10">
        <v>2002</v>
      </c>
      <c r="C1944" s="10" t="s">
        <v>4715</v>
      </c>
      <c r="D1944" s="10">
        <v>11</v>
      </c>
      <c r="E1944" s="10">
        <v>0</v>
      </c>
      <c r="F1944" s="24">
        <v>26125.67</v>
      </c>
      <c r="G1944" s="10" t="s">
        <v>4695</v>
      </c>
      <c r="H1944" s="10" t="s">
        <v>4694</v>
      </c>
      <c r="I1944" s="10" t="s">
        <v>4708</v>
      </c>
      <c r="J1944" s="17">
        <f t="shared" si="14"/>
        <v>37540</v>
      </c>
      <c r="K1944" s="10">
        <f t="shared" ca="1" si="15"/>
        <v>23</v>
      </c>
      <c r="L1944" s="6"/>
      <c r="M1944" s="6"/>
      <c r="N1944" s="6"/>
      <c r="O1944" s="6"/>
      <c r="P1944" s="6"/>
      <c r="Q1944" s="6"/>
      <c r="R1944" s="6"/>
      <c r="S1944" s="6"/>
      <c r="T1944" s="6"/>
      <c r="U1944" s="6"/>
      <c r="V1944" s="6"/>
      <c r="W1944" s="6"/>
      <c r="X1944" s="6"/>
      <c r="Y1944" s="6"/>
      <c r="Z1944" s="6"/>
    </row>
    <row r="1945" spans="1:26" ht="15.75" customHeight="1" x14ac:dyDescent="0.3">
      <c r="A1945" s="10" t="s">
        <v>794</v>
      </c>
      <c r="B1945" s="10">
        <v>1973</v>
      </c>
      <c r="C1945" s="10" t="s">
        <v>4707</v>
      </c>
      <c r="D1945" s="10">
        <v>7</v>
      </c>
      <c r="E1945" s="10">
        <v>1</v>
      </c>
      <c r="F1945" s="24">
        <v>26140.36</v>
      </c>
      <c r="G1945" s="10" t="s">
        <v>4695</v>
      </c>
      <c r="H1945" s="10" t="s">
        <v>4696</v>
      </c>
      <c r="I1945" s="10" t="s">
        <v>4716</v>
      </c>
      <c r="J1945" s="17">
        <f t="shared" si="14"/>
        <v>26852</v>
      </c>
      <c r="K1945" s="10">
        <f t="shared" ca="1" si="15"/>
        <v>52</v>
      </c>
      <c r="L1945" s="6"/>
      <c r="M1945" s="6"/>
      <c r="N1945" s="6"/>
      <c r="O1945" s="6"/>
      <c r="P1945" s="6"/>
      <c r="Q1945" s="6"/>
      <c r="R1945" s="6"/>
      <c r="S1945" s="6"/>
      <c r="T1945" s="6"/>
      <c r="U1945" s="6"/>
      <c r="V1945" s="6"/>
      <c r="W1945" s="6"/>
      <c r="X1945" s="6"/>
      <c r="Y1945" s="6"/>
      <c r="Z1945" s="6"/>
    </row>
    <row r="1946" spans="1:26" ht="15.75" customHeight="1" x14ac:dyDescent="0.3">
      <c r="A1946" s="10" t="s">
        <v>792</v>
      </c>
      <c r="B1946" s="10">
        <v>1975</v>
      </c>
      <c r="C1946" s="10" t="s">
        <v>4710</v>
      </c>
      <c r="D1946" s="10">
        <v>4</v>
      </c>
      <c r="E1946" s="10">
        <v>1</v>
      </c>
      <c r="F1946" s="24">
        <v>26236.58</v>
      </c>
      <c r="G1946" s="10" t="s">
        <v>4695</v>
      </c>
      <c r="H1946" s="10" t="s">
        <v>4694</v>
      </c>
      <c r="I1946" s="10" t="s">
        <v>4716</v>
      </c>
      <c r="J1946" s="17">
        <f t="shared" si="14"/>
        <v>27549</v>
      </c>
      <c r="K1946" s="10">
        <f t="shared" ca="1" si="15"/>
        <v>50</v>
      </c>
      <c r="L1946" s="6"/>
      <c r="M1946" s="6"/>
      <c r="N1946" s="6"/>
      <c r="O1946" s="6"/>
      <c r="P1946" s="6"/>
      <c r="Q1946" s="6"/>
      <c r="R1946" s="6"/>
      <c r="S1946" s="6"/>
      <c r="T1946" s="6"/>
      <c r="U1946" s="6"/>
      <c r="V1946" s="6"/>
      <c r="W1946" s="6"/>
      <c r="X1946" s="6"/>
      <c r="Y1946" s="6"/>
      <c r="Z1946" s="6"/>
    </row>
    <row r="1947" spans="1:26" ht="15.75" customHeight="1" x14ac:dyDescent="0.3">
      <c r="A1947" s="10" t="s">
        <v>790</v>
      </c>
      <c r="B1947" s="10">
        <v>2004</v>
      </c>
      <c r="C1947" s="10" t="s">
        <v>4713</v>
      </c>
      <c r="D1947" s="10">
        <v>5</v>
      </c>
      <c r="E1947" s="10">
        <v>0</v>
      </c>
      <c r="F1947" s="24">
        <v>26316.59</v>
      </c>
      <c r="G1947" s="10" t="s">
        <v>4695</v>
      </c>
      <c r="H1947" s="10" t="s">
        <v>4696</v>
      </c>
      <c r="I1947" s="10" t="s">
        <v>4716</v>
      </c>
      <c r="J1947" s="17">
        <f t="shared" si="14"/>
        <v>38326</v>
      </c>
      <c r="K1947" s="10">
        <f t="shared" ca="1" si="15"/>
        <v>20</v>
      </c>
      <c r="L1947" s="6"/>
      <c r="M1947" s="6"/>
      <c r="N1947" s="6"/>
      <c r="O1947" s="6"/>
      <c r="P1947" s="6"/>
      <c r="Q1947" s="6"/>
      <c r="R1947" s="6"/>
      <c r="S1947" s="6"/>
      <c r="T1947" s="6"/>
      <c r="U1947" s="6"/>
      <c r="V1947" s="6"/>
      <c r="W1947" s="6"/>
      <c r="X1947" s="6"/>
      <c r="Y1947" s="6"/>
      <c r="Z1947" s="6"/>
    </row>
    <row r="1948" spans="1:26" ht="15.75" customHeight="1" x14ac:dyDescent="0.3">
      <c r="A1948" s="10" t="s">
        <v>788</v>
      </c>
      <c r="B1948" s="10">
        <v>1974</v>
      </c>
      <c r="C1948" s="10" t="s">
        <v>4711</v>
      </c>
      <c r="D1948" s="10">
        <v>21</v>
      </c>
      <c r="E1948" s="10">
        <v>1</v>
      </c>
      <c r="F1948" s="24">
        <v>26392.26</v>
      </c>
      <c r="G1948" s="10" t="s">
        <v>4695</v>
      </c>
      <c r="H1948" s="10" t="s">
        <v>4695</v>
      </c>
      <c r="I1948" s="10" t="s">
        <v>4723</v>
      </c>
      <c r="J1948" s="17">
        <f t="shared" si="14"/>
        <v>27293</v>
      </c>
      <c r="K1948" s="10">
        <f t="shared" ca="1" si="15"/>
        <v>51</v>
      </c>
      <c r="L1948" s="6"/>
      <c r="M1948" s="6"/>
      <c r="N1948" s="6"/>
      <c r="O1948" s="6"/>
      <c r="P1948" s="6"/>
      <c r="Q1948" s="6"/>
      <c r="R1948" s="6"/>
      <c r="S1948" s="6"/>
      <c r="T1948" s="6"/>
      <c r="U1948" s="6"/>
      <c r="V1948" s="6"/>
      <c r="W1948" s="6"/>
      <c r="X1948" s="6"/>
      <c r="Y1948" s="6"/>
      <c r="Z1948" s="6"/>
    </row>
    <row r="1949" spans="1:26" ht="15.75" customHeight="1" x14ac:dyDescent="0.3">
      <c r="A1949" s="10" t="s">
        <v>786</v>
      </c>
      <c r="B1949" s="10">
        <v>1970</v>
      </c>
      <c r="C1949" s="10" t="s">
        <v>4714</v>
      </c>
      <c r="D1949" s="10">
        <v>27</v>
      </c>
      <c r="E1949" s="10">
        <v>2</v>
      </c>
      <c r="F1949" s="24">
        <v>26467.1</v>
      </c>
      <c r="G1949" s="10" t="s">
        <v>4695</v>
      </c>
      <c r="H1949" s="10" t="s">
        <v>4696</v>
      </c>
      <c r="I1949" s="10" t="s">
        <v>4712</v>
      </c>
      <c r="J1949" s="17">
        <f t="shared" si="14"/>
        <v>25807</v>
      </c>
      <c r="K1949" s="10">
        <f t="shared" ca="1" si="15"/>
        <v>55</v>
      </c>
      <c r="L1949" s="6"/>
      <c r="M1949" s="6"/>
      <c r="N1949" s="6"/>
      <c r="O1949" s="6"/>
      <c r="P1949" s="6"/>
      <c r="Q1949" s="6"/>
      <c r="R1949" s="6"/>
      <c r="S1949" s="6"/>
      <c r="T1949" s="6"/>
      <c r="U1949" s="6"/>
      <c r="V1949" s="6"/>
      <c r="W1949" s="6"/>
      <c r="X1949" s="6"/>
      <c r="Y1949" s="6"/>
      <c r="Z1949" s="6"/>
    </row>
    <row r="1950" spans="1:26" ht="15.75" customHeight="1" x14ac:dyDescent="0.3">
      <c r="A1950" s="10" t="s">
        <v>784</v>
      </c>
      <c r="B1950" s="10">
        <v>2004</v>
      </c>
      <c r="C1950" s="10" t="s">
        <v>4711</v>
      </c>
      <c r="D1950" s="10">
        <v>5</v>
      </c>
      <c r="E1950" s="10">
        <v>0</v>
      </c>
      <c r="F1950" s="24">
        <v>26479.4</v>
      </c>
      <c r="G1950" s="10" t="s">
        <v>4695</v>
      </c>
      <c r="H1950" s="10" t="s">
        <v>4695</v>
      </c>
      <c r="I1950" s="10" t="s">
        <v>4716</v>
      </c>
      <c r="J1950" s="17">
        <f t="shared" si="14"/>
        <v>38235</v>
      </c>
      <c r="K1950" s="10">
        <f t="shared" ca="1" si="15"/>
        <v>21</v>
      </c>
      <c r="L1950" s="6"/>
      <c r="M1950" s="6"/>
      <c r="N1950" s="6"/>
      <c r="O1950" s="6"/>
      <c r="P1950" s="6"/>
      <c r="Q1950" s="6"/>
      <c r="R1950" s="6"/>
      <c r="S1950" s="6"/>
      <c r="T1950" s="6"/>
      <c r="U1950" s="6"/>
      <c r="V1950" s="6"/>
      <c r="W1950" s="6"/>
      <c r="X1950" s="6"/>
      <c r="Y1950" s="6"/>
      <c r="Z1950" s="6"/>
    </row>
    <row r="1951" spans="1:26" ht="15.75" customHeight="1" x14ac:dyDescent="0.3">
      <c r="A1951" s="10" t="s">
        <v>782</v>
      </c>
      <c r="B1951" s="10">
        <v>1988</v>
      </c>
      <c r="C1951" s="10" t="s">
        <v>4707</v>
      </c>
      <c r="D1951" s="10">
        <v>22</v>
      </c>
      <c r="E1951" s="10">
        <v>3</v>
      </c>
      <c r="F1951" s="24">
        <v>26607.89</v>
      </c>
      <c r="G1951" s="10" t="s">
        <v>4695</v>
      </c>
      <c r="H1951" s="10" t="s">
        <v>4694</v>
      </c>
      <c r="I1951" s="10" t="s">
        <v>4716</v>
      </c>
      <c r="J1951" s="17">
        <f t="shared" si="14"/>
        <v>32346</v>
      </c>
      <c r="K1951" s="10">
        <f t="shared" ca="1" si="15"/>
        <v>37</v>
      </c>
      <c r="L1951" s="6"/>
      <c r="M1951" s="6"/>
      <c r="N1951" s="6"/>
      <c r="O1951" s="6"/>
      <c r="P1951" s="6"/>
      <c r="Q1951" s="6"/>
      <c r="R1951" s="6"/>
      <c r="S1951" s="6"/>
      <c r="T1951" s="6"/>
      <c r="U1951" s="6"/>
      <c r="V1951" s="6"/>
      <c r="W1951" s="6"/>
      <c r="X1951" s="6"/>
      <c r="Y1951" s="6"/>
      <c r="Z1951" s="6"/>
    </row>
    <row r="1952" spans="1:26" ht="15.75" customHeight="1" x14ac:dyDescent="0.3">
      <c r="A1952" s="10" t="s">
        <v>780</v>
      </c>
      <c r="B1952" s="10">
        <v>1991</v>
      </c>
      <c r="C1952" s="10" t="s">
        <v>4714</v>
      </c>
      <c r="D1952" s="10">
        <v>22</v>
      </c>
      <c r="E1952" s="10">
        <v>3</v>
      </c>
      <c r="F1952" s="24">
        <v>26912.560000000001</v>
      </c>
      <c r="G1952" s="10" t="s">
        <v>4695</v>
      </c>
      <c r="H1952" s="10" t="s">
        <v>4695</v>
      </c>
      <c r="I1952" s="10" t="s">
        <v>4716</v>
      </c>
      <c r="J1952" s="17">
        <f t="shared" si="14"/>
        <v>33472</v>
      </c>
      <c r="K1952" s="10">
        <f t="shared" ca="1" si="15"/>
        <v>34</v>
      </c>
      <c r="L1952" s="6"/>
      <c r="M1952" s="6"/>
      <c r="N1952" s="6"/>
      <c r="O1952" s="6"/>
      <c r="P1952" s="6"/>
      <c r="Q1952" s="6"/>
      <c r="R1952" s="6"/>
      <c r="S1952" s="6"/>
      <c r="T1952" s="6"/>
      <c r="U1952" s="6"/>
      <c r="V1952" s="6"/>
      <c r="W1952" s="6"/>
      <c r="X1952" s="6"/>
      <c r="Y1952" s="6"/>
      <c r="Z1952" s="6"/>
    </row>
    <row r="1953" spans="1:26" ht="15.75" customHeight="1" x14ac:dyDescent="0.3">
      <c r="A1953" s="10" t="s">
        <v>778</v>
      </c>
      <c r="B1953" s="10">
        <v>1958</v>
      </c>
      <c r="C1953" s="10" t="s">
        <v>4713</v>
      </c>
      <c r="D1953" s="10">
        <v>25</v>
      </c>
      <c r="E1953" s="10">
        <v>0</v>
      </c>
      <c r="F1953" s="24">
        <v>26926.51</v>
      </c>
      <c r="G1953" s="10" t="s">
        <v>4695</v>
      </c>
      <c r="H1953" s="10" t="s">
        <v>4694</v>
      </c>
      <c r="I1953" s="10" t="s">
        <v>4708</v>
      </c>
      <c r="J1953" s="17">
        <f t="shared" si="14"/>
        <v>21544</v>
      </c>
      <c r="K1953" s="10">
        <f t="shared" ca="1" si="15"/>
        <v>66</v>
      </c>
      <c r="L1953" s="6"/>
      <c r="M1953" s="6"/>
      <c r="N1953" s="6"/>
      <c r="O1953" s="6"/>
      <c r="P1953" s="6"/>
      <c r="Q1953" s="6"/>
      <c r="R1953" s="6"/>
      <c r="S1953" s="6"/>
      <c r="T1953" s="6"/>
      <c r="U1953" s="6"/>
      <c r="V1953" s="6"/>
      <c r="W1953" s="6"/>
      <c r="X1953" s="6"/>
      <c r="Y1953" s="6"/>
      <c r="Z1953" s="6"/>
    </row>
    <row r="1954" spans="1:26" ht="15.75" customHeight="1" x14ac:dyDescent="0.3">
      <c r="A1954" s="10" t="s">
        <v>776</v>
      </c>
      <c r="B1954" s="10">
        <v>2002</v>
      </c>
      <c r="C1954" s="10" t="s">
        <v>4710</v>
      </c>
      <c r="D1954" s="10">
        <v>17</v>
      </c>
      <c r="E1954" s="10">
        <v>0</v>
      </c>
      <c r="F1954" s="24">
        <v>26927.69</v>
      </c>
      <c r="G1954" s="10" t="s">
        <v>4695</v>
      </c>
      <c r="H1954" s="10" t="s">
        <v>4695</v>
      </c>
      <c r="I1954" s="10" t="s">
        <v>4716</v>
      </c>
      <c r="J1954" s="17">
        <f t="shared" si="14"/>
        <v>37424</v>
      </c>
      <c r="K1954" s="10">
        <f t="shared" ca="1" si="15"/>
        <v>23</v>
      </c>
      <c r="L1954" s="6"/>
      <c r="M1954" s="6"/>
      <c r="N1954" s="6"/>
      <c r="O1954" s="6"/>
      <c r="P1954" s="6"/>
      <c r="Q1954" s="6"/>
      <c r="R1954" s="6"/>
      <c r="S1954" s="6"/>
      <c r="T1954" s="6"/>
      <c r="U1954" s="6"/>
      <c r="V1954" s="6"/>
      <c r="W1954" s="6"/>
      <c r="X1954" s="6"/>
      <c r="Y1954" s="6"/>
      <c r="Z1954" s="6"/>
    </row>
    <row r="1955" spans="1:26" ht="15.75" customHeight="1" x14ac:dyDescent="0.3">
      <c r="A1955" s="10" t="s">
        <v>774</v>
      </c>
      <c r="B1955" s="10">
        <v>2000</v>
      </c>
      <c r="C1955" s="10" t="s">
        <v>4709</v>
      </c>
      <c r="D1955" s="10">
        <v>9</v>
      </c>
      <c r="E1955" s="10">
        <v>0</v>
      </c>
      <c r="F1955" s="24">
        <v>26936.98</v>
      </c>
      <c r="G1955" s="10" t="s">
        <v>4695</v>
      </c>
      <c r="H1955" s="10" t="s">
        <v>4696</v>
      </c>
      <c r="I1955" s="10" t="s">
        <v>4716</v>
      </c>
      <c r="J1955" s="17">
        <f t="shared" si="14"/>
        <v>36839</v>
      </c>
      <c r="K1955" s="10">
        <f t="shared" ca="1" si="15"/>
        <v>25</v>
      </c>
      <c r="L1955" s="6"/>
      <c r="M1955" s="6"/>
      <c r="N1955" s="6"/>
      <c r="O1955" s="6"/>
      <c r="P1955" s="6"/>
      <c r="Q1955" s="6"/>
      <c r="R1955" s="6"/>
      <c r="S1955" s="6"/>
      <c r="T1955" s="6"/>
      <c r="U1955" s="6"/>
      <c r="V1955" s="6"/>
      <c r="W1955" s="6"/>
      <c r="X1955" s="6"/>
      <c r="Y1955" s="6"/>
      <c r="Z1955" s="6"/>
    </row>
    <row r="1956" spans="1:26" ht="15.75" customHeight="1" x14ac:dyDescent="0.3">
      <c r="A1956" s="10" t="s">
        <v>772</v>
      </c>
      <c r="B1956" s="10">
        <v>1960</v>
      </c>
      <c r="C1956" s="10" t="s">
        <v>4707</v>
      </c>
      <c r="D1956" s="10">
        <v>9</v>
      </c>
      <c r="E1956" s="10">
        <v>1</v>
      </c>
      <c r="F1956" s="24">
        <v>27000.98</v>
      </c>
      <c r="G1956" s="10" t="s">
        <v>4695</v>
      </c>
      <c r="H1956" s="10" t="s">
        <v>4695</v>
      </c>
      <c r="I1956" s="10" t="s">
        <v>4708</v>
      </c>
      <c r="J1956" s="17">
        <f t="shared" si="14"/>
        <v>22106</v>
      </c>
      <c r="K1956" s="10">
        <f t="shared" ca="1" si="15"/>
        <v>65</v>
      </c>
      <c r="L1956" s="6"/>
      <c r="M1956" s="6"/>
      <c r="N1956" s="6"/>
      <c r="O1956" s="6"/>
      <c r="P1956" s="6"/>
      <c r="Q1956" s="6"/>
      <c r="R1956" s="6"/>
      <c r="S1956" s="6"/>
      <c r="T1956" s="6"/>
      <c r="U1956" s="6"/>
      <c r="V1956" s="6"/>
      <c r="W1956" s="6"/>
      <c r="X1956" s="6"/>
      <c r="Y1956" s="6"/>
      <c r="Z1956" s="6"/>
    </row>
    <row r="1957" spans="1:26" ht="15.75" customHeight="1" x14ac:dyDescent="0.3">
      <c r="A1957" s="10" t="s">
        <v>770</v>
      </c>
      <c r="B1957" s="10">
        <v>1958</v>
      </c>
      <c r="C1957" s="10" t="s">
        <v>4710</v>
      </c>
      <c r="D1957" s="10">
        <v>30</v>
      </c>
      <c r="E1957" s="10">
        <v>0</v>
      </c>
      <c r="F1957" s="24">
        <v>27037.91</v>
      </c>
      <c r="G1957" s="10" t="s">
        <v>4695</v>
      </c>
      <c r="H1957" s="10" t="s">
        <v>4695</v>
      </c>
      <c r="I1957" s="10" t="s">
        <v>4708</v>
      </c>
      <c r="J1957" s="17">
        <f t="shared" si="14"/>
        <v>21366</v>
      </c>
      <c r="K1957" s="10">
        <f t="shared" ca="1" si="15"/>
        <v>67</v>
      </c>
      <c r="L1957" s="6"/>
      <c r="M1957" s="6"/>
      <c r="N1957" s="6"/>
      <c r="O1957" s="6"/>
      <c r="P1957" s="6"/>
      <c r="Q1957" s="6"/>
      <c r="R1957" s="6"/>
      <c r="S1957" s="6"/>
      <c r="T1957" s="6"/>
      <c r="U1957" s="6"/>
      <c r="V1957" s="6"/>
      <c r="W1957" s="6"/>
      <c r="X1957" s="6"/>
      <c r="Y1957" s="6"/>
      <c r="Z1957" s="6"/>
    </row>
    <row r="1958" spans="1:26" ht="15.75" customHeight="1" x14ac:dyDescent="0.3">
      <c r="A1958" s="10" t="s">
        <v>768</v>
      </c>
      <c r="B1958" s="10">
        <v>1994</v>
      </c>
      <c r="C1958" s="10" t="s">
        <v>4707</v>
      </c>
      <c r="D1958" s="10">
        <v>2</v>
      </c>
      <c r="E1958" s="10">
        <v>0</v>
      </c>
      <c r="F1958" s="24">
        <v>27080.639999999999</v>
      </c>
      <c r="G1958" s="10" t="s">
        <v>4695</v>
      </c>
      <c r="H1958" s="10" t="s">
        <v>4695</v>
      </c>
      <c r="I1958" s="10" t="s">
        <v>4716</v>
      </c>
      <c r="J1958" s="17">
        <f t="shared" si="14"/>
        <v>34517</v>
      </c>
      <c r="K1958" s="10">
        <f t="shared" ca="1" si="15"/>
        <v>31</v>
      </c>
      <c r="L1958" s="6"/>
      <c r="M1958" s="6"/>
      <c r="N1958" s="6"/>
      <c r="O1958" s="6"/>
      <c r="P1958" s="6"/>
      <c r="Q1958" s="6"/>
      <c r="R1958" s="6"/>
      <c r="S1958" s="6"/>
      <c r="T1958" s="6"/>
      <c r="U1958" s="6"/>
      <c r="V1958" s="6"/>
      <c r="W1958" s="6"/>
      <c r="X1958" s="6"/>
      <c r="Y1958" s="6"/>
      <c r="Z1958" s="6"/>
    </row>
    <row r="1959" spans="1:26" ht="15.75" customHeight="1" x14ac:dyDescent="0.3">
      <c r="A1959" s="10" t="s">
        <v>766</v>
      </c>
      <c r="B1959" s="10">
        <v>1990</v>
      </c>
      <c r="C1959" s="10" t="s">
        <v>4713</v>
      </c>
      <c r="D1959" s="10">
        <v>13</v>
      </c>
      <c r="E1959" s="10">
        <v>3</v>
      </c>
      <c r="F1959" s="24">
        <v>27092.38</v>
      </c>
      <c r="G1959" s="10" t="s">
        <v>4695</v>
      </c>
      <c r="H1959" s="10" t="s">
        <v>4696</v>
      </c>
      <c r="I1959" s="10" t="s">
        <v>4716</v>
      </c>
      <c r="J1959" s="17">
        <f t="shared" si="14"/>
        <v>33220</v>
      </c>
      <c r="K1959" s="10">
        <f t="shared" ca="1" si="15"/>
        <v>34</v>
      </c>
      <c r="L1959" s="6"/>
      <c r="M1959" s="6"/>
      <c r="N1959" s="6"/>
      <c r="O1959" s="6"/>
      <c r="P1959" s="6"/>
      <c r="Q1959" s="6"/>
      <c r="R1959" s="6"/>
      <c r="S1959" s="6"/>
      <c r="T1959" s="6"/>
      <c r="U1959" s="6"/>
      <c r="V1959" s="6"/>
      <c r="W1959" s="6"/>
      <c r="X1959" s="6"/>
      <c r="Y1959" s="6"/>
      <c r="Z1959" s="6"/>
    </row>
    <row r="1960" spans="1:26" ht="15.75" customHeight="1" x14ac:dyDescent="0.3">
      <c r="A1960" s="10" t="s">
        <v>764</v>
      </c>
      <c r="B1960" s="10">
        <v>1970</v>
      </c>
      <c r="C1960" s="10" t="s">
        <v>4715</v>
      </c>
      <c r="D1960" s="10">
        <v>2</v>
      </c>
      <c r="E1960" s="10">
        <v>0</v>
      </c>
      <c r="F1960" s="24">
        <v>27117.99</v>
      </c>
      <c r="G1960" s="10" t="s">
        <v>4695</v>
      </c>
      <c r="H1960" s="10" t="s">
        <v>4695</v>
      </c>
      <c r="I1960" s="10" t="s">
        <v>4708</v>
      </c>
      <c r="J1960" s="17">
        <f t="shared" si="14"/>
        <v>25843</v>
      </c>
      <c r="K1960" s="10">
        <f t="shared" ca="1" si="15"/>
        <v>55</v>
      </c>
      <c r="L1960" s="6"/>
      <c r="M1960" s="6"/>
      <c r="N1960" s="6"/>
      <c r="O1960" s="6"/>
      <c r="P1960" s="6"/>
      <c r="Q1960" s="6"/>
      <c r="R1960" s="6"/>
      <c r="S1960" s="6"/>
      <c r="T1960" s="6"/>
      <c r="U1960" s="6"/>
      <c r="V1960" s="6"/>
      <c r="W1960" s="6"/>
      <c r="X1960" s="6"/>
      <c r="Y1960" s="6"/>
      <c r="Z1960" s="6"/>
    </row>
    <row r="1961" spans="1:26" ht="15.75" customHeight="1" x14ac:dyDescent="0.3">
      <c r="A1961" s="10" t="s">
        <v>762</v>
      </c>
      <c r="B1961" s="10">
        <v>1965</v>
      </c>
      <c r="C1961" s="10" t="s">
        <v>4713</v>
      </c>
      <c r="D1961" s="10">
        <v>21</v>
      </c>
      <c r="E1961" s="10">
        <v>0</v>
      </c>
      <c r="F1961" s="24">
        <v>27218.44</v>
      </c>
      <c r="G1961" s="10" t="s">
        <v>4695</v>
      </c>
      <c r="H1961" s="10" t="s">
        <v>4694</v>
      </c>
      <c r="I1961" s="10" t="s">
        <v>4727</v>
      </c>
      <c r="J1961" s="17">
        <f t="shared" si="14"/>
        <v>24097</v>
      </c>
      <c r="K1961" s="10">
        <f t="shared" ca="1" si="15"/>
        <v>59</v>
      </c>
      <c r="L1961" s="6"/>
      <c r="M1961" s="6"/>
      <c r="N1961" s="6"/>
      <c r="O1961" s="6"/>
      <c r="P1961" s="6"/>
      <c r="Q1961" s="6"/>
      <c r="R1961" s="6"/>
      <c r="S1961" s="6"/>
      <c r="T1961" s="6"/>
      <c r="U1961" s="6"/>
      <c r="V1961" s="6"/>
      <c r="W1961" s="6"/>
      <c r="X1961" s="6"/>
      <c r="Y1961" s="6"/>
      <c r="Z1961" s="6"/>
    </row>
    <row r="1962" spans="1:26" ht="15.75" customHeight="1" x14ac:dyDescent="0.3">
      <c r="A1962" s="10" t="s">
        <v>760</v>
      </c>
      <c r="B1962" s="10">
        <v>1999</v>
      </c>
      <c r="C1962" s="10" t="s">
        <v>4713</v>
      </c>
      <c r="D1962" s="10">
        <v>2</v>
      </c>
      <c r="E1962" s="10">
        <v>0</v>
      </c>
      <c r="F1962" s="24">
        <v>27236.959999999999</v>
      </c>
      <c r="G1962" s="10" t="s">
        <v>4695</v>
      </c>
      <c r="H1962" s="10" t="s">
        <v>4694</v>
      </c>
      <c r="I1962" s="10" t="s">
        <v>4716</v>
      </c>
      <c r="J1962" s="17">
        <f t="shared" si="14"/>
        <v>36496</v>
      </c>
      <c r="K1962" s="10">
        <f t="shared" ca="1" si="15"/>
        <v>25</v>
      </c>
      <c r="L1962" s="6"/>
      <c r="M1962" s="6"/>
      <c r="N1962" s="6"/>
      <c r="O1962" s="6"/>
      <c r="P1962" s="6"/>
      <c r="Q1962" s="6"/>
      <c r="R1962" s="6"/>
      <c r="S1962" s="6"/>
      <c r="T1962" s="6"/>
      <c r="U1962" s="6"/>
      <c r="V1962" s="6"/>
      <c r="W1962" s="6"/>
      <c r="X1962" s="6"/>
      <c r="Y1962" s="6"/>
      <c r="Z1962" s="6"/>
    </row>
    <row r="1963" spans="1:26" ht="15.75" customHeight="1" x14ac:dyDescent="0.3">
      <c r="A1963" s="10" t="s">
        <v>758</v>
      </c>
      <c r="B1963" s="10">
        <v>1968</v>
      </c>
      <c r="C1963" s="10" t="s">
        <v>4710</v>
      </c>
      <c r="D1963" s="10">
        <v>6</v>
      </c>
      <c r="E1963" s="10">
        <v>3</v>
      </c>
      <c r="F1963" s="24">
        <v>27322.73</v>
      </c>
      <c r="G1963" s="10" t="s">
        <v>4695</v>
      </c>
      <c r="H1963" s="10" t="s">
        <v>4695</v>
      </c>
      <c r="I1963" s="10" t="s">
        <v>4708</v>
      </c>
      <c r="J1963" s="17">
        <f t="shared" si="14"/>
        <v>24995</v>
      </c>
      <c r="K1963" s="10">
        <f t="shared" ca="1" si="15"/>
        <v>57</v>
      </c>
      <c r="L1963" s="6"/>
      <c r="M1963" s="6"/>
      <c r="N1963" s="6"/>
      <c r="O1963" s="6"/>
      <c r="P1963" s="6"/>
      <c r="Q1963" s="6"/>
      <c r="R1963" s="6"/>
      <c r="S1963" s="6"/>
      <c r="T1963" s="6"/>
      <c r="U1963" s="6"/>
      <c r="V1963" s="6"/>
      <c r="W1963" s="6"/>
      <c r="X1963" s="6"/>
      <c r="Y1963" s="6"/>
      <c r="Z1963" s="6"/>
    </row>
    <row r="1964" spans="1:26" ht="15.75" customHeight="1" x14ac:dyDescent="0.3">
      <c r="A1964" s="10" t="s">
        <v>756</v>
      </c>
      <c r="B1964" s="10">
        <v>1969</v>
      </c>
      <c r="C1964" s="10" t="s">
        <v>4715</v>
      </c>
      <c r="D1964" s="10">
        <v>16</v>
      </c>
      <c r="E1964" s="10">
        <v>0</v>
      </c>
      <c r="F1964" s="24">
        <v>27346.04</v>
      </c>
      <c r="G1964" s="10" t="s">
        <v>4695</v>
      </c>
      <c r="H1964" s="10" t="s">
        <v>4695</v>
      </c>
      <c r="I1964" s="10" t="s">
        <v>4708</v>
      </c>
      <c r="J1964" s="17">
        <f t="shared" si="14"/>
        <v>25492</v>
      </c>
      <c r="K1964" s="10">
        <f t="shared" ca="1" si="15"/>
        <v>56</v>
      </c>
      <c r="L1964" s="6"/>
      <c r="M1964" s="6"/>
      <c r="N1964" s="6"/>
      <c r="O1964" s="6"/>
      <c r="P1964" s="6"/>
      <c r="Q1964" s="6"/>
      <c r="R1964" s="6"/>
      <c r="S1964" s="6"/>
      <c r="T1964" s="6"/>
      <c r="U1964" s="6"/>
      <c r="V1964" s="6"/>
      <c r="W1964" s="6"/>
      <c r="X1964" s="6"/>
      <c r="Y1964" s="6"/>
      <c r="Z1964" s="6"/>
    </row>
    <row r="1965" spans="1:26" ht="15.75" customHeight="1" x14ac:dyDescent="0.3">
      <c r="A1965" s="10" t="s">
        <v>754</v>
      </c>
      <c r="B1965" s="10">
        <v>1988</v>
      </c>
      <c r="C1965" s="10" t="s">
        <v>4711</v>
      </c>
      <c r="D1965" s="10">
        <v>15</v>
      </c>
      <c r="E1965" s="10">
        <v>2</v>
      </c>
      <c r="F1965" s="24">
        <v>27375.9</v>
      </c>
      <c r="G1965" s="10" t="s">
        <v>4695</v>
      </c>
      <c r="H1965" s="10" t="s">
        <v>4696</v>
      </c>
      <c r="I1965" s="10" t="s">
        <v>4718</v>
      </c>
      <c r="J1965" s="17">
        <f t="shared" si="14"/>
        <v>32401</v>
      </c>
      <c r="K1965" s="10">
        <f t="shared" ca="1" si="15"/>
        <v>37</v>
      </c>
      <c r="L1965" s="6"/>
      <c r="M1965" s="6"/>
      <c r="N1965" s="6"/>
      <c r="O1965" s="6"/>
      <c r="P1965" s="6"/>
      <c r="Q1965" s="6"/>
      <c r="R1965" s="6"/>
      <c r="S1965" s="6"/>
      <c r="T1965" s="6"/>
      <c r="U1965" s="6"/>
      <c r="V1965" s="6"/>
      <c r="W1965" s="6"/>
      <c r="X1965" s="6"/>
      <c r="Y1965" s="6"/>
      <c r="Z1965" s="6"/>
    </row>
    <row r="1966" spans="1:26" ht="15.75" customHeight="1" x14ac:dyDescent="0.3">
      <c r="A1966" s="10" t="s">
        <v>752</v>
      </c>
      <c r="B1966" s="10">
        <v>1985</v>
      </c>
      <c r="C1966" s="10" t="s">
        <v>4713</v>
      </c>
      <c r="D1966" s="10">
        <v>5</v>
      </c>
      <c r="E1966" s="10">
        <v>3</v>
      </c>
      <c r="F1966" s="24">
        <v>27432.73</v>
      </c>
      <c r="G1966" s="10" t="s">
        <v>4695</v>
      </c>
      <c r="H1966" s="10" t="s">
        <v>4694</v>
      </c>
      <c r="I1966" s="10" t="s">
        <v>4716</v>
      </c>
      <c r="J1966" s="17">
        <f t="shared" si="14"/>
        <v>31386</v>
      </c>
      <c r="K1966" s="10">
        <f t="shared" ca="1" si="15"/>
        <v>39</v>
      </c>
      <c r="L1966" s="6"/>
      <c r="M1966" s="6"/>
      <c r="N1966" s="6"/>
      <c r="O1966" s="6"/>
      <c r="P1966" s="6"/>
      <c r="Q1966" s="6"/>
      <c r="R1966" s="6"/>
      <c r="S1966" s="6"/>
      <c r="T1966" s="6"/>
      <c r="U1966" s="6"/>
      <c r="V1966" s="6"/>
      <c r="W1966" s="6"/>
      <c r="X1966" s="6"/>
      <c r="Y1966" s="6"/>
      <c r="Z1966" s="6"/>
    </row>
    <row r="1967" spans="1:26" ht="15.75" customHeight="1" x14ac:dyDescent="0.3">
      <c r="A1967" s="10" t="s">
        <v>750</v>
      </c>
      <c r="B1967" s="10">
        <v>1981</v>
      </c>
      <c r="C1967" s="10" t="s">
        <v>4715</v>
      </c>
      <c r="D1967" s="10">
        <v>3</v>
      </c>
      <c r="E1967" s="10">
        <v>1</v>
      </c>
      <c r="F1967" s="24">
        <v>27495.59</v>
      </c>
      <c r="G1967" s="10" t="s">
        <v>4695</v>
      </c>
      <c r="H1967" s="10" t="s">
        <v>4694</v>
      </c>
      <c r="I1967" s="10" t="s">
        <v>4716</v>
      </c>
      <c r="J1967" s="17">
        <f t="shared" si="14"/>
        <v>29862</v>
      </c>
      <c r="K1967" s="10">
        <f t="shared" ca="1" si="15"/>
        <v>44</v>
      </c>
      <c r="L1967" s="6"/>
      <c r="M1967" s="6"/>
      <c r="N1967" s="6"/>
      <c r="O1967" s="6"/>
      <c r="P1967" s="6"/>
      <c r="Q1967" s="6"/>
      <c r="R1967" s="6"/>
      <c r="S1967" s="6"/>
      <c r="T1967" s="6"/>
      <c r="U1967" s="6"/>
      <c r="V1967" s="6"/>
      <c r="W1967" s="6"/>
      <c r="X1967" s="6"/>
      <c r="Y1967" s="6"/>
      <c r="Z1967" s="6"/>
    </row>
    <row r="1968" spans="1:26" ht="15.75" customHeight="1" x14ac:dyDescent="0.3">
      <c r="A1968" s="10" t="s">
        <v>748</v>
      </c>
      <c r="B1968" s="10">
        <v>1965</v>
      </c>
      <c r="C1968" s="10" t="s">
        <v>4715</v>
      </c>
      <c r="D1968" s="10">
        <v>19</v>
      </c>
      <c r="E1968" s="10">
        <v>0</v>
      </c>
      <c r="F1968" s="24">
        <v>27533.91</v>
      </c>
      <c r="G1968" s="10" t="s">
        <v>4695</v>
      </c>
      <c r="H1968" s="10" t="s">
        <v>4696</v>
      </c>
      <c r="I1968" s="10" t="s">
        <v>4708</v>
      </c>
      <c r="J1968" s="17">
        <f t="shared" si="14"/>
        <v>24034</v>
      </c>
      <c r="K1968" s="10">
        <f t="shared" ca="1" si="15"/>
        <v>60</v>
      </c>
      <c r="L1968" s="6"/>
      <c r="M1968" s="6"/>
      <c r="N1968" s="6"/>
      <c r="O1968" s="6"/>
      <c r="P1968" s="6"/>
      <c r="Q1968" s="6"/>
      <c r="R1968" s="6"/>
      <c r="S1968" s="6"/>
      <c r="T1968" s="6"/>
      <c r="U1968" s="6"/>
      <c r="V1968" s="6"/>
      <c r="W1968" s="6"/>
      <c r="X1968" s="6"/>
      <c r="Y1968" s="6"/>
      <c r="Z1968" s="6"/>
    </row>
    <row r="1969" spans="1:26" ht="15.75" customHeight="1" x14ac:dyDescent="0.3">
      <c r="A1969" s="10" t="s">
        <v>746</v>
      </c>
      <c r="B1969" s="10">
        <v>1984</v>
      </c>
      <c r="C1969" s="10" t="s">
        <v>4707</v>
      </c>
      <c r="D1969" s="10">
        <v>22</v>
      </c>
      <c r="E1969" s="10">
        <v>3</v>
      </c>
      <c r="F1969" s="24">
        <v>27534.53</v>
      </c>
      <c r="G1969" s="10" t="s">
        <v>4695</v>
      </c>
      <c r="H1969" s="10" t="s">
        <v>4695</v>
      </c>
      <c r="I1969" s="10" t="s">
        <v>4716</v>
      </c>
      <c r="J1969" s="17">
        <f t="shared" si="14"/>
        <v>30885</v>
      </c>
      <c r="K1969" s="10">
        <f t="shared" ca="1" si="15"/>
        <v>41</v>
      </c>
      <c r="L1969" s="6"/>
      <c r="M1969" s="6"/>
      <c r="N1969" s="6"/>
      <c r="O1969" s="6"/>
      <c r="P1969" s="6"/>
      <c r="Q1969" s="6"/>
      <c r="R1969" s="6"/>
      <c r="S1969" s="6"/>
      <c r="T1969" s="6"/>
      <c r="U1969" s="6"/>
      <c r="V1969" s="6"/>
      <c r="W1969" s="6"/>
      <c r="X1969" s="6"/>
      <c r="Y1969" s="6"/>
      <c r="Z1969" s="6"/>
    </row>
    <row r="1970" spans="1:26" ht="15.75" customHeight="1" x14ac:dyDescent="0.3">
      <c r="A1970" s="10" t="s">
        <v>744</v>
      </c>
      <c r="B1970" s="10">
        <v>1985</v>
      </c>
      <c r="C1970" s="10" t="s">
        <v>4709</v>
      </c>
      <c r="D1970" s="10">
        <v>6</v>
      </c>
      <c r="E1970" s="10">
        <v>3</v>
      </c>
      <c r="F1970" s="24">
        <v>27598.93</v>
      </c>
      <c r="G1970" s="10" t="s">
        <v>4695</v>
      </c>
      <c r="H1970" s="10" t="s">
        <v>4694</v>
      </c>
      <c r="I1970" s="10" t="s">
        <v>4716</v>
      </c>
      <c r="J1970" s="17">
        <f t="shared" si="14"/>
        <v>31357</v>
      </c>
      <c r="K1970" s="10">
        <f t="shared" ca="1" si="15"/>
        <v>40</v>
      </c>
      <c r="L1970" s="6"/>
      <c r="M1970" s="6"/>
      <c r="N1970" s="6"/>
      <c r="O1970" s="6"/>
      <c r="P1970" s="6"/>
      <c r="Q1970" s="6"/>
      <c r="R1970" s="6"/>
      <c r="S1970" s="6"/>
      <c r="T1970" s="6"/>
      <c r="U1970" s="6"/>
      <c r="V1970" s="6"/>
      <c r="W1970" s="6"/>
      <c r="X1970" s="6"/>
      <c r="Y1970" s="6"/>
      <c r="Z1970" s="6"/>
    </row>
    <row r="1971" spans="1:26" ht="15.75" customHeight="1" x14ac:dyDescent="0.3">
      <c r="A1971" s="10" t="s">
        <v>742</v>
      </c>
      <c r="B1971" s="10">
        <v>1992</v>
      </c>
      <c r="C1971" s="10" t="s">
        <v>4710</v>
      </c>
      <c r="D1971" s="10">
        <v>11</v>
      </c>
      <c r="E1971" s="10">
        <v>0</v>
      </c>
      <c r="F1971" s="24">
        <v>27614.71</v>
      </c>
      <c r="G1971" s="10" t="s">
        <v>4695</v>
      </c>
      <c r="H1971" s="10" t="s">
        <v>4696</v>
      </c>
      <c r="I1971" s="10" t="s">
        <v>4716</v>
      </c>
      <c r="J1971" s="17">
        <f t="shared" si="14"/>
        <v>33766</v>
      </c>
      <c r="K1971" s="10">
        <f t="shared" ca="1" si="15"/>
        <v>33</v>
      </c>
      <c r="L1971" s="6"/>
      <c r="M1971" s="6"/>
      <c r="N1971" s="6"/>
      <c r="O1971" s="6"/>
      <c r="P1971" s="6"/>
      <c r="Q1971" s="6"/>
      <c r="R1971" s="6"/>
      <c r="S1971" s="6"/>
      <c r="T1971" s="6"/>
      <c r="U1971" s="6"/>
      <c r="V1971" s="6"/>
      <c r="W1971" s="6"/>
      <c r="X1971" s="6"/>
      <c r="Y1971" s="6"/>
      <c r="Z1971" s="6"/>
    </row>
    <row r="1972" spans="1:26" ht="15.75" customHeight="1" x14ac:dyDescent="0.3">
      <c r="A1972" s="10" t="s">
        <v>740</v>
      </c>
      <c r="B1972" s="10">
        <v>1997</v>
      </c>
      <c r="C1972" s="10" t="s">
        <v>4711</v>
      </c>
      <c r="D1972" s="10">
        <v>9</v>
      </c>
      <c r="E1972" s="10">
        <v>0</v>
      </c>
      <c r="F1972" s="24">
        <v>27619.360000000001</v>
      </c>
      <c r="G1972" s="10" t="s">
        <v>4695</v>
      </c>
      <c r="H1972" s="10" t="s">
        <v>4696</v>
      </c>
      <c r="I1972" s="10" t="s">
        <v>4716</v>
      </c>
      <c r="J1972" s="17">
        <f t="shared" si="14"/>
        <v>35682</v>
      </c>
      <c r="K1972" s="10">
        <f t="shared" ca="1" si="15"/>
        <v>28</v>
      </c>
      <c r="L1972" s="6"/>
      <c r="M1972" s="6"/>
      <c r="N1972" s="6"/>
      <c r="O1972" s="6"/>
      <c r="P1972" s="6"/>
      <c r="Q1972" s="6"/>
      <c r="R1972" s="6"/>
      <c r="S1972" s="6"/>
      <c r="T1972" s="6"/>
      <c r="U1972" s="6"/>
      <c r="V1972" s="6"/>
      <c r="W1972" s="6"/>
      <c r="X1972" s="6"/>
      <c r="Y1972" s="6"/>
      <c r="Z1972" s="6"/>
    </row>
    <row r="1973" spans="1:26" ht="15.75" customHeight="1" x14ac:dyDescent="0.3">
      <c r="A1973" s="10" t="s">
        <v>738</v>
      </c>
      <c r="B1973" s="10">
        <v>1997</v>
      </c>
      <c r="C1973" s="10" t="s">
        <v>4715</v>
      </c>
      <c r="D1973" s="10">
        <v>7</v>
      </c>
      <c r="E1973" s="10">
        <v>0</v>
      </c>
      <c r="F1973" s="24">
        <v>27625.17</v>
      </c>
      <c r="G1973" s="10" t="s">
        <v>4694</v>
      </c>
      <c r="H1973" s="10" t="s">
        <v>4694</v>
      </c>
      <c r="I1973" s="10" t="s">
        <v>4716</v>
      </c>
      <c r="J1973" s="17">
        <f t="shared" si="14"/>
        <v>35710</v>
      </c>
      <c r="K1973" s="10">
        <f t="shared" ca="1" si="15"/>
        <v>28</v>
      </c>
      <c r="L1973" s="6"/>
      <c r="M1973" s="6"/>
      <c r="N1973" s="6"/>
      <c r="O1973" s="6"/>
      <c r="P1973" s="6"/>
      <c r="Q1973" s="6"/>
      <c r="R1973" s="6"/>
      <c r="S1973" s="6"/>
      <c r="T1973" s="6"/>
      <c r="U1973" s="6"/>
      <c r="V1973" s="6"/>
      <c r="W1973" s="6"/>
      <c r="X1973" s="6"/>
      <c r="Y1973" s="6"/>
      <c r="Z1973" s="6"/>
    </row>
    <row r="1974" spans="1:26" ht="15.75" customHeight="1" x14ac:dyDescent="0.3">
      <c r="A1974" s="10" t="s">
        <v>736</v>
      </c>
      <c r="B1974" s="10">
        <v>1992</v>
      </c>
      <c r="C1974" s="10" t="s">
        <v>4707</v>
      </c>
      <c r="D1974" s="10">
        <v>3</v>
      </c>
      <c r="E1974" s="10">
        <v>0</v>
      </c>
      <c r="F1974" s="24">
        <v>27696.11</v>
      </c>
      <c r="G1974" s="10" t="s">
        <v>4694</v>
      </c>
      <c r="H1974" s="10" t="s">
        <v>4695</v>
      </c>
      <c r="I1974" s="10" t="s">
        <v>4716</v>
      </c>
      <c r="J1974" s="17">
        <f t="shared" si="14"/>
        <v>33788</v>
      </c>
      <c r="K1974" s="10">
        <f t="shared" ca="1" si="15"/>
        <v>33</v>
      </c>
      <c r="L1974" s="6"/>
      <c r="M1974" s="6"/>
      <c r="N1974" s="6"/>
      <c r="O1974" s="6"/>
      <c r="P1974" s="6"/>
      <c r="Q1974" s="6"/>
      <c r="R1974" s="6"/>
      <c r="S1974" s="6"/>
      <c r="T1974" s="6"/>
      <c r="U1974" s="6"/>
      <c r="V1974" s="6"/>
      <c r="W1974" s="6"/>
      <c r="X1974" s="6"/>
      <c r="Y1974" s="6"/>
      <c r="Z1974" s="6"/>
    </row>
    <row r="1975" spans="1:26" ht="15.75" customHeight="1" x14ac:dyDescent="0.3">
      <c r="A1975" s="10" t="s">
        <v>734</v>
      </c>
      <c r="B1975" s="10">
        <v>2002</v>
      </c>
      <c r="C1975" s="10" t="s">
        <v>4713</v>
      </c>
      <c r="D1975" s="10">
        <v>6</v>
      </c>
      <c r="E1975" s="10">
        <v>1</v>
      </c>
      <c r="F1975" s="24">
        <v>27724.29</v>
      </c>
      <c r="G1975" s="10" t="s">
        <v>4694</v>
      </c>
      <c r="H1975" s="10" t="s">
        <v>4696</v>
      </c>
      <c r="I1975" s="10" t="s">
        <v>4708</v>
      </c>
      <c r="J1975" s="17">
        <f t="shared" si="14"/>
        <v>37596</v>
      </c>
      <c r="K1975" s="10">
        <f t="shared" ca="1" si="15"/>
        <v>22</v>
      </c>
      <c r="L1975" s="6"/>
      <c r="M1975" s="6"/>
      <c r="N1975" s="6"/>
      <c r="O1975" s="6"/>
      <c r="P1975" s="6"/>
      <c r="Q1975" s="6"/>
      <c r="R1975" s="6"/>
      <c r="S1975" s="6"/>
      <c r="T1975" s="6"/>
      <c r="U1975" s="6"/>
      <c r="V1975" s="6"/>
      <c r="W1975" s="6"/>
      <c r="X1975" s="6"/>
      <c r="Y1975" s="6"/>
      <c r="Z1975" s="6"/>
    </row>
    <row r="1976" spans="1:26" ht="15.75" customHeight="1" x14ac:dyDescent="0.3">
      <c r="A1976" s="10" t="s">
        <v>732</v>
      </c>
      <c r="B1976" s="10">
        <v>1960</v>
      </c>
      <c r="C1976" s="10" t="s">
        <v>4707</v>
      </c>
      <c r="D1976" s="10">
        <v>6</v>
      </c>
      <c r="E1976" s="10">
        <v>0</v>
      </c>
      <c r="F1976" s="24">
        <v>27808.73</v>
      </c>
      <c r="G1976" s="10" t="s">
        <v>4694</v>
      </c>
      <c r="H1976" s="10" t="s">
        <v>4694</v>
      </c>
      <c r="I1976" s="10" t="s">
        <v>4708</v>
      </c>
      <c r="J1976" s="17">
        <f t="shared" si="14"/>
        <v>22103</v>
      </c>
      <c r="K1976" s="10">
        <f t="shared" ca="1" si="15"/>
        <v>65</v>
      </c>
      <c r="L1976" s="6"/>
      <c r="M1976" s="6"/>
      <c r="N1976" s="6"/>
      <c r="O1976" s="6"/>
      <c r="P1976" s="6"/>
      <c r="Q1976" s="6"/>
      <c r="R1976" s="6"/>
      <c r="S1976" s="6"/>
      <c r="T1976" s="6"/>
      <c r="U1976" s="6"/>
      <c r="V1976" s="6"/>
      <c r="W1976" s="6"/>
      <c r="X1976" s="6"/>
      <c r="Y1976" s="6"/>
      <c r="Z1976" s="6"/>
    </row>
    <row r="1977" spans="1:26" ht="15.75" customHeight="1" x14ac:dyDescent="0.3">
      <c r="A1977" s="10" t="s">
        <v>730</v>
      </c>
      <c r="B1977" s="10">
        <v>1985</v>
      </c>
      <c r="C1977" s="10" t="s">
        <v>4713</v>
      </c>
      <c r="D1977" s="10">
        <v>4</v>
      </c>
      <c r="E1977" s="10">
        <v>3</v>
      </c>
      <c r="F1977" s="24">
        <v>27849.94</v>
      </c>
      <c r="G1977" s="10" t="s">
        <v>4694</v>
      </c>
      <c r="H1977" s="10" t="s">
        <v>4694</v>
      </c>
      <c r="I1977" s="10" t="s">
        <v>4716</v>
      </c>
      <c r="J1977" s="17">
        <f t="shared" si="14"/>
        <v>31385</v>
      </c>
      <c r="K1977" s="10">
        <f t="shared" ca="1" si="15"/>
        <v>39</v>
      </c>
      <c r="L1977" s="6"/>
      <c r="M1977" s="6"/>
      <c r="N1977" s="6"/>
      <c r="O1977" s="6"/>
      <c r="P1977" s="6"/>
      <c r="Q1977" s="6"/>
      <c r="R1977" s="6"/>
      <c r="S1977" s="6"/>
      <c r="T1977" s="6"/>
      <c r="U1977" s="6"/>
      <c r="V1977" s="6"/>
      <c r="W1977" s="6"/>
      <c r="X1977" s="6"/>
      <c r="Y1977" s="6"/>
      <c r="Z1977" s="6"/>
    </row>
    <row r="1978" spans="1:26" ht="15.75" customHeight="1" x14ac:dyDescent="0.3">
      <c r="A1978" s="10" t="s">
        <v>728</v>
      </c>
      <c r="B1978" s="10">
        <v>1989</v>
      </c>
      <c r="C1978" s="10" t="s">
        <v>4709</v>
      </c>
      <c r="D1978" s="10">
        <v>21</v>
      </c>
      <c r="E1978" s="10">
        <v>3</v>
      </c>
      <c r="F1978" s="24">
        <v>27925.86</v>
      </c>
      <c r="G1978" s="10" t="s">
        <v>4694</v>
      </c>
      <c r="H1978" s="10" t="s">
        <v>4695</v>
      </c>
      <c r="I1978" s="10" t="s">
        <v>4716</v>
      </c>
      <c r="J1978" s="17">
        <f t="shared" si="14"/>
        <v>32833</v>
      </c>
      <c r="K1978" s="10">
        <f t="shared" ca="1" si="15"/>
        <v>36</v>
      </c>
      <c r="L1978" s="6"/>
      <c r="M1978" s="6"/>
      <c r="N1978" s="6"/>
      <c r="O1978" s="6"/>
      <c r="P1978" s="6"/>
      <c r="Q1978" s="6"/>
      <c r="R1978" s="6"/>
      <c r="S1978" s="6"/>
      <c r="T1978" s="6"/>
      <c r="U1978" s="6"/>
      <c r="V1978" s="6"/>
      <c r="W1978" s="6"/>
      <c r="X1978" s="6"/>
      <c r="Y1978" s="6"/>
      <c r="Z1978" s="6"/>
    </row>
    <row r="1979" spans="1:26" ht="15.75" customHeight="1" x14ac:dyDescent="0.3">
      <c r="A1979" s="10" t="s">
        <v>726</v>
      </c>
      <c r="B1979" s="10">
        <v>1991</v>
      </c>
      <c r="C1979" s="10" t="s">
        <v>4710</v>
      </c>
      <c r="D1979" s="10">
        <v>4</v>
      </c>
      <c r="E1979" s="10">
        <v>3</v>
      </c>
      <c r="F1979" s="24">
        <v>27931.11</v>
      </c>
      <c r="G1979" s="10" t="s">
        <v>4694</v>
      </c>
      <c r="H1979" s="10" t="s">
        <v>4696</v>
      </c>
      <c r="I1979" s="10" t="s">
        <v>4716</v>
      </c>
      <c r="J1979" s="17">
        <f t="shared" si="14"/>
        <v>33393</v>
      </c>
      <c r="K1979" s="10">
        <f t="shared" ca="1" si="15"/>
        <v>34</v>
      </c>
      <c r="L1979" s="6"/>
      <c r="M1979" s="6"/>
      <c r="N1979" s="6"/>
      <c r="O1979" s="6"/>
      <c r="P1979" s="6"/>
      <c r="Q1979" s="6"/>
      <c r="R1979" s="6"/>
      <c r="S1979" s="6"/>
      <c r="T1979" s="6"/>
      <c r="U1979" s="6"/>
      <c r="V1979" s="6"/>
      <c r="W1979" s="6"/>
      <c r="X1979" s="6"/>
      <c r="Y1979" s="6"/>
      <c r="Z1979" s="6"/>
    </row>
    <row r="1980" spans="1:26" ht="15.75" customHeight="1" x14ac:dyDescent="0.3">
      <c r="A1980" s="10" t="s">
        <v>724</v>
      </c>
      <c r="B1980" s="10">
        <v>1961</v>
      </c>
      <c r="C1980" s="10" t="s">
        <v>4707</v>
      </c>
      <c r="D1980" s="10">
        <v>28</v>
      </c>
      <c r="E1980" s="10">
        <v>3</v>
      </c>
      <c r="F1980" s="24">
        <v>27941.29</v>
      </c>
      <c r="G1980" s="10" t="s">
        <v>4694</v>
      </c>
      <c r="H1980" s="10" t="s">
        <v>4696</v>
      </c>
      <c r="I1980" s="10" t="s">
        <v>4716</v>
      </c>
      <c r="J1980" s="17">
        <f t="shared" si="14"/>
        <v>22490</v>
      </c>
      <c r="K1980" s="10">
        <f t="shared" ca="1" si="15"/>
        <v>64</v>
      </c>
      <c r="L1980" s="6"/>
      <c r="M1980" s="6"/>
      <c r="N1980" s="6"/>
      <c r="O1980" s="6"/>
      <c r="P1980" s="6"/>
      <c r="Q1980" s="6"/>
      <c r="R1980" s="6"/>
      <c r="S1980" s="6"/>
      <c r="T1980" s="6"/>
      <c r="U1980" s="6"/>
      <c r="V1980" s="6"/>
      <c r="W1980" s="6"/>
      <c r="X1980" s="6"/>
      <c r="Y1980" s="6"/>
      <c r="Z1980" s="6"/>
    </row>
    <row r="1981" spans="1:26" ht="15.75" customHeight="1" x14ac:dyDescent="0.3">
      <c r="A1981" s="10" t="s">
        <v>722</v>
      </c>
      <c r="B1981" s="10">
        <v>1999</v>
      </c>
      <c r="C1981" s="10" t="s">
        <v>4713</v>
      </c>
      <c r="D1981" s="10">
        <v>21</v>
      </c>
      <c r="E1981" s="10">
        <v>0</v>
      </c>
      <c r="F1981" s="24">
        <v>27980.77</v>
      </c>
      <c r="G1981" s="10" t="s">
        <v>4694</v>
      </c>
      <c r="H1981" s="10" t="s">
        <v>4694</v>
      </c>
      <c r="I1981" s="10" t="s">
        <v>4716</v>
      </c>
      <c r="J1981" s="17">
        <f t="shared" si="14"/>
        <v>36515</v>
      </c>
      <c r="K1981" s="10">
        <f t="shared" ca="1" si="15"/>
        <v>25</v>
      </c>
      <c r="L1981" s="6"/>
      <c r="M1981" s="6"/>
      <c r="N1981" s="6"/>
      <c r="O1981" s="6"/>
      <c r="P1981" s="6"/>
      <c r="Q1981" s="6"/>
      <c r="R1981" s="6"/>
      <c r="S1981" s="6"/>
      <c r="T1981" s="6"/>
      <c r="U1981" s="6"/>
      <c r="V1981" s="6"/>
      <c r="W1981" s="6"/>
      <c r="X1981" s="6"/>
      <c r="Y1981" s="6"/>
      <c r="Z1981" s="6"/>
    </row>
    <row r="1982" spans="1:26" ht="15.75" customHeight="1" x14ac:dyDescent="0.3">
      <c r="A1982" s="10" t="s">
        <v>720</v>
      </c>
      <c r="B1982" s="10">
        <v>1985</v>
      </c>
      <c r="C1982" s="10" t="s">
        <v>4709</v>
      </c>
      <c r="D1982" s="10">
        <v>29</v>
      </c>
      <c r="E1982" s="10">
        <v>3</v>
      </c>
      <c r="F1982" s="24">
        <v>28006.94</v>
      </c>
      <c r="G1982" s="10" t="s">
        <v>4694</v>
      </c>
      <c r="H1982" s="10" t="s">
        <v>4695</v>
      </c>
      <c r="I1982" s="10" t="s">
        <v>4716</v>
      </c>
      <c r="J1982" s="17">
        <f t="shared" si="14"/>
        <v>31380</v>
      </c>
      <c r="K1982" s="10">
        <f t="shared" ca="1" si="15"/>
        <v>40</v>
      </c>
      <c r="L1982" s="6"/>
      <c r="M1982" s="6"/>
      <c r="N1982" s="6"/>
      <c r="O1982" s="6"/>
      <c r="P1982" s="6"/>
      <c r="Q1982" s="6"/>
      <c r="R1982" s="6"/>
      <c r="S1982" s="6"/>
      <c r="T1982" s="6"/>
      <c r="U1982" s="6"/>
      <c r="V1982" s="6"/>
      <c r="W1982" s="6"/>
      <c r="X1982" s="6"/>
      <c r="Y1982" s="6"/>
      <c r="Z1982" s="6"/>
    </row>
    <row r="1983" spans="1:26" ht="15.75" customHeight="1" x14ac:dyDescent="0.3">
      <c r="A1983" s="10" t="s">
        <v>718</v>
      </c>
      <c r="B1983" s="10">
        <v>1960</v>
      </c>
      <c r="C1983" s="10" t="s">
        <v>4709</v>
      </c>
      <c r="D1983" s="10">
        <v>22</v>
      </c>
      <c r="E1983" s="10">
        <v>0</v>
      </c>
      <c r="F1983" s="24">
        <v>28101.33</v>
      </c>
      <c r="G1983" s="10" t="s">
        <v>4694</v>
      </c>
      <c r="H1983" s="10" t="s">
        <v>4695</v>
      </c>
      <c r="I1983" s="10" t="s">
        <v>4719</v>
      </c>
      <c r="J1983" s="17">
        <f t="shared" si="14"/>
        <v>22242</v>
      </c>
      <c r="K1983" s="10">
        <f t="shared" ca="1" si="15"/>
        <v>65</v>
      </c>
      <c r="L1983" s="6"/>
      <c r="M1983" s="6"/>
      <c r="N1983" s="6"/>
      <c r="O1983" s="6"/>
      <c r="P1983" s="6"/>
      <c r="Q1983" s="6"/>
      <c r="R1983" s="6"/>
      <c r="S1983" s="6"/>
      <c r="T1983" s="6"/>
      <c r="U1983" s="6"/>
      <c r="V1983" s="6"/>
      <c r="W1983" s="6"/>
      <c r="X1983" s="6"/>
      <c r="Y1983" s="6"/>
      <c r="Z1983" s="6"/>
    </row>
    <row r="1984" spans="1:26" ht="15.75" customHeight="1" x14ac:dyDescent="0.3">
      <c r="A1984" s="10" t="s">
        <v>716</v>
      </c>
      <c r="B1984" s="10">
        <v>1999</v>
      </c>
      <c r="C1984" s="10" t="s">
        <v>4711</v>
      </c>
      <c r="D1984" s="10">
        <v>6</v>
      </c>
      <c r="E1984" s="10">
        <v>0</v>
      </c>
      <c r="F1984" s="24">
        <v>28245.34</v>
      </c>
      <c r="G1984" s="10" t="s">
        <v>4694</v>
      </c>
      <c r="H1984" s="10" t="s">
        <v>4696</v>
      </c>
      <c r="I1984" s="10" t="s">
        <v>4716</v>
      </c>
      <c r="J1984" s="17">
        <f t="shared" si="14"/>
        <v>36409</v>
      </c>
      <c r="K1984" s="10">
        <f t="shared" ca="1" si="15"/>
        <v>26</v>
      </c>
      <c r="L1984" s="6"/>
      <c r="M1984" s="6"/>
      <c r="N1984" s="6"/>
      <c r="O1984" s="6"/>
      <c r="P1984" s="6"/>
      <c r="Q1984" s="6"/>
      <c r="R1984" s="6"/>
      <c r="S1984" s="6"/>
      <c r="T1984" s="6"/>
      <c r="U1984" s="6"/>
      <c r="V1984" s="6"/>
      <c r="W1984" s="6"/>
      <c r="X1984" s="6"/>
      <c r="Y1984" s="6"/>
      <c r="Z1984" s="6"/>
    </row>
    <row r="1985" spans="1:26" ht="15.75" customHeight="1" x14ac:dyDescent="0.3">
      <c r="A1985" s="10" t="s">
        <v>714</v>
      </c>
      <c r="B1985" s="10">
        <v>1963</v>
      </c>
      <c r="C1985" s="10" t="s">
        <v>4709</v>
      </c>
      <c r="D1985" s="10">
        <v>25</v>
      </c>
      <c r="E1985" s="10">
        <v>1</v>
      </c>
      <c r="F1985" s="24">
        <v>28287.9</v>
      </c>
      <c r="G1985" s="10" t="s">
        <v>4694</v>
      </c>
      <c r="H1985" s="10" t="s">
        <v>4694</v>
      </c>
      <c r="I1985" s="10" t="s">
        <v>4708</v>
      </c>
      <c r="J1985" s="17">
        <f t="shared" si="14"/>
        <v>23340</v>
      </c>
      <c r="K1985" s="10">
        <f t="shared" ca="1" si="15"/>
        <v>62</v>
      </c>
      <c r="L1985" s="6"/>
      <c r="M1985" s="6"/>
      <c r="N1985" s="6"/>
      <c r="O1985" s="6"/>
      <c r="P1985" s="6"/>
      <c r="Q1985" s="6"/>
      <c r="R1985" s="6"/>
      <c r="S1985" s="6"/>
      <c r="T1985" s="6"/>
      <c r="U1985" s="6"/>
      <c r="V1985" s="6"/>
      <c r="W1985" s="6"/>
      <c r="X1985" s="6"/>
      <c r="Y1985" s="6"/>
      <c r="Z1985" s="6"/>
    </row>
    <row r="1986" spans="1:26" ht="15.75" customHeight="1" x14ac:dyDescent="0.3">
      <c r="A1986" s="10" t="s">
        <v>712</v>
      </c>
      <c r="B1986" s="10">
        <v>1990</v>
      </c>
      <c r="C1986" s="10" t="s">
        <v>4713</v>
      </c>
      <c r="D1986" s="10">
        <v>24</v>
      </c>
      <c r="E1986" s="10">
        <v>3</v>
      </c>
      <c r="F1986" s="24">
        <v>28302.33</v>
      </c>
      <c r="G1986" s="10" t="s">
        <v>4694</v>
      </c>
      <c r="H1986" s="10" t="s">
        <v>4695</v>
      </c>
      <c r="I1986" s="10" t="s">
        <v>4716</v>
      </c>
      <c r="J1986" s="17">
        <f t="shared" si="14"/>
        <v>33231</v>
      </c>
      <c r="K1986" s="10">
        <f t="shared" ca="1" si="15"/>
        <v>34</v>
      </c>
      <c r="L1986" s="6"/>
      <c r="M1986" s="6"/>
      <c r="N1986" s="6"/>
      <c r="O1986" s="6"/>
      <c r="P1986" s="6"/>
      <c r="Q1986" s="6"/>
      <c r="R1986" s="6"/>
      <c r="S1986" s="6"/>
      <c r="T1986" s="6"/>
      <c r="U1986" s="6"/>
      <c r="V1986" s="6"/>
      <c r="W1986" s="6"/>
      <c r="X1986" s="6"/>
      <c r="Y1986" s="6"/>
      <c r="Z1986" s="6"/>
    </row>
    <row r="1987" spans="1:26" ht="15.75" customHeight="1" x14ac:dyDescent="0.3">
      <c r="A1987" s="10" t="s">
        <v>710</v>
      </c>
      <c r="B1987" s="10">
        <v>1977</v>
      </c>
      <c r="C1987" s="10" t="s">
        <v>4713</v>
      </c>
      <c r="D1987" s="10">
        <v>2</v>
      </c>
      <c r="E1987" s="10">
        <v>1</v>
      </c>
      <c r="F1987" s="24">
        <v>28340.19</v>
      </c>
      <c r="G1987" s="10" t="s">
        <v>4694</v>
      </c>
      <c r="H1987" s="10" t="s">
        <v>4695</v>
      </c>
      <c r="I1987" s="10" t="s">
        <v>4712</v>
      </c>
      <c r="J1987" s="17">
        <f t="shared" si="14"/>
        <v>28461</v>
      </c>
      <c r="K1987" s="10">
        <f t="shared" ca="1" si="15"/>
        <v>47</v>
      </c>
      <c r="L1987" s="6"/>
      <c r="M1987" s="6"/>
      <c r="N1987" s="6"/>
      <c r="O1987" s="6"/>
      <c r="P1987" s="6"/>
      <c r="Q1987" s="6"/>
      <c r="R1987" s="6"/>
      <c r="S1987" s="6"/>
      <c r="T1987" s="6"/>
      <c r="U1987" s="6"/>
      <c r="V1987" s="6"/>
      <c r="W1987" s="6"/>
      <c r="X1987" s="6"/>
      <c r="Y1987" s="6"/>
      <c r="Z1987" s="6"/>
    </row>
    <row r="1988" spans="1:26" ht="15.75" customHeight="1" x14ac:dyDescent="0.3">
      <c r="A1988" s="10" t="s">
        <v>708</v>
      </c>
      <c r="B1988" s="10">
        <v>1974</v>
      </c>
      <c r="C1988" s="10" t="s">
        <v>4711</v>
      </c>
      <c r="D1988" s="10">
        <v>16</v>
      </c>
      <c r="E1988" s="10">
        <v>1</v>
      </c>
      <c r="F1988" s="24">
        <v>28468.92</v>
      </c>
      <c r="G1988" s="10" t="s">
        <v>4694</v>
      </c>
      <c r="H1988" s="10" t="s">
        <v>4694</v>
      </c>
      <c r="I1988" s="10" t="s">
        <v>4712</v>
      </c>
      <c r="J1988" s="17">
        <f t="shared" si="14"/>
        <v>27288</v>
      </c>
      <c r="K1988" s="10">
        <f t="shared" ca="1" si="15"/>
        <v>51</v>
      </c>
      <c r="L1988" s="6"/>
      <c r="M1988" s="6"/>
      <c r="N1988" s="6"/>
      <c r="O1988" s="6"/>
      <c r="P1988" s="6"/>
      <c r="Q1988" s="6"/>
      <c r="R1988" s="6"/>
      <c r="S1988" s="6"/>
      <c r="T1988" s="6"/>
      <c r="U1988" s="6"/>
      <c r="V1988" s="6"/>
      <c r="W1988" s="6"/>
      <c r="X1988" s="6"/>
      <c r="Y1988" s="6"/>
      <c r="Z1988" s="6"/>
    </row>
    <row r="1989" spans="1:26" ht="15.75" customHeight="1" x14ac:dyDescent="0.3">
      <c r="A1989" s="10" t="s">
        <v>706</v>
      </c>
      <c r="B1989" s="10">
        <v>1982</v>
      </c>
      <c r="C1989" s="10" t="s">
        <v>4713</v>
      </c>
      <c r="D1989" s="10">
        <v>11</v>
      </c>
      <c r="E1989" s="10">
        <v>1</v>
      </c>
      <c r="F1989" s="24">
        <v>28476.73</v>
      </c>
      <c r="G1989" s="10" t="s">
        <v>4694</v>
      </c>
      <c r="H1989" s="10" t="s">
        <v>4695</v>
      </c>
      <c r="I1989" s="10" t="s">
        <v>4712</v>
      </c>
      <c r="J1989" s="17">
        <f t="shared" si="14"/>
        <v>30296</v>
      </c>
      <c r="K1989" s="10">
        <f t="shared" ca="1" si="15"/>
        <v>42</v>
      </c>
      <c r="L1989" s="6"/>
      <c r="M1989" s="6"/>
      <c r="N1989" s="6"/>
      <c r="O1989" s="6"/>
      <c r="P1989" s="6"/>
      <c r="Q1989" s="6"/>
      <c r="R1989" s="6"/>
      <c r="S1989" s="6"/>
      <c r="T1989" s="6"/>
      <c r="U1989" s="6"/>
      <c r="V1989" s="6"/>
      <c r="W1989" s="6"/>
      <c r="X1989" s="6"/>
      <c r="Y1989" s="6"/>
      <c r="Z1989" s="6"/>
    </row>
    <row r="1990" spans="1:26" ht="15.75" customHeight="1" x14ac:dyDescent="0.3">
      <c r="A1990" s="10" t="s">
        <v>704</v>
      </c>
      <c r="B1990" s="10">
        <v>1985</v>
      </c>
      <c r="C1990" s="10" t="s">
        <v>4711</v>
      </c>
      <c r="D1990" s="10">
        <v>27</v>
      </c>
      <c r="E1990" s="10">
        <v>3</v>
      </c>
      <c r="F1990" s="24">
        <v>28542.86</v>
      </c>
      <c r="G1990" s="10" t="s">
        <v>4694</v>
      </c>
      <c r="H1990" s="10" t="s">
        <v>4696</v>
      </c>
      <c r="I1990" s="10" t="s">
        <v>4716</v>
      </c>
      <c r="J1990" s="17">
        <f t="shared" si="14"/>
        <v>31317</v>
      </c>
      <c r="K1990" s="10">
        <f t="shared" ca="1" si="15"/>
        <v>40</v>
      </c>
      <c r="L1990" s="6"/>
      <c r="M1990" s="6"/>
      <c r="N1990" s="6"/>
      <c r="O1990" s="6"/>
      <c r="P1990" s="6"/>
      <c r="Q1990" s="6"/>
      <c r="R1990" s="6"/>
      <c r="S1990" s="6"/>
      <c r="T1990" s="6"/>
      <c r="U1990" s="6"/>
      <c r="V1990" s="6"/>
      <c r="W1990" s="6"/>
      <c r="X1990" s="6"/>
      <c r="Y1990" s="6"/>
      <c r="Z1990" s="6"/>
    </row>
    <row r="1991" spans="1:26" ht="15.75" customHeight="1" x14ac:dyDescent="0.3">
      <c r="A1991" s="10" t="s">
        <v>702</v>
      </c>
      <c r="B1991" s="10">
        <v>1990</v>
      </c>
      <c r="C1991" s="10" t="s">
        <v>4713</v>
      </c>
      <c r="D1991" s="10">
        <v>5</v>
      </c>
      <c r="E1991" s="10">
        <v>3</v>
      </c>
      <c r="F1991" s="24">
        <v>28716.14</v>
      </c>
      <c r="G1991" s="10" t="s">
        <v>4694</v>
      </c>
      <c r="H1991" s="10" t="s">
        <v>4696</v>
      </c>
      <c r="I1991" s="10" t="s">
        <v>4716</v>
      </c>
      <c r="J1991" s="17">
        <f t="shared" si="14"/>
        <v>33212</v>
      </c>
      <c r="K1991" s="10">
        <f t="shared" ca="1" si="15"/>
        <v>34</v>
      </c>
      <c r="L1991" s="6"/>
      <c r="M1991" s="6"/>
      <c r="N1991" s="6"/>
      <c r="O1991" s="6"/>
      <c r="P1991" s="6"/>
      <c r="Q1991" s="6"/>
      <c r="R1991" s="6"/>
      <c r="S1991" s="6"/>
      <c r="T1991" s="6"/>
      <c r="U1991" s="6"/>
      <c r="V1991" s="6"/>
      <c r="W1991" s="6"/>
      <c r="X1991" s="6"/>
      <c r="Y1991" s="6"/>
      <c r="Z1991" s="6"/>
    </row>
    <row r="1992" spans="1:26" ht="15.75" customHeight="1" x14ac:dyDescent="0.3">
      <c r="A1992" s="10" t="s">
        <v>700</v>
      </c>
      <c r="B1992" s="10">
        <v>1961</v>
      </c>
      <c r="C1992" s="10" t="s">
        <v>4714</v>
      </c>
      <c r="D1992" s="10">
        <v>3</v>
      </c>
      <c r="E1992" s="10">
        <v>1</v>
      </c>
      <c r="F1992" s="24">
        <v>28868.66</v>
      </c>
      <c r="G1992" s="10" t="s">
        <v>4694</v>
      </c>
      <c r="H1992" s="10" t="s">
        <v>4695</v>
      </c>
      <c r="I1992" s="10" t="s">
        <v>4712</v>
      </c>
      <c r="J1992" s="17">
        <f t="shared" si="14"/>
        <v>22496</v>
      </c>
      <c r="K1992" s="10">
        <f t="shared" ca="1" si="15"/>
        <v>64</v>
      </c>
      <c r="L1992" s="6"/>
      <c r="M1992" s="6"/>
      <c r="N1992" s="6"/>
      <c r="O1992" s="6"/>
      <c r="P1992" s="6"/>
      <c r="Q1992" s="6"/>
      <c r="R1992" s="6"/>
      <c r="S1992" s="6"/>
      <c r="T1992" s="6"/>
      <c r="U1992" s="6"/>
      <c r="V1992" s="6"/>
      <c r="W1992" s="6"/>
      <c r="X1992" s="6"/>
      <c r="Y1992" s="6"/>
      <c r="Z1992" s="6"/>
    </row>
    <row r="1993" spans="1:26" ht="15.75" customHeight="1" x14ac:dyDescent="0.3">
      <c r="A1993" s="10" t="s">
        <v>698</v>
      </c>
      <c r="B1993" s="10">
        <v>1962</v>
      </c>
      <c r="C1993" s="10" t="s">
        <v>4707</v>
      </c>
      <c r="D1993" s="10">
        <v>25</v>
      </c>
      <c r="E1993" s="10">
        <v>0</v>
      </c>
      <c r="F1993" s="24">
        <v>28923.14</v>
      </c>
      <c r="G1993" s="10" t="s">
        <v>4694</v>
      </c>
      <c r="H1993" s="10" t="s">
        <v>4694</v>
      </c>
      <c r="I1993" s="10" t="s">
        <v>4712</v>
      </c>
      <c r="J1993" s="17">
        <f t="shared" si="14"/>
        <v>22852</v>
      </c>
      <c r="K1993" s="10">
        <f t="shared" ca="1" si="15"/>
        <v>63</v>
      </c>
      <c r="L1993" s="6"/>
      <c r="M1993" s="6"/>
      <c r="N1993" s="6"/>
      <c r="O1993" s="6"/>
      <c r="P1993" s="6"/>
      <c r="Q1993" s="6"/>
      <c r="R1993" s="6"/>
      <c r="S1993" s="6"/>
      <c r="T1993" s="6"/>
      <c r="U1993" s="6"/>
      <c r="V1993" s="6"/>
      <c r="W1993" s="6"/>
      <c r="X1993" s="6"/>
      <c r="Y1993" s="6"/>
      <c r="Z1993" s="6"/>
    </row>
    <row r="1994" spans="1:26" ht="15.75" customHeight="1" x14ac:dyDescent="0.3">
      <c r="A1994" s="10" t="s">
        <v>696</v>
      </c>
      <c r="B1994" s="10">
        <v>1959</v>
      </c>
      <c r="C1994" s="10" t="s">
        <v>4713</v>
      </c>
      <c r="D1994" s="10">
        <v>5</v>
      </c>
      <c r="E1994" s="10">
        <v>0</v>
      </c>
      <c r="F1994" s="24">
        <v>28950.47</v>
      </c>
      <c r="G1994" s="10" t="s">
        <v>4694</v>
      </c>
      <c r="H1994" s="10" t="s">
        <v>4694</v>
      </c>
      <c r="I1994" s="10" t="s">
        <v>4712</v>
      </c>
      <c r="J1994" s="17">
        <f t="shared" si="14"/>
        <v>21889</v>
      </c>
      <c r="K1994" s="10">
        <f t="shared" ca="1" si="15"/>
        <v>65</v>
      </c>
      <c r="L1994" s="6"/>
      <c r="M1994" s="6"/>
      <c r="N1994" s="6"/>
      <c r="O1994" s="6"/>
      <c r="P1994" s="6"/>
      <c r="Q1994" s="6"/>
      <c r="R1994" s="6"/>
      <c r="S1994" s="6"/>
      <c r="T1994" s="6"/>
      <c r="U1994" s="6"/>
      <c r="V1994" s="6"/>
      <c r="W1994" s="6"/>
      <c r="X1994" s="6"/>
      <c r="Y1994" s="6"/>
      <c r="Z1994" s="6"/>
    </row>
    <row r="1995" spans="1:26" ht="15.75" customHeight="1" x14ac:dyDescent="0.3">
      <c r="A1995" s="10" t="s">
        <v>694</v>
      </c>
      <c r="B1995" s="10">
        <v>2003</v>
      </c>
      <c r="C1995" s="10" t="s">
        <v>4711</v>
      </c>
      <c r="D1995" s="10">
        <v>1</v>
      </c>
      <c r="E1995" s="10">
        <v>0</v>
      </c>
      <c r="F1995" s="24">
        <v>28998.68</v>
      </c>
      <c r="G1995" s="10" t="s">
        <v>4694</v>
      </c>
      <c r="H1995" s="10" t="s">
        <v>4696</v>
      </c>
      <c r="I1995" s="10" t="s">
        <v>4716</v>
      </c>
      <c r="J1995" s="17">
        <f t="shared" si="14"/>
        <v>37865</v>
      </c>
      <c r="K1995" s="10">
        <f t="shared" ca="1" si="15"/>
        <v>22</v>
      </c>
      <c r="L1995" s="6"/>
      <c r="M1995" s="6"/>
      <c r="N1995" s="6"/>
      <c r="O1995" s="6"/>
      <c r="P1995" s="6"/>
      <c r="Q1995" s="6"/>
      <c r="R1995" s="6"/>
      <c r="S1995" s="6"/>
      <c r="T1995" s="6"/>
      <c r="U1995" s="6"/>
      <c r="V1995" s="6"/>
      <c r="W1995" s="6"/>
      <c r="X1995" s="6"/>
      <c r="Y1995" s="6"/>
      <c r="Z1995" s="6"/>
    </row>
    <row r="1996" spans="1:26" ht="15.75" customHeight="1" x14ac:dyDescent="0.3">
      <c r="A1996" s="10" t="s">
        <v>692</v>
      </c>
      <c r="B1996" s="10">
        <v>1992</v>
      </c>
      <c r="C1996" s="10" t="s">
        <v>4707</v>
      </c>
      <c r="D1996" s="10">
        <v>7</v>
      </c>
      <c r="E1996" s="10">
        <v>0</v>
      </c>
      <c r="F1996" s="24">
        <v>29007.82</v>
      </c>
      <c r="G1996" s="10" t="s">
        <v>4694</v>
      </c>
      <c r="H1996" s="10" t="s">
        <v>4696</v>
      </c>
      <c r="I1996" s="10" t="s">
        <v>4716</v>
      </c>
      <c r="J1996" s="17">
        <f t="shared" si="14"/>
        <v>33792</v>
      </c>
      <c r="K1996" s="10">
        <f t="shared" ca="1" si="15"/>
        <v>33</v>
      </c>
      <c r="L1996" s="6"/>
      <c r="M1996" s="6"/>
      <c r="N1996" s="6"/>
      <c r="O1996" s="6"/>
      <c r="P1996" s="6"/>
      <c r="Q1996" s="6"/>
      <c r="R1996" s="6"/>
      <c r="S1996" s="6"/>
      <c r="T1996" s="6"/>
      <c r="U1996" s="6"/>
      <c r="V1996" s="6"/>
      <c r="W1996" s="6"/>
      <c r="X1996" s="6"/>
      <c r="Y1996" s="6"/>
      <c r="Z1996" s="6"/>
    </row>
    <row r="1997" spans="1:26" ht="15.75" customHeight="1" x14ac:dyDescent="0.3">
      <c r="A1997" s="10" t="s">
        <v>690</v>
      </c>
      <c r="B1997" s="10">
        <v>1980</v>
      </c>
      <c r="C1997" s="10" t="s">
        <v>4707</v>
      </c>
      <c r="D1997" s="10">
        <v>14</v>
      </c>
      <c r="E1997" s="10">
        <v>2</v>
      </c>
      <c r="F1997" s="24">
        <v>29114.21</v>
      </c>
      <c r="G1997" s="10" t="s">
        <v>4694</v>
      </c>
      <c r="H1997" s="10" t="s">
        <v>4696</v>
      </c>
      <c r="I1997" s="10" t="s">
        <v>4716</v>
      </c>
      <c r="J1997" s="17">
        <f t="shared" si="14"/>
        <v>29416</v>
      </c>
      <c r="K1997" s="10">
        <f t="shared" ca="1" si="15"/>
        <v>45</v>
      </c>
      <c r="L1997" s="6"/>
      <c r="M1997" s="6"/>
      <c r="N1997" s="6"/>
      <c r="O1997" s="6"/>
      <c r="P1997" s="6"/>
      <c r="Q1997" s="6"/>
      <c r="R1997" s="6"/>
      <c r="S1997" s="6"/>
      <c r="T1997" s="6"/>
      <c r="U1997" s="6"/>
      <c r="V1997" s="6"/>
      <c r="W1997" s="6"/>
      <c r="X1997" s="6"/>
      <c r="Y1997" s="6"/>
      <c r="Z1997" s="6"/>
    </row>
    <row r="1998" spans="1:26" ht="15.75" customHeight="1" x14ac:dyDescent="0.3">
      <c r="A1998" s="10" t="s">
        <v>688</v>
      </c>
      <c r="B1998" s="10">
        <v>1978</v>
      </c>
      <c r="C1998" s="10" t="s">
        <v>4709</v>
      </c>
      <c r="D1998" s="10">
        <v>29</v>
      </c>
      <c r="E1998" s="10">
        <v>2</v>
      </c>
      <c r="F1998" s="24">
        <v>29114.77</v>
      </c>
      <c r="G1998" s="10" t="s">
        <v>4694</v>
      </c>
      <c r="H1998" s="10" t="s">
        <v>4694</v>
      </c>
      <c r="I1998" s="10" t="s">
        <v>4716</v>
      </c>
      <c r="J1998" s="17">
        <f t="shared" si="14"/>
        <v>28823</v>
      </c>
      <c r="K1998" s="10">
        <f t="shared" ca="1" si="15"/>
        <v>47</v>
      </c>
      <c r="L1998" s="6"/>
      <c r="M1998" s="6"/>
      <c r="N1998" s="6"/>
      <c r="O1998" s="6"/>
      <c r="P1998" s="6"/>
      <c r="Q1998" s="6"/>
      <c r="R1998" s="6"/>
      <c r="S1998" s="6"/>
      <c r="T1998" s="6"/>
      <c r="U1998" s="6"/>
      <c r="V1998" s="6"/>
      <c r="W1998" s="6"/>
      <c r="X1998" s="6"/>
      <c r="Y1998" s="6"/>
      <c r="Z1998" s="6"/>
    </row>
    <row r="1999" spans="1:26" ht="15.75" customHeight="1" x14ac:dyDescent="0.3">
      <c r="A1999" s="10" t="s">
        <v>686</v>
      </c>
      <c r="B1999" s="10">
        <v>1961</v>
      </c>
      <c r="C1999" s="10" t="s">
        <v>4713</v>
      </c>
      <c r="D1999" s="10">
        <v>24</v>
      </c>
      <c r="E1999" s="10">
        <v>0</v>
      </c>
      <c r="F1999" s="24">
        <v>29141.360000000001</v>
      </c>
      <c r="G1999" s="10" t="s">
        <v>4694</v>
      </c>
      <c r="H1999" s="10" t="s">
        <v>4696</v>
      </c>
      <c r="I1999" s="10" t="s">
        <v>4712</v>
      </c>
      <c r="J1999" s="17">
        <f t="shared" si="14"/>
        <v>22639</v>
      </c>
      <c r="K1999" s="10">
        <f t="shared" ca="1" si="15"/>
        <v>63</v>
      </c>
      <c r="L1999" s="6"/>
      <c r="M1999" s="6"/>
      <c r="N1999" s="6"/>
      <c r="O1999" s="6"/>
      <c r="P1999" s="6"/>
      <c r="Q1999" s="6"/>
      <c r="R1999" s="6"/>
      <c r="S1999" s="6"/>
      <c r="T1999" s="6"/>
      <c r="U1999" s="6"/>
      <c r="V1999" s="6"/>
      <c r="W1999" s="6"/>
      <c r="X1999" s="6"/>
      <c r="Y1999" s="6"/>
      <c r="Z1999" s="6"/>
    </row>
    <row r="2000" spans="1:26" ht="15.75" customHeight="1" x14ac:dyDescent="0.3">
      <c r="A2000" s="10" t="s">
        <v>684</v>
      </c>
      <c r="B2000" s="10">
        <v>1976</v>
      </c>
      <c r="C2000" s="10" t="s">
        <v>4709</v>
      </c>
      <c r="D2000" s="10">
        <v>8</v>
      </c>
      <c r="E2000" s="10">
        <v>2</v>
      </c>
      <c r="F2000" s="24">
        <v>29160.39</v>
      </c>
      <c r="G2000" s="10" t="s">
        <v>4694</v>
      </c>
      <c r="H2000" s="10" t="s">
        <v>4695</v>
      </c>
      <c r="I2000" s="10" t="s">
        <v>4716</v>
      </c>
      <c r="J2000" s="17">
        <f t="shared" si="14"/>
        <v>28072</v>
      </c>
      <c r="K2000" s="10">
        <f t="shared" ca="1" si="15"/>
        <v>49</v>
      </c>
      <c r="L2000" s="6"/>
      <c r="M2000" s="6"/>
      <c r="N2000" s="6"/>
      <c r="O2000" s="6"/>
      <c r="P2000" s="6"/>
      <c r="Q2000" s="6"/>
      <c r="R2000" s="6"/>
      <c r="S2000" s="6"/>
      <c r="T2000" s="6"/>
      <c r="U2000" s="6"/>
      <c r="V2000" s="6"/>
      <c r="W2000" s="6"/>
      <c r="X2000" s="6"/>
      <c r="Y2000" s="6"/>
      <c r="Z2000" s="6"/>
    </row>
    <row r="2001" spans="1:26" ht="15.75" customHeight="1" x14ac:dyDescent="0.3">
      <c r="A2001" s="10" t="s">
        <v>682</v>
      </c>
      <c r="B2001" s="10">
        <v>1969</v>
      </c>
      <c r="C2001" s="10" t="s">
        <v>4707</v>
      </c>
      <c r="D2001" s="10">
        <v>9</v>
      </c>
      <c r="E2001" s="10">
        <v>2</v>
      </c>
      <c r="F2001" s="24">
        <v>29186.48</v>
      </c>
      <c r="G2001" s="10" t="s">
        <v>4694</v>
      </c>
      <c r="H2001" s="10" t="s">
        <v>4696</v>
      </c>
      <c r="I2001" s="10" t="s">
        <v>4723</v>
      </c>
      <c r="J2001" s="17">
        <f t="shared" si="14"/>
        <v>25393</v>
      </c>
      <c r="K2001" s="10">
        <f t="shared" ca="1" si="15"/>
        <v>56</v>
      </c>
      <c r="L2001" s="6"/>
      <c r="M2001" s="6"/>
      <c r="N2001" s="6"/>
      <c r="O2001" s="6"/>
      <c r="P2001" s="6"/>
      <c r="Q2001" s="6"/>
      <c r="R2001" s="6"/>
      <c r="S2001" s="6"/>
      <c r="T2001" s="6"/>
      <c r="U2001" s="6"/>
      <c r="V2001" s="6"/>
      <c r="W2001" s="6"/>
      <c r="X2001" s="6"/>
      <c r="Y2001" s="6"/>
      <c r="Z2001" s="6"/>
    </row>
    <row r="2002" spans="1:26" ht="15.75" customHeight="1" x14ac:dyDescent="0.3">
      <c r="A2002" s="10" t="s">
        <v>680</v>
      </c>
      <c r="B2002" s="10">
        <v>1978</v>
      </c>
      <c r="C2002" s="10" t="s">
        <v>4707</v>
      </c>
      <c r="D2002" s="10">
        <v>21</v>
      </c>
      <c r="E2002" s="10">
        <v>2</v>
      </c>
      <c r="F2002" s="24">
        <v>29227.599999999999</v>
      </c>
      <c r="G2002" s="10" t="s">
        <v>4694</v>
      </c>
      <c r="H2002" s="10" t="s">
        <v>4696</v>
      </c>
      <c r="I2002" s="10" t="s">
        <v>4712</v>
      </c>
      <c r="J2002" s="17">
        <f t="shared" si="14"/>
        <v>28692</v>
      </c>
      <c r="K2002" s="10">
        <f t="shared" ca="1" si="15"/>
        <v>47</v>
      </c>
      <c r="L2002" s="6"/>
      <c r="M2002" s="6"/>
      <c r="N2002" s="6"/>
      <c r="O2002" s="6"/>
      <c r="P2002" s="6"/>
      <c r="Q2002" s="6"/>
      <c r="R2002" s="6"/>
      <c r="S2002" s="6"/>
      <c r="T2002" s="6"/>
      <c r="U2002" s="6"/>
      <c r="V2002" s="6"/>
      <c r="W2002" s="6"/>
      <c r="X2002" s="6"/>
      <c r="Y2002" s="6"/>
      <c r="Z2002" s="6"/>
    </row>
    <row r="2003" spans="1:26" ht="15.75" customHeight="1" x14ac:dyDescent="0.3">
      <c r="A2003" s="10" t="s">
        <v>678</v>
      </c>
      <c r="B2003" s="10">
        <v>1958</v>
      </c>
      <c r="C2003" s="10" t="s">
        <v>4710</v>
      </c>
      <c r="D2003" s="10">
        <v>5</v>
      </c>
      <c r="E2003" s="10">
        <v>0</v>
      </c>
      <c r="F2003" s="24">
        <v>29330.98</v>
      </c>
      <c r="G2003" s="10" t="s">
        <v>4694</v>
      </c>
      <c r="H2003" s="10" t="s">
        <v>4695</v>
      </c>
      <c r="I2003" s="10" t="s">
        <v>4712</v>
      </c>
      <c r="J2003" s="17">
        <f t="shared" si="14"/>
        <v>21341</v>
      </c>
      <c r="K2003" s="10">
        <f t="shared" ca="1" si="15"/>
        <v>67</v>
      </c>
      <c r="L2003" s="6"/>
      <c r="M2003" s="6"/>
      <c r="N2003" s="6"/>
      <c r="O2003" s="6"/>
      <c r="P2003" s="6"/>
      <c r="Q2003" s="6"/>
      <c r="R2003" s="6"/>
      <c r="S2003" s="6"/>
      <c r="T2003" s="6"/>
      <c r="U2003" s="6"/>
      <c r="V2003" s="6"/>
      <c r="W2003" s="6"/>
      <c r="X2003" s="6"/>
      <c r="Y2003" s="6"/>
      <c r="Z2003" s="6"/>
    </row>
    <row r="2004" spans="1:26" ht="15.75" customHeight="1" x14ac:dyDescent="0.3">
      <c r="A2004" s="10" t="s">
        <v>676</v>
      </c>
      <c r="B2004" s="10">
        <v>1985</v>
      </c>
      <c r="C2004" s="10" t="s">
        <v>4709</v>
      </c>
      <c r="D2004" s="10">
        <v>7</v>
      </c>
      <c r="E2004" s="10">
        <v>3</v>
      </c>
      <c r="F2004" s="24">
        <v>29352.560000000001</v>
      </c>
      <c r="G2004" s="10" t="s">
        <v>4694</v>
      </c>
      <c r="H2004" s="10" t="s">
        <v>4694</v>
      </c>
      <c r="I2004" s="10" t="s">
        <v>4716</v>
      </c>
      <c r="J2004" s="17">
        <f t="shared" si="14"/>
        <v>31358</v>
      </c>
      <c r="K2004" s="10">
        <f t="shared" ca="1" si="15"/>
        <v>40</v>
      </c>
      <c r="L2004" s="6"/>
      <c r="M2004" s="6"/>
      <c r="N2004" s="6"/>
      <c r="O2004" s="6"/>
      <c r="P2004" s="6"/>
      <c r="Q2004" s="6"/>
      <c r="R2004" s="6"/>
      <c r="S2004" s="6"/>
      <c r="T2004" s="6"/>
      <c r="U2004" s="6"/>
      <c r="V2004" s="6"/>
      <c r="W2004" s="6"/>
      <c r="X2004" s="6"/>
      <c r="Y2004" s="6"/>
      <c r="Z2004" s="6"/>
    </row>
    <row r="2005" spans="1:26" ht="15.75" customHeight="1" x14ac:dyDescent="0.3">
      <c r="A2005" s="10" t="s">
        <v>674</v>
      </c>
      <c r="B2005" s="10">
        <v>1987</v>
      </c>
      <c r="C2005" s="10" t="s">
        <v>4707</v>
      </c>
      <c r="D2005" s="10">
        <v>16</v>
      </c>
      <c r="E2005" s="10">
        <v>3</v>
      </c>
      <c r="F2005" s="24">
        <v>29443.59</v>
      </c>
      <c r="G2005" s="10" t="s">
        <v>4694</v>
      </c>
      <c r="H2005" s="10" t="s">
        <v>4694</v>
      </c>
      <c r="I2005" s="10" t="s">
        <v>4716</v>
      </c>
      <c r="J2005" s="17">
        <f t="shared" si="14"/>
        <v>31974</v>
      </c>
      <c r="K2005" s="10">
        <f t="shared" ca="1" si="15"/>
        <v>38</v>
      </c>
      <c r="L2005" s="6"/>
      <c r="M2005" s="6"/>
      <c r="N2005" s="6"/>
      <c r="O2005" s="6"/>
      <c r="P2005" s="6"/>
      <c r="Q2005" s="6"/>
      <c r="R2005" s="6"/>
      <c r="S2005" s="6"/>
      <c r="T2005" s="6"/>
      <c r="U2005" s="6"/>
      <c r="V2005" s="6"/>
      <c r="W2005" s="6"/>
      <c r="X2005" s="6"/>
      <c r="Y2005" s="6"/>
      <c r="Z2005" s="6"/>
    </row>
    <row r="2006" spans="1:26" ht="15.75" customHeight="1" x14ac:dyDescent="0.3">
      <c r="A2006" s="10" t="s">
        <v>672</v>
      </c>
      <c r="B2006" s="10">
        <v>1959</v>
      </c>
      <c r="C2006" s="10" t="s">
        <v>4715</v>
      </c>
      <c r="D2006" s="10">
        <v>20</v>
      </c>
      <c r="E2006" s="10">
        <v>0</v>
      </c>
      <c r="F2006" s="24">
        <v>29523.17</v>
      </c>
      <c r="G2006" s="10" t="s">
        <v>4694</v>
      </c>
      <c r="H2006" s="10" t="s">
        <v>4695</v>
      </c>
      <c r="I2006" s="10" t="s">
        <v>4723</v>
      </c>
      <c r="J2006" s="17">
        <f t="shared" si="14"/>
        <v>21843</v>
      </c>
      <c r="K2006" s="10">
        <f t="shared" ca="1" si="15"/>
        <v>66</v>
      </c>
      <c r="L2006" s="6"/>
      <c r="M2006" s="6"/>
      <c r="N2006" s="6"/>
      <c r="O2006" s="6"/>
      <c r="P2006" s="6"/>
      <c r="Q2006" s="6"/>
      <c r="R2006" s="6"/>
      <c r="S2006" s="6"/>
      <c r="T2006" s="6"/>
      <c r="U2006" s="6"/>
      <c r="V2006" s="6"/>
      <c r="W2006" s="6"/>
      <c r="X2006" s="6"/>
      <c r="Y2006" s="6"/>
      <c r="Z2006" s="6"/>
    </row>
    <row r="2007" spans="1:26" ht="15.75" customHeight="1" x14ac:dyDescent="0.3">
      <c r="A2007" s="10" t="s">
        <v>670</v>
      </c>
      <c r="B2007" s="10">
        <v>1975</v>
      </c>
      <c r="C2007" s="10" t="s">
        <v>4709</v>
      </c>
      <c r="D2007" s="10">
        <v>3</v>
      </c>
      <c r="E2007" s="10">
        <v>1</v>
      </c>
      <c r="F2007" s="24">
        <v>29583.8</v>
      </c>
      <c r="G2007" s="10" t="s">
        <v>4694</v>
      </c>
      <c r="H2007" s="10" t="s">
        <v>4694</v>
      </c>
      <c r="I2007" s="10" t="s">
        <v>4716</v>
      </c>
      <c r="J2007" s="17">
        <f t="shared" si="14"/>
        <v>27701</v>
      </c>
      <c r="K2007" s="10">
        <f t="shared" ca="1" si="15"/>
        <v>50</v>
      </c>
      <c r="L2007" s="6"/>
      <c r="M2007" s="6"/>
      <c r="N2007" s="6"/>
      <c r="O2007" s="6"/>
      <c r="P2007" s="6"/>
      <c r="Q2007" s="6"/>
      <c r="R2007" s="6"/>
      <c r="S2007" s="6"/>
      <c r="T2007" s="6"/>
      <c r="U2007" s="6"/>
      <c r="V2007" s="6"/>
      <c r="W2007" s="6"/>
      <c r="X2007" s="6"/>
      <c r="Y2007" s="6"/>
      <c r="Z2007" s="6"/>
    </row>
    <row r="2008" spans="1:26" ht="15.75" customHeight="1" x14ac:dyDescent="0.3">
      <c r="A2008" s="10" t="s">
        <v>668</v>
      </c>
      <c r="B2008" s="10">
        <v>1993</v>
      </c>
      <c r="C2008" s="10" t="s">
        <v>4707</v>
      </c>
      <c r="D2008" s="10">
        <v>27</v>
      </c>
      <c r="E2008" s="10">
        <v>0</v>
      </c>
      <c r="F2008" s="24">
        <v>29622.69</v>
      </c>
      <c r="G2008" s="10" t="s">
        <v>4694</v>
      </c>
      <c r="H2008" s="10" t="s">
        <v>4694</v>
      </c>
      <c r="I2008" s="10" t="s">
        <v>4716</v>
      </c>
      <c r="J2008" s="17">
        <f t="shared" si="14"/>
        <v>34177</v>
      </c>
      <c r="K2008" s="10">
        <f t="shared" ca="1" si="15"/>
        <v>32</v>
      </c>
      <c r="L2008" s="6"/>
      <c r="M2008" s="6"/>
      <c r="N2008" s="6"/>
      <c r="O2008" s="6"/>
      <c r="P2008" s="6"/>
      <c r="Q2008" s="6"/>
      <c r="R2008" s="6"/>
      <c r="S2008" s="6"/>
      <c r="T2008" s="6"/>
      <c r="U2008" s="6"/>
      <c r="V2008" s="6"/>
      <c r="W2008" s="6"/>
      <c r="X2008" s="6"/>
      <c r="Y2008" s="6"/>
      <c r="Z2008" s="6"/>
    </row>
    <row r="2009" spans="1:26" ht="15.75" customHeight="1" x14ac:dyDescent="0.3">
      <c r="A2009" s="10" t="s">
        <v>666</v>
      </c>
      <c r="B2009" s="10">
        <v>1973</v>
      </c>
      <c r="C2009" s="10" t="s">
        <v>4714</v>
      </c>
      <c r="D2009" s="10">
        <v>23</v>
      </c>
      <c r="E2009" s="10">
        <v>0</v>
      </c>
      <c r="F2009" s="24">
        <v>29757.69</v>
      </c>
      <c r="G2009" s="10" t="s">
        <v>4694</v>
      </c>
      <c r="H2009" s="10" t="s">
        <v>4696</v>
      </c>
      <c r="I2009" s="10" t="s">
        <v>4716</v>
      </c>
      <c r="J2009" s="17">
        <f t="shared" si="14"/>
        <v>26899</v>
      </c>
      <c r="K2009" s="10">
        <f t="shared" ca="1" si="15"/>
        <v>52</v>
      </c>
      <c r="L2009" s="6"/>
      <c r="M2009" s="6"/>
      <c r="N2009" s="6"/>
      <c r="O2009" s="6"/>
      <c r="P2009" s="6"/>
      <c r="Q2009" s="6"/>
      <c r="R2009" s="6"/>
      <c r="S2009" s="6"/>
      <c r="T2009" s="6"/>
      <c r="U2009" s="6"/>
      <c r="V2009" s="6"/>
      <c r="W2009" s="6"/>
      <c r="X2009" s="6"/>
      <c r="Y2009" s="6"/>
      <c r="Z2009" s="6"/>
    </row>
    <row r="2010" spans="1:26" ht="15.75" customHeight="1" x14ac:dyDescent="0.3">
      <c r="A2010" s="10" t="s">
        <v>664</v>
      </c>
      <c r="B2010" s="10">
        <v>1998</v>
      </c>
      <c r="C2010" s="10" t="s">
        <v>4710</v>
      </c>
      <c r="D2010" s="10">
        <v>20</v>
      </c>
      <c r="E2010" s="10">
        <v>0</v>
      </c>
      <c r="F2010" s="24">
        <v>29760.6</v>
      </c>
      <c r="G2010" s="10" t="s">
        <v>4694</v>
      </c>
      <c r="H2010" s="10" t="s">
        <v>4695</v>
      </c>
      <c r="I2010" s="10" t="s">
        <v>4716</v>
      </c>
      <c r="J2010" s="17">
        <f t="shared" si="14"/>
        <v>35966</v>
      </c>
      <c r="K2010" s="10">
        <f t="shared" ca="1" si="15"/>
        <v>27</v>
      </c>
      <c r="L2010" s="6"/>
      <c r="M2010" s="6"/>
      <c r="N2010" s="6"/>
      <c r="O2010" s="6"/>
      <c r="P2010" s="6"/>
      <c r="Q2010" s="6"/>
      <c r="R2010" s="6"/>
      <c r="S2010" s="6"/>
      <c r="T2010" s="6"/>
      <c r="U2010" s="6"/>
      <c r="V2010" s="6"/>
      <c r="W2010" s="6"/>
      <c r="X2010" s="6"/>
      <c r="Y2010" s="6"/>
      <c r="Z2010" s="6"/>
    </row>
    <row r="2011" spans="1:26" ht="15.75" customHeight="1" x14ac:dyDescent="0.3">
      <c r="A2011" s="10" t="s">
        <v>662</v>
      </c>
      <c r="B2011" s="10">
        <v>1981</v>
      </c>
      <c r="C2011" s="10" t="s">
        <v>4714</v>
      </c>
      <c r="D2011" s="10">
        <v>13</v>
      </c>
      <c r="E2011" s="10">
        <v>1</v>
      </c>
      <c r="F2011" s="24">
        <v>29816.639999999999</v>
      </c>
      <c r="G2011" s="10" t="s">
        <v>4694</v>
      </c>
      <c r="H2011" s="10" t="s">
        <v>4695</v>
      </c>
      <c r="I2011" s="10" t="s">
        <v>4716</v>
      </c>
      <c r="J2011" s="17">
        <f t="shared" si="14"/>
        <v>29811</v>
      </c>
      <c r="K2011" s="10">
        <f t="shared" ca="1" si="15"/>
        <v>44</v>
      </c>
      <c r="L2011" s="6"/>
      <c r="M2011" s="6"/>
      <c r="N2011" s="6"/>
      <c r="O2011" s="6"/>
      <c r="P2011" s="6"/>
      <c r="Q2011" s="6"/>
      <c r="R2011" s="6"/>
      <c r="S2011" s="6"/>
      <c r="T2011" s="6"/>
      <c r="U2011" s="6"/>
      <c r="V2011" s="6"/>
      <c r="W2011" s="6"/>
      <c r="X2011" s="6"/>
      <c r="Y2011" s="6"/>
      <c r="Z2011" s="6"/>
    </row>
    <row r="2012" spans="1:26" ht="15.75" customHeight="1" x14ac:dyDescent="0.3">
      <c r="A2012" s="10" t="s">
        <v>660</v>
      </c>
      <c r="B2012" s="10">
        <v>1982</v>
      </c>
      <c r="C2012" s="10" t="s">
        <v>4715</v>
      </c>
      <c r="D2012" s="10">
        <v>29</v>
      </c>
      <c r="E2012" s="10">
        <v>3</v>
      </c>
      <c r="F2012" s="24">
        <v>29818.76</v>
      </c>
      <c r="G2012" s="10" t="s">
        <v>4694</v>
      </c>
      <c r="H2012" s="10" t="s">
        <v>4694</v>
      </c>
      <c r="I2012" s="10" t="s">
        <v>4712</v>
      </c>
      <c r="J2012" s="17">
        <f t="shared" si="14"/>
        <v>30253</v>
      </c>
      <c r="K2012" s="10">
        <f t="shared" ca="1" si="15"/>
        <v>43</v>
      </c>
      <c r="L2012" s="6"/>
      <c r="M2012" s="6"/>
      <c r="N2012" s="6"/>
      <c r="O2012" s="6"/>
      <c r="P2012" s="6"/>
      <c r="Q2012" s="6"/>
      <c r="R2012" s="6"/>
      <c r="S2012" s="6"/>
      <c r="T2012" s="6"/>
      <c r="U2012" s="6"/>
      <c r="V2012" s="6"/>
      <c r="W2012" s="6"/>
      <c r="X2012" s="6"/>
      <c r="Y2012" s="6"/>
      <c r="Z2012" s="6"/>
    </row>
    <row r="2013" spans="1:26" ht="15.75" customHeight="1" x14ac:dyDescent="0.3">
      <c r="A2013" s="10" t="s">
        <v>658</v>
      </c>
      <c r="B2013" s="10">
        <v>1989</v>
      </c>
      <c r="C2013" s="10" t="s">
        <v>4713</v>
      </c>
      <c r="D2013" s="10">
        <v>30</v>
      </c>
      <c r="E2013" s="10">
        <v>3</v>
      </c>
      <c r="F2013" s="24">
        <v>29852.48</v>
      </c>
      <c r="G2013" s="10" t="s">
        <v>4694</v>
      </c>
      <c r="H2013" s="10" t="s">
        <v>4696</v>
      </c>
      <c r="I2013" s="10" t="s">
        <v>4716</v>
      </c>
      <c r="J2013" s="17">
        <f t="shared" si="14"/>
        <v>32872</v>
      </c>
      <c r="K2013" s="10">
        <f t="shared" ca="1" si="15"/>
        <v>35</v>
      </c>
      <c r="L2013" s="6"/>
      <c r="M2013" s="6"/>
      <c r="N2013" s="6"/>
      <c r="O2013" s="6"/>
      <c r="P2013" s="6"/>
      <c r="Q2013" s="6"/>
      <c r="R2013" s="6"/>
      <c r="S2013" s="6"/>
      <c r="T2013" s="6"/>
      <c r="U2013" s="6"/>
      <c r="V2013" s="6"/>
      <c r="W2013" s="6"/>
      <c r="X2013" s="6"/>
      <c r="Y2013" s="6"/>
      <c r="Z2013" s="6"/>
    </row>
    <row r="2014" spans="1:26" ht="15.75" customHeight="1" x14ac:dyDescent="0.3">
      <c r="A2014" s="10" t="s">
        <v>656</v>
      </c>
      <c r="B2014" s="10">
        <v>1975</v>
      </c>
      <c r="C2014" s="10" t="s">
        <v>4714</v>
      </c>
      <c r="D2014" s="10">
        <v>19</v>
      </c>
      <c r="E2014" s="10">
        <v>1</v>
      </c>
      <c r="F2014" s="24">
        <v>29899.25</v>
      </c>
      <c r="G2014" s="10" t="s">
        <v>4694</v>
      </c>
      <c r="H2014" s="10" t="s">
        <v>4696</v>
      </c>
      <c r="I2014" s="10" t="s">
        <v>4716</v>
      </c>
      <c r="J2014" s="17">
        <f t="shared" si="14"/>
        <v>27625</v>
      </c>
      <c r="K2014" s="10">
        <f t="shared" ca="1" si="15"/>
        <v>50</v>
      </c>
      <c r="L2014" s="6"/>
      <c r="M2014" s="6"/>
      <c r="N2014" s="6"/>
      <c r="O2014" s="6"/>
      <c r="P2014" s="6"/>
      <c r="Q2014" s="6"/>
      <c r="R2014" s="6"/>
      <c r="S2014" s="6"/>
      <c r="T2014" s="6"/>
      <c r="U2014" s="6"/>
      <c r="V2014" s="6"/>
      <c r="W2014" s="6"/>
      <c r="X2014" s="6"/>
      <c r="Y2014" s="6"/>
      <c r="Z2014" s="6"/>
    </row>
    <row r="2015" spans="1:26" ht="15.75" customHeight="1" x14ac:dyDescent="0.3">
      <c r="A2015" s="10" t="s">
        <v>654</v>
      </c>
      <c r="B2015" s="10">
        <v>1988</v>
      </c>
      <c r="C2015" s="10" t="s">
        <v>4713</v>
      </c>
      <c r="D2015" s="10">
        <v>30</v>
      </c>
      <c r="E2015" s="10">
        <v>3</v>
      </c>
      <c r="F2015" s="24">
        <v>29929.56</v>
      </c>
      <c r="G2015" s="10" t="s">
        <v>4694</v>
      </c>
      <c r="H2015" s="10" t="s">
        <v>4694</v>
      </c>
      <c r="I2015" s="10" t="s">
        <v>4716</v>
      </c>
      <c r="J2015" s="17">
        <f t="shared" si="14"/>
        <v>32507</v>
      </c>
      <c r="K2015" s="10">
        <f t="shared" ca="1" si="15"/>
        <v>36</v>
      </c>
      <c r="L2015" s="6"/>
      <c r="M2015" s="6"/>
      <c r="N2015" s="6"/>
      <c r="O2015" s="6"/>
      <c r="P2015" s="6"/>
      <c r="Q2015" s="6"/>
      <c r="R2015" s="6"/>
      <c r="S2015" s="6"/>
      <c r="T2015" s="6"/>
      <c r="U2015" s="6"/>
      <c r="V2015" s="6"/>
      <c r="W2015" s="6"/>
      <c r="X2015" s="6"/>
      <c r="Y2015" s="6"/>
      <c r="Z2015" s="6"/>
    </row>
    <row r="2016" spans="1:26" ht="15.75" customHeight="1" x14ac:dyDescent="0.3">
      <c r="A2016" s="10" t="s">
        <v>652</v>
      </c>
      <c r="B2016" s="10">
        <v>1976</v>
      </c>
      <c r="C2016" s="10" t="s">
        <v>4710</v>
      </c>
      <c r="D2016" s="10">
        <v>12</v>
      </c>
      <c r="E2016" s="10">
        <v>2</v>
      </c>
      <c r="F2016" s="24">
        <v>29933.75</v>
      </c>
      <c r="G2016" s="10" t="s">
        <v>4694</v>
      </c>
      <c r="H2016" s="10" t="s">
        <v>4694</v>
      </c>
      <c r="I2016" s="10" t="s">
        <v>4716</v>
      </c>
      <c r="J2016" s="17">
        <f t="shared" si="14"/>
        <v>27923</v>
      </c>
      <c r="K2016" s="10">
        <f t="shared" ca="1" si="15"/>
        <v>49</v>
      </c>
      <c r="L2016" s="6"/>
      <c r="M2016" s="6"/>
      <c r="N2016" s="6"/>
      <c r="O2016" s="6"/>
      <c r="P2016" s="6"/>
      <c r="Q2016" s="6"/>
      <c r="R2016" s="6"/>
      <c r="S2016" s="6"/>
      <c r="T2016" s="6"/>
      <c r="U2016" s="6"/>
      <c r="V2016" s="6"/>
      <c r="W2016" s="6"/>
      <c r="X2016" s="6"/>
      <c r="Y2016" s="6"/>
      <c r="Z2016" s="6"/>
    </row>
    <row r="2017" spans="1:26" ht="15.75" customHeight="1" x14ac:dyDescent="0.3">
      <c r="A2017" s="10" t="s">
        <v>650</v>
      </c>
      <c r="B2017" s="10">
        <v>1991</v>
      </c>
      <c r="C2017" s="10" t="s">
        <v>4715</v>
      </c>
      <c r="D2017" s="10">
        <v>5</v>
      </c>
      <c r="E2017" s="10">
        <v>3</v>
      </c>
      <c r="F2017" s="24">
        <v>29969.67</v>
      </c>
      <c r="G2017" s="10" t="s">
        <v>4694</v>
      </c>
      <c r="H2017" s="10" t="s">
        <v>4694</v>
      </c>
      <c r="I2017" s="10" t="s">
        <v>4716</v>
      </c>
      <c r="J2017" s="17">
        <f t="shared" si="14"/>
        <v>33516</v>
      </c>
      <c r="K2017" s="10">
        <f t="shared" ca="1" si="15"/>
        <v>34</v>
      </c>
      <c r="L2017" s="6"/>
      <c r="M2017" s="6"/>
      <c r="N2017" s="6"/>
      <c r="O2017" s="6"/>
      <c r="P2017" s="6"/>
      <c r="Q2017" s="6"/>
      <c r="R2017" s="6"/>
      <c r="S2017" s="6"/>
      <c r="T2017" s="6"/>
      <c r="U2017" s="6"/>
      <c r="V2017" s="6"/>
      <c r="W2017" s="6"/>
      <c r="X2017" s="6"/>
      <c r="Y2017" s="6"/>
      <c r="Z2017" s="6"/>
    </row>
    <row r="2018" spans="1:26" ht="15.75" customHeight="1" x14ac:dyDescent="0.3">
      <c r="A2018" s="10" t="s">
        <v>648</v>
      </c>
      <c r="B2018" s="10">
        <v>1981</v>
      </c>
      <c r="C2018" s="10" t="s">
        <v>4714</v>
      </c>
      <c r="D2018" s="10">
        <v>4</v>
      </c>
      <c r="E2018" s="10">
        <v>1</v>
      </c>
      <c r="F2018" s="24">
        <v>30026.87</v>
      </c>
      <c r="G2018" s="10" t="s">
        <v>4695</v>
      </c>
      <c r="H2018" s="10" t="s">
        <v>4696</v>
      </c>
      <c r="I2018" s="10" t="s">
        <v>4712</v>
      </c>
      <c r="J2018" s="17">
        <f t="shared" si="14"/>
        <v>29802</v>
      </c>
      <c r="K2018" s="10">
        <f t="shared" ca="1" si="15"/>
        <v>44</v>
      </c>
      <c r="L2018" s="6"/>
      <c r="M2018" s="6"/>
      <c r="N2018" s="6"/>
      <c r="O2018" s="6"/>
      <c r="P2018" s="6"/>
      <c r="Q2018" s="6"/>
      <c r="R2018" s="6"/>
      <c r="S2018" s="6"/>
      <c r="T2018" s="6"/>
      <c r="U2018" s="6"/>
      <c r="V2018" s="6"/>
      <c r="W2018" s="6"/>
      <c r="X2018" s="6"/>
      <c r="Y2018" s="6"/>
      <c r="Z2018" s="6"/>
    </row>
    <row r="2019" spans="1:26" ht="15.75" customHeight="1" x14ac:dyDescent="0.3">
      <c r="A2019" s="10" t="s">
        <v>646</v>
      </c>
      <c r="B2019" s="10">
        <v>1967</v>
      </c>
      <c r="C2019" s="10" t="s">
        <v>4710</v>
      </c>
      <c r="D2019" s="10">
        <v>16</v>
      </c>
      <c r="E2019" s="10">
        <v>3</v>
      </c>
      <c r="F2019" s="24">
        <v>30063.58</v>
      </c>
      <c r="G2019" s="10" t="s">
        <v>4694</v>
      </c>
      <c r="H2019" s="10" t="s">
        <v>4694</v>
      </c>
      <c r="I2019" s="10" t="s">
        <v>4712</v>
      </c>
      <c r="J2019" s="17">
        <f t="shared" si="14"/>
        <v>24639</v>
      </c>
      <c r="K2019" s="10">
        <f t="shared" ca="1" si="15"/>
        <v>58</v>
      </c>
      <c r="L2019" s="6"/>
      <c r="M2019" s="6"/>
      <c r="N2019" s="6"/>
      <c r="O2019" s="6"/>
      <c r="P2019" s="6"/>
      <c r="Q2019" s="6"/>
      <c r="R2019" s="6"/>
      <c r="S2019" s="6"/>
      <c r="T2019" s="6"/>
      <c r="U2019" s="6"/>
      <c r="V2019" s="6"/>
      <c r="W2019" s="6"/>
      <c r="X2019" s="6"/>
      <c r="Y2019" s="6"/>
      <c r="Z2019" s="6"/>
    </row>
    <row r="2020" spans="1:26" ht="15.75" customHeight="1" x14ac:dyDescent="0.3">
      <c r="A2020" s="10" t="s">
        <v>644</v>
      </c>
      <c r="B2020" s="10">
        <v>1979</v>
      </c>
      <c r="C2020" s="10" t="s">
        <v>4711</v>
      </c>
      <c r="D2020" s="10">
        <v>2</v>
      </c>
      <c r="E2020" s="10">
        <v>2</v>
      </c>
      <c r="F2020" s="24">
        <v>30095.97</v>
      </c>
      <c r="G2020" s="10" t="s">
        <v>4695</v>
      </c>
      <c r="H2020" s="10" t="s">
        <v>4696</v>
      </c>
      <c r="I2020" s="10" t="s">
        <v>4716</v>
      </c>
      <c r="J2020" s="17">
        <f t="shared" si="14"/>
        <v>29100</v>
      </c>
      <c r="K2020" s="10">
        <f t="shared" ca="1" si="15"/>
        <v>46</v>
      </c>
      <c r="L2020" s="6"/>
      <c r="M2020" s="6"/>
      <c r="N2020" s="6"/>
      <c r="O2020" s="6"/>
      <c r="P2020" s="6"/>
      <c r="Q2020" s="6"/>
      <c r="R2020" s="6"/>
      <c r="S2020" s="6"/>
      <c r="T2020" s="6"/>
      <c r="U2020" s="6"/>
      <c r="V2020" s="6"/>
      <c r="W2020" s="6"/>
      <c r="X2020" s="6"/>
      <c r="Y2020" s="6"/>
      <c r="Z2020" s="6"/>
    </row>
    <row r="2021" spans="1:26" ht="15.75" customHeight="1" x14ac:dyDescent="0.3">
      <c r="A2021" s="10" t="s">
        <v>642</v>
      </c>
      <c r="B2021" s="10">
        <v>1971</v>
      </c>
      <c r="C2021" s="10" t="s">
        <v>4713</v>
      </c>
      <c r="D2021" s="10">
        <v>25</v>
      </c>
      <c r="E2021" s="10">
        <v>0</v>
      </c>
      <c r="F2021" s="24">
        <v>30134.75</v>
      </c>
      <c r="G2021" s="10" t="s">
        <v>4695</v>
      </c>
      <c r="H2021" s="10" t="s">
        <v>4696</v>
      </c>
      <c r="I2021" s="10" t="s">
        <v>4716</v>
      </c>
      <c r="J2021" s="17">
        <f t="shared" si="14"/>
        <v>26292</v>
      </c>
      <c r="K2021" s="10">
        <f t="shared" ca="1" si="15"/>
        <v>53</v>
      </c>
      <c r="L2021" s="6"/>
      <c r="M2021" s="6"/>
      <c r="N2021" s="6"/>
      <c r="O2021" s="6"/>
      <c r="P2021" s="6"/>
      <c r="Q2021" s="6"/>
      <c r="R2021" s="6"/>
      <c r="S2021" s="6"/>
      <c r="T2021" s="6"/>
      <c r="U2021" s="6"/>
      <c r="V2021" s="6"/>
      <c r="W2021" s="6"/>
      <c r="X2021" s="6"/>
      <c r="Y2021" s="6"/>
      <c r="Z2021" s="6"/>
    </row>
    <row r="2022" spans="1:26" ht="15.75" customHeight="1" x14ac:dyDescent="0.3">
      <c r="A2022" s="10" t="s">
        <v>640</v>
      </c>
      <c r="B2022" s="10">
        <v>1958</v>
      </c>
      <c r="C2022" s="10" t="s">
        <v>4714</v>
      </c>
      <c r="D2022" s="10">
        <v>11</v>
      </c>
      <c r="E2022" s="10">
        <v>1</v>
      </c>
      <c r="F2022" s="24">
        <v>30166.62</v>
      </c>
      <c r="G2022" s="10" t="s">
        <v>4694</v>
      </c>
      <c r="H2022" s="10" t="s">
        <v>4696</v>
      </c>
      <c r="I2022" s="10" t="s">
        <v>4712</v>
      </c>
      <c r="J2022" s="17">
        <f t="shared" si="14"/>
        <v>21408</v>
      </c>
      <c r="K2022" s="10">
        <f t="shared" ca="1" si="15"/>
        <v>67</v>
      </c>
      <c r="L2022" s="6"/>
      <c r="M2022" s="6"/>
      <c r="N2022" s="6"/>
      <c r="O2022" s="6"/>
      <c r="P2022" s="6"/>
      <c r="Q2022" s="6"/>
      <c r="R2022" s="6"/>
      <c r="S2022" s="6"/>
      <c r="T2022" s="6"/>
      <c r="U2022" s="6"/>
      <c r="V2022" s="6"/>
      <c r="W2022" s="6"/>
      <c r="X2022" s="6"/>
      <c r="Y2022" s="6"/>
      <c r="Z2022" s="6"/>
    </row>
    <row r="2023" spans="1:26" ht="15.75" customHeight="1" x14ac:dyDescent="0.3">
      <c r="A2023" s="10" t="s">
        <v>638</v>
      </c>
      <c r="B2023" s="10">
        <v>1963</v>
      </c>
      <c r="C2023" s="10" t="s">
        <v>4711</v>
      </c>
      <c r="D2023" s="10">
        <v>13</v>
      </c>
      <c r="E2023" s="10">
        <v>3</v>
      </c>
      <c r="F2023" s="24">
        <v>30184.94</v>
      </c>
      <c r="G2023" s="10" t="s">
        <v>4694</v>
      </c>
      <c r="H2023" s="10" t="s">
        <v>4694</v>
      </c>
      <c r="I2023" s="10" t="s">
        <v>4725</v>
      </c>
      <c r="J2023" s="17">
        <f t="shared" si="14"/>
        <v>23267</v>
      </c>
      <c r="K2023" s="10">
        <f t="shared" ca="1" si="15"/>
        <v>62</v>
      </c>
      <c r="L2023" s="6"/>
      <c r="M2023" s="6"/>
      <c r="N2023" s="6"/>
      <c r="O2023" s="6"/>
      <c r="P2023" s="6"/>
      <c r="Q2023" s="6"/>
      <c r="R2023" s="6"/>
      <c r="S2023" s="6"/>
      <c r="T2023" s="6"/>
      <c r="U2023" s="6"/>
      <c r="V2023" s="6"/>
      <c r="W2023" s="6"/>
      <c r="X2023" s="6"/>
      <c r="Y2023" s="6"/>
      <c r="Z2023" s="6"/>
    </row>
    <row r="2024" spans="1:26" ht="15.75" customHeight="1" x14ac:dyDescent="0.3">
      <c r="A2024" s="10" t="s">
        <v>636</v>
      </c>
      <c r="B2024" s="10">
        <v>1962</v>
      </c>
      <c r="C2024" s="10" t="s">
        <v>4711</v>
      </c>
      <c r="D2024" s="10">
        <v>15</v>
      </c>
      <c r="E2024" s="10">
        <v>0</v>
      </c>
      <c r="F2024" s="24">
        <v>30260</v>
      </c>
      <c r="G2024" s="10" t="s">
        <v>4694</v>
      </c>
      <c r="H2024" s="10" t="s">
        <v>4694</v>
      </c>
      <c r="I2024" s="10" t="s">
        <v>4725</v>
      </c>
      <c r="J2024" s="17">
        <f t="shared" si="14"/>
        <v>22904</v>
      </c>
      <c r="K2024" s="10">
        <f t="shared" ca="1" si="15"/>
        <v>63</v>
      </c>
      <c r="L2024" s="6"/>
      <c r="M2024" s="6"/>
      <c r="N2024" s="6"/>
      <c r="O2024" s="6"/>
      <c r="P2024" s="6"/>
      <c r="Q2024" s="6"/>
      <c r="R2024" s="6"/>
      <c r="S2024" s="6"/>
      <c r="T2024" s="6"/>
      <c r="U2024" s="6"/>
      <c r="V2024" s="6"/>
      <c r="W2024" s="6"/>
      <c r="X2024" s="6"/>
      <c r="Y2024" s="6"/>
      <c r="Z2024" s="6"/>
    </row>
    <row r="2025" spans="1:26" ht="15.75" customHeight="1" x14ac:dyDescent="0.3">
      <c r="A2025" s="10" t="s">
        <v>634</v>
      </c>
      <c r="B2025" s="10">
        <v>1972</v>
      </c>
      <c r="C2025" s="10" t="s">
        <v>4707</v>
      </c>
      <c r="D2025" s="10">
        <v>24</v>
      </c>
      <c r="E2025" s="10">
        <v>2</v>
      </c>
      <c r="F2025" s="24">
        <v>30284.639999999999</v>
      </c>
      <c r="G2025" s="10" t="s">
        <v>4694</v>
      </c>
      <c r="H2025" s="10" t="s">
        <v>4694</v>
      </c>
      <c r="I2025" s="10" t="s">
        <v>4712</v>
      </c>
      <c r="J2025" s="17">
        <f t="shared" si="14"/>
        <v>26504</v>
      </c>
      <c r="K2025" s="10">
        <f t="shared" ca="1" si="15"/>
        <v>53</v>
      </c>
      <c r="L2025" s="6"/>
      <c r="M2025" s="6"/>
      <c r="N2025" s="6"/>
      <c r="O2025" s="6"/>
      <c r="P2025" s="6"/>
      <c r="Q2025" s="6"/>
      <c r="R2025" s="6"/>
      <c r="S2025" s="6"/>
      <c r="T2025" s="6"/>
      <c r="U2025" s="6"/>
      <c r="V2025" s="6"/>
      <c r="W2025" s="6"/>
      <c r="X2025" s="6"/>
      <c r="Y2025" s="6"/>
      <c r="Z2025" s="6"/>
    </row>
    <row r="2026" spans="1:26" ht="15.75" customHeight="1" x14ac:dyDescent="0.3">
      <c r="A2026" s="10" t="s">
        <v>632</v>
      </c>
      <c r="B2026" s="10">
        <v>2004</v>
      </c>
      <c r="C2026" s="10" t="s">
        <v>4710</v>
      </c>
      <c r="D2026" s="10">
        <v>1</v>
      </c>
      <c r="E2026" s="10">
        <v>0</v>
      </c>
      <c r="F2026" s="24">
        <v>30328.27</v>
      </c>
      <c r="G2026" s="10" t="s">
        <v>4695</v>
      </c>
      <c r="H2026" s="10" t="s">
        <v>4695</v>
      </c>
      <c r="I2026" s="10" t="s">
        <v>4716</v>
      </c>
      <c r="J2026" s="17">
        <f t="shared" si="14"/>
        <v>38139</v>
      </c>
      <c r="K2026" s="10">
        <f t="shared" ca="1" si="15"/>
        <v>21</v>
      </c>
      <c r="L2026" s="6"/>
      <c r="M2026" s="6"/>
      <c r="N2026" s="6"/>
      <c r="O2026" s="6"/>
      <c r="P2026" s="6"/>
      <c r="Q2026" s="6"/>
      <c r="R2026" s="6"/>
      <c r="S2026" s="6"/>
      <c r="T2026" s="6"/>
      <c r="U2026" s="6"/>
      <c r="V2026" s="6"/>
      <c r="W2026" s="6"/>
      <c r="X2026" s="6"/>
      <c r="Y2026" s="6"/>
      <c r="Z2026" s="6"/>
    </row>
    <row r="2027" spans="1:26" ht="15.75" customHeight="1" x14ac:dyDescent="0.3">
      <c r="A2027" s="10" t="s">
        <v>630</v>
      </c>
      <c r="B2027" s="10">
        <v>1969</v>
      </c>
      <c r="C2027" s="10" t="s">
        <v>4707</v>
      </c>
      <c r="D2027" s="10">
        <v>30</v>
      </c>
      <c r="E2027" s="10">
        <v>0</v>
      </c>
      <c r="F2027" s="24">
        <v>30366.93</v>
      </c>
      <c r="G2027" s="10" t="s">
        <v>4695</v>
      </c>
      <c r="H2027" s="10" t="s">
        <v>4695</v>
      </c>
      <c r="I2027" s="10" t="s">
        <v>4716</v>
      </c>
      <c r="J2027" s="17">
        <f t="shared" si="14"/>
        <v>25414</v>
      </c>
      <c r="K2027" s="10">
        <f t="shared" ca="1" si="15"/>
        <v>56</v>
      </c>
      <c r="L2027" s="6"/>
      <c r="M2027" s="6"/>
      <c r="N2027" s="6"/>
      <c r="O2027" s="6"/>
      <c r="P2027" s="6"/>
      <c r="Q2027" s="6"/>
      <c r="R2027" s="6"/>
      <c r="S2027" s="6"/>
      <c r="T2027" s="6"/>
      <c r="U2027" s="6"/>
      <c r="V2027" s="6"/>
      <c r="W2027" s="6"/>
      <c r="X2027" s="6"/>
      <c r="Y2027" s="6"/>
      <c r="Z2027" s="6"/>
    </row>
    <row r="2028" spans="1:26" ht="15.75" customHeight="1" x14ac:dyDescent="0.3">
      <c r="A2028" s="10" t="s">
        <v>628</v>
      </c>
      <c r="B2028" s="10">
        <v>1976</v>
      </c>
      <c r="C2028" s="10" t="s">
        <v>4711</v>
      </c>
      <c r="D2028" s="10">
        <v>3</v>
      </c>
      <c r="E2028" s="10">
        <v>2</v>
      </c>
      <c r="F2028" s="24">
        <v>30409.53</v>
      </c>
      <c r="G2028" s="10" t="s">
        <v>4695</v>
      </c>
      <c r="H2028" s="10" t="s">
        <v>4696</v>
      </c>
      <c r="I2028" s="10" t="s">
        <v>4712</v>
      </c>
      <c r="J2028" s="17">
        <f t="shared" si="14"/>
        <v>28006</v>
      </c>
      <c r="K2028" s="10">
        <f t="shared" ca="1" si="15"/>
        <v>49</v>
      </c>
      <c r="L2028" s="6"/>
      <c r="M2028" s="6"/>
      <c r="N2028" s="6"/>
      <c r="O2028" s="6"/>
      <c r="P2028" s="6"/>
      <c r="Q2028" s="6"/>
      <c r="R2028" s="6"/>
      <c r="S2028" s="6"/>
      <c r="T2028" s="6"/>
      <c r="U2028" s="6"/>
      <c r="V2028" s="6"/>
      <c r="W2028" s="6"/>
      <c r="X2028" s="6"/>
      <c r="Y2028" s="6"/>
      <c r="Z2028" s="6"/>
    </row>
    <row r="2029" spans="1:26" ht="15.75" customHeight="1" x14ac:dyDescent="0.3">
      <c r="A2029" s="10" t="s">
        <v>626</v>
      </c>
      <c r="B2029" s="10">
        <v>1998</v>
      </c>
      <c r="C2029" s="10" t="s">
        <v>4715</v>
      </c>
      <c r="D2029" s="10">
        <v>28</v>
      </c>
      <c r="E2029" s="10">
        <v>0</v>
      </c>
      <c r="F2029" s="24">
        <v>30422.03</v>
      </c>
      <c r="G2029" s="10" t="s">
        <v>4695</v>
      </c>
      <c r="H2029" s="10" t="s">
        <v>4696</v>
      </c>
      <c r="I2029" s="10" t="s">
        <v>4716</v>
      </c>
      <c r="J2029" s="17">
        <f t="shared" si="14"/>
        <v>36096</v>
      </c>
      <c r="K2029" s="10">
        <f t="shared" ca="1" si="15"/>
        <v>27</v>
      </c>
      <c r="L2029" s="6"/>
      <c r="M2029" s="6"/>
      <c r="N2029" s="6"/>
      <c r="O2029" s="6"/>
      <c r="P2029" s="6"/>
      <c r="Q2029" s="6"/>
      <c r="R2029" s="6"/>
      <c r="S2029" s="6"/>
      <c r="T2029" s="6"/>
      <c r="U2029" s="6"/>
      <c r="V2029" s="6"/>
      <c r="W2029" s="6"/>
      <c r="X2029" s="6"/>
      <c r="Y2029" s="6"/>
      <c r="Z2029" s="6"/>
    </row>
    <row r="2030" spans="1:26" ht="15.75" customHeight="1" x14ac:dyDescent="0.3">
      <c r="A2030" s="10" t="s">
        <v>624</v>
      </c>
      <c r="B2030" s="10">
        <v>1983</v>
      </c>
      <c r="C2030" s="10" t="s">
        <v>4711</v>
      </c>
      <c r="D2030" s="10">
        <v>3</v>
      </c>
      <c r="E2030" s="10">
        <v>3</v>
      </c>
      <c r="F2030" s="24">
        <v>30457.37</v>
      </c>
      <c r="G2030" s="10" t="s">
        <v>4695</v>
      </c>
      <c r="H2030" s="10" t="s">
        <v>4694</v>
      </c>
      <c r="I2030" s="10" t="s">
        <v>4712</v>
      </c>
      <c r="J2030" s="17">
        <f t="shared" si="14"/>
        <v>30562</v>
      </c>
      <c r="K2030" s="10">
        <f t="shared" ca="1" si="15"/>
        <v>42</v>
      </c>
      <c r="L2030" s="6"/>
      <c r="M2030" s="6"/>
      <c r="N2030" s="6"/>
      <c r="O2030" s="6"/>
      <c r="P2030" s="6"/>
      <c r="Q2030" s="6"/>
      <c r="R2030" s="6"/>
      <c r="S2030" s="6"/>
      <c r="T2030" s="6"/>
      <c r="U2030" s="6"/>
      <c r="V2030" s="6"/>
      <c r="W2030" s="6"/>
      <c r="X2030" s="6"/>
      <c r="Y2030" s="6"/>
      <c r="Z2030" s="6"/>
    </row>
    <row r="2031" spans="1:26" ht="15.75" customHeight="1" x14ac:dyDescent="0.3">
      <c r="A2031" s="10" t="s">
        <v>622</v>
      </c>
      <c r="B2031" s="10">
        <v>1986</v>
      </c>
      <c r="C2031" s="10" t="s">
        <v>4714</v>
      </c>
      <c r="D2031" s="10">
        <v>10</v>
      </c>
      <c r="E2031" s="10">
        <v>3</v>
      </c>
      <c r="F2031" s="24">
        <v>30530.5</v>
      </c>
      <c r="G2031" s="10" t="s">
        <v>4695</v>
      </c>
      <c r="H2031" s="10" t="s">
        <v>4694</v>
      </c>
      <c r="I2031" s="10" t="s">
        <v>4716</v>
      </c>
      <c r="J2031" s="17">
        <f t="shared" si="14"/>
        <v>31634</v>
      </c>
      <c r="K2031" s="10">
        <f t="shared" ca="1" si="15"/>
        <v>39</v>
      </c>
      <c r="L2031" s="6"/>
      <c r="M2031" s="6"/>
      <c r="N2031" s="6"/>
      <c r="O2031" s="6"/>
      <c r="P2031" s="6"/>
      <c r="Q2031" s="6"/>
      <c r="R2031" s="6"/>
      <c r="S2031" s="6"/>
      <c r="T2031" s="6"/>
      <c r="U2031" s="6"/>
      <c r="V2031" s="6"/>
      <c r="W2031" s="6"/>
      <c r="X2031" s="6"/>
      <c r="Y2031" s="6"/>
      <c r="Z2031" s="6"/>
    </row>
    <row r="2032" spans="1:26" ht="15.75" customHeight="1" x14ac:dyDescent="0.3">
      <c r="A2032" s="10" t="s">
        <v>620</v>
      </c>
      <c r="B2032" s="10">
        <v>1970</v>
      </c>
      <c r="C2032" s="10" t="s">
        <v>4709</v>
      </c>
      <c r="D2032" s="10">
        <v>11</v>
      </c>
      <c r="E2032" s="10">
        <v>0</v>
      </c>
      <c r="F2032" s="24">
        <v>30625.65</v>
      </c>
      <c r="G2032" s="10" t="s">
        <v>4695</v>
      </c>
      <c r="H2032" s="10" t="s">
        <v>4696</v>
      </c>
      <c r="I2032" s="10" t="s">
        <v>4716</v>
      </c>
      <c r="J2032" s="17">
        <f t="shared" si="14"/>
        <v>25883</v>
      </c>
      <c r="K2032" s="10">
        <f t="shared" ca="1" si="15"/>
        <v>55</v>
      </c>
      <c r="L2032" s="6"/>
      <c r="M2032" s="6"/>
      <c r="N2032" s="6"/>
      <c r="O2032" s="6"/>
      <c r="P2032" s="6"/>
      <c r="Q2032" s="6"/>
      <c r="R2032" s="6"/>
      <c r="S2032" s="6"/>
      <c r="T2032" s="6"/>
      <c r="U2032" s="6"/>
      <c r="V2032" s="6"/>
      <c r="W2032" s="6"/>
      <c r="X2032" s="6"/>
      <c r="Y2032" s="6"/>
      <c r="Z2032" s="6"/>
    </row>
    <row r="2033" spans="1:26" ht="15.75" customHeight="1" x14ac:dyDescent="0.3">
      <c r="A2033" s="10" t="s">
        <v>618</v>
      </c>
      <c r="B2033" s="10">
        <v>1999</v>
      </c>
      <c r="C2033" s="10" t="s">
        <v>4711</v>
      </c>
      <c r="D2033" s="10">
        <v>21</v>
      </c>
      <c r="E2033" s="10">
        <v>0</v>
      </c>
      <c r="F2033" s="24">
        <v>30697.71</v>
      </c>
      <c r="G2033" s="10" t="s">
        <v>4694</v>
      </c>
      <c r="H2033" s="10" t="s">
        <v>4695</v>
      </c>
      <c r="I2033" s="10" t="s">
        <v>4716</v>
      </c>
      <c r="J2033" s="17">
        <f t="shared" si="14"/>
        <v>36424</v>
      </c>
      <c r="K2033" s="10">
        <f t="shared" ca="1" si="15"/>
        <v>26</v>
      </c>
      <c r="L2033" s="6"/>
      <c r="M2033" s="6"/>
      <c r="N2033" s="6"/>
      <c r="O2033" s="6"/>
      <c r="P2033" s="6"/>
      <c r="Q2033" s="6"/>
      <c r="R2033" s="6"/>
      <c r="S2033" s="6"/>
      <c r="T2033" s="6"/>
      <c r="U2033" s="6"/>
      <c r="V2033" s="6"/>
      <c r="W2033" s="6"/>
      <c r="X2033" s="6"/>
      <c r="Y2033" s="6"/>
      <c r="Z2033" s="6"/>
    </row>
    <row r="2034" spans="1:26" ht="15.75" customHeight="1" x14ac:dyDescent="0.3">
      <c r="A2034" s="10" t="s">
        <v>616</v>
      </c>
      <c r="B2034" s="10">
        <v>1983</v>
      </c>
      <c r="C2034" s="10" t="s">
        <v>4713</v>
      </c>
      <c r="D2034" s="10">
        <v>21</v>
      </c>
      <c r="E2034" s="10">
        <v>3</v>
      </c>
      <c r="F2034" s="24">
        <v>30724.44</v>
      </c>
      <c r="G2034" s="10" t="s">
        <v>4695</v>
      </c>
      <c r="H2034" s="10" t="s">
        <v>4696</v>
      </c>
      <c r="I2034" s="10" t="s">
        <v>4716</v>
      </c>
      <c r="J2034" s="17">
        <f t="shared" si="14"/>
        <v>30671</v>
      </c>
      <c r="K2034" s="10">
        <f t="shared" ca="1" si="15"/>
        <v>41</v>
      </c>
      <c r="L2034" s="6"/>
      <c r="M2034" s="6"/>
      <c r="N2034" s="6"/>
      <c r="O2034" s="6"/>
      <c r="P2034" s="6"/>
      <c r="Q2034" s="6"/>
      <c r="R2034" s="6"/>
      <c r="S2034" s="6"/>
      <c r="T2034" s="6"/>
      <c r="U2034" s="6"/>
      <c r="V2034" s="6"/>
      <c r="W2034" s="6"/>
      <c r="X2034" s="6"/>
      <c r="Y2034" s="6"/>
      <c r="Z2034" s="6"/>
    </row>
    <row r="2035" spans="1:26" ht="15.75" customHeight="1" x14ac:dyDescent="0.3">
      <c r="A2035" s="10" t="s">
        <v>614</v>
      </c>
      <c r="B2035" s="10">
        <v>1988</v>
      </c>
      <c r="C2035" s="10" t="s">
        <v>4711</v>
      </c>
      <c r="D2035" s="10">
        <v>5</v>
      </c>
      <c r="E2035" s="10">
        <v>3</v>
      </c>
      <c r="F2035" s="24">
        <v>30763.01</v>
      </c>
      <c r="G2035" s="10" t="s">
        <v>4695</v>
      </c>
      <c r="H2035" s="10" t="s">
        <v>4694</v>
      </c>
      <c r="I2035" s="10" t="s">
        <v>4716</v>
      </c>
      <c r="J2035" s="17">
        <f t="shared" si="14"/>
        <v>32391</v>
      </c>
      <c r="K2035" s="10">
        <f t="shared" ca="1" si="15"/>
        <v>37</v>
      </c>
      <c r="L2035" s="6"/>
      <c r="M2035" s="6"/>
      <c r="N2035" s="6"/>
      <c r="O2035" s="6"/>
      <c r="P2035" s="6"/>
      <c r="Q2035" s="6"/>
      <c r="R2035" s="6"/>
      <c r="S2035" s="6"/>
      <c r="T2035" s="6"/>
      <c r="U2035" s="6"/>
      <c r="V2035" s="6"/>
      <c r="W2035" s="6"/>
      <c r="X2035" s="6"/>
      <c r="Y2035" s="6"/>
      <c r="Z2035" s="6"/>
    </row>
    <row r="2036" spans="1:26" ht="15.75" customHeight="1" x14ac:dyDescent="0.3">
      <c r="A2036" s="10" t="s">
        <v>612</v>
      </c>
      <c r="B2036" s="10">
        <v>1961</v>
      </c>
      <c r="C2036" s="10" t="s">
        <v>4711</v>
      </c>
      <c r="D2036" s="10">
        <v>9</v>
      </c>
      <c r="E2036" s="10">
        <v>3</v>
      </c>
      <c r="F2036" s="24">
        <v>30942.19</v>
      </c>
      <c r="G2036" s="10" t="s">
        <v>4695</v>
      </c>
      <c r="H2036" s="10" t="s">
        <v>4695</v>
      </c>
      <c r="I2036" s="10" t="s">
        <v>4708</v>
      </c>
      <c r="J2036" s="17">
        <f t="shared" si="14"/>
        <v>22533</v>
      </c>
      <c r="K2036" s="10">
        <f t="shared" ca="1" si="15"/>
        <v>64</v>
      </c>
      <c r="L2036" s="6"/>
      <c r="M2036" s="6"/>
      <c r="N2036" s="6"/>
      <c r="O2036" s="6"/>
      <c r="P2036" s="6"/>
      <c r="Q2036" s="6"/>
      <c r="R2036" s="6"/>
      <c r="S2036" s="6"/>
      <c r="T2036" s="6"/>
      <c r="U2036" s="6"/>
      <c r="V2036" s="6"/>
      <c r="W2036" s="6"/>
      <c r="X2036" s="6"/>
      <c r="Y2036" s="6"/>
      <c r="Z2036" s="6"/>
    </row>
    <row r="2037" spans="1:26" ht="15.75" customHeight="1" x14ac:dyDescent="0.3">
      <c r="A2037" s="10" t="s">
        <v>610</v>
      </c>
      <c r="B2037" s="10">
        <v>2004</v>
      </c>
      <c r="C2037" s="10" t="s">
        <v>4709</v>
      </c>
      <c r="D2037" s="10">
        <v>9</v>
      </c>
      <c r="E2037" s="10">
        <v>0</v>
      </c>
      <c r="F2037" s="24">
        <v>31196.61</v>
      </c>
      <c r="G2037" s="10" t="s">
        <v>4695</v>
      </c>
      <c r="H2037" s="10" t="s">
        <v>4694</v>
      </c>
      <c r="I2037" s="10" t="s">
        <v>4716</v>
      </c>
      <c r="J2037" s="17">
        <f t="shared" si="14"/>
        <v>38300</v>
      </c>
      <c r="K2037" s="10">
        <f t="shared" ca="1" si="15"/>
        <v>21</v>
      </c>
      <c r="L2037" s="6"/>
      <c r="M2037" s="6"/>
      <c r="N2037" s="6"/>
      <c r="O2037" s="6"/>
      <c r="P2037" s="6"/>
      <c r="Q2037" s="6"/>
      <c r="R2037" s="6"/>
      <c r="S2037" s="6"/>
      <c r="T2037" s="6"/>
      <c r="U2037" s="6"/>
      <c r="V2037" s="6"/>
      <c r="W2037" s="6"/>
      <c r="X2037" s="6"/>
      <c r="Y2037" s="6"/>
      <c r="Z2037" s="6"/>
    </row>
    <row r="2038" spans="1:26" ht="15.75" customHeight="1" x14ac:dyDescent="0.3">
      <c r="A2038" s="10" t="s">
        <v>608</v>
      </c>
      <c r="B2038" s="10">
        <v>2000</v>
      </c>
      <c r="C2038" s="10" t="s">
        <v>4707</v>
      </c>
      <c r="D2038" s="10">
        <v>22</v>
      </c>
      <c r="E2038" s="10">
        <v>0</v>
      </c>
      <c r="F2038" s="24">
        <v>31234.560000000001</v>
      </c>
      <c r="G2038" s="10" t="s">
        <v>4694</v>
      </c>
      <c r="H2038" s="10" t="s">
        <v>4694</v>
      </c>
      <c r="I2038" s="10" t="s">
        <v>4716</v>
      </c>
      <c r="J2038" s="17">
        <f t="shared" si="14"/>
        <v>36729</v>
      </c>
      <c r="K2038" s="10">
        <f t="shared" ca="1" si="15"/>
        <v>25</v>
      </c>
      <c r="L2038" s="6"/>
      <c r="M2038" s="6"/>
      <c r="N2038" s="6"/>
      <c r="O2038" s="6"/>
      <c r="P2038" s="6"/>
      <c r="Q2038" s="6"/>
      <c r="R2038" s="6"/>
      <c r="S2038" s="6"/>
      <c r="T2038" s="6"/>
      <c r="U2038" s="6"/>
      <c r="V2038" s="6"/>
      <c r="W2038" s="6"/>
      <c r="X2038" s="6"/>
      <c r="Y2038" s="6"/>
      <c r="Z2038" s="6"/>
    </row>
    <row r="2039" spans="1:26" ht="15.75" customHeight="1" x14ac:dyDescent="0.3">
      <c r="A2039" s="10" t="s">
        <v>606</v>
      </c>
      <c r="B2039" s="10">
        <v>1968</v>
      </c>
      <c r="C2039" s="10" t="s">
        <v>4707</v>
      </c>
      <c r="D2039" s="10">
        <v>9</v>
      </c>
      <c r="E2039" s="10">
        <v>0</v>
      </c>
      <c r="F2039" s="24">
        <v>31322.53</v>
      </c>
      <c r="G2039" s="10" t="s">
        <v>4695</v>
      </c>
      <c r="H2039" s="10" t="s">
        <v>4694</v>
      </c>
      <c r="I2039" s="10" t="s">
        <v>4716</v>
      </c>
      <c r="J2039" s="17">
        <f t="shared" si="14"/>
        <v>25028</v>
      </c>
      <c r="K2039" s="10">
        <f t="shared" ca="1" si="15"/>
        <v>57</v>
      </c>
      <c r="L2039" s="6"/>
      <c r="M2039" s="6"/>
      <c r="N2039" s="6"/>
      <c r="O2039" s="6"/>
      <c r="P2039" s="6"/>
      <c r="Q2039" s="6"/>
      <c r="R2039" s="6"/>
      <c r="S2039" s="6"/>
      <c r="T2039" s="6"/>
      <c r="U2039" s="6"/>
      <c r="V2039" s="6"/>
      <c r="W2039" s="6"/>
      <c r="X2039" s="6"/>
      <c r="Y2039" s="6"/>
      <c r="Z2039" s="6"/>
    </row>
    <row r="2040" spans="1:26" ht="15.75" customHeight="1" x14ac:dyDescent="0.3">
      <c r="A2040" s="10" t="s">
        <v>604</v>
      </c>
      <c r="B2040" s="10">
        <v>1995</v>
      </c>
      <c r="C2040" s="10" t="s">
        <v>4711</v>
      </c>
      <c r="D2040" s="10">
        <v>27</v>
      </c>
      <c r="E2040" s="10">
        <v>0</v>
      </c>
      <c r="F2040" s="24">
        <v>31328.27</v>
      </c>
      <c r="G2040" s="10" t="s">
        <v>4695</v>
      </c>
      <c r="H2040" s="10" t="s">
        <v>4695</v>
      </c>
      <c r="I2040" s="10" t="s">
        <v>4716</v>
      </c>
      <c r="J2040" s="17">
        <f t="shared" si="14"/>
        <v>34969</v>
      </c>
      <c r="K2040" s="10">
        <f t="shared" ca="1" si="15"/>
        <v>30</v>
      </c>
      <c r="L2040" s="6"/>
      <c r="M2040" s="6"/>
      <c r="N2040" s="6"/>
      <c r="O2040" s="6"/>
      <c r="P2040" s="6"/>
      <c r="Q2040" s="6"/>
      <c r="R2040" s="6"/>
      <c r="S2040" s="6"/>
      <c r="T2040" s="6"/>
      <c r="U2040" s="6"/>
      <c r="V2040" s="6"/>
      <c r="W2040" s="6"/>
      <c r="X2040" s="6"/>
      <c r="Y2040" s="6"/>
      <c r="Z2040" s="6"/>
    </row>
    <row r="2041" spans="1:26" ht="15.75" customHeight="1" x14ac:dyDescent="0.3">
      <c r="A2041" s="10" t="s">
        <v>602</v>
      </c>
      <c r="B2041" s="10">
        <v>1974</v>
      </c>
      <c r="C2041" s="10" t="s">
        <v>4715</v>
      </c>
      <c r="D2041" s="10">
        <v>8</v>
      </c>
      <c r="E2041" s="10">
        <v>0</v>
      </c>
      <c r="F2041" s="24">
        <v>31368.81</v>
      </c>
      <c r="G2041" s="10" t="s">
        <v>4695</v>
      </c>
      <c r="H2041" s="10" t="s">
        <v>4696</v>
      </c>
      <c r="I2041" s="10" t="s">
        <v>4716</v>
      </c>
      <c r="J2041" s="17">
        <f t="shared" si="14"/>
        <v>27310</v>
      </c>
      <c r="K2041" s="10">
        <f t="shared" ca="1" si="15"/>
        <v>51</v>
      </c>
      <c r="L2041" s="6"/>
      <c r="M2041" s="6"/>
      <c r="N2041" s="6"/>
      <c r="O2041" s="6"/>
      <c r="P2041" s="6"/>
      <c r="Q2041" s="6"/>
      <c r="R2041" s="6"/>
      <c r="S2041" s="6"/>
      <c r="T2041" s="6"/>
      <c r="U2041" s="6"/>
      <c r="V2041" s="6"/>
      <c r="W2041" s="6"/>
      <c r="X2041" s="6"/>
      <c r="Y2041" s="6"/>
      <c r="Z2041" s="6"/>
    </row>
    <row r="2042" spans="1:26" ht="15.75" customHeight="1" x14ac:dyDescent="0.3">
      <c r="A2042" s="10" t="s">
        <v>600</v>
      </c>
      <c r="B2042" s="10">
        <v>1975</v>
      </c>
      <c r="C2042" s="10" t="s">
        <v>4715</v>
      </c>
      <c r="D2042" s="10">
        <v>29</v>
      </c>
      <c r="E2042" s="10">
        <v>1</v>
      </c>
      <c r="F2042" s="24">
        <v>31591.82</v>
      </c>
      <c r="G2042" s="10" t="s">
        <v>4695</v>
      </c>
      <c r="H2042" s="10" t="s">
        <v>4694</v>
      </c>
      <c r="I2042" s="10" t="s">
        <v>4716</v>
      </c>
      <c r="J2042" s="17">
        <f t="shared" ref="J2042:J2296" si="16">DATEVALUE(D2042&amp;"-"&amp;C2042&amp;" -"&amp;B2042)</f>
        <v>27696</v>
      </c>
      <c r="K2042" s="10">
        <f t="shared" ref="K2042:K2296" ca="1" si="17">DATEDIF(J2042,TODAY(),"Y")</f>
        <v>50</v>
      </c>
      <c r="L2042" s="6"/>
      <c r="M2042" s="6"/>
      <c r="N2042" s="6"/>
      <c r="O2042" s="6"/>
      <c r="P2042" s="6"/>
      <c r="Q2042" s="6"/>
      <c r="R2042" s="6"/>
      <c r="S2042" s="6"/>
      <c r="T2042" s="6"/>
      <c r="U2042" s="6"/>
      <c r="V2042" s="6"/>
      <c r="W2042" s="6"/>
      <c r="X2042" s="6"/>
      <c r="Y2042" s="6"/>
      <c r="Z2042" s="6"/>
    </row>
    <row r="2043" spans="1:26" ht="15.75" customHeight="1" x14ac:dyDescent="0.3">
      <c r="A2043" s="10" t="s">
        <v>598</v>
      </c>
      <c r="B2043" s="10">
        <v>1960</v>
      </c>
      <c r="C2043" s="10" t="s">
        <v>4713</v>
      </c>
      <c r="D2043" s="10">
        <v>13</v>
      </c>
      <c r="E2043" s="10">
        <v>1</v>
      </c>
      <c r="F2043" s="24">
        <v>31620</v>
      </c>
      <c r="G2043" s="10" t="s">
        <v>4695</v>
      </c>
      <c r="H2043" s="10" t="s">
        <v>4694</v>
      </c>
      <c r="I2043" s="10" t="s">
        <v>4723</v>
      </c>
      <c r="J2043" s="17">
        <f t="shared" si="16"/>
        <v>22263</v>
      </c>
      <c r="K2043" s="10">
        <f t="shared" ca="1" si="17"/>
        <v>64</v>
      </c>
      <c r="L2043" s="6"/>
      <c r="M2043" s="6"/>
      <c r="N2043" s="6"/>
      <c r="O2043" s="6"/>
      <c r="P2043" s="6"/>
      <c r="Q2043" s="6"/>
      <c r="R2043" s="6"/>
      <c r="S2043" s="6"/>
      <c r="T2043" s="6"/>
      <c r="U2043" s="6"/>
      <c r="V2043" s="6"/>
      <c r="W2043" s="6"/>
      <c r="X2043" s="6"/>
      <c r="Y2043" s="6"/>
      <c r="Z2043" s="6"/>
    </row>
    <row r="2044" spans="1:26" ht="15.75" customHeight="1" x14ac:dyDescent="0.3">
      <c r="A2044" s="10" t="s">
        <v>596</v>
      </c>
      <c r="B2044" s="10">
        <v>1977</v>
      </c>
      <c r="C2044" s="10" t="s">
        <v>4715</v>
      </c>
      <c r="D2044" s="10">
        <v>14</v>
      </c>
      <c r="E2044" s="10">
        <v>2</v>
      </c>
      <c r="F2044" s="24">
        <v>31736.7</v>
      </c>
      <c r="G2044" s="10" t="s">
        <v>4695</v>
      </c>
      <c r="H2044" s="10" t="s">
        <v>4695</v>
      </c>
      <c r="I2044" s="10" t="s">
        <v>4712</v>
      </c>
      <c r="J2044" s="17">
        <f t="shared" si="16"/>
        <v>28412</v>
      </c>
      <c r="K2044" s="10">
        <f t="shared" ca="1" si="17"/>
        <v>48</v>
      </c>
      <c r="L2044" s="6"/>
      <c r="M2044" s="6"/>
      <c r="N2044" s="6"/>
      <c r="O2044" s="6"/>
      <c r="P2044" s="6"/>
      <c r="Q2044" s="6"/>
      <c r="R2044" s="6"/>
      <c r="S2044" s="6"/>
      <c r="T2044" s="6"/>
      <c r="U2044" s="6"/>
      <c r="V2044" s="6"/>
      <c r="W2044" s="6"/>
      <c r="X2044" s="6"/>
      <c r="Y2044" s="6"/>
      <c r="Z2044" s="6"/>
    </row>
    <row r="2045" spans="1:26" ht="15.75" customHeight="1" x14ac:dyDescent="0.3">
      <c r="A2045" s="10" t="s">
        <v>594</v>
      </c>
      <c r="B2045" s="10">
        <v>1984</v>
      </c>
      <c r="C2045" s="10" t="s">
        <v>4711</v>
      </c>
      <c r="D2045" s="10">
        <v>10</v>
      </c>
      <c r="E2045" s="10">
        <v>3</v>
      </c>
      <c r="F2045" s="24">
        <v>31743.919999999998</v>
      </c>
      <c r="G2045" s="10" t="s">
        <v>4695</v>
      </c>
      <c r="H2045" s="10" t="s">
        <v>4694</v>
      </c>
      <c r="I2045" s="10" t="s">
        <v>4716</v>
      </c>
      <c r="J2045" s="17">
        <f t="shared" si="16"/>
        <v>30935</v>
      </c>
      <c r="K2045" s="10">
        <f t="shared" ca="1" si="17"/>
        <v>41</v>
      </c>
      <c r="L2045" s="6"/>
      <c r="M2045" s="6"/>
      <c r="N2045" s="6"/>
      <c r="O2045" s="6"/>
      <c r="P2045" s="6"/>
      <c r="Q2045" s="6"/>
      <c r="R2045" s="6"/>
      <c r="S2045" s="6"/>
      <c r="T2045" s="6"/>
      <c r="U2045" s="6"/>
      <c r="V2045" s="6"/>
      <c r="W2045" s="6"/>
      <c r="X2045" s="6"/>
      <c r="Y2045" s="6"/>
      <c r="Z2045" s="6"/>
    </row>
    <row r="2046" spans="1:26" ht="15.75" customHeight="1" x14ac:dyDescent="0.3">
      <c r="A2046" s="10" t="s">
        <v>592</v>
      </c>
      <c r="B2046" s="10">
        <v>1975</v>
      </c>
      <c r="C2046" s="10" t="s">
        <v>4711</v>
      </c>
      <c r="D2046" s="10">
        <v>25</v>
      </c>
      <c r="E2046" s="10">
        <v>1</v>
      </c>
      <c r="F2046" s="24">
        <v>31897.1</v>
      </c>
      <c r="G2046" s="10" t="s">
        <v>4695</v>
      </c>
      <c r="H2046" s="10" t="s">
        <v>4696</v>
      </c>
      <c r="I2046" s="10" t="s">
        <v>4716</v>
      </c>
      <c r="J2046" s="17">
        <f t="shared" si="16"/>
        <v>27662</v>
      </c>
      <c r="K2046" s="10">
        <f t="shared" ca="1" si="17"/>
        <v>50</v>
      </c>
      <c r="L2046" s="6"/>
      <c r="M2046" s="6"/>
      <c r="N2046" s="6"/>
      <c r="O2046" s="6"/>
      <c r="P2046" s="6"/>
      <c r="Q2046" s="6"/>
      <c r="R2046" s="6"/>
      <c r="S2046" s="6"/>
      <c r="T2046" s="6"/>
      <c r="U2046" s="6"/>
      <c r="V2046" s="6"/>
      <c r="W2046" s="6"/>
      <c r="X2046" s="6"/>
      <c r="Y2046" s="6"/>
      <c r="Z2046" s="6"/>
    </row>
    <row r="2047" spans="1:26" ht="15.75" customHeight="1" x14ac:dyDescent="0.3">
      <c r="A2047" s="10" t="s">
        <v>590</v>
      </c>
      <c r="B2047" s="10">
        <v>1972</v>
      </c>
      <c r="C2047" s="10" t="s">
        <v>4711</v>
      </c>
      <c r="D2047" s="10">
        <v>21</v>
      </c>
      <c r="E2047" s="10">
        <v>0</v>
      </c>
      <c r="F2047" s="24">
        <v>31980.89</v>
      </c>
      <c r="G2047" s="10" t="s">
        <v>4695</v>
      </c>
      <c r="H2047" s="10" t="s">
        <v>4694</v>
      </c>
      <c r="I2047" s="10" t="s">
        <v>4716</v>
      </c>
      <c r="J2047" s="17">
        <f t="shared" si="16"/>
        <v>26563</v>
      </c>
      <c r="K2047" s="10">
        <f t="shared" ca="1" si="17"/>
        <v>53</v>
      </c>
      <c r="L2047" s="6"/>
      <c r="M2047" s="6"/>
      <c r="N2047" s="6"/>
      <c r="O2047" s="6"/>
      <c r="P2047" s="6"/>
      <c r="Q2047" s="6"/>
      <c r="R2047" s="6"/>
      <c r="S2047" s="6"/>
      <c r="T2047" s="6"/>
      <c r="U2047" s="6"/>
      <c r="V2047" s="6"/>
      <c r="W2047" s="6"/>
      <c r="X2047" s="6"/>
      <c r="Y2047" s="6"/>
      <c r="Z2047" s="6"/>
    </row>
    <row r="2048" spans="1:26" ht="15.75" customHeight="1" x14ac:dyDescent="0.3">
      <c r="A2048" s="10" t="s">
        <v>588</v>
      </c>
      <c r="B2048" s="10">
        <v>1993</v>
      </c>
      <c r="C2048" s="10" t="s">
        <v>4711</v>
      </c>
      <c r="D2048" s="10">
        <v>13</v>
      </c>
      <c r="E2048" s="10">
        <v>0</v>
      </c>
      <c r="F2048" s="24">
        <v>32086.21</v>
      </c>
      <c r="G2048" s="10" t="s">
        <v>4694</v>
      </c>
      <c r="H2048" s="10" t="s">
        <v>4696</v>
      </c>
      <c r="I2048" s="10" t="s">
        <v>4716</v>
      </c>
      <c r="J2048" s="17">
        <f t="shared" si="16"/>
        <v>34225</v>
      </c>
      <c r="K2048" s="10">
        <f t="shared" ca="1" si="17"/>
        <v>32</v>
      </c>
      <c r="L2048" s="6"/>
      <c r="M2048" s="6"/>
      <c r="N2048" s="6"/>
      <c r="O2048" s="6"/>
      <c r="P2048" s="6"/>
      <c r="Q2048" s="6"/>
      <c r="R2048" s="6"/>
      <c r="S2048" s="6"/>
      <c r="T2048" s="6"/>
      <c r="U2048" s="6"/>
      <c r="V2048" s="6"/>
      <c r="W2048" s="6"/>
      <c r="X2048" s="6"/>
      <c r="Y2048" s="6"/>
      <c r="Z2048" s="6"/>
    </row>
    <row r="2049" spans="1:26" ht="15.75" customHeight="1" x14ac:dyDescent="0.3">
      <c r="A2049" s="10" t="s">
        <v>586</v>
      </c>
      <c r="B2049" s="10">
        <v>1978</v>
      </c>
      <c r="C2049" s="10" t="s">
        <v>4709</v>
      </c>
      <c r="D2049" s="10">
        <v>10</v>
      </c>
      <c r="E2049" s="10">
        <v>2</v>
      </c>
      <c r="F2049" s="24">
        <v>32108.66</v>
      </c>
      <c r="G2049" s="10" t="s">
        <v>4694</v>
      </c>
      <c r="H2049" s="10" t="s">
        <v>4696</v>
      </c>
      <c r="I2049" s="10" t="s">
        <v>4727</v>
      </c>
      <c r="J2049" s="17">
        <f t="shared" si="16"/>
        <v>28804</v>
      </c>
      <c r="K2049" s="10">
        <f t="shared" ca="1" si="17"/>
        <v>47</v>
      </c>
      <c r="L2049" s="6"/>
      <c r="M2049" s="6"/>
      <c r="N2049" s="6"/>
      <c r="O2049" s="6"/>
      <c r="P2049" s="6"/>
      <c r="Q2049" s="6"/>
      <c r="R2049" s="6"/>
      <c r="S2049" s="6"/>
      <c r="T2049" s="6"/>
      <c r="U2049" s="6"/>
      <c r="V2049" s="6"/>
      <c r="W2049" s="6"/>
      <c r="X2049" s="6"/>
      <c r="Y2049" s="6"/>
      <c r="Z2049" s="6"/>
    </row>
    <row r="2050" spans="1:26" ht="15.75" customHeight="1" x14ac:dyDescent="0.3">
      <c r="A2050" s="10" t="s">
        <v>584</v>
      </c>
      <c r="B2050" s="10">
        <v>1969</v>
      </c>
      <c r="C2050" s="10" t="s">
        <v>4711</v>
      </c>
      <c r="D2050" s="10">
        <v>11</v>
      </c>
      <c r="E2050" s="10">
        <v>0</v>
      </c>
      <c r="F2050" s="24">
        <v>32192.76</v>
      </c>
      <c r="G2050" s="10" t="s">
        <v>4694</v>
      </c>
      <c r="H2050" s="10" t="s">
        <v>4695</v>
      </c>
      <c r="I2050" s="10" t="s">
        <v>4716</v>
      </c>
      <c r="J2050" s="17">
        <f t="shared" si="16"/>
        <v>25457</v>
      </c>
      <c r="K2050" s="10">
        <f t="shared" ca="1" si="17"/>
        <v>56</v>
      </c>
      <c r="L2050" s="6"/>
      <c r="M2050" s="6"/>
      <c r="N2050" s="6"/>
      <c r="O2050" s="6"/>
      <c r="P2050" s="6"/>
      <c r="Q2050" s="6"/>
      <c r="R2050" s="6"/>
      <c r="S2050" s="6"/>
      <c r="T2050" s="6"/>
      <c r="U2050" s="6"/>
      <c r="V2050" s="6"/>
      <c r="W2050" s="6"/>
      <c r="X2050" s="6"/>
      <c r="Y2050" s="6"/>
      <c r="Z2050" s="6"/>
    </row>
    <row r="2051" spans="1:26" ht="15.75" customHeight="1" x14ac:dyDescent="0.3">
      <c r="A2051" s="10" t="s">
        <v>582</v>
      </c>
      <c r="B2051" s="10">
        <v>1994</v>
      </c>
      <c r="C2051" s="10" t="s">
        <v>4711</v>
      </c>
      <c r="D2051" s="10">
        <v>8</v>
      </c>
      <c r="E2051" s="10">
        <v>0</v>
      </c>
      <c r="F2051" s="24">
        <v>32222.81</v>
      </c>
      <c r="G2051" s="10" t="s">
        <v>4695</v>
      </c>
      <c r="H2051" s="10" t="s">
        <v>4694</v>
      </c>
      <c r="I2051" s="10" t="s">
        <v>4716</v>
      </c>
      <c r="J2051" s="17">
        <f t="shared" si="16"/>
        <v>34585</v>
      </c>
      <c r="K2051" s="10">
        <f t="shared" ca="1" si="17"/>
        <v>31</v>
      </c>
      <c r="L2051" s="6"/>
      <c r="M2051" s="6"/>
      <c r="N2051" s="6"/>
      <c r="O2051" s="6"/>
      <c r="P2051" s="6"/>
      <c r="Q2051" s="6"/>
      <c r="R2051" s="6"/>
      <c r="S2051" s="6"/>
      <c r="T2051" s="6"/>
      <c r="U2051" s="6"/>
      <c r="V2051" s="6"/>
      <c r="W2051" s="6"/>
      <c r="X2051" s="6"/>
      <c r="Y2051" s="6"/>
      <c r="Z2051" s="6"/>
    </row>
    <row r="2052" spans="1:26" ht="15.75" customHeight="1" x14ac:dyDescent="0.3">
      <c r="A2052" s="10" t="s">
        <v>580</v>
      </c>
      <c r="B2052" s="10">
        <v>1975</v>
      </c>
      <c r="C2052" s="10" t="s">
        <v>4713</v>
      </c>
      <c r="D2052" s="10">
        <v>17</v>
      </c>
      <c r="E2052" s="10">
        <v>1</v>
      </c>
      <c r="F2052" s="24">
        <v>32259.96</v>
      </c>
      <c r="G2052" s="10" t="s">
        <v>4695</v>
      </c>
      <c r="H2052" s="10" t="s">
        <v>4696</v>
      </c>
      <c r="I2052" s="10" t="s">
        <v>4712</v>
      </c>
      <c r="J2052" s="17">
        <f t="shared" si="16"/>
        <v>27745</v>
      </c>
      <c r="K2052" s="10">
        <f t="shared" ca="1" si="17"/>
        <v>49</v>
      </c>
      <c r="L2052" s="6"/>
      <c r="M2052" s="6"/>
      <c r="N2052" s="6"/>
      <c r="O2052" s="6"/>
      <c r="P2052" s="6"/>
      <c r="Q2052" s="6"/>
      <c r="R2052" s="6"/>
      <c r="S2052" s="6"/>
      <c r="T2052" s="6"/>
      <c r="U2052" s="6"/>
      <c r="V2052" s="6"/>
      <c r="W2052" s="6"/>
      <c r="X2052" s="6"/>
      <c r="Y2052" s="6"/>
      <c r="Z2052" s="6"/>
    </row>
    <row r="2053" spans="1:26" ht="15.75" customHeight="1" x14ac:dyDescent="0.3">
      <c r="A2053" s="10" t="s">
        <v>578</v>
      </c>
      <c r="B2053" s="10">
        <v>1986</v>
      </c>
      <c r="C2053" s="10" t="s">
        <v>4713</v>
      </c>
      <c r="D2053" s="10">
        <v>2</v>
      </c>
      <c r="E2053" s="10">
        <v>3</v>
      </c>
      <c r="F2053" s="24">
        <v>32288.49</v>
      </c>
      <c r="G2053" s="10" t="s">
        <v>4695</v>
      </c>
      <c r="H2053" s="10" t="s">
        <v>4695</v>
      </c>
      <c r="I2053" s="10" t="s">
        <v>4716</v>
      </c>
      <c r="J2053" s="17">
        <f t="shared" si="16"/>
        <v>31748</v>
      </c>
      <c r="K2053" s="10">
        <f t="shared" ca="1" si="17"/>
        <v>38</v>
      </c>
      <c r="L2053" s="6"/>
      <c r="M2053" s="6"/>
      <c r="N2053" s="6"/>
      <c r="O2053" s="6"/>
      <c r="P2053" s="6"/>
      <c r="Q2053" s="6"/>
      <c r="R2053" s="6"/>
      <c r="S2053" s="6"/>
      <c r="T2053" s="6"/>
      <c r="U2053" s="6"/>
      <c r="V2053" s="6"/>
      <c r="W2053" s="6"/>
      <c r="X2053" s="6"/>
      <c r="Y2053" s="6"/>
      <c r="Z2053" s="6"/>
    </row>
    <row r="2054" spans="1:26" ht="15.75" customHeight="1" x14ac:dyDescent="0.3">
      <c r="A2054" s="10" t="s">
        <v>576</v>
      </c>
      <c r="B2054" s="10">
        <v>1972</v>
      </c>
      <c r="C2054" s="10" t="s">
        <v>4715</v>
      </c>
      <c r="D2054" s="10">
        <v>19</v>
      </c>
      <c r="E2054" s="10">
        <v>0</v>
      </c>
      <c r="F2054" s="24">
        <v>32428.63</v>
      </c>
      <c r="G2054" s="10" t="s">
        <v>4695</v>
      </c>
      <c r="H2054" s="10" t="s">
        <v>4695</v>
      </c>
      <c r="I2054" s="10" t="s">
        <v>4716</v>
      </c>
      <c r="J2054" s="17">
        <f t="shared" si="16"/>
        <v>26591</v>
      </c>
      <c r="K2054" s="10">
        <f t="shared" ca="1" si="17"/>
        <v>53</v>
      </c>
      <c r="L2054" s="6"/>
      <c r="M2054" s="6"/>
      <c r="N2054" s="6"/>
      <c r="O2054" s="6"/>
      <c r="P2054" s="6"/>
      <c r="Q2054" s="6"/>
      <c r="R2054" s="6"/>
      <c r="S2054" s="6"/>
      <c r="T2054" s="6"/>
      <c r="U2054" s="6"/>
      <c r="V2054" s="6"/>
      <c r="W2054" s="6"/>
      <c r="X2054" s="6"/>
      <c r="Y2054" s="6"/>
      <c r="Z2054" s="6"/>
    </row>
    <row r="2055" spans="1:26" ht="15.75" customHeight="1" x14ac:dyDescent="0.3">
      <c r="A2055" s="10" t="s">
        <v>574</v>
      </c>
      <c r="B2055" s="10">
        <v>1976</v>
      </c>
      <c r="C2055" s="10" t="s">
        <v>4714</v>
      </c>
      <c r="D2055" s="10">
        <v>9</v>
      </c>
      <c r="E2055" s="10">
        <v>2</v>
      </c>
      <c r="F2055" s="24">
        <v>32430.22</v>
      </c>
      <c r="G2055" s="10" t="s">
        <v>4695</v>
      </c>
      <c r="H2055" s="10" t="s">
        <v>4696</v>
      </c>
      <c r="I2055" s="10" t="s">
        <v>4716</v>
      </c>
      <c r="J2055" s="17">
        <f t="shared" si="16"/>
        <v>27981</v>
      </c>
      <c r="K2055" s="10">
        <f t="shared" ca="1" si="17"/>
        <v>49</v>
      </c>
      <c r="L2055" s="6"/>
      <c r="M2055" s="6"/>
      <c r="N2055" s="6"/>
      <c r="O2055" s="6"/>
      <c r="P2055" s="6"/>
      <c r="Q2055" s="6"/>
      <c r="R2055" s="6"/>
      <c r="S2055" s="6"/>
      <c r="T2055" s="6"/>
      <c r="U2055" s="6"/>
      <c r="V2055" s="6"/>
      <c r="W2055" s="6"/>
      <c r="X2055" s="6"/>
      <c r="Y2055" s="6"/>
      <c r="Z2055" s="6"/>
    </row>
    <row r="2056" spans="1:26" ht="15.75" customHeight="1" x14ac:dyDescent="0.3">
      <c r="A2056" s="10" t="s">
        <v>572</v>
      </c>
      <c r="B2056" s="10">
        <v>1981</v>
      </c>
      <c r="C2056" s="10" t="s">
        <v>4711</v>
      </c>
      <c r="D2056" s="10">
        <v>27</v>
      </c>
      <c r="E2056" s="10">
        <v>1</v>
      </c>
      <c r="F2056" s="24">
        <v>32462.35</v>
      </c>
      <c r="G2056" s="10" t="s">
        <v>4695</v>
      </c>
      <c r="H2056" s="10" t="s">
        <v>4695</v>
      </c>
      <c r="I2056" s="10" t="s">
        <v>4716</v>
      </c>
      <c r="J2056" s="17">
        <f t="shared" si="16"/>
        <v>29856</v>
      </c>
      <c r="K2056" s="10">
        <f t="shared" ca="1" si="17"/>
        <v>44</v>
      </c>
      <c r="L2056" s="6"/>
      <c r="M2056" s="6"/>
      <c r="N2056" s="6"/>
      <c r="O2056" s="6"/>
      <c r="P2056" s="6"/>
      <c r="Q2056" s="6"/>
      <c r="R2056" s="6"/>
      <c r="S2056" s="6"/>
      <c r="T2056" s="6"/>
      <c r="U2056" s="6"/>
      <c r="V2056" s="6"/>
      <c r="W2056" s="6"/>
      <c r="X2056" s="6"/>
      <c r="Y2056" s="6"/>
      <c r="Z2056" s="6"/>
    </row>
    <row r="2057" spans="1:26" ht="15.75" customHeight="1" x14ac:dyDescent="0.3">
      <c r="A2057" s="10" t="s">
        <v>570</v>
      </c>
      <c r="B2057" s="10">
        <v>1976</v>
      </c>
      <c r="C2057" s="10" t="s">
        <v>4711</v>
      </c>
      <c r="D2057" s="10">
        <v>19</v>
      </c>
      <c r="E2057" s="10">
        <v>2</v>
      </c>
      <c r="F2057" s="24">
        <v>32485.46</v>
      </c>
      <c r="G2057" s="10" t="s">
        <v>4695</v>
      </c>
      <c r="H2057" s="10" t="s">
        <v>4694</v>
      </c>
      <c r="I2057" s="10" t="s">
        <v>4716</v>
      </c>
      <c r="J2057" s="17">
        <f t="shared" si="16"/>
        <v>28022</v>
      </c>
      <c r="K2057" s="10">
        <f t="shared" ca="1" si="17"/>
        <v>49</v>
      </c>
      <c r="L2057" s="6"/>
      <c r="M2057" s="6"/>
      <c r="N2057" s="6"/>
      <c r="O2057" s="6"/>
      <c r="P2057" s="6"/>
      <c r="Q2057" s="6"/>
      <c r="R2057" s="6"/>
      <c r="S2057" s="6"/>
      <c r="T2057" s="6"/>
      <c r="U2057" s="6"/>
      <c r="V2057" s="6"/>
      <c r="W2057" s="6"/>
      <c r="X2057" s="6"/>
      <c r="Y2057" s="6"/>
      <c r="Z2057" s="6"/>
    </row>
    <row r="2058" spans="1:26" ht="15.75" customHeight="1" x14ac:dyDescent="0.3">
      <c r="A2058" s="10" t="s">
        <v>568</v>
      </c>
      <c r="B2058" s="10">
        <v>2003</v>
      </c>
      <c r="C2058" s="10" t="s">
        <v>4715</v>
      </c>
      <c r="D2058" s="10">
        <v>8</v>
      </c>
      <c r="E2058" s="10">
        <v>0</v>
      </c>
      <c r="F2058" s="24">
        <v>32548.34</v>
      </c>
      <c r="G2058" s="10" t="s">
        <v>4694</v>
      </c>
      <c r="H2058" s="10" t="s">
        <v>4695</v>
      </c>
      <c r="I2058" s="10" t="s">
        <v>4708</v>
      </c>
      <c r="J2058" s="17">
        <f t="shared" si="16"/>
        <v>37902</v>
      </c>
      <c r="K2058" s="10">
        <f t="shared" ca="1" si="17"/>
        <v>22</v>
      </c>
      <c r="L2058" s="6"/>
      <c r="M2058" s="6"/>
      <c r="N2058" s="6"/>
      <c r="O2058" s="6"/>
      <c r="P2058" s="6"/>
      <c r="Q2058" s="6"/>
      <c r="R2058" s="6"/>
      <c r="S2058" s="6"/>
      <c r="T2058" s="6"/>
      <c r="U2058" s="6"/>
      <c r="V2058" s="6"/>
      <c r="W2058" s="6"/>
      <c r="X2058" s="6"/>
      <c r="Y2058" s="6"/>
      <c r="Z2058" s="6"/>
    </row>
    <row r="2059" spans="1:26" ht="15.75" customHeight="1" x14ac:dyDescent="0.3">
      <c r="A2059" s="10" t="s">
        <v>566</v>
      </c>
      <c r="B2059" s="10">
        <v>1990</v>
      </c>
      <c r="C2059" s="10" t="s">
        <v>4707</v>
      </c>
      <c r="D2059" s="10">
        <v>13</v>
      </c>
      <c r="E2059" s="10">
        <v>3</v>
      </c>
      <c r="F2059" s="24">
        <v>32672.11</v>
      </c>
      <c r="G2059" s="10" t="s">
        <v>4694</v>
      </c>
      <c r="H2059" s="10" t="s">
        <v>4694</v>
      </c>
      <c r="I2059" s="10" t="s">
        <v>4716</v>
      </c>
      <c r="J2059" s="17">
        <f t="shared" si="16"/>
        <v>33067</v>
      </c>
      <c r="K2059" s="10">
        <f t="shared" ca="1" si="17"/>
        <v>35</v>
      </c>
      <c r="L2059" s="6"/>
      <c r="M2059" s="6"/>
      <c r="N2059" s="6"/>
      <c r="O2059" s="6"/>
      <c r="P2059" s="6"/>
      <c r="Q2059" s="6"/>
      <c r="R2059" s="6"/>
      <c r="S2059" s="6"/>
      <c r="T2059" s="6"/>
      <c r="U2059" s="6"/>
      <c r="V2059" s="6"/>
      <c r="W2059" s="6"/>
      <c r="X2059" s="6"/>
      <c r="Y2059" s="6"/>
      <c r="Z2059" s="6"/>
    </row>
    <row r="2060" spans="1:26" ht="15.75" customHeight="1" x14ac:dyDescent="0.3">
      <c r="A2060" s="10" t="s">
        <v>564</v>
      </c>
      <c r="B2060" s="10">
        <v>1968</v>
      </c>
      <c r="C2060" s="10" t="s">
        <v>4709</v>
      </c>
      <c r="D2060" s="10">
        <v>1</v>
      </c>
      <c r="E2060" s="10">
        <v>0</v>
      </c>
      <c r="F2060" s="24">
        <v>32686.080000000002</v>
      </c>
      <c r="G2060" s="10" t="s">
        <v>4695</v>
      </c>
      <c r="H2060" s="10" t="s">
        <v>4696</v>
      </c>
      <c r="I2060" s="10" t="s">
        <v>4716</v>
      </c>
      <c r="J2060" s="17">
        <f t="shared" si="16"/>
        <v>25143</v>
      </c>
      <c r="K2060" s="10">
        <f t="shared" ca="1" si="17"/>
        <v>57</v>
      </c>
      <c r="L2060" s="6"/>
      <c r="M2060" s="6"/>
      <c r="N2060" s="6"/>
      <c r="O2060" s="6"/>
      <c r="P2060" s="6"/>
      <c r="Q2060" s="6"/>
      <c r="R2060" s="6"/>
      <c r="S2060" s="6"/>
      <c r="T2060" s="6"/>
      <c r="U2060" s="6"/>
      <c r="V2060" s="6"/>
      <c r="W2060" s="6"/>
      <c r="X2060" s="6"/>
      <c r="Y2060" s="6"/>
      <c r="Z2060" s="6"/>
    </row>
    <row r="2061" spans="1:26" ht="15.75" customHeight="1" x14ac:dyDescent="0.3">
      <c r="A2061" s="10" t="s">
        <v>562</v>
      </c>
      <c r="B2061" s="10">
        <v>1990</v>
      </c>
      <c r="C2061" s="10" t="s">
        <v>4711</v>
      </c>
      <c r="D2061" s="10">
        <v>30</v>
      </c>
      <c r="E2061" s="10">
        <v>3</v>
      </c>
      <c r="F2061" s="24">
        <v>32716.2</v>
      </c>
      <c r="G2061" s="10" t="s">
        <v>4694</v>
      </c>
      <c r="H2061" s="10" t="s">
        <v>4695</v>
      </c>
      <c r="I2061" s="10" t="s">
        <v>4716</v>
      </c>
      <c r="J2061" s="17">
        <f t="shared" si="16"/>
        <v>33146</v>
      </c>
      <c r="K2061" s="10">
        <f t="shared" ca="1" si="17"/>
        <v>35</v>
      </c>
      <c r="L2061" s="6"/>
      <c r="M2061" s="6"/>
      <c r="N2061" s="6"/>
      <c r="O2061" s="6"/>
      <c r="P2061" s="6"/>
      <c r="Q2061" s="6"/>
      <c r="R2061" s="6"/>
      <c r="S2061" s="6"/>
      <c r="T2061" s="6"/>
      <c r="U2061" s="6"/>
      <c r="V2061" s="6"/>
      <c r="W2061" s="6"/>
      <c r="X2061" s="6"/>
      <c r="Y2061" s="6"/>
      <c r="Z2061" s="6"/>
    </row>
    <row r="2062" spans="1:26" ht="15.75" customHeight="1" x14ac:dyDescent="0.3">
      <c r="A2062" s="10" t="s">
        <v>560</v>
      </c>
      <c r="B2062" s="10">
        <v>1990</v>
      </c>
      <c r="C2062" s="10" t="s">
        <v>4707</v>
      </c>
      <c r="D2062" s="10">
        <v>9</v>
      </c>
      <c r="E2062" s="10">
        <v>2</v>
      </c>
      <c r="F2062" s="24">
        <v>32734.19</v>
      </c>
      <c r="G2062" s="10" t="s">
        <v>4695</v>
      </c>
      <c r="H2062" s="10" t="s">
        <v>4694</v>
      </c>
      <c r="I2062" s="10" t="s">
        <v>4712</v>
      </c>
      <c r="J2062" s="17">
        <f t="shared" si="16"/>
        <v>33063</v>
      </c>
      <c r="K2062" s="10">
        <f t="shared" ca="1" si="17"/>
        <v>35</v>
      </c>
      <c r="L2062" s="6"/>
      <c r="M2062" s="6"/>
      <c r="N2062" s="6"/>
      <c r="O2062" s="6"/>
      <c r="P2062" s="6"/>
      <c r="Q2062" s="6"/>
      <c r="R2062" s="6"/>
      <c r="S2062" s="6"/>
      <c r="T2062" s="6"/>
      <c r="U2062" s="6"/>
      <c r="V2062" s="6"/>
      <c r="W2062" s="6"/>
      <c r="X2062" s="6"/>
      <c r="Y2062" s="6"/>
      <c r="Z2062" s="6"/>
    </row>
    <row r="2063" spans="1:26" ht="15.75" customHeight="1" x14ac:dyDescent="0.3">
      <c r="A2063" s="10" t="s">
        <v>558</v>
      </c>
      <c r="B2063" s="10">
        <v>1974</v>
      </c>
      <c r="C2063" s="10" t="s">
        <v>4713</v>
      </c>
      <c r="D2063" s="10">
        <v>6</v>
      </c>
      <c r="E2063" s="10">
        <v>0</v>
      </c>
      <c r="F2063" s="24">
        <v>32760.48</v>
      </c>
      <c r="G2063" s="10" t="s">
        <v>4694</v>
      </c>
      <c r="H2063" s="10" t="s">
        <v>4694</v>
      </c>
      <c r="I2063" s="10" t="s">
        <v>4716</v>
      </c>
      <c r="J2063" s="17">
        <f t="shared" si="16"/>
        <v>27369</v>
      </c>
      <c r="K2063" s="10">
        <f t="shared" ca="1" si="17"/>
        <v>50</v>
      </c>
      <c r="L2063" s="6"/>
      <c r="M2063" s="6"/>
      <c r="N2063" s="6"/>
      <c r="O2063" s="6"/>
      <c r="P2063" s="6"/>
      <c r="Q2063" s="6"/>
      <c r="R2063" s="6"/>
      <c r="S2063" s="6"/>
      <c r="T2063" s="6"/>
      <c r="U2063" s="6"/>
      <c r="V2063" s="6"/>
      <c r="W2063" s="6"/>
      <c r="X2063" s="6"/>
      <c r="Y2063" s="6"/>
      <c r="Z2063" s="6"/>
    </row>
    <row r="2064" spans="1:26" ht="15.75" customHeight="1" x14ac:dyDescent="0.3">
      <c r="A2064" s="10" t="s">
        <v>556</v>
      </c>
      <c r="B2064" s="10">
        <v>1972</v>
      </c>
      <c r="C2064" s="10" t="s">
        <v>4709</v>
      </c>
      <c r="D2064" s="10">
        <v>7</v>
      </c>
      <c r="E2064" s="10">
        <v>0</v>
      </c>
      <c r="F2064" s="24">
        <v>32765.33</v>
      </c>
      <c r="G2064" s="10" t="s">
        <v>4695</v>
      </c>
      <c r="H2064" s="10" t="s">
        <v>4695</v>
      </c>
      <c r="I2064" s="10" t="s">
        <v>4712</v>
      </c>
      <c r="J2064" s="17">
        <f t="shared" si="16"/>
        <v>26610</v>
      </c>
      <c r="K2064" s="10">
        <f t="shared" ca="1" si="17"/>
        <v>53</v>
      </c>
      <c r="L2064" s="6"/>
      <c r="M2064" s="6"/>
      <c r="N2064" s="6"/>
      <c r="O2064" s="6"/>
      <c r="P2064" s="6"/>
      <c r="Q2064" s="6"/>
      <c r="R2064" s="6"/>
      <c r="S2064" s="6"/>
      <c r="T2064" s="6"/>
      <c r="U2064" s="6"/>
      <c r="V2064" s="6"/>
      <c r="W2064" s="6"/>
      <c r="X2064" s="6"/>
      <c r="Y2064" s="6"/>
      <c r="Z2064" s="6"/>
    </row>
    <row r="2065" spans="1:26" ht="15.75" customHeight="1" x14ac:dyDescent="0.3">
      <c r="A2065" s="10" t="s">
        <v>554</v>
      </c>
      <c r="B2065" s="10">
        <v>1980</v>
      </c>
      <c r="C2065" s="10" t="s">
        <v>4713</v>
      </c>
      <c r="D2065" s="10">
        <v>12</v>
      </c>
      <c r="E2065" s="10">
        <v>3</v>
      </c>
      <c r="F2065" s="24">
        <v>32787.46</v>
      </c>
      <c r="G2065" s="10" t="s">
        <v>4694</v>
      </c>
      <c r="H2065" s="10" t="s">
        <v>4696</v>
      </c>
      <c r="I2065" s="10" t="s">
        <v>4712</v>
      </c>
      <c r="J2065" s="17">
        <f t="shared" si="16"/>
        <v>29567</v>
      </c>
      <c r="K2065" s="10">
        <f t="shared" ca="1" si="17"/>
        <v>44</v>
      </c>
      <c r="L2065" s="6"/>
      <c r="M2065" s="6"/>
      <c r="N2065" s="6"/>
      <c r="O2065" s="6"/>
      <c r="P2065" s="6"/>
      <c r="Q2065" s="6"/>
      <c r="R2065" s="6"/>
      <c r="S2065" s="6"/>
      <c r="T2065" s="6"/>
      <c r="U2065" s="6"/>
      <c r="V2065" s="6"/>
      <c r="W2065" s="6"/>
      <c r="X2065" s="6"/>
      <c r="Y2065" s="6"/>
      <c r="Z2065" s="6"/>
    </row>
    <row r="2066" spans="1:26" ht="15.75" customHeight="1" x14ac:dyDescent="0.3">
      <c r="A2066" s="10" t="s">
        <v>552</v>
      </c>
      <c r="B2066" s="10">
        <v>1995</v>
      </c>
      <c r="C2066" s="10" t="s">
        <v>4713</v>
      </c>
      <c r="D2066" s="10">
        <v>4</v>
      </c>
      <c r="E2066" s="10">
        <v>0</v>
      </c>
      <c r="F2066" s="24">
        <v>32827.51</v>
      </c>
      <c r="G2066" s="10" t="s">
        <v>4694</v>
      </c>
      <c r="H2066" s="10" t="s">
        <v>4695</v>
      </c>
      <c r="I2066" s="10" t="s">
        <v>4716</v>
      </c>
      <c r="J2066" s="17">
        <f t="shared" si="16"/>
        <v>35037</v>
      </c>
      <c r="K2066" s="10">
        <f t="shared" ca="1" si="17"/>
        <v>29</v>
      </c>
      <c r="L2066" s="6"/>
      <c r="M2066" s="6"/>
      <c r="N2066" s="6"/>
      <c r="O2066" s="6"/>
      <c r="P2066" s="6"/>
      <c r="Q2066" s="6"/>
      <c r="R2066" s="6"/>
      <c r="S2066" s="6"/>
      <c r="T2066" s="6"/>
      <c r="U2066" s="6"/>
      <c r="V2066" s="6"/>
      <c r="W2066" s="6"/>
      <c r="X2066" s="6"/>
      <c r="Y2066" s="6"/>
      <c r="Z2066" s="6"/>
    </row>
    <row r="2067" spans="1:26" ht="15.75" customHeight="1" x14ac:dyDescent="0.3">
      <c r="A2067" s="10" t="s">
        <v>550</v>
      </c>
      <c r="B2067" s="10">
        <v>1981</v>
      </c>
      <c r="C2067" s="10" t="s">
        <v>4709</v>
      </c>
      <c r="D2067" s="10">
        <v>17</v>
      </c>
      <c r="E2067" s="10">
        <v>1</v>
      </c>
      <c r="F2067" s="24">
        <v>32906.69</v>
      </c>
      <c r="G2067" s="10" t="s">
        <v>4695</v>
      </c>
      <c r="H2067" s="10" t="s">
        <v>4696</v>
      </c>
      <c r="I2067" s="10" t="s">
        <v>4716</v>
      </c>
      <c r="J2067" s="17">
        <f t="shared" si="16"/>
        <v>29907</v>
      </c>
      <c r="K2067" s="10">
        <f t="shared" ca="1" si="17"/>
        <v>44</v>
      </c>
      <c r="L2067" s="6"/>
      <c r="M2067" s="6"/>
      <c r="N2067" s="6"/>
      <c r="O2067" s="6"/>
      <c r="P2067" s="6"/>
      <c r="Q2067" s="6"/>
      <c r="R2067" s="6"/>
      <c r="S2067" s="6"/>
      <c r="T2067" s="6"/>
      <c r="U2067" s="6"/>
      <c r="V2067" s="6"/>
      <c r="W2067" s="6"/>
      <c r="X2067" s="6"/>
      <c r="Y2067" s="6"/>
      <c r="Z2067" s="6"/>
    </row>
    <row r="2068" spans="1:26" ht="15.75" customHeight="1" x14ac:dyDescent="0.3">
      <c r="A2068" s="10" t="s">
        <v>548</v>
      </c>
      <c r="B2068" s="10">
        <v>1971</v>
      </c>
      <c r="C2068" s="10" t="s">
        <v>4714</v>
      </c>
      <c r="D2068" s="10">
        <v>24</v>
      </c>
      <c r="E2068" s="10">
        <v>0</v>
      </c>
      <c r="F2068" s="24">
        <v>32947.629999999997</v>
      </c>
      <c r="G2068" s="10" t="s">
        <v>4695</v>
      </c>
      <c r="H2068" s="10" t="s">
        <v>4694</v>
      </c>
      <c r="I2068" s="10" t="s">
        <v>4716</v>
      </c>
      <c r="J2068" s="17">
        <f t="shared" si="16"/>
        <v>26169</v>
      </c>
      <c r="K2068" s="10">
        <f t="shared" ca="1" si="17"/>
        <v>54</v>
      </c>
      <c r="L2068" s="6"/>
      <c r="M2068" s="6"/>
      <c r="N2068" s="6"/>
      <c r="O2068" s="6"/>
      <c r="P2068" s="6"/>
      <c r="Q2068" s="6"/>
      <c r="R2068" s="6"/>
      <c r="S2068" s="6"/>
      <c r="T2068" s="6"/>
      <c r="U2068" s="6"/>
      <c r="V2068" s="6"/>
      <c r="W2068" s="6"/>
      <c r="X2068" s="6"/>
      <c r="Y2068" s="6"/>
      <c r="Z2068" s="6"/>
    </row>
    <row r="2069" spans="1:26" ht="15.75" customHeight="1" x14ac:dyDescent="0.3">
      <c r="A2069" s="10" t="s">
        <v>546</v>
      </c>
      <c r="B2069" s="10">
        <v>1995</v>
      </c>
      <c r="C2069" s="10" t="s">
        <v>4707</v>
      </c>
      <c r="D2069" s="10">
        <v>8</v>
      </c>
      <c r="E2069" s="10">
        <v>0</v>
      </c>
      <c r="F2069" s="24">
        <v>33017.46</v>
      </c>
      <c r="G2069" s="10" t="s">
        <v>4694</v>
      </c>
      <c r="H2069" s="10" t="s">
        <v>4694</v>
      </c>
      <c r="I2069" s="10" t="s">
        <v>4716</v>
      </c>
      <c r="J2069" s="17">
        <f t="shared" si="16"/>
        <v>34888</v>
      </c>
      <c r="K2069" s="10">
        <f t="shared" ca="1" si="17"/>
        <v>30</v>
      </c>
      <c r="L2069" s="6"/>
      <c r="M2069" s="6"/>
      <c r="N2069" s="6"/>
      <c r="O2069" s="6"/>
      <c r="P2069" s="6"/>
      <c r="Q2069" s="6"/>
      <c r="R2069" s="6"/>
      <c r="S2069" s="6"/>
      <c r="T2069" s="6"/>
      <c r="U2069" s="6"/>
      <c r="V2069" s="6"/>
      <c r="W2069" s="6"/>
      <c r="X2069" s="6"/>
      <c r="Y2069" s="6"/>
      <c r="Z2069" s="6"/>
    </row>
    <row r="2070" spans="1:26" ht="15.75" customHeight="1" x14ac:dyDescent="0.3">
      <c r="A2070" s="10" t="s">
        <v>544</v>
      </c>
      <c r="B2070" s="10">
        <v>1967</v>
      </c>
      <c r="C2070" s="10" t="s">
        <v>4707</v>
      </c>
      <c r="D2070" s="10">
        <v>10</v>
      </c>
      <c r="E2070" s="10">
        <v>0</v>
      </c>
      <c r="F2070" s="24">
        <v>33025.32</v>
      </c>
      <c r="G2070" s="10" t="s">
        <v>4695</v>
      </c>
      <c r="H2070" s="10" t="s">
        <v>4696</v>
      </c>
      <c r="I2070" s="10" t="s">
        <v>4716</v>
      </c>
      <c r="J2070" s="17">
        <f t="shared" si="16"/>
        <v>24663</v>
      </c>
      <c r="K2070" s="10">
        <f t="shared" ca="1" si="17"/>
        <v>58</v>
      </c>
      <c r="L2070" s="6"/>
      <c r="M2070" s="6"/>
      <c r="N2070" s="6"/>
      <c r="O2070" s="6"/>
      <c r="P2070" s="6"/>
      <c r="Q2070" s="6"/>
      <c r="R2070" s="6"/>
      <c r="S2070" s="6"/>
      <c r="T2070" s="6"/>
      <c r="U2070" s="6"/>
      <c r="V2070" s="6"/>
      <c r="W2070" s="6"/>
      <c r="X2070" s="6"/>
      <c r="Y2070" s="6"/>
      <c r="Z2070" s="6"/>
    </row>
    <row r="2071" spans="1:26" ht="15.75" customHeight="1" x14ac:dyDescent="0.3">
      <c r="A2071" s="10" t="s">
        <v>542</v>
      </c>
      <c r="B2071" s="10">
        <v>1994</v>
      </c>
      <c r="C2071" s="10" t="s">
        <v>4707</v>
      </c>
      <c r="D2071" s="10">
        <v>28</v>
      </c>
      <c r="E2071" s="10">
        <v>0</v>
      </c>
      <c r="F2071" s="24">
        <v>33057.230000000003</v>
      </c>
      <c r="G2071" s="10" t="s">
        <v>4694</v>
      </c>
      <c r="H2071" s="10" t="s">
        <v>4695</v>
      </c>
      <c r="I2071" s="10" t="s">
        <v>4716</v>
      </c>
      <c r="J2071" s="17">
        <f t="shared" si="16"/>
        <v>34543</v>
      </c>
      <c r="K2071" s="10">
        <f t="shared" ca="1" si="17"/>
        <v>31</v>
      </c>
      <c r="L2071" s="6"/>
      <c r="M2071" s="6"/>
      <c r="N2071" s="6"/>
      <c r="O2071" s="6"/>
      <c r="P2071" s="6"/>
      <c r="Q2071" s="6"/>
      <c r="R2071" s="6"/>
      <c r="S2071" s="6"/>
      <c r="T2071" s="6"/>
      <c r="U2071" s="6"/>
      <c r="V2071" s="6"/>
      <c r="W2071" s="6"/>
      <c r="X2071" s="6"/>
      <c r="Y2071" s="6"/>
      <c r="Z2071" s="6"/>
    </row>
    <row r="2072" spans="1:26" ht="15.75" customHeight="1" x14ac:dyDescent="0.3">
      <c r="A2072" s="10" t="s">
        <v>540</v>
      </c>
      <c r="B2072" s="10">
        <v>1962</v>
      </c>
      <c r="C2072" s="10" t="s">
        <v>4707</v>
      </c>
      <c r="D2072" s="10">
        <v>1</v>
      </c>
      <c r="E2072" s="10">
        <v>0</v>
      </c>
      <c r="F2072" s="24">
        <v>33074.94</v>
      </c>
      <c r="G2072" s="10" t="s">
        <v>4694</v>
      </c>
      <c r="H2072" s="10" t="s">
        <v>4695</v>
      </c>
      <c r="I2072" s="10" t="s">
        <v>4716</v>
      </c>
      <c r="J2072" s="17">
        <f t="shared" si="16"/>
        <v>22828</v>
      </c>
      <c r="K2072" s="10">
        <f t="shared" ca="1" si="17"/>
        <v>63</v>
      </c>
      <c r="L2072" s="6"/>
      <c r="M2072" s="6"/>
      <c r="N2072" s="6"/>
      <c r="O2072" s="6"/>
      <c r="P2072" s="6"/>
      <c r="Q2072" s="6"/>
      <c r="R2072" s="6"/>
      <c r="S2072" s="6"/>
      <c r="T2072" s="6"/>
      <c r="U2072" s="6"/>
      <c r="V2072" s="6"/>
      <c r="W2072" s="6"/>
      <c r="X2072" s="6"/>
      <c r="Y2072" s="6"/>
      <c r="Z2072" s="6"/>
    </row>
    <row r="2073" spans="1:26" ht="15.75" customHeight="1" x14ac:dyDescent="0.3">
      <c r="A2073" s="10" t="s">
        <v>538</v>
      </c>
      <c r="B2073" s="10">
        <v>1969</v>
      </c>
      <c r="C2073" s="10" t="s">
        <v>4715</v>
      </c>
      <c r="D2073" s="10">
        <v>30</v>
      </c>
      <c r="E2073" s="10">
        <v>0</v>
      </c>
      <c r="F2073" s="24">
        <v>33090.660000000003</v>
      </c>
      <c r="G2073" s="10" t="s">
        <v>4695</v>
      </c>
      <c r="H2073" s="10" t="s">
        <v>4695</v>
      </c>
      <c r="I2073" s="10" t="s">
        <v>4716</v>
      </c>
      <c r="J2073" s="17">
        <f t="shared" si="16"/>
        <v>25506</v>
      </c>
      <c r="K2073" s="10">
        <f t="shared" ca="1" si="17"/>
        <v>56</v>
      </c>
      <c r="L2073" s="6"/>
      <c r="M2073" s="6"/>
      <c r="N2073" s="6"/>
      <c r="O2073" s="6"/>
      <c r="P2073" s="6"/>
      <c r="Q2073" s="6"/>
      <c r="R2073" s="6"/>
      <c r="S2073" s="6"/>
      <c r="T2073" s="6"/>
      <c r="U2073" s="6"/>
      <c r="V2073" s="6"/>
      <c r="W2073" s="6"/>
      <c r="X2073" s="6"/>
      <c r="Y2073" s="6"/>
      <c r="Z2073" s="6"/>
    </row>
    <row r="2074" spans="1:26" ht="15.75" customHeight="1" x14ac:dyDescent="0.3">
      <c r="A2074" s="10" t="s">
        <v>536</v>
      </c>
      <c r="B2074" s="10">
        <v>1985</v>
      </c>
      <c r="C2074" s="10" t="s">
        <v>4707</v>
      </c>
      <c r="D2074" s="10">
        <v>15</v>
      </c>
      <c r="E2074" s="10">
        <v>3</v>
      </c>
      <c r="F2074" s="24">
        <v>33121</v>
      </c>
      <c r="G2074" s="10" t="s">
        <v>4695</v>
      </c>
      <c r="H2074" s="10" t="s">
        <v>4694</v>
      </c>
      <c r="I2074" s="10" t="s">
        <v>4716</v>
      </c>
      <c r="J2074" s="17">
        <f t="shared" si="16"/>
        <v>31243</v>
      </c>
      <c r="K2074" s="10">
        <f t="shared" ca="1" si="17"/>
        <v>40</v>
      </c>
      <c r="L2074" s="6"/>
      <c r="M2074" s="6"/>
      <c r="N2074" s="6"/>
      <c r="O2074" s="6"/>
      <c r="P2074" s="6"/>
      <c r="Q2074" s="6"/>
      <c r="R2074" s="6"/>
      <c r="S2074" s="6"/>
      <c r="T2074" s="6"/>
      <c r="U2074" s="6"/>
      <c r="V2074" s="6"/>
      <c r="W2074" s="6"/>
      <c r="X2074" s="6"/>
      <c r="Y2074" s="6"/>
      <c r="Z2074" s="6"/>
    </row>
    <row r="2075" spans="1:26" ht="15.75" customHeight="1" x14ac:dyDescent="0.3">
      <c r="A2075" s="10" t="s">
        <v>534</v>
      </c>
      <c r="B2075" s="10">
        <v>1990</v>
      </c>
      <c r="C2075" s="10" t="s">
        <v>4715</v>
      </c>
      <c r="D2075" s="10">
        <v>12</v>
      </c>
      <c r="E2075" s="10">
        <v>3</v>
      </c>
      <c r="F2075" s="24">
        <v>33292.83</v>
      </c>
      <c r="G2075" s="10" t="s">
        <v>4695</v>
      </c>
      <c r="H2075" s="10" t="s">
        <v>4694</v>
      </c>
      <c r="I2075" s="10" t="s">
        <v>4716</v>
      </c>
      <c r="J2075" s="17">
        <f t="shared" si="16"/>
        <v>33158</v>
      </c>
      <c r="K2075" s="10">
        <f t="shared" ca="1" si="17"/>
        <v>35</v>
      </c>
      <c r="L2075" s="6"/>
      <c r="M2075" s="6"/>
      <c r="N2075" s="6"/>
      <c r="O2075" s="6"/>
      <c r="P2075" s="6"/>
      <c r="Q2075" s="6"/>
      <c r="R2075" s="6"/>
      <c r="S2075" s="6"/>
      <c r="T2075" s="6"/>
      <c r="U2075" s="6"/>
      <c r="V2075" s="6"/>
      <c r="W2075" s="6"/>
      <c r="X2075" s="6"/>
      <c r="Y2075" s="6"/>
      <c r="Z2075" s="6"/>
    </row>
    <row r="2076" spans="1:26" ht="15.75" customHeight="1" x14ac:dyDescent="0.3">
      <c r="A2076" s="10" t="s">
        <v>532</v>
      </c>
      <c r="B2076" s="10">
        <v>2003</v>
      </c>
      <c r="C2076" s="10" t="s">
        <v>4709</v>
      </c>
      <c r="D2076" s="10">
        <v>28</v>
      </c>
      <c r="E2076" s="10">
        <v>0</v>
      </c>
      <c r="F2076" s="24">
        <v>33307.550000000003</v>
      </c>
      <c r="G2076" s="10" t="s">
        <v>4695</v>
      </c>
      <c r="H2076" s="10" t="s">
        <v>4696</v>
      </c>
      <c r="I2076" s="10" t="s">
        <v>4712</v>
      </c>
      <c r="J2076" s="17">
        <f t="shared" si="16"/>
        <v>37953</v>
      </c>
      <c r="K2076" s="10">
        <f t="shared" ca="1" si="17"/>
        <v>22</v>
      </c>
      <c r="L2076" s="6"/>
      <c r="M2076" s="6"/>
      <c r="N2076" s="6"/>
      <c r="O2076" s="6"/>
      <c r="P2076" s="6"/>
      <c r="Q2076" s="6"/>
      <c r="R2076" s="6"/>
      <c r="S2076" s="6"/>
      <c r="T2076" s="6"/>
      <c r="U2076" s="6"/>
      <c r="V2076" s="6"/>
      <c r="W2076" s="6"/>
      <c r="X2076" s="6"/>
      <c r="Y2076" s="6"/>
      <c r="Z2076" s="6"/>
    </row>
    <row r="2077" spans="1:26" ht="15.75" customHeight="1" x14ac:dyDescent="0.3">
      <c r="A2077" s="10" t="s">
        <v>530</v>
      </c>
      <c r="B2077" s="10">
        <v>1972</v>
      </c>
      <c r="C2077" s="10" t="s">
        <v>4711</v>
      </c>
      <c r="D2077" s="10">
        <v>5</v>
      </c>
      <c r="E2077" s="10">
        <v>0</v>
      </c>
      <c r="F2077" s="24">
        <v>33344.449999999997</v>
      </c>
      <c r="G2077" s="10" t="s">
        <v>4695</v>
      </c>
      <c r="H2077" s="10" t="s">
        <v>4696</v>
      </c>
      <c r="I2077" s="10" t="s">
        <v>4716</v>
      </c>
      <c r="J2077" s="17">
        <f t="shared" si="16"/>
        <v>26547</v>
      </c>
      <c r="K2077" s="10">
        <f t="shared" ca="1" si="17"/>
        <v>53</v>
      </c>
      <c r="L2077" s="6"/>
      <c r="M2077" s="6"/>
      <c r="N2077" s="6"/>
      <c r="O2077" s="6"/>
      <c r="P2077" s="6"/>
      <c r="Q2077" s="6"/>
      <c r="R2077" s="6"/>
      <c r="S2077" s="6"/>
      <c r="T2077" s="6"/>
      <c r="U2077" s="6"/>
      <c r="V2077" s="6"/>
      <c r="W2077" s="6"/>
      <c r="X2077" s="6"/>
      <c r="Y2077" s="6"/>
      <c r="Z2077" s="6"/>
    </row>
    <row r="2078" spans="1:26" ht="15.75" customHeight="1" x14ac:dyDescent="0.3">
      <c r="A2078" s="10" t="s">
        <v>528</v>
      </c>
      <c r="B2078" s="10">
        <v>1985</v>
      </c>
      <c r="C2078" s="10" t="s">
        <v>4713</v>
      </c>
      <c r="D2078" s="10">
        <v>7</v>
      </c>
      <c r="E2078" s="10">
        <v>3</v>
      </c>
      <c r="F2078" s="24">
        <v>33450.99</v>
      </c>
      <c r="G2078" s="10" t="s">
        <v>4695</v>
      </c>
      <c r="H2078" s="10" t="s">
        <v>4695</v>
      </c>
      <c r="I2078" s="10" t="s">
        <v>4716</v>
      </c>
      <c r="J2078" s="17">
        <f t="shared" si="16"/>
        <v>31388</v>
      </c>
      <c r="K2078" s="10">
        <f t="shared" ca="1" si="17"/>
        <v>39</v>
      </c>
      <c r="L2078" s="6"/>
      <c r="M2078" s="6"/>
      <c r="N2078" s="6"/>
      <c r="O2078" s="6"/>
      <c r="P2078" s="6"/>
      <c r="Q2078" s="6"/>
      <c r="R2078" s="6"/>
      <c r="S2078" s="6"/>
      <c r="T2078" s="6"/>
      <c r="U2078" s="6"/>
      <c r="V2078" s="6"/>
      <c r="W2078" s="6"/>
      <c r="X2078" s="6"/>
      <c r="Y2078" s="6"/>
      <c r="Z2078" s="6"/>
    </row>
    <row r="2079" spans="1:26" ht="15.75" customHeight="1" x14ac:dyDescent="0.3">
      <c r="A2079" s="10" t="s">
        <v>526</v>
      </c>
      <c r="B2079" s="10">
        <v>1970</v>
      </c>
      <c r="C2079" s="10" t="s">
        <v>4710</v>
      </c>
      <c r="D2079" s="10">
        <v>18</v>
      </c>
      <c r="E2079" s="10">
        <v>2</v>
      </c>
      <c r="F2079" s="24">
        <v>33471.97</v>
      </c>
      <c r="G2079" s="10" t="s">
        <v>4695</v>
      </c>
      <c r="H2079" s="10" t="s">
        <v>4695</v>
      </c>
      <c r="I2079" s="10" t="s">
        <v>4712</v>
      </c>
      <c r="J2079" s="17">
        <f t="shared" si="16"/>
        <v>25737</v>
      </c>
      <c r="K2079" s="10">
        <f t="shared" ca="1" si="17"/>
        <v>55</v>
      </c>
      <c r="L2079" s="6"/>
      <c r="M2079" s="6"/>
      <c r="N2079" s="6"/>
      <c r="O2079" s="6"/>
      <c r="P2079" s="6"/>
      <c r="Q2079" s="6"/>
      <c r="R2079" s="6"/>
      <c r="S2079" s="6"/>
      <c r="T2079" s="6"/>
      <c r="U2079" s="6"/>
      <c r="V2079" s="6"/>
      <c r="W2079" s="6"/>
      <c r="X2079" s="6"/>
      <c r="Y2079" s="6"/>
      <c r="Z2079" s="6"/>
    </row>
    <row r="2080" spans="1:26" ht="15.75" customHeight="1" x14ac:dyDescent="0.3">
      <c r="A2080" s="10" t="s">
        <v>524</v>
      </c>
      <c r="B2080" s="10">
        <v>2002</v>
      </c>
      <c r="C2080" s="10" t="s">
        <v>4714</v>
      </c>
      <c r="D2080" s="10">
        <v>25</v>
      </c>
      <c r="E2080" s="10">
        <v>0</v>
      </c>
      <c r="F2080" s="24">
        <v>33475.82</v>
      </c>
      <c r="G2080" s="10" t="s">
        <v>4694</v>
      </c>
      <c r="H2080" s="10" t="s">
        <v>4694</v>
      </c>
      <c r="I2080" s="10" t="s">
        <v>4721</v>
      </c>
      <c r="J2080" s="17">
        <f t="shared" si="16"/>
        <v>37493</v>
      </c>
      <c r="K2080" s="10">
        <f t="shared" ca="1" si="17"/>
        <v>23</v>
      </c>
      <c r="L2080" s="6"/>
      <c r="M2080" s="6"/>
      <c r="N2080" s="6"/>
      <c r="O2080" s="6"/>
      <c r="P2080" s="6"/>
      <c r="Q2080" s="6"/>
      <c r="R2080" s="6"/>
      <c r="S2080" s="6"/>
      <c r="T2080" s="6"/>
      <c r="U2080" s="6"/>
      <c r="V2080" s="6"/>
      <c r="W2080" s="6"/>
      <c r="X2080" s="6"/>
      <c r="Y2080" s="6"/>
      <c r="Z2080" s="6"/>
    </row>
    <row r="2081" spans="1:26" ht="15.75" customHeight="1" x14ac:dyDescent="0.3">
      <c r="A2081" s="10" t="s">
        <v>522</v>
      </c>
      <c r="B2081" s="10">
        <v>1984</v>
      </c>
      <c r="C2081" s="10" t="s">
        <v>4707</v>
      </c>
      <c r="D2081" s="10">
        <v>22</v>
      </c>
      <c r="E2081" s="10">
        <v>3</v>
      </c>
      <c r="F2081" s="24">
        <v>33527.1</v>
      </c>
      <c r="G2081" s="10" t="s">
        <v>4695</v>
      </c>
      <c r="H2081" s="10" t="s">
        <v>4696</v>
      </c>
      <c r="I2081" s="10" t="s">
        <v>4716</v>
      </c>
      <c r="J2081" s="17">
        <f t="shared" si="16"/>
        <v>30885</v>
      </c>
      <c r="K2081" s="10">
        <f t="shared" ca="1" si="17"/>
        <v>41</v>
      </c>
      <c r="L2081" s="6"/>
      <c r="M2081" s="6"/>
      <c r="N2081" s="6"/>
      <c r="O2081" s="6"/>
      <c r="P2081" s="6"/>
      <c r="Q2081" s="6"/>
      <c r="R2081" s="6"/>
      <c r="S2081" s="6"/>
      <c r="T2081" s="6"/>
      <c r="U2081" s="6"/>
      <c r="V2081" s="6"/>
      <c r="W2081" s="6"/>
      <c r="X2081" s="6"/>
      <c r="Y2081" s="6"/>
      <c r="Z2081" s="6"/>
    </row>
    <row r="2082" spans="1:26" ht="15.75" customHeight="1" x14ac:dyDescent="0.3">
      <c r="A2082" s="10" t="s">
        <v>520</v>
      </c>
      <c r="B2082" s="10">
        <v>2003</v>
      </c>
      <c r="C2082" s="10" t="s">
        <v>4711</v>
      </c>
      <c r="D2082" s="10">
        <v>9</v>
      </c>
      <c r="E2082" s="10">
        <v>0</v>
      </c>
      <c r="F2082" s="24">
        <v>33611.71</v>
      </c>
      <c r="G2082" s="10" t="s">
        <v>4694</v>
      </c>
      <c r="H2082" s="10" t="s">
        <v>4695</v>
      </c>
      <c r="I2082" s="10" t="s">
        <v>4716</v>
      </c>
      <c r="J2082" s="17">
        <f t="shared" si="16"/>
        <v>37873</v>
      </c>
      <c r="K2082" s="10">
        <f t="shared" ca="1" si="17"/>
        <v>22</v>
      </c>
      <c r="L2082" s="6"/>
      <c r="M2082" s="6"/>
      <c r="N2082" s="6"/>
      <c r="O2082" s="6"/>
      <c r="P2082" s="6"/>
      <c r="Q2082" s="6"/>
      <c r="R2082" s="6"/>
      <c r="S2082" s="6"/>
      <c r="T2082" s="6"/>
      <c r="U2082" s="6"/>
      <c r="V2082" s="6"/>
      <c r="W2082" s="6"/>
      <c r="X2082" s="6"/>
      <c r="Y2082" s="6"/>
      <c r="Z2082" s="6"/>
    </row>
    <row r="2083" spans="1:26" ht="15.75" customHeight="1" x14ac:dyDescent="0.3">
      <c r="A2083" s="10" t="s">
        <v>518</v>
      </c>
      <c r="B2083" s="10">
        <v>1993</v>
      </c>
      <c r="C2083" s="10" t="s">
        <v>4709</v>
      </c>
      <c r="D2083" s="10">
        <v>28</v>
      </c>
      <c r="E2083" s="10">
        <v>0</v>
      </c>
      <c r="F2083" s="24">
        <v>33707.550000000003</v>
      </c>
      <c r="G2083" s="10" t="s">
        <v>4695</v>
      </c>
      <c r="H2083" s="10" t="s">
        <v>4695</v>
      </c>
      <c r="I2083" s="10" t="s">
        <v>4716</v>
      </c>
      <c r="J2083" s="17">
        <f t="shared" si="16"/>
        <v>34301</v>
      </c>
      <c r="K2083" s="10">
        <f t="shared" ca="1" si="17"/>
        <v>32</v>
      </c>
      <c r="L2083" s="6"/>
      <c r="M2083" s="6"/>
      <c r="N2083" s="6"/>
      <c r="O2083" s="6"/>
      <c r="P2083" s="6"/>
      <c r="Q2083" s="6"/>
      <c r="R2083" s="6"/>
      <c r="S2083" s="6"/>
      <c r="T2083" s="6"/>
      <c r="U2083" s="6"/>
      <c r="V2083" s="6"/>
      <c r="W2083" s="6"/>
      <c r="X2083" s="6"/>
      <c r="Y2083" s="6"/>
      <c r="Z2083" s="6"/>
    </row>
    <row r="2084" spans="1:26" ht="15.75" customHeight="1" x14ac:dyDescent="0.3">
      <c r="A2084" s="10" t="s">
        <v>516</v>
      </c>
      <c r="B2084" s="10">
        <v>2004</v>
      </c>
      <c r="C2084" s="10" t="s">
        <v>4709</v>
      </c>
      <c r="D2084" s="10">
        <v>1</v>
      </c>
      <c r="E2084" s="10">
        <v>0</v>
      </c>
      <c r="F2084" s="24">
        <v>33732.69</v>
      </c>
      <c r="G2084" s="10" t="s">
        <v>4694</v>
      </c>
      <c r="H2084" s="10" t="s">
        <v>4694</v>
      </c>
      <c r="I2084" s="10" t="s">
        <v>4727</v>
      </c>
      <c r="J2084" s="17">
        <f t="shared" si="16"/>
        <v>38292</v>
      </c>
      <c r="K2084" s="10">
        <f t="shared" ca="1" si="17"/>
        <v>21</v>
      </c>
      <c r="L2084" s="6"/>
      <c r="M2084" s="6"/>
      <c r="N2084" s="6"/>
      <c r="O2084" s="6"/>
      <c r="P2084" s="6"/>
      <c r="Q2084" s="6"/>
      <c r="R2084" s="6"/>
      <c r="S2084" s="6"/>
      <c r="T2084" s="6"/>
      <c r="U2084" s="6"/>
      <c r="V2084" s="6"/>
      <c r="W2084" s="6"/>
      <c r="X2084" s="6"/>
      <c r="Y2084" s="6"/>
      <c r="Z2084" s="6"/>
    </row>
    <row r="2085" spans="1:26" ht="15.75" customHeight="1" x14ac:dyDescent="0.3">
      <c r="A2085" s="10" t="s">
        <v>514</v>
      </c>
      <c r="B2085" s="10">
        <v>2003</v>
      </c>
      <c r="C2085" s="10" t="s">
        <v>4711</v>
      </c>
      <c r="D2085" s="10">
        <v>12</v>
      </c>
      <c r="E2085" s="10">
        <v>0</v>
      </c>
      <c r="F2085" s="24">
        <v>33750.29</v>
      </c>
      <c r="G2085" s="10" t="s">
        <v>4694</v>
      </c>
      <c r="H2085" s="10" t="s">
        <v>4696</v>
      </c>
      <c r="I2085" s="10" t="s">
        <v>4712</v>
      </c>
      <c r="J2085" s="17">
        <f t="shared" si="16"/>
        <v>37876</v>
      </c>
      <c r="K2085" s="10">
        <f t="shared" ca="1" si="17"/>
        <v>22</v>
      </c>
      <c r="L2085" s="6"/>
      <c r="M2085" s="6"/>
      <c r="N2085" s="6"/>
      <c r="O2085" s="6"/>
      <c r="P2085" s="6"/>
      <c r="Q2085" s="6"/>
      <c r="R2085" s="6"/>
      <c r="S2085" s="6"/>
      <c r="T2085" s="6"/>
      <c r="U2085" s="6"/>
      <c r="V2085" s="6"/>
      <c r="W2085" s="6"/>
      <c r="X2085" s="6"/>
      <c r="Y2085" s="6"/>
      <c r="Z2085" s="6"/>
    </row>
    <row r="2086" spans="1:26" ht="15.75" customHeight="1" x14ac:dyDescent="0.3">
      <c r="A2086" s="10" t="s">
        <v>512</v>
      </c>
      <c r="B2086" s="10">
        <v>1962</v>
      </c>
      <c r="C2086" s="10" t="s">
        <v>4713</v>
      </c>
      <c r="D2086" s="10">
        <v>11</v>
      </c>
      <c r="E2086" s="10">
        <v>0</v>
      </c>
      <c r="F2086" s="24">
        <v>33753.32</v>
      </c>
      <c r="G2086" s="10" t="s">
        <v>4694</v>
      </c>
      <c r="H2086" s="10" t="s">
        <v>4696</v>
      </c>
      <c r="I2086" s="10" t="s">
        <v>4716</v>
      </c>
      <c r="J2086" s="17">
        <f t="shared" si="16"/>
        <v>22991</v>
      </c>
      <c r="K2086" s="10">
        <f t="shared" ca="1" si="17"/>
        <v>62</v>
      </c>
      <c r="L2086" s="6"/>
      <c r="M2086" s="6"/>
      <c r="N2086" s="6"/>
      <c r="O2086" s="6"/>
      <c r="P2086" s="6"/>
      <c r="Q2086" s="6"/>
      <c r="R2086" s="6"/>
      <c r="S2086" s="6"/>
      <c r="T2086" s="6"/>
      <c r="U2086" s="6"/>
      <c r="V2086" s="6"/>
      <c r="W2086" s="6"/>
      <c r="X2086" s="6"/>
      <c r="Y2086" s="6"/>
      <c r="Z2086" s="6"/>
    </row>
    <row r="2087" spans="1:26" ht="15.75" customHeight="1" x14ac:dyDescent="0.3">
      <c r="A2087" s="10" t="s">
        <v>510</v>
      </c>
      <c r="B2087" s="10">
        <v>2000</v>
      </c>
      <c r="C2087" s="10" t="s">
        <v>4715</v>
      </c>
      <c r="D2087" s="10">
        <v>26</v>
      </c>
      <c r="E2087" s="10">
        <v>0</v>
      </c>
      <c r="F2087" s="24">
        <v>33829.39</v>
      </c>
      <c r="G2087" s="10" t="s">
        <v>4695</v>
      </c>
      <c r="H2087" s="10" t="s">
        <v>4696</v>
      </c>
      <c r="I2087" s="10" t="s">
        <v>4716</v>
      </c>
      <c r="J2087" s="17">
        <f t="shared" si="16"/>
        <v>36825</v>
      </c>
      <c r="K2087" s="10">
        <f t="shared" ca="1" si="17"/>
        <v>25</v>
      </c>
      <c r="L2087" s="6"/>
      <c r="M2087" s="6"/>
      <c r="N2087" s="6"/>
      <c r="O2087" s="6"/>
      <c r="P2087" s="6"/>
      <c r="Q2087" s="6"/>
      <c r="R2087" s="6"/>
      <c r="S2087" s="6"/>
      <c r="T2087" s="6"/>
      <c r="U2087" s="6"/>
      <c r="V2087" s="6"/>
      <c r="W2087" s="6"/>
      <c r="X2087" s="6"/>
      <c r="Y2087" s="6"/>
      <c r="Z2087" s="6"/>
    </row>
    <row r="2088" spans="1:26" ht="15.75" customHeight="1" x14ac:dyDescent="0.3">
      <c r="A2088" s="10" t="s">
        <v>508</v>
      </c>
      <c r="B2088" s="10">
        <v>1997</v>
      </c>
      <c r="C2088" s="10" t="s">
        <v>4714</v>
      </c>
      <c r="D2088" s="10">
        <v>9</v>
      </c>
      <c r="E2088" s="10">
        <v>0</v>
      </c>
      <c r="F2088" s="24">
        <v>33900.65</v>
      </c>
      <c r="G2088" s="10" t="s">
        <v>4695</v>
      </c>
      <c r="H2088" s="10" t="s">
        <v>4696</v>
      </c>
      <c r="I2088" s="10" t="s">
        <v>4716</v>
      </c>
      <c r="J2088" s="17">
        <f t="shared" si="16"/>
        <v>35651</v>
      </c>
      <c r="K2088" s="10">
        <f t="shared" ca="1" si="17"/>
        <v>28</v>
      </c>
      <c r="L2088" s="6"/>
      <c r="M2088" s="6"/>
      <c r="N2088" s="6"/>
      <c r="O2088" s="6"/>
      <c r="P2088" s="6"/>
      <c r="Q2088" s="6"/>
      <c r="R2088" s="6"/>
      <c r="S2088" s="6"/>
      <c r="T2088" s="6"/>
      <c r="U2088" s="6"/>
      <c r="V2088" s="6"/>
      <c r="W2088" s="6"/>
      <c r="X2088" s="6"/>
      <c r="Y2088" s="6"/>
      <c r="Z2088" s="6"/>
    </row>
    <row r="2089" spans="1:26" ht="15.75" customHeight="1" x14ac:dyDescent="0.3">
      <c r="A2089" s="10" t="s">
        <v>506</v>
      </c>
      <c r="B2089" s="10">
        <v>2000</v>
      </c>
      <c r="C2089" s="10" t="s">
        <v>4713</v>
      </c>
      <c r="D2089" s="10">
        <v>27</v>
      </c>
      <c r="E2089" s="10">
        <v>0</v>
      </c>
      <c r="F2089" s="24">
        <v>33907.550000000003</v>
      </c>
      <c r="G2089" s="10" t="s">
        <v>4695</v>
      </c>
      <c r="H2089" s="10" t="s">
        <v>4695</v>
      </c>
      <c r="I2089" s="10" t="s">
        <v>4712</v>
      </c>
      <c r="J2089" s="17">
        <f t="shared" si="16"/>
        <v>36887</v>
      </c>
      <c r="K2089" s="10">
        <f t="shared" ca="1" si="17"/>
        <v>24</v>
      </c>
      <c r="L2089" s="6"/>
      <c r="M2089" s="6"/>
      <c r="N2089" s="6"/>
      <c r="O2089" s="6"/>
      <c r="P2089" s="6"/>
      <c r="Q2089" s="6"/>
      <c r="R2089" s="6"/>
      <c r="S2089" s="6"/>
      <c r="T2089" s="6"/>
      <c r="U2089" s="6"/>
      <c r="V2089" s="6"/>
      <c r="W2089" s="6"/>
      <c r="X2089" s="6"/>
      <c r="Y2089" s="6"/>
      <c r="Z2089" s="6"/>
    </row>
    <row r="2090" spans="1:26" ht="15.75" customHeight="1" x14ac:dyDescent="0.3">
      <c r="A2090" s="10" t="s">
        <v>504</v>
      </c>
      <c r="B2090" s="10">
        <v>1994</v>
      </c>
      <c r="C2090" s="10" t="s">
        <v>4711</v>
      </c>
      <c r="D2090" s="10">
        <v>25</v>
      </c>
      <c r="E2090" s="10">
        <v>0</v>
      </c>
      <c r="F2090" s="24">
        <v>33975.47</v>
      </c>
      <c r="G2090" s="10" t="s">
        <v>4695</v>
      </c>
      <c r="H2090" s="10" t="s">
        <v>4695</v>
      </c>
      <c r="I2090" s="10" t="s">
        <v>4716</v>
      </c>
      <c r="J2090" s="17">
        <f t="shared" si="16"/>
        <v>34602</v>
      </c>
      <c r="K2090" s="10">
        <f t="shared" ca="1" si="17"/>
        <v>31</v>
      </c>
      <c r="L2090" s="6"/>
      <c r="M2090" s="6"/>
      <c r="N2090" s="6"/>
      <c r="O2090" s="6"/>
      <c r="P2090" s="6"/>
      <c r="Q2090" s="6"/>
      <c r="R2090" s="6"/>
      <c r="S2090" s="6"/>
      <c r="T2090" s="6"/>
      <c r="U2090" s="6"/>
      <c r="V2090" s="6"/>
      <c r="W2090" s="6"/>
      <c r="X2090" s="6"/>
      <c r="Y2090" s="6"/>
      <c r="Z2090" s="6"/>
    </row>
    <row r="2091" spans="1:26" ht="15.75" customHeight="1" x14ac:dyDescent="0.3">
      <c r="A2091" s="10" t="s">
        <v>502</v>
      </c>
      <c r="B2091" s="10">
        <v>1972</v>
      </c>
      <c r="C2091" s="10" t="s">
        <v>4707</v>
      </c>
      <c r="D2091" s="10">
        <v>26</v>
      </c>
      <c r="E2091" s="10">
        <v>0</v>
      </c>
      <c r="F2091" s="24">
        <v>34053.360000000001</v>
      </c>
      <c r="G2091" s="10" t="s">
        <v>4695</v>
      </c>
      <c r="H2091" s="10" t="s">
        <v>4695</v>
      </c>
      <c r="I2091" s="10" t="s">
        <v>4716</v>
      </c>
      <c r="J2091" s="17">
        <f t="shared" si="16"/>
        <v>26506</v>
      </c>
      <c r="K2091" s="10">
        <f t="shared" ca="1" si="17"/>
        <v>53</v>
      </c>
      <c r="L2091" s="6"/>
      <c r="M2091" s="6"/>
      <c r="N2091" s="6"/>
      <c r="O2091" s="6"/>
      <c r="P2091" s="6"/>
      <c r="Q2091" s="6"/>
      <c r="R2091" s="6"/>
      <c r="S2091" s="6"/>
      <c r="T2091" s="6"/>
      <c r="U2091" s="6"/>
      <c r="V2091" s="6"/>
      <c r="W2091" s="6"/>
      <c r="X2091" s="6"/>
      <c r="Y2091" s="6"/>
      <c r="Z2091" s="6"/>
    </row>
    <row r="2092" spans="1:26" ht="15.75" customHeight="1" x14ac:dyDescent="0.3">
      <c r="A2092" s="10" t="s">
        <v>500</v>
      </c>
      <c r="B2092" s="10">
        <v>2002</v>
      </c>
      <c r="C2092" s="10" t="s">
        <v>4713</v>
      </c>
      <c r="D2092" s="10">
        <v>26</v>
      </c>
      <c r="E2092" s="10">
        <v>0</v>
      </c>
      <c r="F2092" s="24">
        <v>34084.68</v>
      </c>
      <c r="G2092" s="10" t="s">
        <v>4695</v>
      </c>
      <c r="H2092" s="10" t="s">
        <v>4696</v>
      </c>
      <c r="I2092" s="10" t="s">
        <v>4716</v>
      </c>
      <c r="J2092" s="17">
        <f t="shared" si="16"/>
        <v>37616</v>
      </c>
      <c r="K2092" s="10">
        <f t="shared" ca="1" si="17"/>
        <v>22</v>
      </c>
      <c r="L2092" s="6"/>
      <c r="M2092" s="6"/>
      <c r="N2092" s="6"/>
      <c r="O2092" s="6"/>
      <c r="P2092" s="6"/>
      <c r="Q2092" s="6"/>
      <c r="R2092" s="6"/>
      <c r="S2092" s="6"/>
      <c r="T2092" s="6"/>
      <c r="U2092" s="6"/>
      <c r="V2092" s="6"/>
      <c r="W2092" s="6"/>
      <c r="X2092" s="6"/>
      <c r="Y2092" s="6"/>
      <c r="Z2092" s="6"/>
    </row>
    <row r="2093" spans="1:26" ht="15.75" customHeight="1" x14ac:dyDescent="0.3">
      <c r="A2093" s="10" t="s">
        <v>498</v>
      </c>
      <c r="B2093" s="10">
        <v>1999</v>
      </c>
      <c r="C2093" s="10" t="s">
        <v>4709</v>
      </c>
      <c r="D2093" s="10">
        <v>6</v>
      </c>
      <c r="E2093" s="10">
        <v>0</v>
      </c>
      <c r="F2093" s="24">
        <v>34166.269999999997</v>
      </c>
      <c r="G2093" s="10" t="s">
        <v>4695</v>
      </c>
      <c r="H2093" s="10" t="s">
        <v>4696</v>
      </c>
      <c r="I2093" s="10" t="s">
        <v>4716</v>
      </c>
      <c r="J2093" s="17">
        <f t="shared" si="16"/>
        <v>36470</v>
      </c>
      <c r="K2093" s="10">
        <f t="shared" ca="1" si="17"/>
        <v>26</v>
      </c>
      <c r="L2093" s="6"/>
      <c r="M2093" s="6"/>
      <c r="N2093" s="6"/>
      <c r="O2093" s="6"/>
      <c r="P2093" s="6"/>
      <c r="Q2093" s="6"/>
      <c r="R2093" s="6"/>
      <c r="S2093" s="6"/>
      <c r="T2093" s="6"/>
      <c r="U2093" s="6"/>
      <c r="V2093" s="6"/>
      <c r="W2093" s="6"/>
      <c r="X2093" s="6"/>
      <c r="Y2093" s="6"/>
      <c r="Z2093" s="6"/>
    </row>
    <row r="2094" spans="1:26" ht="15.75" customHeight="1" x14ac:dyDescent="0.3">
      <c r="A2094" s="10" t="s">
        <v>496</v>
      </c>
      <c r="B2094" s="10">
        <v>1971</v>
      </c>
      <c r="C2094" s="10" t="s">
        <v>4714</v>
      </c>
      <c r="D2094" s="10">
        <v>25</v>
      </c>
      <c r="E2094" s="10">
        <v>0</v>
      </c>
      <c r="F2094" s="24">
        <v>34205.07</v>
      </c>
      <c r="G2094" s="10" t="s">
        <v>4695</v>
      </c>
      <c r="H2094" s="10" t="s">
        <v>4695</v>
      </c>
      <c r="I2094" s="10" t="s">
        <v>4716</v>
      </c>
      <c r="J2094" s="17">
        <f t="shared" si="16"/>
        <v>26170</v>
      </c>
      <c r="K2094" s="10">
        <f t="shared" ca="1" si="17"/>
        <v>54</v>
      </c>
      <c r="L2094" s="6"/>
      <c r="M2094" s="6"/>
      <c r="N2094" s="6"/>
      <c r="O2094" s="6"/>
      <c r="P2094" s="6"/>
      <c r="Q2094" s="6"/>
      <c r="R2094" s="6"/>
      <c r="S2094" s="6"/>
      <c r="T2094" s="6"/>
      <c r="U2094" s="6"/>
      <c r="V2094" s="6"/>
      <c r="W2094" s="6"/>
      <c r="X2094" s="6"/>
      <c r="Y2094" s="6"/>
      <c r="Z2094" s="6"/>
    </row>
    <row r="2095" spans="1:26" ht="15.75" customHeight="1" x14ac:dyDescent="0.3">
      <c r="A2095" s="10" t="s">
        <v>494</v>
      </c>
      <c r="B2095" s="10">
        <v>1975</v>
      </c>
      <c r="C2095" s="10" t="s">
        <v>4707</v>
      </c>
      <c r="D2095" s="10">
        <v>21</v>
      </c>
      <c r="E2095" s="10">
        <v>1</v>
      </c>
      <c r="F2095" s="24">
        <v>34210.33</v>
      </c>
      <c r="G2095" s="10" t="s">
        <v>4695</v>
      </c>
      <c r="H2095" s="10" t="s">
        <v>4694</v>
      </c>
      <c r="I2095" s="10" t="s">
        <v>4712</v>
      </c>
      <c r="J2095" s="17">
        <f t="shared" si="16"/>
        <v>27596</v>
      </c>
      <c r="K2095" s="10">
        <f t="shared" ca="1" si="17"/>
        <v>50</v>
      </c>
      <c r="L2095" s="6"/>
      <c r="M2095" s="6"/>
      <c r="N2095" s="6"/>
      <c r="O2095" s="6"/>
      <c r="P2095" s="6"/>
      <c r="Q2095" s="6"/>
      <c r="R2095" s="6"/>
      <c r="S2095" s="6"/>
      <c r="T2095" s="6"/>
      <c r="U2095" s="6"/>
      <c r="V2095" s="6"/>
      <c r="W2095" s="6"/>
      <c r="X2095" s="6"/>
      <c r="Y2095" s="6"/>
      <c r="Z2095" s="6"/>
    </row>
    <row r="2096" spans="1:26" ht="15.75" customHeight="1" x14ac:dyDescent="0.3">
      <c r="A2096" s="10" t="s">
        <v>492</v>
      </c>
      <c r="B2096" s="10">
        <v>1962</v>
      </c>
      <c r="C2096" s="10" t="s">
        <v>4707</v>
      </c>
      <c r="D2096" s="10">
        <v>5</v>
      </c>
      <c r="E2096" s="10">
        <v>0</v>
      </c>
      <c r="F2096" s="24">
        <v>34218.019999999997</v>
      </c>
      <c r="G2096" s="10" t="s">
        <v>4694</v>
      </c>
      <c r="H2096" s="10" t="s">
        <v>4694</v>
      </c>
      <c r="I2096" s="10" t="s">
        <v>4716</v>
      </c>
      <c r="J2096" s="17">
        <f t="shared" si="16"/>
        <v>22832</v>
      </c>
      <c r="K2096" s="10">
        <f t="shared" ca="1" si="17"/>
        <v>63</v>
      </c>
      <c r="L2096" s="6"/>
      <c r="M2096" s="6"/>
      <c r="N2096" s="6"/>
      <c r="O2096" s="6"/>
      <c r="P2096" s="6"/>
      <c r="Q2096" s="6"/>
      <c r="R2096" s="6"/>
      <c r="S2096" s="6"/>
      <c r="T2096" s="6"/>
      <c r="U2096" s="6"/>
      <c r="V2096" s="6"/>
      <c r="W2096" s="6"/>
      <c r="X2096" s="6"/>
      <c r="Y2096" s="6"/>
      <c r="Z2096" s="6"/>
    </row>
    <row r="2097" spans="1:26" ht="15.75" customHeight="1" x14ac:dyDescent="0.3">
      <c r="A2097" s="10" t="s">
        <v>490</v>
      </c>
      <c r="B2097" s="10">
        <v>1998</v>
      </c>
      <c r="C2097" s="10" t="s">
        <v>4710</v>
      </c>
      <c r="D2097" s="10">
        <v>11</v>
      </c>
      <c r="E2097" s="10">
        <v>0</v>
      </c>
      <c r="F2097" s="24">
        <v>34254.050000000003</v>
      </c>
      <c r="G2097" s="10" t="s">
        <v>4694</v>
      </c>
      <c r="H2097" s="10" t="s">
        <v>4696</v>
      </c>
      <c r="I2097" s="10" t="s">
        <v>4719</v>
      </c>
      <c r="J2097" s="17">
        <f t="shared" si="16"/>
        <v>35957</v>
      </c>
      <c r="K2097" s="10">
        <f t="shared" ca="1" si="17"/>
        <v>27</v>
      </c>
      <c r="L2097" s="6"/>
      <c r="M2097" s="6"/>
      <c r="N2097" s="6"/>
      <c r="O2097" s="6"/>
      <c r="P2097" s="6"/>
      <c r="Q2097" s="6"/>
      <c r="R2097" s="6"/>
      <c r="S2097" s="6"/>
      <c r="T2097" s="6"/>
      <c r="U2097" s="6"/>
      <c r="V2097" s="6"/>
      <c r="W2097" s="6"/>
      <c r="X2097" s="6"/>
      <c r="Y2097" s="6"/>
      <c r="Z2097" s="6"/>
    </row>
    <row r="2098" spans="1:26" ht="15.75" customHeight="1" x14ac:dyDescent="0.3">
      <c r="A2098" s="10" t="s">
        <v>488</v>
      </c>
      <c r="B2098" s="10">
        <v>1995</v>
      </c>
      <c r="C2098" s="10" t="s">
        <v>4715</v>
      </c>
      <c r="D2098" s="10">
        <v>30</v>
      </c>
      <c r="E2098" s="10">
        <v>0</v>
      </c>
      <c r="F2098" s="24">
        <v>34289.43</v>
      </c>
      <c r="G2098" s="10" t="s">
        <v>4694</v>
      </c>
      <c r="H2098" s="10" t="s">
        <v>4694</v>
      </c>
      <c r="I2098" s="10" t="s">
        <v>4716</v>
      </c>
      <c r="J2098" s="17">
        <f t="shared" si="16"/>
        <v>35002</v>
      </c>
      <c r="K2098" s="10">
        <f t="shared" ca="1" si="17"/>
        <v>30</v>
      </c>
      <c r="L2098" s="6"/>
      <c r="M2098" s="6"/>
      <c r="N2098" s="6"/>
      <c r="O2098" s="6"/>
      <c r="P2098" s="6"/>
      <c r="Q2098" s="6"/>
      <c r="R2098" s="6"/>
      <c r="S2098" s="6"/>
      <c r="T2098" s="6"/>
      <c r="U2098" s="6"/>
      <c r="V2098" s="6"/>
      <c r="W2098" s="6"/>
      <c r="X2098" s="6"/>
      <c r="Y2098" s="6"/>
      <c r="Z2098" s="6"/>
    </row>
    <row r="2099" spans="1:26" ht="15.75" customHeight="1" x14ac:dyDescent="0.3">
      <c r="A2099" s="10" t="s">
        <v>486</v>
      </c>
      <c r="B2099" s="10">
        <v>1986</v>
      </c>
      <c r="C2099" s="10" t="s">
        <v>4715</v>
      </c>
      <c r="D2099" s="10">
        <v>11</v>
      </c>
      <c r="E2099" s="10">
        <v>3</v>
      </c>
      <c r="F2099" s="24">
        <v>34293.120000000003</v>
      </c>
      <c r="G2099" s="10" t="s">
        <v>4694</v>
      </c>
      <c r="H2099" s="10" t="s">
        <v>4695</v>
      </c>
      <c r="I2099" s="10" t="s">
        <v>4716</v>
      </c>
      <c r="J2099" s="17">
        <f t="shared" si="16"/>
        <v>31696</v>
      </c>
      <c r="K2099" s="10">
        <f t="shared" ca="1" si="17"/>
        <v>39</v>
      </c>
      <c r="L2099" s="6"/>
      <c r="M2099" s="6"/>
      <c r="N2099" s="6"/>
      <c r="O2099" s="6"/>
      <c r="P2099" s="6"/>
      <c r="Q2099" s="6"/>
      <c r="R2099" s="6"/>
      <c r="S2099" s="6"/>
      <c r="T2099" s="6"/>
      <c r="U2099" s="6"/>
      <c r="V2099" s="6"/>
      <c r="W2099" s="6"/>
      <c r="X2099" s="6"/>
      <c r="Y2099" s="6"/>
      <c r="Z2099" s="6"/>
    </row>
    <row r="2100" spans="1:26" ht="15.75" customHeight="1" x14ac:dyDescent="0.3">
      <c r="A2100" s="10" t="s">
        <v>4689</v>
      </c>
      <c r="B2100" s="10">
        <v>2004</v>
      </c>
      <c r="C2100" s="10" t="s">
        <v>4709</v>
      </c>
      <c r="D2100" s="10">
        <v>1</v>
      </c>
      <c r="E2100" s="10">
        <v>2</v>
      </c>
      <c r="F2100" s="24">
        <v>34303.17</v>
      </c>
      <c r="G2100" s="10" t="s">
        <v>4694</v>
      </c>
      <c r="H2100" s="10" t="s">
        <v>4696</v>
      </c>
      <c r="I2100" s="10" t="s">
        <v>4708</v>
      </c>
      <c r="J2100" s="17">
        <f t="shared" si="16"/>
        <v>38292</v>
      </c>
      <c r="K2100" s="10">
        <f t="shared" ca="1" si="17"/>
        <v>21</v>
      </c>
      <c r="L2100" s="6"/>
      <c r="M2100" s="6"/>
      <c r="N2100" s="6"/>
      <c r="O2100" s="6"/>
      <c r="P2100" s="6"/>
      <c r="Q2100" s="6"/>
      <c r="R2100" s="6"/>
      <c r="S2100" s="6"/>
      <c r="T2100" s="6"/>
      <c r="U2100" s="6"/>
      <c r="V2100" s="6"/>
      <c r="W2100" s="6"/>
      <c r="X2100" s="6"/>
      <c r="Y2100" s="6"/>
      <c r="Z2100" s="6"/>
    </row>
    <row r="2101" spans="1:26" ht="15.75" customHeight="1" x14ac:dyDescent="0.3">
      <c r="A2101" s="10" t="s">
        <v>484</v>
      </c>
      <c r="B2101" s="10">
        <v>1983</v>
      </c>
      <c r="C2101" s="10" t="s">
        <v>4715</v>
      </c>
      <c r="D2101" s="10">
        <v>2</v>
      </c>
      <c r="E2101" s="10">
        <v>3</v>
      </c>
      <c r="F2101" s="24">
        <v>34307.22</v>
      </c>
      <c r="G2101" s="10" t="s">
        <v>4695</v>
      </c>
      <c r="H2101" s="10" t="s">
        <v>4695</v>
      </c>
      <c r="I2101" s="10" t="s">
        <v>4712</v>
      </c>
      <c r="J2101" s="17">
        <f t="shared" si="16"/>
        <v>30591</v>
      </c>
      <c r="K2101" s="10">
        <f t="shared" ca="1" si="17"/>
        <v>42</v>
      </c>
      <c r="L2101" s="6"/>
      <c r="M2101" s="6"/>
      <c r="N2101" s="6"/>
      <c r="O2101" s="6"/>
      <c r="P2101" s="6"/>
      <c r="Q2101" s="6"/>
      <c r="R2101" s="6"/>
      <c r="S2101" s="6"/>
      <c r="T2101" s="6"/>
      <c r="U2101" s="6"/>
      <c r="V2101" s="6"/>
      <c r="W2101" s="6"/>
      <c r="X2101" s="6"/>
      <c r="Y2101" s="6"/>
      <c r="Z2101" s="6"/>
    </row>
    <row r="2102" spans="1:26" ht="15.75" customHeight="1" x14ac:dyDescent="0.3">
      <c r="A2102" s="10" t="s">
        <v>482</v>
      </c>
      <c r="B2102" s="10">
        <v>1984</v>
      </c>
      <c r="C2102" s="10" t="s">
        <v>4715</v>
      </c>
      <c r="D2102" s="10">
        <v>1</v>
      </c>
      <c r="E2102" s="10">
        <v>3</v>
      </c>
      <c r="F2102" s="24">
        <v>34402.22</v>
      </c>
      <c r="G2102" s="10" t="s">
        <v>4695</v>
      </c>
      <c r="H2102" s="10" t="s">
        <v>4696</v>
      </c>
      <c r="I2102" s="10" t="s">
        <v>4716</v>
      </c>
      <c r="J2102" s="17">
        <f t="shared" si="16"/>
        <v>30956</v>
      </c>
      <c r="K2102" s="10">
        <f t="shared" ca="1" si="17"/>
        <v>41</v>
      </c>
      <c r="L2102" s="6"/>
      <c r="M2102" s="6"/>
      <c r="N2102" s="6"/>
      <c r="O2102" s="6"/>
      <c r="P2102" s="6"/>
      <c r="Q2102" s="6"/>
      <c r="R2102" s="6"/>
      <c r="S2102" s="6"/>
      <c r="T2102" s="6"/>
      <c r="U2102" s="6"/>
      <c r="V2102" s="6"/>
      <c r="W2102" s="6"/>
      <c r="X2102" s="6"/>
      <c r="Y2102" s="6"/>
      <c r="Z2102" s="6"/>
    </row>
    <row r="2103" spans="1:26" ht="15.75" customHeight="1" x14ac:dyDescent="0.3">
      <c r="A2103" s="10" t="s">
        <v>480</v>
      </c>
      <c r="B2103" s="10">
        <v>2003</v>
      </c>
      <c r="C2103" s="10" t="s">
        <v>4715</v>
      </c>
      <c r="D2103" s="10">
        <v>5</v>
      </c>
      <c r="E2103" s="10">
        <v>0</v>
      </c>
      <c r="F2103" s="24">
        <v>34439.86</v>
      </c>
      <c r="G2103" s="10" t="s">
        <v>4695</v>
      </c>
      <c r="H2103" s="10" t="s">
        <v>4694</v>
      </c>
      <c r="I2103" s="10" t="s">
        <v>4708</v>
      </c>
      <c r="J2103" s="17">
        <f t="shared" si="16"/>
        <v>37899</v>
      </c>
      <c r="K2103" s="10">
        <f t="shared" ca="1" si="17"/>
        <v>22</v>
      </c>
      <c r="L2103" s="6"/>
      <c r="M2103" s="6"/>
      <c r="N2103" s="6"/>
      <c r="O2103" s="6"/>
      <c r="P2103" s="6"/>
      <c r="Q2103" s="6"/>
      <c r="R2103" s="6"/>
      <c r="S2103" s="6"/>
      <c r="T2103" s="6"/>
      <c r="U2103" s="6"/>
      <c r="V2103" s="6"/>
      <c r="W2103" s="6"/>
      <c r="X2103" s="6"/>
      <c r="Y2103" s="6"/>
      <c r="Z2103" s="6"/>
    </row>
    <row r="2104" spans="1:26" ht="15.75" customHeight="1" x14ac:dyDescent="0.3">
      <c r="A2104" s="10" t="s">
        <v>478</v>
      </c>
      <c r="B2104" s="10">
        <v>1990</v>
      </c>
      <c r="C2104" s="10" t="s">
        <v>4711</v>
      </c>
      <c r="D2104" s="10">
        <v>24</v>
      </c>
      <c r="E2104" s="10">
        <v>3</v>
      </c>
      <c r="F2104" s="24">
        <v>34456.269999999997</v>
      </c>
      <c r="G2104" s="10" t="s">
        <v>4694</v>
      </c>
      <c r="H2104" s="10" t="s">
        <v>4695</v>
      </c>
      <c r="I2104" s="10" t="s">
        <v>4716</v>
      </c>
      <c r="J2104" s="17">
        <f t="shared" si="16"/>
        <v>33140</v>
      </c>
      <c r="K2104" s="10">
        <f t="shared" ca="1" si="17"/>
        <v>35</v>
      </c>
      <c r="L2104" s="6"/>
      <c r="M2104" s="6"/>
      <c r="N2104" s="6"/>
      <c r="O2104" s="6"/>
      <c r="P2104" s="6"/>
      <c r="Q2104" s="6"/>
      <c r="R2104" s="6"/>
      <c r="S2104" s="6"/>
      <c r="T2104" s="6"/>
      <c r="U2104" s="6"/>
      <c r="V2104" s="6"/>
      <c r="W2104" s="6"/>
      <c r="X2104" s="6"/>
      <c r="Y2104" s="6"/>
      <c r="Z2104" s="6"/>
    </row>
    <row r="2105" spans="1:26" ht="15.75" customHeight="1" x14ac:dyDescent="0.3">
      <c r="A2105" s="10" t="s">
        <v>476</v>
      </c>
      <c r="B2105" s="10">
        <v>1998</v>
      </c>
      <c r="C2105" s="10" t="s">
        <v>4710</v>
      </c>
      <c r="D2105" s="10">
        <v>24</v>
      </c>
      <c r="E2105" s="10">
        <v>0</v>
      </c>
      <c r="F2105" s="24">
        <v>34472.839999999997</v>
      </c>
      <c r="G2105" s="10" t="s">
        <v>4694</v>
      </c>
      <c r="H2105" s="10" t="s">
        <v>4696</v>
      </c>
      <c r="I2105" s="10" t="s">
        <v>4716</v>
      </c>
      <c r="J2105" s="17">
        <f t="shared" si="16"/>
        <v>35970</v>
      </c>
      <c r="K2105" s="10">
        <f t="shared" ca="1" si="17"/>
        <v>27</v>
      </c>
      <c r="L2105" s="6"/>
      <c r="M2105" s="6"/>
      <c r="N2105" s="6"/>
      <c r="O2105" s="6"/>
      <c r="P2105" s="6"/>
      <c r="Q2105" s="6"/>
      <c r="R2105" s="6"/>
      <c r="S2105" s="6"/>
      <c r="T2105" s="6"/>
      <c r="U2105" s="6"/>
      <c r="V2105" s="6"/>
      <c r="W2105" s="6"/>
      <c r="X2105" s="6"/>
      <c r="Y2105" s="6"/>
      <c r="Z2105" s="6"/>
    </row>
    <row r="2106" spans="1:26" ht="15.75" customHeight="1" x14ac:dyDescent="0.3">
      <c r="A2106" s="10" t="s">
        <v>474</v>
      </c>
      <c r="B2106" s="10">
        <v>1976</v>
      </c>
      <c r="C2106" s="10" t="s">
        <v>4709</v>
      </c>
      <c r="D2106" s="10">
        <v>25</v>
      </c>
      <c r="E2106" s="10">
        <v>2</v>
      </c>
      <c r="F2106" s="24">
        <v>34543.39</v>
      </c>
      <c r="G2106" s="10" t="s">
        <v>4695</v>
      </c>
      <c r="H2106" s="10" t="s">
        <v>4696</v>
      </c>
      <c r="I2106" s="10" t="s">
        <v>4716</v>
      </c>
      <c r="J2106" s="17">
        <f t="shared" si="16"/>
        <v>28089</v>
      </c>
      <c r="K2106" s="10">
        <f t="shared" ca="1" si="17"/>
        <v>49</v>
      </c>
      <c r="L2106" s="6"/>
      <c r="M2106" s="6"/>
      <c r="N2106" s="6"/>
      <c r="O2106" s="6"/>
      <c r="P2106" s="6"/>
      <c r="Q2106" s="6"/>
      <c r="R2106" s="6"/>
      <c r="S2106" s="6"/>
      <c r="T2106" s="6"/>
      <c r="U2106" s="6"/>
      <c r="V2106" s="6"/>
      <c r="W2106" s="6"/>
      <c r="X2106" s="6"/>
      <c r="Y2106" s="6"/>
      <c r="Z2106" s="6"/>
    </row>
    <row r="2107" spans="1:26" ht="15.75" customHeight="1" x14ac:dyDescent="0.3">
      <c r="A2107" s="10" t="s">
        <v>472</v>
      </c>
      <c r="B2107" s="10">
        <v>2004</v>
      </c>
      <c r="C2107" s="10" t="s">
        <v>4715</v>
      </c>
      <c r="D2107" s="10">
        <v>9</v>
      </c>
      <c r="E2107" s="10">
        <v>0</v>
      </c>
      <c r="F2107" s="24">
        <v>34617.839999999997</v>
      </c>
      <c r="G2107" s="10" t="s">
        <v>4694</v>
      </c>
      <c r="H2107" s="10" t="s">
        <v>4696</v>
      </c>
      <c r="I2107" s="10" t="s">
        <v>4720</v>
      </c>
      <c r="J2107" s="17">
        <f t="shared" si="16"/>
        <v>38269</v>
      </c>
      <c r="K2107" s="10">
        <f t="shared" ca="1" si="17"/>
        <v>21</v>
      </c>
      <c r="L2107" s="6"/>
      <c r="M2107" s="6"/>
      <c r="N2107" s="6"/>
      <c r="O2107" s="6"/>
      <c r="P2107" s="6"/>
      <c r="Q2107" s="6"/>
      <c r="R2107" s="6"/>
      <c r="S2107" s="6"/>
      <c r="T2107" s="6"/>
      <c r="U2107" s="6"/>
      <c r="V2107" s="6"/>
      <c r="W2107" s="6"/>
      <c r="X2107" s="6"/>
      <c r="Y2107" s="6"/>
      <c r="Z2107" s="6"/>
    </row>
    <row r="2108" spans="1:26" ht="15.75" customHeight="1" x14ac:dyDescent="0.3">
      <c r="A2108" s="10" t="s">
        <v>470</v>
      </c>
      <c r="B2108" s="10">
        <v>1994</v>
      </c>
      <c r="C2108" s="10" t="s">
        <v>4707</v>
      </c>
      <c r="D2108" s="10">
        <v>7</v>
      </c>
      <c r="E2108" s="10">
        <v>0</v>
      </c>
      <c r="F2108" s="24">
        <v>34672.15</v>
      </c>
      <c r="G2108" s="10" t="s">
        <v>4694</v>
      </c>
      <c r="H2108" s="10" t="s">
        <v>4696</v>
      </c>
      <c r="I2108" s="10" t="s">
        <v>4708</v>
      </c>
      <c r="J2108" s="17">
        <f t="shared" si="16"/>
        <v>34522</v>
      </c>
      <c r="K2108" s="10">
        <f t="shared" ca="1" si="17"/>
        <v>31</v>
      </c>
      <c r="L2108" s="6"/>
      <c r="M2108" s="6"/>
      <c r="N2108" s="6"/>
      <c r="O2108" s="6"/>
      <c r="P2108" s="6"/>
      <c r="Q2108" s="6"/>
      <c r="R2108" s="6"/>
      <c r="S2108" s="6"/>
      <c r="T2108" s="6"/>
      <c r="U2108" s="6"/>
      <c r="V2108" s="6"/>
      <c r="W2108" s="6"/>
      <c r="X2108" s="6"/>
      <c r="Y2108" s="6"/>
      <c r="Z2108" s="6"/>
    </row>
    <row r="2109" spans="1:26" ht="15.75" customHeight="1" x14ac:dyDescent="0.3">
      <c r="A2109" s="10" t="s">
        <v>468</v>
      </c>
      <c r="B2109" s="10">
        <v>2003</v>
      </c>
      <c r="C2109" s="10" t="s">
        <v>4707</v>
      </c>
      <c r="D2109" s="10">
        <v>3</v>
      </c>
      <c r="E2109" s="10">
        <v>0</v>
      </c>
      <c r="F2109" s="24">
        <v>34779.620000000003</v>
      </c>
      <c r="G2109" s="10" t="s">
        <v>4694</v>
      </c>
      <c r="H2109" s="10" t="s">
        <v>4695</v>
      </c>
      <c r="I2109" s="10" t="s">
        <v>4716</v>
      </c>
      <c r="J2109" s="17">
        <f t="shared" si="16"/>
        <v>37805</v>
      </c>
      <c r="K2109" s="10">
        <f t="shared" ca="1" si="17"/>
        <v>22</v>
      </c>
      <c r="L2109" s="6"/>
      <c r="M2109" s="6"/>
      <c r="N2109" s="6"/>
      <c r="O2109" s="6"/>
      <c r="P2109" s="6"/>
      <c r="Q2109" s="6"/>
      <c r="R2109" s="6"/>
      <c r="S2109" s="6"/>
      <c r="T2109" s="6"/>
      <c r="U2109" s="6"/>
      <c r="V2109" s="6"/>
      <c r="W2109" s="6"/>
      <c r="X2109" s="6"/>
      <c r="Y2109" s="6"/>
      <c r="Z2109" s="6"/>
    </row>
    <row r="2110" spans="1:26" ht="15.75" customHeight="1" x14ac:dyDescent="0.3">
      <c r="A2110" s="10" t="s">
        <v>466</v>
      </c>
      <c r="B2110" s="10">
        <v>1995</v>
      </c>
      <c r="C2110" s="10" t="s">
        <v>4713</v>
      </c>
      <c r="D2110" s="10">
        <v>27</v>
      </c>
      <c r="E2110" s="10">
        <v>1</v>
      </c>
      <c r="F2110" s="24">
        <v>34806.47</v>
      </c>
      <c r="G2110" s="10" t="s">
        <v>4694</v>
      </c>
      <c r="H2110" s="10" t="s">
        <v>4695</v>
      </c>
      <c r="I2110" s="10" t="s">
        <v>4708</v>
      </c>
      <c r="J2110" s="17">
        <f t="shared" si="16"/>
        <v>35060</v>
      </c>
      <c r="K2110" s="10">
        <f t="shared" ca="1" si="17"/>
        <v>29</v>
      </c>
      <c r="L2110" s="6"/>
      <c r="M2110" s="6"/>
      <c r="N2110" s="6"/>
      <c r="O2110" s="6"/>
      <c r="P2110" s="6"/>
      <c r="Q2110" s="6"/>
      <c r="R2110" s="6"/>
      <c r="S2110" s="6"/>
      <c r="T2110" s="6"/>
      <c r="U2110" s="6"/>
      <c r="V2110" s="6"/>
      <c r="W2110" s="6"/>
      <c r="X2110" s="6"/>
      <c r="Y2110" s="6"/>
      <c r="Z2110" s="6"/>
    </row>
    <row r="2111" spans="1:26" ht="15.75" customHeight="1" x14ac:dyDescent="0.3">
      <c r="A2111" s="10" t="s">
        <v>464</v>
      </c>
      <c r="B2111" s="10">
        <v>2003</v>
      </c>
      <c r="C2111" s="10" t="s">
        <v>4711</v>
      </c>
      <c r="D2111" s="10">
        <v>17</v>
      </c>
      <c r="E2111" s="10">
        <v>0</v>
      </c>
      <c r="F2111" s="24">
        <v>34828.65</v>
      </c>
      <c r="G2111" s="10" t="s">
        <v>4694</v>
      </c>
      <c r="H2111" s="10" t="s">
        <v>4696</v>
      </c>
      <c r="I2111" s="10" t="s">
        <v>4716</v>
      </c>
      <c r="J2111" s="17">
        <f t="shared" si="16"/>
        <v>37881</v>
      </c>
      <c r="K2111" s="10">
        <f t="shared" ca="1" si="17"/>
        <v>22</v>
      </c>
      <c r="L2111" s="6"/>
      <c r="M2111" s="6"/>
      <c r="N2111" s="6"/>
      <c r="O2111" s="6"/>
      <c r="P2111" s="6"/>
      <c r="Q2111" s="6"/>
      <c r="R2111" s="6"/>
      <c r="S2111" s="6"/>
      <c r="T2111" s="6"/>
      <c r="U2111" s="6"/>
      <c r="V2111" s="6"/>
      <c r="W2111" s="6"/>
      <c r="X2111" s="6"/>
      <c r="Y2111" s="6"/>
      <c r="Z2111" s="6"/>
    </row>
    <row r="2112" spans="1:26" ht="15.75" customHeight="1" x14ac:dyDescent="0.3">
      <c r="A2112" s="10" t="s">
        <v>462</v>
      </c>
      <c r="B2112" s="10">
        <v>1995</v>
      </c>
      <c r="C2112" s="10" t="s">
        <v>4715</v>
      </c>
      <c r="D2112" s="10">
        <v>17</v>
      </c>
      <c r="E2112" s="10">
        <v>0</v>
      </c>
      <c r="F2112" s="24">
        <v>34838.870000000003</v>
      </c>
      <c r="G2112" s="10" t="s">
        <v>4695</v>
      </c>
      <c r="H2112" s="10" t="s">
        <v>4696</v>
      </c>
      <c r="I2112" s="10" t="s">
        <v>4716</v>
      </c>
      <c r="J2112" s="17">
        <f t="shared" si="16"/>
        <v>34989</v>
      </c>
      <c r="K2112" s="10">
        <f t="shared" ca="1" si="17"/>
        <v>30</v>
      </c>
      <c r="L2112" s="6"/>
      <c r="M2112" s="6"/>
      <c r="N2112" s="6"/>
      <c r="O2112" s="6"/>
      <c r="P2112" s="6"/>
      <c r="Q2112" s="6"/>
      <c r="R2112" s="6"/>
      <c r="S2112" s="6"/>
      <c r="T2112" s="6"/>
      <c r="U2112" s="6"/>
      <c r="V2112" s="6"/>
      <c r="W2112" s="6"/>
      <c r="X2112" s="6"/>
      <c r="Y2112" s="6"/>
      <c r="Z2112" s="6"/>
    </row>
    <row r="2113" spans="1:26" ht="15.75" customHeight="1" x14ac:dyDescent="0.3">
      <c r="A2113" s="10" t="s">
        <v>460</v>
      </c>
      <c r="B2113" s="10">
        <v>1983</v>
      </c>
      <c r="C2113" s="10" t="s">
        <v>4707</v>
      </c>
      <c r="D2113" s="10">
        <v>29</v>
      </c>
      <c r="E2113" s="10">
        <v>3</v>
      </c>
      <c r="F2113" s="24">
        <v>34940.61</v>
      </c>
      <c r="G2113" s="10" t="s">
        <v>4695</v>
      </c>
      <c r="H2113" s="10" t="s">
        <v>4696</v>
      </c>
      <c r="I2113" s="10" t="s">
        <v>4716</v>
      </c>
      <c r="J2113" s="17">
        <f t="shared" si="16"/>
        <v>30526</v>
      </c>
      <c r="K2113" s="10">
        <f t="shared" ca="1" si="17"/>
        <v>42</v>
      </c>
      <c r="L2113" s="6"/>
      <c r="M2113" s="6"/>
      <c r="N2113" s="6"/>
      <c r="O2113" s="6"/>
      <c r="P2113" s="6"/>
      <c r="Q2113" s="6"/>
      <c r="R2113" s="6"/>
      <c r="S2113" s="6"/>
      <c r="T2113" s="6"/>
      <c r="U2113" s="6"/>
      <c r="V2113" s="6"/>
      <c r="W2113" s="6"/>
      <c r="X2113" s="6"/>
      <c r="Y2113" s="6"/>
      <c r="Z2113" s="6"/>
    </row>
    <row r="2114" spans="1:26" ht="15.75" customHeight="1" x14ac:dyDescent="0.3">
      <c r="A2114" s="10" t="s">
        <v>458</v>
      </c>
      <c r="B2114" s="10">
        <v>1967</v>
      </c>
      <c r="C2114" s="10" t="s">
        <v>4715</v>
      </c>
      <c r="D2114" s="10">
        <v>7</v>
      </c>
      <c r="E2114" s="10">
        <v>0</v>
      </c>
      <c r="F2114" s="24">
        <v>34975.68</v>
      </c>
      <c r="G2114" s="10" t="s">
        <v>4695</v>
      </c>
      <c r="H2114" s="10" t="s">
        <v>4695</v>
      </c>
      <c r="I2114" s="10" t="s">
        <v>4716</v>
      </c>
      <c r="J2114" s="17">
        <f t="shared" si="16"/>
        <v>24752</v>
      </c>
      <c r="K2114" s="10">
        <f t="shared" ca="1" si="17"/>
        <v>58</v>
      </c>
      <c r="L2114" s="6"/>
      <c r="M2114" s="6"/>
      <c r="N2114" s="6"/>
      <c r="O2114" s="6"/>
      <c r="P2114" s="6"/>
      <c r="Q2114" s="6"/>
      <c r="R2114" s="6"/>
      <c r="S2114" s="6"/>
      <c r="T2114" s="6"/>
      <c r="U2114" s="6"/>
      <c r="V2114" s="6"/>
      <c r="W2114" s="6"/>
      <c r="X2114" s="6"/>
      <c r="Y2114" s="6"/>
      <c r="Z2114" s="6"/>
    </row>
    <row r="2115" spans="1:26" ht="15.75" customHeight="1" x14ac:dyDescent="0.3">
      <c r="A2115" s="10" t="s">
        <v>456</v>
      </c>
      <c r="B2115" s="10">
        <v>1998</v>
      </c>
      <c r="C2115" s="10" t="s">
        <v>4714</v>
      </c>
      <c r="D2115" s="10">
        <v>22</v>
      </c>
      <c r="E2115" s="10">
        <v>0</v>
      </c>
      <c r="F2115" s="24">
        <v>34976.42</v>
      </c>
      <c r="G2115" s="10" t="s">
        <v>4695</v>
      </c>
      <c r="H2115" s="10" t="s">
        <v>4694</v>
      </c>
      <c r="I2115" s="10" t="s">
        <v>4716</v>
      </c>
      <c r="J2115" s="17">
        <f t="shared" si="16"/>
        <v>36029</v>
      </c>
      <c r="K2115" s="10">
        <f t="shared" ca="1" si="17"/>
        <v>27</v>
      </c>
      <c r="L2115" s="6"/>
      <c r="M2115" s="6"/>
      <c r="N2115" s="6"/>
      <c r="O2115" s="6"/>
      <c r="P2115" s="6"/>
      <c r="Q2115" s="6"/>
      <c r="R2115" s="6"/>
      <c r="S2115" s="6"/>
      <c r="T2115" s="6"/>
      <c r="U2115" s="6"/>
      <c r="V2115" s="6"/>
      <c r="W2115" s="6"/>
      <c r="X2115" s="6"/>
      <c r="Y2115" s="6"/>
      <c r="Z2115" s="6"/>
    </row>
    <row r="2116" spans="1:26" ht="15.75" customHeight="1" x14ac:dyDescent="0.3">
      <c r="A2116" s="10" t="s">
        <v>454</v>
      </c>
      <c r="B2116" s="10">
        <v>1997</v>
      </c>
      <c r="C2116" s="10" t="s">
        <v>4714</v>
      </c>
      <c r="D2116" s="10">
        <v>22</v>
      </c>
      <c r="E2116" s="10">
        <v>0</v>
      </c>
      <c r="F2116" s="24">
        <v>34979.86</v>
      </c>
      <c r="G2116" s="10" t="s">
        <v>4695</v>
      </c>
      <c r="H2116" s="10" t="s">
        <v>4695</v>
      </c>
      <c r="I2116" s="10" t="s">
        <v>4716</v>
      </c>
      <c r="J2116" s="17">
        <f t="shared" si="16"/>
        <v>35664</v>
      </c>
      <c r="K2116" s="10">
        <f t="shared" ca="1" si="17"/>
        <v>28</v>
      </c>
      <c r="L2116" s="6"/>
      <c r="M2116" s="6"/>
      <c r="N2116" s="6"/>
      <c r="O2116" s="6"/>
      <c r="P2116" s="6"/>
      <c r="Q2116" s="6"/>
      <c r="R2116" s="6"/>
      <c r="S2116" s="6"/>
      <c r="T2116" s="6"/>
      <c r="U2116" s="6"/>
      <c r="V2116" s="6"/>
      <c r="W2116" s="6"/>
      <c r="X2116" s="6"/>
      <c r="Y2116" s="6"/>
      <c r="Z2116" s="6"/>
    </row>
    <row r="2117" spans="1:26" ht="15.75" customHeight="1" x14ac:dyDescent="0.3">
      <c r="A2117" s="10" t="s">
        <v>452</v>
      </c>
      <c r="B2117" s="10">
        <v>1982</v>
      </c>
      <c r="C2117" s="10" t="s">
        <v>4707</v>
      </c>
      <c r="D2117" s="10">
        <v>5</v>
      </c>
      <c r="E2117" s="10">
        <v>3</v>
      </c>
      <c r="F2117" s="24">
        <v>35000.730000000003</v>
      </c>
      <c r="G2117" s="10" t="s">
        <v>4695</v>
      </c>
      <c r="H2117" s="10" t="s">
        <v>4696</v>
      </c>
      <c r="I2117" s="10" t="s">
        <v>4716</v>
      </c>
      <c r="J2117" s="17">
        <f t="shared" si="16"/>
        <v>30137</v>
      </c>
      <c r="K2117" s="10">
        <f t="shared" ca="1" si="17"/>
        <v>43</v>
      </c>
      <c r="L2117" s="6"/>
      <c r="M2117" s="6"/>
      <c r="N2117" s="6"/>
      <c r="O2117" s="6"/>
      <c r="P2117" s="6"/>
      <c r="Q2117" s="6"/>
      <c r="R2117" s="6"/>
      <c r="S2117" s="6"/>
      <c r="T2117" s="6"/>
      <c r="U2117" s="6"/>
      <c r="V2117" s="6"/>
      <c r="W2117" s="6"/>
      <c r="X2117" s="6"/>
      <c r="Y2117" s="6"/>
      <c r="Z2117" s="6"/>
    </row>
    <row r="2118" spans="1:26" ht="15.75" customHeight="1" x14ac:dyDescent="0.3">
      <c r="A2118" s="10" t="s">
        <v>450</v>
      </c>
      <c r="B2118" s="10">
        <v>1975</v>
      </c>
      <c r="C2118" s="10" t="s">
        <v>4714</v>
      </c>
      <c r="D2118" s="10">
        <v>29</v>
      </c>
      <c r="E2118" s="10">
        <v>1</v>
      </c>
      <c r="F2118" s="24">
        <v>35050.620000000003</v>
      </c>
      <c r="G2118" s="10" t="s">
        <v>4695</v>
      </c>
      <c r="H2118" s="10" t="s">
        <v>4694</v>
      </c>
      <c r="I2118" s="10" t="s">
        <v>4716</v>
      </c>
      <c r="J2118" s="17">
        <f t="shared" si="16"/>
        <v>27635</v>
      </c>
      <c r="K2118" s="10">
        <f t="shared" ca="1" si="17"/>
        <v>50</v>
      </c>
      <c r="L2118" s="6"/>
      <c r="M2118" s="6"/>
      <c r="N2118" s="6"/>
      <c r="O2118" s="6"/>
      <c r="P2118" s="6"/>
      <c r="Q2118" s="6"/>
      <c r="R2118" s="6"/>
      <c r="S2118" s="6"/>
      <c r="T2118" s="6"/>
      <c r="U2118" s="6"/>
      <c r="V2118" s="6"/>
      <c r="W2118" s="6"/>
      <c r="X2118" s="6"/>
      <c r="Y2118" s="6"/>
      <c r="Z2118" s="6"/>
    </row>
    <row r="2119" spans="1:26" ht="15.75" customHeight="1" x14ac:dyDescent="0.3">
      <c r="A2119" s="10" t="s">
        <v>448</v>
      </c>
      <c r="B2119" s="10">
        <v>1977</v>
      </c>
      <c r="C2119" s="10" t="s">
        <v>4710</v>
      </c>
      <c r="D2119" s="10">
        <v>29</v>
      </c>
      <c r="E2119" s="10">
        <v>0</v>
      </c>
      <c r="F2119" s="24">
        <v>35069.370000000003</v>
      </c>
      <c r="G2119" s="10" t="s">
        <v>4694</v>
      </c>
      <c r="H2119" s="10" t="s">
        <v>4694</v>
      </c>
      <c r="I2119" s="10" t="s">
        <v>4727</v>
      </c>
      <c r="J2119" s="17">
        <f t="shared" si="16"/>
        <v>28305</v>
      </c>
      <c r="K2119" s="10">
        <f t="shared" ca="1" si="17"/>
        <v>48</v>
      </c>
      <c r="L2119" s="6"/>
      <c r="M2119" s="6"/>
      <c r="N2119" s="6"/>
      <c r="O2119" s="6"/>
      <c r="P2119" s="6"/>
      <c r="Q2119" s="6"/>
      <c r="R2119" s="6"/>
      <c r="S2119" s="6"/>
      <c r="T2119" s="6"/>
      <c r="U2119" s="6"/>
      <c r="V2119" s="6"/>
      <c r="W2119" s="6"/>
      <c r="X2119" s="6"/>
      <c r="Y2119" s="6"/>
      <c r="Z2119" s="6"/>
    </row>
    <row r="2120" spans="1:26" ht="15.75" customHeight="1" x14ac:dyDescent="0.3">
      <c r="A2120" s="10" t="s">
        <v>446</v>
      </c>
      <c r="B2120" s="10">
        <v>1998</v>
      </c>
      <c r="C2120" s="10" t="s">
        <v>4713</v>
      </c>
      <c r="D2120" s="10">
        <v>22</v>
      </c>
      <c r="E2120" s="10">
        <v>0</v>
      </c>
      <c r="F2120" s="24">
        <v>35147.53</v>
      </c>
      <c r="G2120" s="10" t="s">
        <v>4694</v>
      </c>
      <c r="H2120" s="10" t="s">
        <v>4694</v>
      </c>
      <c r="I2120" s="10" t="s">
        <v>4720</v>
      </c>
      <c r="J2120" s="17">
        <f t="shared" si="16"/>
        <v>36151</v>
      </c>
      <c r="K2120" s="10">
        <f t="shared" ca="1" si="17"/>
        <v>26</v>
      </c>
      <c r="L2120" s="6"/>
      <c r="M2120" s="6"/>
      <c r="N2120" s="6"/>
      <c r="O2120" s="6"/>
      <c r="P2120" s="6"/>
      <c r="Q2120" s="6"/>
      <c r="R2120" s="6"/>
      <c r="S2120" s="6"/>
      <c r="T2120" s="6"/>
      <c r="U2120" s="6"/>
      <c r="V2120" s="6"/>
      <c r="W2120" s="6"/>
      <c r="X2120" s="6"/>
      <c r="Y2120" s="6"/>
      <c r="Z2120" s="6"/>
    </row>
    <row r="2121" spans="1:26" ht="15.75" customHeight="1" x14ac:dyDescent="0.3">
      <c r="A2121" s="10" t="s">
        <v>444</v>
      </c>
      <c r="B2121" s="10">
        <v>1967</v>
      </c>
      <c r="C2121" s="10" t="s">
        <v>4713</v>
      </c>
      <c r="D2121" s="10">
        <v>30</v>
      </c>
      <c r="E2121" s="10">
        <v>1</v>
      </c>
      <c r="F2121" s="24">
        <v>35160.129999999997</v>
      </c>
      <c r="G2121" s="10" t="s">
        <v>4695</v>
      </c>
      <c r="H2121" s="10" t="s">
        <v>4695</v>
      </c>
      <c r="I2121" s="10" t="s">
        <v>4716</v>
      </c>
      <c r="J2121" s="17">
        <f t="shared" si="16"/>
        <v>24836</v>
      </c>
      <c r="K2121" s="10">
        <f t="shared" ca="1" si="17"/>
        <v>57</v>
      </c>
      <c r="L2121" s="6"/>
      <c r="M2121" s="6"/>
      <c r="N2121" s="6"/>
      <c r="O2121" s="6"/>
      <c r="P2121" s="6"/>
      <c r="Q2121" s="6"/>
      <c r="R2121" s="6"/>
      <c r="S2121" s="6"/>
      <c r="T2121" s="6"/>
      <c r="U2121" s="6"/>
      <c r="V2121" s="6"/>
      <c r="W2121" s="6"/>
      <c r="X2121" s="6"/>
      <c r="Y2121" s="6"/>
      <c r="Z2121" s="6"/>
    </row>
    <row r="2122" spans="1:26" ht="15.75" customHeight="1" x14ac:dyDescent="0.3">
      <c r="A2122" s="10" t="s">
        <v>442</v>
      </c>
      <c r="B2122" s="10">
        <v>1997</v>
      </c>
      <c r="C2122" s="10" t="s">
        <v>4707</v>
      </c>
      <c r="D2122" s="10">
        <v>9</v>
      </c>
      <c r="E2122" s="10">
        <v>0</v>
      </c>
      <c r="F2122" s="24">
        <v>35302.089999999997</v>
      </c>
      <c r="G2122" s="10" t="s">
        <v>4694</v>
      </c>
      <c r="H2122" s="10" t="s">
        <v>4695</v>
      </c>
      <c r="I2122" s="10" t="s">
        <v>4716</v>
      </c>
      <c r="J2122" s="17">
        <f t="shared" si="16"/>
        <v>35620</v>
      </c>
      <c r="K2122" s="10">
        <f t="shared" ca="1" si="17"/>
        <v>28</v>
      </c>
      <c r="L2122" s="6"/>
      <c r="M2122" s="6"/>
      <c r="N2122" s="6"/>
      <c r="O2122" s="6"/>
      <c r="P2122" s="6"/>
      <c r="Q2122" s="6"/>
      <c r="R2122" s="6"/>
      <c r="S2122" s="6"/>
      <c r="T2122" s="6"/>
      <c r="U2122" s="6"/>
      <c r="V2122" s="6"/>
      <c r="W2122" s="6"/>
      <c r="X2122" s="6"/>
      <c r="Y2122" s="6"/>
      <c r="Z2122" s="6"/>
    </row>
    <row r="2123" spans="1:26" ht="15.75" customHeight="1" x14ac:dyDescent="0.3">
      <c r="A2123" s="10" t="s">
        <v>440</v>
      </c>
      <c r="B2123" s="10">
        <v>1988</v>
      </c>
      <c r="C2123" s="10" t="s">
        <v>4711</v>
      </c>
      <c r="D2123" s="10">
        <v>19</v>
      </c>
      <c r="E2123" s="10">
        <v>3</v>
      </c>
      <c r="F2123" s="24">
        <v>35315.96</v>
      </c>
      <c r="G2123" s="10" t="s">
        <v>4695</v>
      </c>
      <c r="H2123" s="10" t="s">
        <v>4694</v>
      </c>
      <c r="I2123" s="10" t="s">
        <v>4716</v>
      </c>
      <c r="J2123" s="17">
        <f t="shared" si="16"/>
        <v>32405</v>
      </c>
      <c r="K2123" s="10">
        <f t="shared" ca="1" si="17"/>
        <v>37</v>
      </c>
      <c r="L2123" s="6"/>
      <c r="M2123" s="6"/>
      <c r="N2123" s="6"/>
      <c r="O2123" s="6"/>
      <c r="P2123" s="6"/>
      <c r="Q2123" s="6"/>
      <c r="R2123" s="6"/>
      <c r="S2123" s="6"/>
      <c r="T2123" s="6"/>
      <c r="U2123" s="6"/>
      <c r="V2123" s="6"/>
      <c r="W2123" s="6"/>
      <c r="X2123" s="6"/>
      <c r="Y2123" s="6"/>
      <c r="Z2123" s="6"/>
    </row>
    <row r="2124" spans="1:26" ht="15.75" customHeight="1" x14ac:dyDescent="0.3">
      <c r="A2124" s="10" t="s">
        <v>438</v>
      </c>
      <c r="B2124" s="10">
        <v>1971</v>
      </c>
      <c r="C2124" s="10" t="s">
        <v>4711</v>
      </c>
      <c r="D2124" s="10">
        <v>22</v>
      </c>
      <c r="E2124" s="10">
        <v>0</v>
      </c>
      <c r="F2124" s="24">
        <v>35345.730000000003</v>
      </c>
      <c r="G2124" s="10" t="s">
        <v>4695</v>
      </c>
      <c r="H2124" s="10" t="s">
        <v>4696</v>
      </c>
      <c r="I2124" s="10" t="s">
        <v>4716</v>
      </c>
      <c r="J2124" s="17">
        <f t="shared" si="16"/>
        <v>26198</v>
      </c>
      <c r="K2124" s="10">
        <f t="shared" ca="1" si="17"/>
        <v>54</v>
      </c>
      <c r="L2124" s="6"/>
      <c r="M2124" s="6"/>
      <c r="N2124" s="6"/>
      <c r="O2124" s="6"/>
      <c r="P2124" s="6"/>
      <c r="Q2124" s="6"/>
      <c r="R2124" s="6"/>
      <c r="S2124" s="6"/>
      <c r="T2124" s="6"/>
      <c r="U2124" s="6"/>
      <c r="V2124" s="6"/>
      <c r="W2124" s="6"/>
      <c r="X2124" s="6"/>
      <c r="Y2124" s="6"/>
      <c r="Z2124" s="6"/>
    </row>
    <row r="2125" spans="1:26" ht="15.75" customHeight="1" x14ac:dyDescent="0.3">
      <c r="A2125" s="10" t="s">
        <v>436</v>
      </c>
      <c r="B2125" s="10">
        <v>1988</v>
      </c>
      <c r="C2125" s="10" t="s">
        <v>4709</v>
      </c>
      <c r="D2125" s="10">
        <v>20</v>
      </c>
      <c r="E2125" s="10">
        <v>0</v>
      </c>
      <c r="F2125" s="24">
        <v>35491.64</v>
      </c>
      <c r="G2125" s="10" t="s">
        <v>4694</v>
      </c>
      <c r="H2125" s="10" t="s">
        <v>4695</v>
      </c>
      <c r="I2125" s="10" t="s">
        <v>4716</v>
      </c>
      <c r="J2125" s="17">
        <f t="shared" si="16"/>
        <v>32467</v>
      </c>
      <c r="K2125" s="10">
        <f t="shared" ca="1" si="17"/>
        <v>37</v>
      </c>
      <c r="L2125" s="6"/>
      <c r="M2125" s="6"/>
      <c r="N2125" s="6"/>
      <c r="O2125" s="6"/>
      <c r="P2125" s="6"/>
      <c r="Q2125" s="6"/>
      <c r="R2125" s="6"/>
      <c r="S2125" s="6"/>
      <c r="T2125" s="6"/>
      <c r="U2125" s="6"/>
      <c r="V2125" s="6"/>
      <c r="W2125" s="6"/>
      <c r="X2125" s="6"/>
      <c r="Y2125" s="6"/>
      <c r="Z2125" s="6"/>
    </row>
    <row r="2126" spans="1:26" ht="15.75" customHeight="1" x14ac:dyDescent="0.3">
      <c r="A2126" s="10" t="s">
        <v>434</v>
      </c>
      <c r="B2126" s="10">
        <v>1973</v>
      </c>
      <c r="C2126" s="10" t="s">
        <v>4713</v>
      </c>
      <c r="D2126" s="10">
        <v>16</v>
      </c>
      <c r="E2126" s="10">
        <v>0</v>
      </c>
      <c r="F2126" s="24">
        <v>35517.19</v>
      </c>
      <c r="G2126" s="10" t="s">
        <v>4695</v>
      </c>
      <c r="H2126" s="10" t="s">
        <v>4695</v>
      </c>
      <c r="I2126" s="10" t="s">
        <v>4716</v>
      </c>
      <c r="J2126" s="17">
        <f t="shared" si="16"/>
        <v>27014</v>
      </c>
      <c r="K2126" s="10">
        <f t="shared" ca="1" si="17"/>
        <v>51</v>
      </c>
      <c r="L2126" s="6"/>
      <c r="M2126" s="6"/>
      <c r="N2126" s="6"/>
      <c r="O2126" s="6"/>
      <c r="P2126" s="6"/>
      <c r="Q2126" s="6"/>
      <c r="R2126" s="6"/>
      <c r="S2126" s="6"/>
      <c r="T2126" s="6"/>
      <c r="U2126" s="6"/>
      <c r="V2126" s="6"/>
      <c r="W2126" s="6"/>
      <c r="X2126" s="6"/>
      <c r="Y2126" s="6"/>
      <c r="Z2126" s="6"/>
    </row>
    <row r="2127" spans="1:26" ht="15.75" customHeight="1" x14ac:dyDescent="0.3">
      <c r="A2127" s="10" t="s">
        <v>432</v>
      </c>
      <c r="B2127" s="10">
        <v>1992</v>
      </c>
      <c r="C2127" s="10" t="s">
        <v>4711</v>
      </c>
      <c r="D2127" s="10">
        <v>13</v>
      </c>
      <c r="E2127" s="10">
        <v>0</v>
      </c>
      <c r="F2127" s="24">
        <v>35547.47</v>
      </c>
      <c r="G2127" s="10" t="s">
        <v>4695</v>
      </c>
      <c r="H2127" s="10" t="s">
        <v>4696</v>
      </c>
      <c r="I2127" s="10" t="s">
        <v>4716</v>
      </c>
      <c r="J2127" s="17">
        <f t="shared" si="16"/>
        <v>33860</v>
      </c>
      <c r="K2127" s="10">
        <f t="shared" ca="1" si="17"/>
        <v>33</v>
      </c>
      <c r="L2127" s="6"/>
      <c r="M2127" s="6"/>
      <c r="N2127" s="6"/>
      <c r="O2127" s="6"/>
      <c r="P2127" s="6"/>
      <c r="Q2127" s="6"/>
      <c r="R2127" s="6"/>
      <c r="S2127" s="6"/>
      <c r="T2127" s="6"/>
      <c r="U2127" s="6"/>
      <c r="V2127" s="6"/>
      <c r="W2127" s="6"/>
      <c r="X2127" s="6"/>
      <c r="Y2127" s="6"/>
      <c r="Z2127" s="6"/>
    </row>
    <row r="2128" spans="1:26" ht="15.75" customHeight="1" x14ac:dyDescent="0.3">
      <c r="A2128" s="10" t="s">
        <v>430</v>
      </c>
      <c r="B2128" s="10">
        <v>1973</v>
      </c>
      <c r="C2128" s="10" t="s">
        <v>4715</v>
      </c>
      <c r="D2128" s="10">
        <v>27</v>
      </c>
      <c r="E2128" s="10">
        <v>0</v>
      </c>
      <c r="F2128" s="24">
        <v>35547.72</v>
      </c>
      <c r="G2128" s="10" t="s">
        <v>4694</v>
      </c>
      <c r="H2128" s="10" t="s">
        <v>4694</v>
      </c>
      <c r="I2128" s="10" t="s">
        <v>4716</v>
      </c>
      <c r="J2128" s="17">
        <f t="shared" si="16"/>
        <v>26964</v>
      </c>
      <c r="K2128" s="10">
        <f t="shared" ca="1" si="17"/>
        <v>52</v>
      </c>
      <c r="L2128" s="6"/>
      <c r="M2128" s="6"/>
      <c r="N2128" s="6"/>
      <c r="O2128" s="6"/>
      <c r="P2128" s="6"/>
      <c r="Q2128" s="6"/>
      <c r="R2128" s="6"/>
      <c r="S2128" s="6"/>
      <c r="T2128" s="6"/>
      <c r="U2128" s="6"/>
      <c r="V2128" s="6"/>
      <c r="W2128" s="6"/>
      <c r="X2128" s="6"/>
      <c r="Y2128" s="6"/>
      <c r="Z2128" s="6"/>
    </row>
    <row r="2129" spans="1:26" ht="15.75" customHeight="1" x14ac:dyDescent="0.3">
      <c r="A2129" s="10" t="s">
        <v>428</v>
      </c>
      <c r="B2129" s="10">
        <v>1964</v>
      </c>
      <c r="C2129" s="10" t="s">
        <v>4714</v>
      </c>
      <c r="D2129" s="10">
        <v>29</v>
      </c>
      <c r="E2129" s="10">
        <v>0</v>
      </c>
      <c r="F2129" s="24">
        <v>35573.26</v>
      </c>
      <c r="G2129" s="10" t="s">
        <v>4695</v>
      </c>
      <c r="H2129" s="10" t="s">
        <v>4694</v>
      </c>
      <c r="I2129" s="10" t="s">
        <v>4716</v>
      </c>
      <c r="J2129" s="17">
        <f t="shared" si="16"/>
        <v>23618</v>
      </c>
      <c r="K2129" s="10">
        <f t="shared" ca="1" si="17"/>
        <v>61</v>
      </c>
      <c r="L2129" s="6"/>
      <c r="M2129" s="6"/>
      <c r="N2129" s="6"/>
      <c r="O2129" s="6"/>
      <c r="P2129" s="6"/>
      <c r="Q2129" s="6"/>
      <c r="R2129" s="6"/>
      <c r="S2129" s="6"/>
      <c r="T2129" s="6"/>
      <c r="U2129" s="6"/>
      <c r="V2129" s="6"/>
      <c r="W2129" s="6"/>
      <c r="X2129" s="6"/>
      <c r="Y2129" s="6"/>
      <c r="Z2129" s="6"/>
    </row>
    <row r="2130" spans="1:26" ht="15.75" customHeight="1" x14ac:dyDescent="0.3">
      <c r="A2130" s="10" t="s">
        <v>426</v>
      </c>
      <c r="B2130" s="10">
        <v>1971</v>
      </c>
      <c r="C2130" s="10" t="s">
        <v>4714</v>
      </c>
      <c r="D2130" s="10">
        <v>10</v>
      </c>
      <c r="E2130" s="10">
        <v>0</v>
      </c>
      <c r="F2130" s="24">
        <v>35583.17</v>
      </c>
      <c r="G2130" s="10" t="s">
        <v>4694</v>
      </c>
      <c r="H2130" s="10" t="s">
        <v>4696</v>
      </c>
      <c r="I2130" s="10" t="s">
        <v>4716</v>
      </c>
      <c r="J2130" s="17">
        <f t="shared" si="16"/>
        <v>26155</v>
      </c>
      <c r="K2130" s="10">
        <f t="shared" ca="1" si="17"/>
        <v>54</v>
      </c>
      <c r="L2130" s="6"/>
      <c r="M2130" s="6"/>
      <c r="N2130" s="6"/>
      <c r="O2130" s="6"/>
      <c r="P2130" s="6"/>
      <c r="Q2130" s="6"/>
      <c r="R2130" s="6"/>
      <c r="S2130" s="6"/>
      <c r="T2130" s="6"/>
      <c r="U2130" s="6"/>
      <c r="V2130" s="6"/>
      <c r="W2130" s="6"/>
      <c r="X2130" s="6"/>
      <c r="Y2130" s="6"/>
      <c r="Z2130" s="6"/>
    </row>
    <row r="2131" spans="1:26" ht="15.75" customHeight="1" x14ac:dyDescent="0.3">
      <c r="A2131" s="10" t="s">
        <v>4717</v>
      </c>
      <c r="B2131" s="10">
        <v>2000</v>
      </c>
      <c r="C2131" s="10" t="s">
        <v>4715</v>
      </c>
      <c r="D2131" s="10">
        <v>13</v>
      </c>
      <c r="E2131" s="10">
        <v>0</v>
      </c>
      <c r="F2131" s="24">
        <v>35585.58</v>
      </c>
      <c r="G2131" s="10" t="s">
        <v>4694</v>
      </c>
      <c r="H2131" s="10" t="s">
        <v>4695</v>
      </c>
      <c r="I2131" s="10" t="s">
        <v>4716</v>
      </c>
      <c r="J2131" s="17">
        <f t="shared" si="16"/>
        <v>36812</v>
      </c>
      <c r="K2131" s="10">
        <f t="shared" ca="1" si="17"/>
        <v>25</v>
      </c>
      <c r="L2131" s="6"/>
      <c r="M2131" s="6"/>
      <c r="N2131" s="6"/>
      <c r="O2131" s="6"/>
      <c r="P2131" s="6"/>
      <c r="Q2131" s="6"/>
      <c r="R2131" s="6"/>
      <c r="S2131" s="6"/>
      <c r="T2131" s="6"/>
      <c r="U2131" s="6"/>
      <c r="V2131" s="6"/>
      <c r="W2131" s="6"/>
      <c r="X2131" s="6"/>
      <c r="Y2131" s="6"/>
      <c r="Z2131" s="6"/>
    </row>
    <row r="2132" spans="1:26" ht="15.75" customHeight="1" x14ac:dyDescent="0.3">
      <c r="A2132" s="10" t="s">
        <v>424</v>
      </c>
      <c r="B2132" s="10">
        <v>2000</v>
      </c>
      <c r="C2132" s="10" t="s">
        <v>4709</v>
      </c>
      <c r="D2132" s="10">
        <v>19</v>
      </c>
      <c r="E2132" s="10">
        <v>0</v>
      </c>
      <c r="F2132" s="24">
        <v>35585.58</v>
      </c>
      <c r="G2132" s="10" t="s">
        <v>4695</v>
      </c>
      <c r="H2132" s="10" t="s">
        <v>4696</v>
      </c>
      <c r="I2132" s="10" t="s">
        <v>4716</v>
      </c>
      <c r="J2132" s="17">
        <f t="shared" si="16"/>
        <v>36849</v>
      </c>
      <c r="K2132" s="10">
        <f t="shared" ca="1" si="17"/>
        <v>25</v>
      </c>
      <c r="L2132" s="6"/>
      <c r="M2132" s="6"/>
      <c r="N2132" s="6"/>
      <c r="O2132" s="6"/>
      <c r="P2132" s="6"/>
      <c r="Q2132" s="6"/>
      <c r="R2132" s="6"/>
      <c r="S2132" s="6"/>
      <c r="T2132" s="6"/>
      <c r="U2132" s="6"/>
      <c r="V2132" s="6"/>
      <c r="W2132" s="6"/>
      <c r="X2132" s="6"/>
      <c r="Y2132" s="6"/>
      <c r="Z2132" s="6"/>
    </row>
    <row r="2133" spans="1:26" ht="15.75" customHeight="1" x14ac:dyDescent="0.3">
      <c r="A2133" s="10" t="s">
        <v>422</v>
      </c>
      <c r="B2133" s="10">
        <v>2000</v>
      </c>
      <c r="C2133" s="10" t="s">
        <v>4713</v>
      </c>
      <c r="D2133" s="10">
        <v>17</v>
      </c>
      <c r="E2133" s="10">
        <v>3</v>
      </c>
      <c r="F2133" s="24">
        <v>35595.589999999997</v>
      </c>
      <c r="G2133" s="10" t="s">
        <v>4695</v>
      </c>
      <c r="H2133" s="10" t="s">
        <v>4696</v>
      </c>
      <c r="I2133" s="10" t="s">
        <v>4708</v>
      </c>
      <c r="J2133" s="17">
        <f t="shared" si="16"/>
        <v>36877</v>
      </c>
      <c r="K2133" s="10">
        <f t="shared" ca="1" si="17"/>
        <v>24</v>
      </c>
      <c r="L2133" s="6"/>
      <c r="M2133" s="6"/>
      <c r="N2133" s="6"/>
      <c r="O2133" s="6"/>
      <c r="P2133" s="6"/>
      <c r="Q2133" s="6"/>
      <c r="R2133" s="6"/>
      <c r="S2133" s="6"/>
      <c r="T2133" s="6"/>
      <c r="U2133" s="6"/>
      <c r="V2133" s="6"/>
      <c r="W2133" s="6"/>
      <c r="X2133" s="6"/>
      <c r="Y2133" s="6"/>
      <c r="Z2133" s="6"/>
    </row>
    <row r="2134" spans="1:26" ht="15.75" customHeight="1" x14ac:dyDescent="0.3">
      <c r="A2134" s="10" t="s">
        <v>420</v>
      </c>
      <c r="B2134" s="10">
        <v>1978</v>
      </c>
      <c r="C2134" s="10" t="s">
        <v>4713</v>
      </c>
      <c r="D2134" s="10">
        <v>19</v>
      </c>
      <c r="E2134" s="10">
        <v>2</v>
      </c>
      <c r="F2134" s="24">
        <v>35701.9</v>
      </c>
      <c r="G2134" s="10" t="s">
        <v>4695</v>
      </c>
      <c r="H2134" s="10" t="s">
        <v>4694</v>
      </c>
      <c r="I2134" s="10" t="s">
        <v>4716</v>
      </c>
      <c r="J2134" s="17">
        <f t="shared" si="16"/>
        <v>28843</v>
      </c>
      <c r="K2134" s="10">
        <f t="shared" ca="1" si="17"/>
        <v>46</v>
      </c>
      <c r="L2134" s="6"/>
      <c r="M2134" s="6"/>
      <c r="N2134" s="6"/>
      <c r="O2134" s="6"/>
      <c r="P2134" s="6"/>
      <c r="Q2134" s="6"/>
      <c r="R2134" s="6"/>
      <c r="S2134" s="6"/>
      <c r="T2134" s="6"/>
      <c r="U2134" s="6"/>
      <c r="V2134" s="6"/>
      <c r="W2134" s="6"/>
      <c r="X2134" s="6"/>
      <c r="Y2134" s="6"/>
      <c r="Z2134" s="6"/>
    </row>
    <row r="2135" spans="1:26" ht="15.75" customHeight="1" x14ac:dyDescent="0.3">
      <c r="A2135" s="10" t="s">
        <v>418</v>
      </c>
      <c r="B2135" s="10">
        <v>1974</v>
      </c>
      <c r="C2135" s="10" t="s">
        <v>4707</v>
      </c>
      <c r="D2135" s="10">
        <v>15</v>
      </c>
      <c r="E2135" s="10">
        <v>0</v>
      </c>
      <c r="F2135" s="24">
        <v>35711.39</v>
      </c>
      <c r="G2135" s="10" t="s">
        <v>4695</v>
      </c>
      <c r="H2135" s="10" t="s">
        <v>4696</v>
      </c>
      <c r="I2135" s="10" t="s">
        <v>4712</v>
      </c>
      <c r="J2135" s="17">
        <f t="shared" si="16"/>
        <v>27225</v>
      </c>
      <c r="K2135" s="10">
        <f t="shared" ca="1" si="17"/>
        <v>51</v>
      </c>
      <c r="L2135" s="6"/>
      <c r="M2135" s="6"/>
      <c r="N2135" s="6"/>
      <c r="O2135" s="6"/>
      <c r="P2135" s="6"/>
      <c r="Q2135" s="6"/>
      <c r="R2135" s="6"/>
      <c r="S2135" s="6"/>
      <c r="T2135" s="6"/>
      <c r="U2135" s="6"/>
      <c r="V2135" s="6"/>
      <c r="W2135" s="6"/>
      <c r="X2135" s="6"/>
      <c r="Y2135" s="6"/>
      <c r="Z2135" s="6"/>
    </row>
    <row r="2136" spans="1:26" ht="15.75" customHeight="1" x14ac:dyDescent="0.3">
      <c r="A2136" s="10" t="s">
        <v>416</v>
      </c>
      <c r="B2136" s="10">
        <v>1976</v>
      </c>
      <c r="C2136" s="10" t="s">
        <v>4715</v>
      </c>
      <c r="D2136" s="10">
        <v>4</v>
      </c>
      <c r="E2136" s="10">
        <v>2</v>
      </c>
      <c r="F2136" s="24">
        <v>35733.96</v>
      </c>
      <c r="G2136" s="10" t="s">
        <v>4695</v>
      </c>
      <c r="H2136" s="10" t="s">
        <v>4695</v>
      </c>
      <c r="I2136" s="10" t="s">
        <v>4716</v>
      </c>
      <c r="J2136" s="17">
        <f t="shared" si="16"/>
        <v>28037</v>
      </c>
      <c r="K2136" s="10">
        <f t="shared" ca="1" si="17"/>
        <v>49</v>
      </c>
      <c r="L2136" s="6"/>
      <c r="M2136" s="6"/>
      <c r="N2136" s="6"/>
      <c r="O2136" s="6"/>
      <c r="P2136" s="6"/>
      <c r="Q2136" s="6"/>
      <c r="R2136" s="6"/>
      <c r="S2136" s="6"/>
      <c r="T2136" s="6"/>
      <c r="U2136" s="6"/>
      <c r="V2136" s="6"/>
      <c r="W2136" s="6"/>
      <c r="X2136" s="6"/>
      <c r="Y2136" s="6"/>
      <c r="Z2136" s="6"/>
    </row>
    <row r="2137" spans="1:26" ht="15.75" customHeight="1" x14ac:dyDescent="0.3">
      <c r="A2137" s="10" t="s">
        <v>414</v>
      </c>
      <c r="B2137" s="10">
        <v>1992</v>
      </c>
      <c r="C2137" s="10" t="s">
        <v>4710</v>
      </c>
      <c r="D2137" s="10">
        <v>18</v>
      </c>
      <c r="E2137" s="10">
        <v>0</v>
      </c>
      <c r="F2137" s="24">
        <v>35883.269999999997</v>
      </c>
      <c r="G2137" s="10" t="s">
        <v>4695</v>
      </c>
      <c r="H2137" s="10" t="s">
        <v>4694</v>
      </c>
      <c r="I2137" s="10" t="s">
        <v>4716</v>
      </c>
      <c r="J2137" s="17">
        <f t="shared" si="16"/>
        <v>33773</v>
      </c>
      <c r="K2137" s="10">
        <f t="shared" ca="1" si="17"/>
        <v>33</v>
      </c>
      <c r="L2137" s="6"/>
      <c r="M2137" s="6"/>
      <c r="N2137" s="6"/>
      <c r="O2137" s="6"/>
      <c r="P2137" s="6"/>
      <c r="Q2137" s="6"/>
      <c r="R2137" s="6"/>
      <c r="S2137" s="6"/>
      <c r="T2137" s="6"/>
      <c r="U2137" s="6"/>
      <c r="V2137" s="6"/>
      <c r="W2137" s="6"/>
      <c r="X2137" s="6"/>
      <c r="Y2137" s="6"/>
      <c r="Z2137" s="6"/>
    </row>
    <row r="2138" spans="1:26" ht="15.75" customHeight="1" x14ac:dyDescent="0.3">
      <c r="A2138" s="10" t="s">
        <v>412</v>
      </c>
      <c r="B2138" s="10">
        <v>1981</v>
      </c>
      <c r="C2138" s="10" t="s">
        <v>4709</v>
      </c>
      <c r="D2138" s="10">
        <v>22</v>
      </c>
      <c r="E2138" s="10">
        <v>1</v>
      </c>
      <c r="F2138" s="24">
        <v>35952.65</v>
      </c>
      <c r="G2138" s="10" t="s">
        <v>4694</v>
      </c>
      <c r="H2138" s="10" t="s">
        <v>4696</v>
      </c>
      <c r="I2138" s="10" t="s">
        <v>4716</v>
      </c>
      <c r="J2138" s="17">
        <f t="shared" si="16"/>
        <v>29912</v>
      </c>
      <c r="K2138" s="10">
        <f t="shared" ca="1" si="17"/>
        <v>44</v>
      </c>
      <c r="L2138" s="6"/>
      <c r="M2138" s="6"/>
      <c r="N2138" s="6"/>
      <c r="O2138" s="6"/>
      <c r="P2138" s="6"/>
      <c r="Q2138" s="6"/>
      <c r="R2138" s="6"/>
      <c r="S2138" s="6"/>
      <c r="T2138" s="6"/>
      <c r="U2138" s="6"/>
      <c r="V2138" s="6"/>
      <c r="W2138" s="6"/>
      <c r="X2138" s="6"/>
      <c r="Y2138" s="6"/>
      <c r="Z2138" s="6"/>
    </row>
    <row r="2139" spans="1:26" ht="15.75" customHeight="1" x14ac:dyDescent="0.3">
      <c r="A2139" s="10" t="s">
        <v>410</v>
      </c>
      <c r="B2139" s="10">
        <v>1999</v>
      </c>
      <c r="C2139" s="10" t="s">
        <v>4711</v>
      </c>
      <c r="D2139" s="10">
        <v>4</v>
      </c>
      <c r="E2139" s="10">
        <v>2</v>
      </c>
      <c r="F2139" s="24">
        <v>36021.01</v>
      </c>
      <c r="G2139" s="10" t="s">
        <v>4695</v>
      </c>
      <c r="H2139" s="10" t="s">
        <v>4696</v>
      </c>
      <c r="I2139" s="10" t="s">
        <v>4708</v>
      </c>
      <c r="J2139" s="17">
        <f t="shared" si="16"/>
        <v>36407</v>
      </c>
      <c r="K2139" s="10">
        <f t="shared" ca="1" si="17"/>
        <v>26</v>
      </c>
      <c r="L2139" s="6"/>
      <c r="M2139" s="6"/>
      <c r="N2139" s="6"/>
      <c r="O2139" s="6"/>
      <c r="P2139" s="6"/>
      <c r="Q2139" s="6"/>
      <c r="R2139" s="6"/>
      <c r="S2139" s="6"/>
      <c r="T2139" s="6"/>
      <c r="U2139" s="6"/>
      <c r="V2139" s="6"/>
      <c r="W2139" s="6"/>
      <c r="X2139" s="6"/>
      <c r="Y2139" s="6"/>
      <c r="Z2139" s="6"/>
    </row>
    <row r="2140" spans="1:26" ht="15.75" customHeight="1" x14ac:dyDescent="0.3">
      <c r="A2140" s="10" t="s">
        <v>408</v>
      </c>
      <c r="B2140" s="10">
        <v>1963</v>
      </c>
      <c r="C2140" s="10" t="s">
        <v>4707</v>
      </c>
      <c r="D2140" s="10">
        <v>22</v>
      </c>
      <c r="E2140" s="10">
        <v>0</v>
      </c>
      <c r="F2140" s="24">
        <v>36074.339999999997</v>
      </c>
      <c r="G2140" s="10" t="s">
        <v>4695</v>
      </c>
      <c r="H2140" s="10" t="s">
        <v>4694</v>
      </c>
      <c r="I2140" s="10" t="s">
        <v>4716</v>
      </c>
      <c r="J2140" s="17">
        <f t="shared" si="16"/>
        <v>23214</v>
      </c>
      <c r="K2140" s="10">
        <f t="shared" ca="1" si="17"/>
        <v>62</v>
      </c>
      <c r="L2140" s="6"/>
      <c r="M2140" s="6"/>
      <c r="N2140" s="6"/>
      <c r="O2140" s="6"/>
      <c r="P2140" s="6"/>
      <c r="Q2140" s="6"/>
      <c r="R2140" s="6"/>
      <c r="S2140" s="6"/>
      <c r="T2140" s="6"/>
      <c r="U2140" s="6"/>
      <c r="V2140" s="6"/>
      <c r="W2140" s="6"/>
      <c r="X2140" s="6"/>
      <c r="Y2140" s="6"/>
      <c r="Z2140" s="6"/>
    </row>
    <row r="2141" spans="1:26" ht="15.75" customHeight="1" x14ac:dyDescent="0.3">
      <c r="A2141" s="10" t="s">
        <v>406</v>
      </c>
      <c r="B2141" s="10">
        <v>1996</v>
      </c>
      <c r="C2141" s="10" t="s">
        <v>4714</v>
      </c>
      <c r="D2141" s="10">
        <v>20</v>
      </c>
      <c r="E2141" s="10">
        <v>2</v>
      </c>
      <c r="F2141" s="24">
        <v>36085.22</v>
      </c>
      <c r="G2141" s="10" t="s">
        <v>4694</v>
      </c>
      <c r="H2141" s="10" t="s">
        <v>4694</v>
      </c>
      <c r="I2141" s="10" t="s">
        <v>4716</v>
      </c>
      <c r="J2141" s="17">
        <f t="shared" si="16"/>
        <v>35297</v>
      </c>
      <c r="K2141" s="10">
        <f t="shared" ca="1" si="17"/>
        <v>29</v>
      </c>
      <c r="L2141" s="6"/>
      <c r="M2141" s="6"/>
      <c r="N2141" s="6"/>
      <c r="O2141" s="6"/>
      <c r="P2141" s="6"/>
      <c r="Q2141" s="6"/>
      <c r="R2141" s="6"/>
      <c r="S2141" s="6"/>
      <c r="T2141" s="6"/>
      <c r="U2141" s="6"/>
      <c r="V2141" s="6"/>
      <c r="W2141" s="6"/>
      <c r="X2141" s="6"/>
      <c r="Y2141" s="6"/>
      <c r="Z2141" s="6"/>
    </row>
    <row r="2142" spans="1:26" ht="15.75" customHeight="1" x14ac:dyDescent="0.3">
      <c r="A2142" s="10" t="s">
        <v>404</v>
      </c>
      <c r="B2142" s="10">
        <v>1979</v>
      </c>
      <c r="C2142" s="10" t="s">
        <v>4709</v>
      </c>
      <c r="D2142" s="10">
        <v>4</v>
      </c>
      <c r="E2142" s="10">
        <v>2</v>
      </c>
      <c r="F2142" s="24">
        <v>36090.49</v>
      </c>
      <c r="G2142" s="10" t="s">
        <v>4695</v>
      </c>
      <c r="H2142" s="10" t="s">
        <v>4695</v>
      </c>
      <c r="I2142" s="10" t="s">
        <v>4716</v>
      </c>
      <c r="J2142" s="17">
        <f t="shared" si="16"/>
        <v>29163</v>
      </c>
      <c r="K2142" s="10">
        <f t="shared" ca="1" si="17"/>
        <v>46</v>
      </c>
      <c r="L2142" s="6"/>
      <c r="M2142" s="6"/>
      <c r="N2142" s="6"/>
      <c r="O2142" s="6"/>
      <c r="P2142" s="6"/>
      <c r="Q2142" s="6"/>
      <c r="R2142" s="6"/>
      <c r="S2142" s="6"/>
      <c r="T2142" s="6"/>
      <c r="U2142" s="6"/>
      <c r="V2142" s="6"/>
      <c r="W2142" s="6"/>
      <c r="X2142" s="6"/>
      <c r="Y2142" s="6"/>
      <c r="Z2142" s="6"/>
    </row>
    <row r="2143" spans="1:26" ht="15.75" customHeight="1" x14ac:dyDescent="0.3">
      <c r="A2143" s="10" t="s">
        <v>402</v>
      </c>
      <c r="B2143" s="10">
        <v>1997</v>
      </c>
      <c r="C2143" s="10" t="s">
        <v>4710</v>
      </c>
      <c r="D2143" s="10">
        <v>12</v>
      </c>
      <c r="E2143" s="10">
        <v>2</v>
      </c>
      <c r="F2143" s="24">
        <v>36124.57</v>
      </c>
      <c r="G2143" s="10" t="s">
        <v>4694</v>
      </c>
      <c r="H2143" s="10" t="s">
        <v>4696</v>
      </c>
      <c r="I2143" s="10" t="s">
        <v>4708</v>
      </c>
      <c r="J2143" s="17">
        <f t="shared" si="16"/>
        <v>35593</v>
      </c>
      <c r="K2143" s="10">
        <f t="shared" ca="1" si="17"/>
        <v>28</v>
      </c>
      <c r="L2143" s="6"/>
      <c r="M2143" s="6"/>
      <c r="N2143" s="6"/>
      <c r="O2143" s="6"/>
      <c r="P2143" s="6"/>
      <c r="Q2143" s="6"/>
      <c r="R2143" s="6"/>
      <c r="S2143" s="6"/>
      <c r="T2143" s="6"/>
      <c r="U2143" s="6"/>
      <c r="V2143" s="6"/>
      <c r="W2143" s="6"/>
      <c r="X2143" s="6"/>
      <c r="Y2143" s="6"/>
      <c r="Z2143" s="6"/>
    </row>
    <row r="2144" spans="1:26" ht="15.75" customHeight="1" x14ac:dyDescent="0.3">
      <c r="A2144" s="10" t="s">
        <v>400</v>
      </c>
      <c r="B2144" s="10">
        <v>2004</v>
      </c>
      <c r="C2144" s="10" t="s">
        <v>4714</v>
      </c>
      <c r="D2144" s="10">
        <v>30</v>
      </c>
      <c r="E2144" s="10">
        <v>0</v>
      </c>
      <c r="F2144" s="24">
        <v>36149.480000000003</v>
      </c>
      <c r="G2144" s="10" t="s">
        <v>4695</v>
      </c>
      <c r="H2144" s="10" t="s">
        <v>4695</v>
      </c>
      <c r="I2144" s="10" t="s">
        <v>4708</v>
      </c>
      <c r="J2144" s="17">
        <f t="shared" si="16"/>
        <v>38229</v>
      </c>
      <c r="K2144" s="10">
        <f t="shared" ca="1" si="17"/>
        <v>21</v>
      </c>
      <c r="L2144" s="6"/>
      <c r="M2144" s="6"/>
      <c r="N2144" s="6"/>
      <c r="O2144" s="6"/>
      <c r="P2144" s="6"/>
      <c r="Q2144" s="6"/>
      <c r="R2144" s="6"/>
      <c r="S2144" s="6"/>
      <c r="T2144" s="6"/>
      <c r="U2144" s="6"/>
      <c r="V2144" s="6"/>
      <c r="W2144" s="6"/>
      <c r="X2144" s="6"/>
      <c r="Y2144" s="6"/>
      <c r="Z2144" s="6"/>
    </row>
    <row r="2145" spans="1:26" ht="15.75" customHeight="1" x14ac:dyDescent="0.3">
      <c r="A2145" s="10" t="s">
        <v>398</v>
      </c>
      <c r="B2145" s="10">
        <v>1974</v>
      </c>
      <c r="C2145" s="10" t="s">
        <v>4713</v>
      </c>
      <c r="D2145" s="10">
        <v>6</v>
      </c>
      <c r="E2145" s="10">
        <v>0</v>
      </c>
      <c r="F2145" s="24">
        <v>36182.870000000003</v>
      </c>
      <c r="G2145" s="10" t="s">
        <v>4695</v>
      </c>
      <c r="H2145" s="10" t="s">
        <v>4696</v>
      </c>
      <c r="I2145" s="10" t="s">
        <v>4712</v>
      </c>
      <c r="J2145" s="17">
        <f t="shared" si="16"/>
        <v>27369</v>
      </c>
      <c r="K2145" s="10">
        <f t="shared" ca="1" si="17"/>
        <v>50</v>
      </c>
      <c r="L2145" s="6"/>
      <c r="M2145" s="6"/>
      <c r="N2145" s="6"/>
      <c r="O2145" s="6"/>
      <c r="P2145" s="6"/>
      <c r="Q2145" s="6"/>
      <c r="R2145" s="6"/>
      <c r="S2145" s="6"/>
      <c r="T2145" s="6"/>
      <c r="U2145" s="6"/>
      <c r="V2145" s="6"/>
      <c r="W2145" s="6"/>
      <c r="X2145" s="6"/>
      <c r="Y2145" s="6"/>
      <c r="Z2145" s="6"/>
    </row>
    <row r="2146" spans="1:26" ht="15.75" customHeight="1" x14ac:dyDescent="0.3">
      <c r="A2146" s="10" t="s">
        <v>396</v>
      </c>
      <c r="B2146" s="10">
        <v>1999</v>
      </c>
      <c r="C2146" s="10" t="s">
        <v>4715</v>
      </c>
      <c r="D2146" s="10">
        <v>1</v>
      </c>
      <c r="E2146" s="10">
        <v>3</v>
      </c>
      <c r="F2146" s="24">
        <v>36189.1</v>
      </c>
      <c r="G2146" s="10" t="s">
        <v>4694</v>
      </c>
      <c r="H2146" s="10" t="s">
        <v>4696</v>
      </c>
      <c r="I2146" s="10" t="s">
        <v>4720</v>
      </c>
      <c r="J2146" s="17">
        <f t="shared" si="16"/>
        <v>36434</v>
      </c>
      <c r="K2146" s="10">
        <f t="shared" ca="1" si="17"/>
        <v>26</v>
      </c>
      <c r="L2146" s="6"/>
      <c r="M2146" s="6"/>
      <c r="N2146" s="6"/>
      <c r="O2146" s="6"/>
      <c r="P2146" s="6"/>
      <c r="Q2146" s="6"/>
      <c r="R2146" s="6"/>
      <c r="S2146" s="6"/>
      <c r="T2146" s="6"/>
      <c r="U2146" s="6"/>
      <c r="V2146" s="6"/>
      <c r="W2146" s="6"/>
      <c r="X2146" s="6"/>
      <c r="Y2146" s="6"/>
      <c r="Z2146" s="6"/>
    </row>
    <row r="2147" spans="1:26" ht="15.75" customHeight="1" x14ac:dyDescent="0.3">
      <c r="A2147" s="10" t="s">
        <v>394</v>
      </c>
      <c r="B2147" s="10">
        <v>1993</v>
      </c>
      <c r="C2147" s="10" t="s">
        <v>4713</v>
      </c>
      <c r="D2147" s="10">
        <v>28</v>
      </c>
      <c r="E2147" s="10">
        <v>0</v>
      </c>
      <c r="F2147" s="24">
        <v>36197.699999999997</v>
      </c>
      <c r="G2147" s="10" t="s">
        <v>4694</v>
      </c>
      <c r="H2147" s="10" t="s">
        <v>4696</v>
      </c>
      <c r="I2147" s="10" t="s">
        <v>4716</v>
      </c>
      <c r="J2147" s="17">
        <f t="shared" si="16"/>
        <v>34331</v>
      </c>
      <c r="K2147" s="10">
        <f t="shared" ca="1" si="17"/>
        <v>31</v>
      </c>
      <c r="L2147" s="6"/>
      <c r="M2147" s="6"/>
      <c r="N2147" s="6"/>
      <c r="O2147" s="6"/>
      <c r="P2147" s="6"/>
      <c r="Q2147" s="6"/>
      <c r="R2147" s="6"/>
      <c r="S2147" s="6"/>
      <c r="T2147" s="6"/>
      <c r="U2147" s="6"/>
      <c r="V2147" s="6"/>
      <c r="W2147" s="6"/>
      <c r="X2147" s="6"/>
      <c r="Y2147" s="6"/>
      <c r="Z2147" s="6"/>
    </row>
    <row r="2148" spans="1:26" ht="15.75" customHeight="1" x14ac:dyDescent="0.3">
      <c r="A2148" s="10" t="s">
        <v>392</v>
      </c>
      <c r="B2148" s="10">
        <v>2003</v>
      </c>
      <c r="C2148" s="10" t="s">
        <v>4711</v>
      </c>
      <c r="D2148" s="10">
        <v>5</v>
      </c>
      <c r="E2148" s="10">
        <v>0</v>
      </c>
      <c r="F2148" s="24">
        <v>36219.410000000003</v>
      </c>
      <c r="G2148" s="10" t="s">
        <v>4694</v>
      </c>
      <c r="H2148" s="10" t="s">
        <v>4694</v>
      </c>
      <c r="I2148" s="10" t="s">
        <v>4712</v>
      </c>
      <c r="J2148" s="17">
        <f t="shared" si="16"/>
        <v>37869</v>
      </c>
      <c r="K2148" s="10">
        <f t="shared" ca="1" si="17"/>
        <v>22</v>
      </c>
      <c r="L2148" s="6"/>
      <c r="M2148" s="6"/>
      <c r="N2148" s="6"/>
      <c r="O2148" s="6"/>
      <c r="P2148" s="6"/>
      <c r="Q2148" s="6"/>
      <c r="R2148" s="6"/>
      <c r="S2148" s="6"/>
      <c r="T2148" s="6"/>
      <c r="U2148" s="6"/>
      <c r="V2148" s="6"/>
      <c r="W2148" s="6"/>
      <c r="X2148" s="6"/>
      <c r="Y2148" s="6"/>
      <c r="Z2148" s="6"/>
    </row>
    <row r="2149" spans="1:26" ht="15.75" customHeight="1" x14ac:dyDescent="0.3">
      <c r="A2149" s="10" t="s">
        <v>390</v>
      </c>
      <c r="B2149" s="10">
        <v>2004</v>
      </c>
      <c r="C2149" s="10" t="s">
        <v>4713</v>
      </c>
      <c r="D2149" s="10">
        <v>25</v>
      </c>
      <c r="E2149" s="10">
        <v>0</v>
      </c>
      <c r="F2149" s="24">
        <v>36307.800000000003</v>
      </c>
      <c r="G2149" s="10" t="s">
        <v>4694</v>
      </c>
      <c r="H2149" s="10" t="s">
        <v>4695</v>
      </c>
      <c r="I2149" s="10" t="s">
        <v>4708</v>
      </c>
      <c r="J2149" s="17">
        <f t="shared" si="16"/>
        <v>38346</v>
      </c>
      <c r="K2149" s="10">
        <f t="shared" ca="1" si="17"/>
        <v>20</v>
      </c>
      <c r="L2149" s="6"/>
      <c r="M2149" s="6"/>
      <c r="N2149" s="6"/>
      <c r="O2149" s="6"/>
      <c r="P2149" s="6"/>
      <c r="Q2149" s="6"/>
      <c r="R2149" s="6"/>
      <c r="S2149" s="6"/>
      <c r="T2149" s="6"/>
      <c r="U2149" s="6"/>
      <c r="V2149" s="6"/>
      <c r="W2149" s="6"/>
      <c r="X2149" s="6"/>
      <c r="Y2149" s="6"/>
      <c r="Z2149" s="6"/>
    </row>
    <row r="2150" spans="1:26" ht="15.75" customHeight="1" x14ac:dyDescent="0.3">
      <c r="A2150" s="10" t="s">
        <v>388</v>
      </c>
      <c r="B2150" s="10">
        <v>1992</v>
      </c>
      <c r="C2150" s="10" t="s">
        <v>4710</v>
      </c>
      <c r="D2150" s="10">
        <v>16</v>
      </c>
      <c r="E2150" s="10">
        <v>0</v>
      </c>
      <c r="F2150" s="24">
        <v>36314.050000000003</v>
      </c>
      <c r="G2150" s="10" t="s">
        <v>4695</v>
      </c>
      <c r="H2150" s="10" t="s">
        <v>4695</v>
      </c>
      <c r="I2150" s="10" t="s">
        <v>4716</v>
      </c>
      <c r="J2150" s="17">
        <f t="shared" si="16"/>
        <v>33771</v>
      </c>
      <c r="K2150" s="10">
        <f t="shared" ca="1" si="17"/>
        <v>33</v>
      </c>
      <c r="L2150" s="6"/>
      <c r="M2150" s="6"/>
      <c r="N2150" s="6"/>
      <c r="O2150" s="6"/>
      <c r="P2150" s="6"/>
      <c r="Q2150" s="6"/>
      <c r="R2150" s="6"/>
      <c r="S2150" s="6"/>
      <c r="T2150" s="6"/>
      <c r="U2150" s="6"/>
      <c r="V2150" s="6"/>
      <c r="W2150" s="6"/>
      <c r="X2150" s="6"/>
      <c r="Y2150" s="6"/>
      <c r="Z2150" s="6"/>
    </row>
    <row r="2151" spans="1:26" ht="15.75" customHeight="1" x14ac:dyDescent="0.3">
      <c r="A2151" s="10" t="s">
        <v>386</v>
      </c>
      <c r="B2151" s="10">
        <v>1967</v>
      </c>
      <c r="C2151" s="10" t="s">
        <v>4715</v>
      </c>
      <c r="D2151" s="10">
        <v>18</v>
      </c>
      <c r="E2151" s="10">
        <v>0</v>
      </c>
      <c r="F2151" s="24">
        <v>36332.449999999997</v>
      </c>
      <c r="G2151" s="10" t="s">
        <v>4694</v>
      </c>
      <c r="H2151" s="10" t="s">
        <v>4696</v>
      </c>
      <c r="I2151" s="10" t="s">
        <v>4716</v>
      </c>
      <c r="J2151" s="17">
        <f t="shared" si="16"/>
        <v>24763</v>
      </c>
      <c r="K2151" s="10">
        <f t="shared" ca="1" si="17"/>
        <v>58</v>
      </c>
      <c r="L2151" s="6"/>
      <c r="M2151" s="6"/>
      <c r="N2151" s="6"/>
      <c r="O2151" s="6"/>
      <c r="P2151" s="6"/>
      <c r="Q2151" s="6"/>
      <c r="R2151" s="6"/>
      <c r="S2151" s="6"/>
      <c r="T2151" s="6"/>
      <c r="U2151" s="6"/>
      <c r="V2151" s="6"/>
      <c r="W2151" s="6"/>
      <c r="X2151" s="6"/>
      <c r="Y2151" s="6"/>
      <c r="Z2151" s="6"/>
    </row>
    <row r="2152" spans="1:26" ht="15.75" customHeight="1" x14ac:dyDescent="0.3">
      <c r="A2152" s="10" t="s">
        <v>384</v>
      </c>
      <c r="B2152" s="10">
        <v>1975</v>
      </c>
      <c r="C2152" s="10" t="s">
        <v>4710</v>
      </c>
      <c r="D2152" s="10">
        <v>5</v>
      </c>
      <c r="E2152" s="10">
        <v>1</v>
      </c>
      <c r="F2152" s="24">
        <v>36350.71</v>
      </c>
      <c r="G2152" s="10" t="s">
        <v>4694</v>
      </c>
      <c r="H2152" s="10" t="s">
        <v>4695</v>
      </c>
      <c r="I2152" s="10" t="s">
        <v>4716</v>
      </c>
      <c r="J2152" s="17">
        <f t="shared" si="16"/>
        <v>27550</v>
      </c>
      <c r="K2152" s="10">
        <f t="shared" ca="1" si="17"/>
        <v>50</v>
      </c>
      <c r="L2152" s="6"/>
      <c r="M2152" s="6"/>
      <c r="N2152" s="6"/>
      <c r="O2152" s="6"/>
      <c r="P2152" s="6"/>
      <c r="Q2152" s="6"/>
      <c r="R2152" s="6"/>
      <c r="S2152" s="6"/>
      <c r="T2152" s="6"/>
      <c r="U2152" s="6"/>
      <c r="V2152" s="6"/>
      <c r="W2152" s="6"/>
      <c r="X2152" s="6"/>
      <c r="Y2152" s="6"/>
      <c r="Z2152" s="6"/>
    </row>
    <row r="2153" spans="1:26" ht="15.75" customHeight="1" x14ac:dyDescent="0.3">
      <c r="A2153" s="10" t="s">
        <v>382</v>
      </c>
      <c r="B2153" s="10">
        <v>2003</v>
      </c>
      <c r="C2153" s="10" t="s">
        <v>4713</v>
      </c>
      <c r="D2153" s="10">
        <v>9</v>
      </c>
      <c r="E2153" s="10">
        <v>2</v>
      </c>
      <c r="F2153" s="24">
        <v>36397.58</v>
      </c>
      <c r="G2153" s="10" t="s">
        <v>4695</v>
      </c>
      <c r="H2153" s="10" t="s">
        <v>4696</v>
      </c>
      <c r="I2153" s="10" t="s">
        <v>4716</v>
      </c>
      <c r="J2153" s="17">
        <f t="shared" si="16"/>
        <v>37964</v>
      </c>
      <c r="K2153" s="10">
        <f t="shared" ca="1" si="17"/>
        <v>21</v>
      </c>
      <c r="L2153" s="6"/>
      <c r="M2153" s="6"/>
      <c r="N2153" s="6"/>
      <c r="O2153" s="6"/>
      <c r="P2153" s="6"/>
      <c r="Q2153" s="6"/>
      <c r="R2153" s="6"/>
      <c r="S2153" s="6"/>
      <c r="T2153" s="6"/>
      <c r="U2153" s="6"/>
      <c r="V2153" s="6"/>
      <c r="W2153" s="6"/>
      <c r="X2153" s="6"/>
      <c r="Y2153" s="6"/>
      <c r="Z2153" s="6"/>
    </row>
    <row r="2154" spans="1:26" ht="15.75" customHeight="1" x14ac:dyDescent="0.3">
      <c r="A2154" s="10" t="s">
        <v>380</v>
      </c>
      <c r="B2154" s="10">
        <v>1962</v>
      </c>
      <c r="C2154" s="10" t="s">
        <v>4709</v>
      </c>
      <c r="D2154" s="10">
        <v>19</v>
      </c>
      <c r="E2154" s="10">
        <v>0</v>
      </c>
      <c r="F2154" s="24">
        <v>36445.550000000003</v>
      </c>
      <c r="G2154" s="10" t="s">
        <v>4695</v>
      </c>
      <c r="H2154" s="10" t="s">
        <v>4695</v>
      </c>
      <c r="I2154" s="10" t="s">
        <v>4716</v>
      </c>
      <c r="J2154" s="17">
        <f t="shared" si="16"/>
        <v>22969</v>
      </c>
      <c r="K2154" s="10">
        <f t="shared" ca="1" si="17"/>
        <v>63</v>
      </c>
      <c r="L2154" s="6"/>
      <c r="M2154" s="6"/>
      <c r="N2154" s="6"/>
      <c r="O2154" s="6"/>
      <c r="P2154" s="6"/>
      <c r="Q2154" s="6"/>
      <c r="R2154" s="6"/>
      <c r="S2154" s="6"/>
      <c r="T2154" s="6"/>
      <c r="U2154" s="6"/>
      <c r="V2154" s="6"/>
      <c r="W2154" s="6"/>
      <c r="X2154" s="6"/>
      <c r="Y2154" s="6"/>
      <c r="Z2154" s="6"/>
    </row>
    <row r="2155" spans="1:26" ht="15.75" customHeight="1" x14ac:dyDescent="0.3">
      <c r="A2155" s="10" t="s">
        <v>378</v>
      </c>
      <c r="B2155" s="10">
        <v>1973</v>
      </c>
      <c r="C2155" s="10" t="s">
        <v>4714</v>
      </c>
      <c r="D2155" s="10">
        <v>9</v>
      </c>
      <c r="E2155" s="10">
        <v>0</v>
      </c>
      <c r="F2155" s="24">
        <v>36541.550000000003</v>
      </c>
      <c r="G2155" s="10" t="s">
        <v>4695</v>
      </c>
      <c r="H2155" s="10" t="s">
        <v>4696</v>
      </c>
      <c r="I2155" s="10" t="s">
        <v>4716</v>
      </c>
      <c r="J2155" s="17">
        <f t="shared" si="16"/>
        <v>26885</v>
      </c>
      <c r="K2155" s="10">
        <f t="shared" ca="1" si="17"/>
        <v>52</v>
      </c>
      <c r="L2155" s="6"/>
      <c r="M2155" s="6"/>
      <c r="N2155" s="6"/>
      <c r="O2155" s="6"/>
      <c r="P2155" s="6"/>
      <c r="Q2155" s="6"/>
      <c r="R2155" s="6"/>
      <c r="S2155" s="6"/>
      <c r="T2155" s="6"/>
      <c r="U2155" s="6"/>
      <c r="V2155" s="6"/>
      <c r="W2155" s="6"/>
      <c r="X2155" s="6"/>
      <c r="Y2155" s="6"/>
      <c r="Z2155" s="6"/>
    </row>
    <row r="2156" spans="1:26" ht="15.75" customHeight="1" x14ac:dyDescent="0.3">
      <c r="A2156" s="10" t="s">
        <v>376</v>
      </c>
      <c r="B2156" s="10">
        <v>1992</v>
      </c>
      <c r="C2156" s="10" t="s">
        <v>4715</v>
      </c>
      <c r="D2156" s="10">
        <v>9</v>
      </c>
      <c r="E2156" s="10">
        <v>0</v>
      </c>
      <c r="F2156" s="24">
        <v>36572.800000000003</v>
      </c>
      <c r="G2156" s="10" t="s">
        <v>4694</v>
      </c>
      <c r="H2156" s="10" t="s">
        <v>4695</v>
      </c>
      <c r="I2156" s="10" t="s">
        <v>4716</v>
      </c>
      <c r="J2156" s="17">
        <f t="shared" si="16"/>
        <v>33886</v>
      </c>
      <c r="K2156" s="10">
        <f t="shared" ca="1" si="17"/>
        <v>33</v>
      </c>
      <c r="L2156" s="6"/>
      <c r="M2156" s="6"/>
      <c r="N2156" s="6"/>
      <c r="O2156" s="6"/>
      <c r="P2156" s="6"/>
      <c r="Q2156" s="6"/>
      <c r="R2156" s="6"/>
      <c r="S2156" s="6"/>
      <c r="T2156" s="6"/>
      <c r="U2156" s="6"/>
      <c r="V2156" s="6"/>
      <c r="W2156" s="6"/>
      <c r="X2156" s="6"/>
      <c r="Y2156" s="6"/>
      <c r="Z2156" s="6"/>
    </row>
    <row r="2157" spans="1:26" ht="15.75" customHeight="1" x14ac:dyDescent="0.3">
      <c r="A2157" s="10" t="s">
        <v>374</v>
      </c>
      <c r="B2157" s="10">
        <v>1961</v>
      </c>
      <c r="C2157" s="10" t="s">
        <v>4707</v>
      </c>
      <c r="D2157" s="10">
        <v>29</v>
      </c>
      <c r="E2157" s="10">
        <v>4</v>
      </c>
      <c r="F2157" s="24">
        <v>36580.28</v>
      </c>
      <c r="G2157" s="10" t="s">
        <v>4695</v>
      </c>
      <c r="H2157" s="10" t="s">
        <v>4695</v>
      </c>
      <c r="I2157" s="10" t="s">
        <v>4708</v>
      </c>
      <c r="J2157" s="17">
        <f t="shared" si="16"/>
        <v>22491</v>
      </c>
      <c r="K2157" s="10">
        <f t="shared" ca="1" si="17"/>
        <v>64</v>
      </c>
      <c r="L2157" s="6"/>
      <c r="M2157" s="6"/>
      <c r="N2157" s="6"/>
      <c r="O2157" s="6"/>
      <c r="P2157" s="6"/>
      <c r="Q2157" s="6"/>
      <c r="R2157" s="6"/>
      <c r="S2157" s="6"/>
      <c r="T2157" s="6"/>
      <c r="U2157" s="6"/>
      <c r="V2157" s="6"/>
      <c r="W2157" s="6"/>
      <c r="X2157" s="6"/>
      <c r="Y2157" s="6"/>
      <c r="Z2157" s="6"/>
    </row>
    <row r="2158" spans="1:26" ht="15.75" customHeight="1" x14ac:dyDescent="0.3">
      <c r="A2158" s="10" t="s">
        <v>372</v>
      </c>
      <c r="B2158" s="10">
        <v>1970</v>
      </c>
      <c r="C2158" s="10" t="s">
        <v>4707</v>
      </c>
      <c r="D2158" s="10">
        <v>14</v>
      </c>
      <c r="E2158" s="10">
        <v>0</v>
      </c>
      <c r="F2158" s="24">
        <v>36786.370000000003</v>
      </c>
      <c r="G2158" s="10" t="s">
        <v>4694</v>
      </c>
      <c r="H2158" s="10" t="s">
        <v>4694</v>
      </c>
      <c r="I2158" s="10" t="s">
        <v>4716</v>
      </c>
      <c r="J2158" s="17">
        <f t="shared" si="16"/>
        <v>25763</v>
      </c>
      <c r="K2158" s="10">
        <f t="shared" ca="1" si="17"/>
        <v>55</v>
      </c>
      <c r="L2158" s="6"/>
      <c r="M2158" s="6"/>
      <c r="N2158" s="6"/>
      <c r="O2158" s="6"/>
      <c r="P2158" s="6"/>
      <c r="Q2158" s="6"/>
      <c r="R2158" s="6"/>
      <c r="S2158" s="6"/>
      <c r="T2158" s="6"/>
      <c r="U2158" s="6"/>
      <c r="V2158" s="6"/>
      <c r="W2158" s="6"/>
      <c r="X2158" s="6"/>
      <c r="Y2158" s="6"/>
      <c r="Z2158" s="6"/>
    </row>
    <row r="2159" spans="1:26" ht="15.75" customHeight="1" x14ac:dyDescent="0.3">
      <c r="A2159" s="10" t="s">
        <v>370</v>
      </c>
      <c r="B2159" s="10">
        <v>1965</v>
      </c>
      <c r="C2159" s="10" t="s">
        <v>4713</v>
      </c>
      <c r="D2159" s="10">
        <v>28</v>
      </c>
      <c r="E2159" s="10">
        <v>0</v>
      </c>
      <c r="F2159" s="24">
        <v>36795.29</v>
      </c>
      <c r="G2159" s="10" t="s">
        <v>4695</v>
      </c>
      <c r="H2159" s="10" t="s">
        <v>4694</v>
      </c>
      <c r="I2159" s="10" t="s">
        <v>4716</v>
      </c>
      <c r="J2159" s="17">
        <f t="shared" si="16"/>
        <v>24104</v>
      </c>
      <c r="K2159" s="10">
        <f t="shared" ca="1" si="17"/>
        <v>59</v>
      </c>
      <c r="L2159" s="6"/>
      <c r="M2159" s="6"/>
      <c r="N2159" s="6"/>
      <c r="O2159" s="6"/>
      <c r="P2159" s="6"/>
      <c r="Q2159" s="6"/>
      <c r="R2159" s="6"/>
      <c r="S2159" s="6"/>
      <c r="T2159" s="6"/>
      <c r="U2159" s="6"/>
      <c r="V2159" s="6"/>
      <c r="W2159" s="6"/>
      <c r="X2159" s="6"/>
      <c r="Y2159" s="6"/>
      <c r="Z2159" s="6"/>
    </row>
    <row r="2160" spans="1:26" ht="15.75" customHeight="1" x14ac:dyDescent="0.3">
      <c r="A2160" s="10" t="s">
        <v>4717</v>
      </c>
      <c r="B2160" s="10">
        <v>1992</v>
      </c>
      <c r="C2160" s="10" t="s">
        <v>4715</v>
      </c>
      <c r="D2160" s="10">
        <v>6</v>
      </c>
      <c r="E2160" s="10">
        <v>0</v>
      </c>
      <c r="F2160" s="24">
        <v>36837.47</v>
      </c>
      <c r="G2160" s="10" t="s">
        <v>4694</v>
      </c>
      <c r="H2160" s="10" t="s">
        <v>4695</v>
      </c>
      <c r="I2160" s="10" t="s">
        <v>4716</v>
      </c>
      <c r="J2160" s="17">
        <f t="shared" si="16"/>
        <v>33883</v>
      </c>
      <c r="K2160" s="10">
        <f t="shared" ca="1" si="17"/>
        <v>33</v>
      </c>
      <c r="L2160" s="6"/>
      <c r="M2160" s="6"/>
      <c r="N2160" s="6"/>
      <c r="O2160" s="6"/>
      <c r="P2160" s="6"/>
      <c r="Q2160" s="6"/>
      <c r="R2160" s="6"/>
      <c r="S2160" s="6"/>
      <c r="T2160" s="6"/>
      <c r="U2160" s="6"/>
      <c r="V2160" s="6"/>
      <c r="W2160" s="6"/>
      <c r="X2160" s="6"/>
      <c r="Y2160" s="6"/>
      <c r="Z2160" s="6"/>
    </row>
    <row r="2161" spans="1:26" ht="15.75" customHeight="1" x14ac:dyDescent="0.3">
      <c r="A2161" s="10" t="s">
        <v>368</v>
      </c>
      <c r="B2161" s="10">
        <v>1992</v>
      </c>
      <c r="C2161" s="10" t="s">
        <v>4707</v>
      </c>
      <c r="D2161" s="10">
        <v>4</v>
      </c>
      <c r="E2161" s="10">
        <v>0</v>
      </c>
      <c r="F2161" s="24">
        <v>36837.47</v>
      </c>
      <c r="G2161" s="10" t="s">
        <v>4695</v>
      </c>
      <c r="H2161" s="10" t="s">
        <v>4696</v>
      </c>
      <c r="I2161" s="10" t="s">
        <v>4716</v>
      </c>
      <c r="J2161" s="17">
        <f t="shared" si="16"/>
        <v>33789</v>
      </c>
      <c r="K2161" s="10">
        <f t="shared" ca="1" si="17"/>
        <v>33</v>
      </c>
      <c r="L2161" s="6"/>
      <c r="M2161" s="6"/>
      <c r="N2161" s="6"/>
      <c r="O2161" s="6"/>
      <c r="P2161" s="6"/>
      <c r="Q2161" s="6"/>
      <c r="R2161" s="6"/>
      <c r="S2161" s="6"/>
      <c r="T2161" s="6"/>
      <c r="U2161" s="6"/>
      <c r="V2161" s="6"/>
      <c r="W2161" s="6"/>
      <c r="X2161" s="6"/>
      <c r="Y2161" s="6"/>
      <c r="Z2161" s="6"/>
    </row>
    <row r="2162" spans="1:26" ht="15.75" customHeight="1" x14ac:dyDescent="0.3">
      <c r="A2162" s="10" t="s">
        <v>366</v>
      </c>
      <c r="B2162" s="10">
        <v>1972</v>
      </c>
      <c r="C2162" s="10" t="s">
        <v>4713</v>
      </c>
      <c r="D2162" s="10">
        <v>5</v>
      </c>
      <c r="E2162" s="10">
        <v>0</v>
      </c>
      <c r="F2162" s="24">
        <v>36889.99</v>
      </c>
      <c r="G2162" s="10" t="s">
        <v>4694</v>
      </c>
      <c r="H2162" s="10" t="s">
        <v>4696</v>
      </c>
      <c r="I2162" s="10" t="s">
        <v>4716</v>
      </c>
      <c r="J2162" s="17">
        <f t="shared" si="16"/>
        <v>26638</v>
      </c>
      <c r="K2162" s="10">
        <f t="shared" ca="1" si="17"/>
        <v>52</v>
      </c>
      <c r="L2162" s="6"/>
      <c r="M2162" s="6"/>
      <c r="N2162" s="6"/>
      <c r="O2162" s="6"/>
      <c r="P2162" s="6"/>
      <c r="Q2162" s="6"/>
      <c r="R2162" s="6"/>
      <c r="S2162" s="6"/>
      <c r="T2162" s="6"/>
      <c r="U2162" s="6"/>
      <c r="V2162" s="6"/>
      <c r="W2162" s="6"/>
      <c r="X2162" s="6"/>
      <c r="Y2162" s="6"/>
      <c r="Z2162" s="6"/>
    </row>
    <row r="2163" spans="1:26" ht="15.75" customHeight="1" x14ac:dyDescent="0.3">
      <c r="A2163" s="10" t="s">
        <v>364</v>
      </c>
      <c r="B2163" s="10">
        <v>2003</v>
      </c>
      <c r="C2163" s="10" t="s">
        <v>4710</v>
      </c>
      <c r="D2163" s="10">
        <v>21</v>
      </c>
      <c r="E2163" s="10">
        <v>0</v>
      </c>
      <c r="F2163" s="24">
        <v>36898.730000000003</v>
      </c>
      <c r="G2163" s="10" t="s">
        <v>4695</v>
      </c>
      <c r="H2163" s="10" t="s">
        <v>4694</v>
      </c>
      <c r="I2163" s="10" t="s">
        <v>4712</v>
      </c>
      <c r="J2163" s="17">
        <f t="shared" si="16"/>
        <v>37793</v>
      </c>
      <c r="K2163" s="10">
        <f t="shared" ca="1" si="17"/>
        <v>22</v>
      </c>
      <c r="L2163" s="6"/>
      <c r="M2163" s="6"/>
      <c r="N2163" s="6"/>
      <c r="O2163" s="6"/>
      <c r="P2163" s="6"/>
      <c r="Q2163" s="6"/>
      <c r="R2163" s="6"/>
      <c r="S2163" s="6"/>
      <c r="T2163" s="6"/>
      <c r="U2163" s="6"/>
      <c r="V2163" s="6"/>
      <c r="W2163" s="6"/>
      <c r="X2163" s="6"/>
      <c r="Y2163" s="6"/>
      <c r="Z2163" s="6"/>
    </row>
    <row r="2164" spans="1:26" ht="15.75" customHeight="1" x14ac:dyDescent="0.3">
      <c r="A2164" s="10" t="s">
        <v>362</v>
      </c>
      <c r="B2164" s="10">
        <v>1963</v>
      </c>
      <c r="C2164" s="10" t="s">
        <v>4707</v>
      </c>
      <c r="D2164" s="10">
        <v>24</v>
      </c>
      <c r="E2164" s="10">
        <v>2</v>
      </c>
      <c r="F2164" s="24">
        <v>36910.61</v>
      </c>
      <c r="G2164" s="10" t="s">
        <v>4695</v>
      </c>
      <c r="H2164" s="10" t="s">
        <v>4695</v>
      </c>
      <c r="I2164" s="10" t="s">
        <v>4716</v>
      </c>
      <c r="J2164" s="17">
        <f t="shared" si="16"/>
        <v>23216</v>
      </c>
      <c r="K2164" s="10">
        <f t="shared" ca="1" si="17"/>
        <v>62</v>
      </c>
      <c r="L2164" s="6"/>
      <c r="M2164" s="6"/>
      <c r="N2164" s="6"/>
      <c r="O2164" s="6"/>
      <c r="P2164" s="6"/>
      <c r="Q2164" s="6"/>
      <c r="R2164" s="6"/>
      <c r="S2164" s="6"/>
      <c r="T2164" s="6"/>
      <c r="U2164" s="6"/>
      <c r="V2164" s="6"/>
      <c r="W2164" s="6"/>
      <c r="X2164" s="6"/>
      <c r="Y2164" s="6"/>
      <c r="Z2164" s="6"/>
    </row>
    <row r="2165" spans="1:26" ht="15.75" customHeight="1" x14ac:dyDescent="0.3">
      <c r="A2165" s="10" t="s">
        <v>360</v>
      </c>
      <c r="B2165" s="10">
        <v>1991</v>
      </c>
      <c r="C2165" s="10" t="s">
        <v>4710</v>
      </c>
      <c r="D2165" s="10">
        <v>10</v>
      </c>
      <c r="E2165" s="10">
        <v>3</v>
      </c>
      <c r="F2165" s="24">
        <v>36911.99</v>
      </c>
      <c r="G2165" s="10" t="s">
        <v>4695</v>
      </c>
      <c r="H2165" s="10" t="s">
        <v>4695</v>
      </c>
      <c r="I2165" s="10" t="s">
        <v>4716</v>
      </c>
      <c r="J2165" s="17">
        <f t="shared" si="16"/>
        <v>33399</v>
      </c>
      <c r="K2165" s="10">
        <f t="shared" ca="1" si="17"/>
        <v>34</v>
      </c>
      <c r="L2165" s="6"/>
      <c r="M2165" s="6"/>
      <c r="N2165" s="6"/>
      <c r="O2165" s="6"/>
      <c r="P2165" s="6"/>
      <c r="Q2165" s="6"/>
      <c r="R2165" s="6"/>
      <c r="S2165" s="6"/>
      <c r="T2165" s="6"/>
      <c r="U2165" s="6"/>
      <c r="V2165" s="6"/>
      <c r="W2165" s="6"/>
      <c r="X2165" s="6"/>
      <c r="Y2165" s="6"/>
      <c r="Z2165" s="6"/>
    </row>
    <row r="2166" spans="1:26" ht="15.75" customHeight="1" x14ac:dyDescent="0.3">
      <c r="A2166" s="10" t="s">
        <v>358</v>
      </c>
      <c r="B2166" s="10">
        <v>1968</v>
      </c>
      <c r="C2166" s="10" t="s">
        <v>4715</v>
      </c>
      <c r="D2166" s="10">
        <v>22</v>
      </c>
      <c r="E2166" s="10">
        <v>0</v>
      </c>
      <c r="F2166" s="24">
        <v>36922.61</v>
      </c>
      <c r="G2166" s="10" t="s">
        <v>4695</v>
      </c>
      <c r="H2166" s="10" t="s">
        <v>4694</v>
      </c>
      <c r="I2166" s="10" t="s">
        <v>4716</v>
      </c>
      <c r="J2166" s="17">
        <f t="shared" si="16"/>
        <v>25133</v>
      </c>
      <c r="K2166" s="10">
        <f t="shared" ca="1" si="17"/>
        <v>57</v>
      </c>
      <c r="L2166" s="6"/>
      <c r="M2166" s="6"/>
      <c r="N2166" s="6"/>
      <c r="O2166" s="6"/>
      <c r="P2166" s="6"/>
      <c r="Q2166" s="6"/>
      <c r="R2166" s="6"/>
      <c r="S2166" s="6"/>
      <c r="T2166" s="6"/>
      <c r="U2166" s="6"/>
      <c r="V2166" s="6"/>
      <c r="W2166" s="6"/>
      <c r="X2166" s="6"/>
      <c r="Y2166" s="6"/>
      <c r="Z2166" s="6"/>
    </row>
    <row r="2167" spans="1:26" ht="15.75" customHeight="1" x14ac:dyDescent="0.3">
      <c r="A2167" s="10" t="s">
        <v>356</v>
      </c>
      <c r="B2167" s="10">
        <v>1977</v>
      </c>
      <c r="C2167" s="10" t="s">
        <v>4714</v>
      </c>
      <c r="D2167" s="10">
        <v>13</v>
      </c>
      <c r="E2167" s="10">
        <v>2</v>
      </c>
      <c r="F2167" s="24">
        <v>36935.64</v>
      </c>
      <c r="G2167" s="10" t="s">
        <v>4695</v>
      </c>
      <c r="H2167" s="10" t="s">
        <v>4694</v>
      </c>
      <c r="I2167" s="10" t="s">
        <v>4716</v>
      </c>
      <c r="J2167" s="17">
        <f t="shared" si="16"/>
        <v>28350</v>
      </c>
      <c r="K2167" s="10">
        <f t="shared" ca="1" si="17"/>
        <v>48</v>
      </c>
      <c r="L2167" s="6"/>
      <c r="M2167" s="6"/>
      <c r="N2167" s="6"/>
      <c r="O2167" s="6"/>
      <c r="P2167" s="6"/>
      <c r="Q2167" s="6"/>
      <c r="R2167" s="6"/>
      <c r="S2167" s="6"/>
      <c r="T2167" s="6"/>
      <c r="U2167" s="6"/>
      <c r="V2167" s="6"/>
      <c r="W2167" s="6"/>
      <c r="X2167" s="6"/>
      <c r="Y2167" s="6"/>
      <c r="Z2167" s="6"/>
    </row>
    <row r="2168" spans="1:26" ht="15.75" customHeight="1" x14ac:dyDescent="0.3">
      <c r="A2168" s="10" t="s">
        <v>354</v>
      </c>
      <c r="B2168" s="10">
        <v>1992</v>
      </c>
      <c r="C2168" s="10" t="s">
        <v>4714</v>
      </c>
      <c r="D2168" s="10">
        <v>25</v>
      </c>
      <c r="E2168" s="10">
        <v>0</v>
      </c>
      <c r="F2168" s="24">
        <v>36950.26</v>
      </c>
      <c r="G2168" s="10" t="s">
        <v>4694</v>
      </c>
      <c r="H2168" s="10" t="s">
        <v>4694</v>
      </c>
      <c r="I2168" s="10" t="s">
        <v>4708</v>
      </c>
      <c r="J2168" s="17">
        <f t="shared" si="16"/>
        <v>33841</v>
      </c>
      <c r="K2168" s="10">
        <f t="shared" ca="1" si="17"/>
        <v>33</v>
      </c>
      <c r="L2168" s="6"/>
      <c r="M2168" s="6"/>
      <c r="N2168" s="6"/>
      <c r="O2168" s="6"/>
      <c r="P2168" s="6"/>
      <c r="Q2168" s="6"/>
      <c r="R2168" s="6"/>
      <c r="S2168" s="6"/>
      <c r="T2168" s="6"/>
      <c r="U2168" s="6"/>
      <c r="V2168" s="6"/>
      <c r="W2168" s="6"/>
      <c r="X2168" s="6"/>
      <c r="Y2168" s="6"/>
      <c r="Z2168" s="6"/>
    </row>
    <row r="2169" spans="1:26" ht="15.75" customHeight="1" x14ac:dyDescent="0.3">
      <c r="A2169" s="10" t="s">
        <v>352</v>
      </c>
      <c r="B2169" s="10">
        <v>1992</v>
      </c>
      <c r="C2169" s="10" t="s">
        <v>4711</v>
      </c>
      <c r="D2169" s="10">
        <v>13</v>
      </c>
      <c r="E2169" s="10">
        <v>0</v>
      </c>
      <c r="F2169" s="24">
        <v>36976.449999999997</v>
      </c>
      <c r="G2169" s="10" t="s">
        <v>4695</v>
      </c>
      <c r="H2169" s="10" t="s">
        <v>4696</v>
      </c>
      <c r="I2169" s="10" t="s">
        <v>4716</v>
      </c>
      <c r="J2169" s="17">
        <f t="shared" si="16"/>
        <v>33860</v>
      </c>
      <c r="K2169" s="10">
        <f t="shared" ca="1" si="17"/>
        <v>33</v>
      </c>
      <c r="L2169" s="6"/>
      <c r="M2169" s="6"/>
      <c r="N2169" s="6"/>
      <c r="O2169" s="6"/>
      <c r="P2169" s="6"/>
      <c r="Q2169" s="6"/>
      <c r="R2169" s="6"/>
      <c r="S2169" s="6"/>
      <c r="T2169" s="6"/>
      <c r="U2169" s="6"/>
      <c r="V2169" s="6"/>
      <c r="W2169" s="6"/>
      <c r="X2169" s="6"/>
      <c r="Y2169" s="6"/>
      <c r="Z2169" s="6"/>
    </row>
    <row r="2170" spans="1:26" ht="15.75" customHeight="1" x14ac:dyDescent="0.3">
      <c r="A2170" s="10" t="s">
        <v>350</v>
      </c>
      <c r="B2170" s="10">
        <v>1991</v>
      </c>
      <c r="C2170" s="10" t="s">
        <v>4709</v>
      </c>
      <c r="D2170" s="10">
        <v>1</v>
      </c>
      <c r="E2170" s="10">
        <v>3</v>
      </c>
      <c r="F2170" s="24">
        <v>37040.879999999997</v>
      </c>
      <c r="G2170" s="10" t="s">
        <v>4695</v>
      </c>
      <c r="H2170" s="10" t="s">
        <v>4695</v>
      </c>
      <c r="I2170" s="10" t="s">
        <v>4716</v>
      </c>
      <c r="J2170" s="17">
        <f t="shared" si="16"/>
        <v>33543</v>
      </c>
      <c r="K2170" s="10">
        <f t="shared" ca="1" si="17"/>
        <v>34</v>
      </c>
      <c r="L2170" s="6"/>
      <c r="M2170" s="6"/>
      <c r="N2170" s="6"/>
      <c r="O2170" s="6"/>
      <c r="P2170" s="6"/>
      <c r="Q2170" s="6"/>
      <c r="R2170" s="6"/>
      <c r="S2170" s="6"/>
      <c r="T2170" s="6"/>
      <c r="U2170" s="6"/>
      <c r="V2170" s="6"/>
      <c r="W2170" s="6"/>
      <c r="X2170" s="6"/>
      <c r="Y2170" s="6"/>
      <c r="Z2170" s="6"/>
    </row>
    <row r="2171" spans="1:26" ht="15.75" customHeight="1" x14ac:dyDescent="0.3">
      <c r="A2171" s="10" t="s">
        <v>348</v>
      </c>
      <c r="B2171" s="10">
        <v>1988</v>
      </c>
      <c r="C2171" s="10" t="s">
        <v>4713</v>
      </c>
      <c r="D2171" s="10">
        <v>17</v>
      </c>
      <c r="E2171" s="10">
        <v>3</v>
      </c>
      <c r="F2171" s="24">
        <v>37076.370000000003</v>
      </c>
      <c r="G2171" s="10" t="s">
        <v>4695</v>
      </c>
      <c r="H2171" s="10" t="s">
        <v>4694</v>
      </c>
      <c r="I2171" s="10" t="s">
        <v>4716</v>
      </c>
      <c r="J2171" s="17">
        <f t="shared" si="16"/>
        <v>32494</v>
      </c>
      <c r="K2171" s="10">
        <f t="shared" ca="1" si="17"/>
        <v>36</v>
      </c>
      <c r="L2171" s="6"/>
      <c r="M2171" s="6"/>
      <c r="N2171" s="6"/>
      <c r="O2171" s="6"/>
      <c r="P2171" s="6"/>
      <c r="Q2171" s="6"/>
      <c r="R2171" s="6"/>
      <c r="S2171" s="6"/>
      <c r="T2171" s="6"/>
      <c r="U2171" s="6"/>
      <c r="V2171" s="6"/>
      <c r="W2171" s="6"/>
      <c r="X2171" s="6"/>
      <c r="Y2171" s="6"/>
      <c r="Z2171" s="6"/>
    </row>
    <row r="2172" spans="1:26" ht="15.75" customHeight="1" x14ac:dyDescent="0.3">
      <c r="A2172" s="10" t="s">
        <v>346</v>
      </c>
      <c r="B2172" s="10">
        <v>1989</v>
      </c>
      <c r="C2172" s="10" t="s">
        <v>4710</v>
      </c>
      <c r="D2172" s="10">
        <v>10</v>
      </c>
      <c r="E2172" s="10">
        <v>0</v>
      </c>
      <c r="F2172" s="24">
        <v>37079.370000000003</v>
      </c>
      <c r="G2172" s="10" t="s">
        <v>4695</v>
      </c>
      <c r="H2172" s="10" t="s">
        <v>4696</v>
      </c>
      <c r="I2172" s="10" t="s">
        <v>4716</v>
      </c>
      <c r="J2172" s="17">
        <f t="shared" si="16"/>
        <v>32669</v>
      </c>
      <c r="K2172" s="10">
        <f t="shared" ca="1" si="17"/>
        <v>36</v>
      </c>
      <c r="L2172" s="6"/>
      <c r="M2172" s="6"/>
      <c r="N2172" s="6"/>
      <c r="O2172" s="6"/>
      <c r="P2172" s="6"/>
      <c r="Q2172" s="6"/>
      <c r="R2172" s="6"/>
      <c r="S2172" s="6"/>
      <c r="T2172" s="6"/>
      <c r="U2172" s="6"/>
      <c r="V2172" s="6"/>
      <c r="W2172" s="6"/>
      <c r="X2172" s="6"/>
      <c r="Y2172" s="6"/>
      <c r="Z2172" s="6"/>
    </row>
    <row r="2173" spans="1:26" ht="15.75" customHeight="1" x14ac:dyDescent="0.3">
      <c r="A2173" s="10" t="s">
        <v>344</v>
      </c>
      <c r="B2173" s="10">
        <v>1995</v>
      </c>
      <c r="C2173" s="10" t="s">
        <v>4715</v>
      </c>
      <c r="D2173" s="10">
        <v>30</v>
      </c>
      <c r="E2173" s="10">
        <v>0</v>
      </c>
      <c r="F2173" s="24">
        <v>37133.9</v>
      </c>
      <c r="G2173" s="10" t="s">
        <v>4695</v>
      </c>
      <c r="H2173" s="10" t="s">
        <v>4695</v>
      </c>
      <c r="I2173" s="10" t="s">
        <v>4708</v>
      </c>
      <c r="J2173" s="17">
        <f t="shared" si="16"/>
        <v>35002</v>
      </c>
      <c r="K2173" s="10">
        <f t="shared" ca="1" si="17"/>
        <v>30</v>
      </c>
      <c r="L2173" s="6"/>
      <c r="M2173" s="6"/>
      <c r="N2173" s="6"/>
      <c r="O2173" s="6"/>
      <c r="P2173" s="6"/>
      <c r="Q2173" s="6"/>
      <c r="R2173" s="6"/>
      <c r="S2173" s="6"/>
      <c r="T2173" s="6"/>
      <c r="U2173" s="6"/>
      <c r="V2173" s="6"/>
      <c r="W2173" s="6"/>
      <c r="X2173" s="6"/>
      <c r="Y2173" s="6"/>
      <c r="Z2173" s="6"/>
    </row>
    <row r="2174" spans="1:26" ht="15.75" customHeight="1" x14ac:dyDescent="0.3">
      <c r="A2174" s="10" t="s">
        <v>342</v>
      </c>
      <c r="B2174" s="10">
        <v>2000</v>
      </c>
      <c r="C2174" s="10" t="s">
        <v>4711</v>
      </c>
      <c r="D2174" s="10">
        <v>5</v>
      </c>
      <c r="E2174" s="10">
        <v>1</v>
      </c>
      <c r="F2174" s="24">
        <v>37165.160000000003</v>
      </c>
      <c r="G2174" s="10" t="s">
        <v>4694</v>
      </c>
      <c r="H2174" s="10" t="s">
        <v>4696</v>
      </c>
      <c r="I2174" s="10" t="s">
        <v>4717</v>
      </c>
      <c r="J2174" s="17">
        <f t="shared" si="16"/>
        <v>36774</v>
      </c>
      <c r="K2174" s="10">
        <f t="shared" ca="1" si="17"/>
        <v>25</v>
      </c>
      <c r="L2174" s="6"/>
      <c r="M2174" s="6"/>
      <c r="N2174" s="6"/>
      <c r="O2174" s="6"/>
      <c r="P2174" s="6"/>
      <c r="Q2174" s="6"/>
      <c r="R2174" s="6"/>
      <c r="S2174" s="6"/>
      <c r="T2174" s="6"/>
      <c r="U2174" s="6"/>
      <c r="V2174" s="6"/>
      <c r="W2174" s="6"/>
      <c r="X2174" s="6"/>
      <c r="Y2174" s="6"/>
      <c r="Z2174" s="6"/>
    </row>
    <row r="2175" spans="1:26" ht="15.75" customHeight="1" x14ac:dyDescent="0.3">
      <c r="A2175" s="10" t="s">
        <v>340</v>
      </c>
      <c r="B2175" s="10">
        <v>1990</v>
      </c>
      <c r="C2175" s="10" t="s">
        <v>4715</v>
      </c>
      <c r="D2175" s="10">
        <v>17</v>
      </c>
      <c r="E2175" s="10">
        <v>3</v>
      </c>
      <c r="F2175" s="24">
        <v>37251.22</v>
      </c>
      <c r="G2175" s="10" t="s">
        <v>4695</v>
      </c>
      <c r="H2175" s="10" t="s">
        <v>4695</v>
      </c>
      <c r="I2175" s="10" t="s">
        <v>4716</v>
      </c>
      <c r="J2175" s="17">
        <f t="shared" si="16"/>
        <v>33163</v>
      </c>
      <c r="K2175" s="10">
        <f t="shared" ca="1" si="17"/>
        <v>35</v>
      </c>
      <c r="L2175" s="6"/>
      <c r="M2175" s="6"/>
      <c r="N2175" s="6"/>
      <c r="O2175" s="6"/>
      <c r="P2175" s="6"/>
      <c r="Q2175" s="6"/>
      <c r="R2175" s="6"/>
      <c r="S2175" s="6"/>
      <c r="T2175" s="6"/>
      <c r="U2175" s="6"/>
      <c r="V2175" s="6"/>
      <c r="W2175" s="6"/>
      <c r="X2175" s="6"/>
      <c r="Y2175" s="6"/>
      <c r="Z2175" s="6"/>
    </row>
    <row r="2176" spans="1:26" ht="15.75" customHeight="1" x14ac:dyDescent="0.3">
      <c r="A2176" s="10" t="s">
        <v>338</v>
      </c>
      <c r="B2176" s="10">
        <v>1985</v>
      </c>
      <c r="C2176" s="10" t="s">
        <v>4709</v>
      </c>
      <c r="D2176" s="10">
        <v>17</v>
      </c>
      <c r="E2176" s="10">
        <v>0</v>
      </c>
      <c r="F2176" s="24">
        <v>37270.15</v>
      </c>
      <c r="G2176" s="10" t="s">
        <v>4695</v>
      </c>
      <c r="H2176" s="10" t="s">
        <v>4694</v>
      </c>
      <c r="I2176" s="10" t="s">
        <v>4723</v>
      </c>
      <c r="J2176" s="17">
        <f t="shared" si="16"/>
        <v>31368</v>
      </c>
      <c r="K2176" s="10">
        <f t="shared" ca="1" si="17"/>
        <v>40</v>
      </c>
      <c r="L2176" s="6"/>
      <c r="M2176" s="6"/>
      <c r="N2176" s="6"/>
      <c r="O2176" s="6"/>
      <c r="P2176" s="6"/>
      <c r="Q2176" s="6"/>
      <c r="R2176" s="6"/>
      <c r="S2176" s="6"/>
      <c r="T2176" s="6"/>
      <c r="U2176" s="6"/>
      <c r="V2176" s="6"/>
      <c r="W2176" s="6"/>
      <c r="X2176" s="6"/>
      <c r="Y2176" s="6"/>
      <c r="Z2176" s="6"/>
    </row>
    <row r="2177" spans="1:26" ht="15.75" customHeight="1" x14ac:dyDescent="0.3">
      <c r="A2177" s="10" t="s">
        <v>336</v>
      </c>
      <c r="B2177" s="10">
        <v>1975</v>
      </c>
      <c r="C2177" s="10" t="s">
        <v>4709</v>
      </c>
      <c r="D2177" s="10">
        <v>9</v>
      </c>
      <c r="E2177" s="10">
        <v>1</v>
      </c>
      <c r="F2177" s="24">
        <v>37272.339999999997</v>
      </c>
      <c r="G2177" s="10" t="s">
        <v>4695</v>
      </c>
      <c r="H2177" s="10" t="s">
        <v>4696</v>
      </c>
      <c r="I2177" s="10" t="s">
        <v>4716</v>
      </c>
      <c r="J2177" s="17">
        <f t="shared" si="16"/>
        <v>27707</v>
      </c>
      <c r="K2177" s="10">
        <f t="shared" ca="1" si="17"/>
        <v>50</v>
      </c>
      <c r="L2177" s="6"/>
      <c r="M2177" s="6"/>
      <c r="N2177" s="6"/>
      <c r="O2177" s="6"/>
      <c r="P2177" s="6"/>
      <c r="Q2177" s="6"/>
      <c r="R2177" s="6"/>
      <c r="S2177" s="6"/>
      <c r="T2177" s="6"/>
      <c r="U2177" s="6"/>
      <c r="V2177" s="6"/>
      <c r="W2177" s="6"/>
      <c r="X2177" s="6"/>
      <c r="Y2177" s="6"/>
      <c r="Z2177" s="6"/>
    </row>
    <row r="2178" spans="1:26" ht="15.75" customHeight="1" x14ac:dyDescent="0.3">
      <c r="A2178" s="10" t="s">
        <v>334</v>
      </c>
      <c r="B2178" s="10">
        <v>1969</v>
      </c>
      <c r="C2178" s="10" t="s">
        <v>4715</v>
      </c>
      <c r="D2178" s="10">
        <v>30</v>
      </c>
      <c r="E2178" s="10">
        <v>0</v>
      </c>
      <c r="F2178" s="24">
        <v>37277.269999999997</v>
      </c>
      <c r="G2178" s="10" t="s">
        <v>4694</v>
      </c>
      <c r="H2178" s="10" t="s">
        <v>4696</v>
      </c>
      <c r="I2178" s="10" t="s">
        <v>4716</v>
      </c>
      <c r="J2178" s="17">
        <f t="shared" si="16"/>
        <v>25506</v>
      </c>
      <c r="K2178" s="10">
        <f t="shared" ca="1" si="17"/>
        <v>56</v>
      </c>
      <c r="L2178" s="6"/>
      <c r="M2178" s="6"/>
      <c r="N2178" s="6"/>
      <c r="O2178" s="6"/>
      <c r="P2178" s="6"/>
      <c r="Q2178" s="6"/>
      <c r="R2178" s="6"/>
      <c r="S2178" s="6"/>
      <c r="T2178" s="6"/>
      <c r="U2178" s="6"/>
      <c r="V2178" s="6"/>
      <c r="W2178" s="6"/>
      <c r="X2178" s="6"/>
      <c r="Y2178" s="6"/>
      <c r="Z2178" s="6"/>
    </row>
    <row r="2179" spans="1:26" ht="15.75" customHeight="1" x14ac:dyDescent="0.3">
      <c r="A2179" s="10" t="s">
        <v>332</v>
      </c>
      <c r="B2179" s="10">
        <v>1979</v>
      </c>
      <c r="C2179" s="10" t="s">
        <v>4714</v>
      </c>
      <c r="D2179" s="10">
        <v>3</v>
      </c>
      <c r="E2179" s="10">
        <v>2</v>
      </c>
      <c r="F2179" s="24">
        <v>37425.94</v>
      </c>
      <c r="G2179" s="10" t="s">
        <v>4695</v>
      </c>
      <c r="H2179" s="10" t="s">
        <v>4694</v>
      </c>
      <c r="I2179" s="10" t="s">
        <v>4716</v>
      </c>
      <c r="J2179" s="17">
        <f t="shared" si="16"/>
        <v>29070</v>
      </c>
      <c r="K2179" s="10">
        <f t="shared" ca="1" si="17"/>
        <v>46</v>
      </c>
      <c r="L2179" s="6"/>
      <c r="M2179" s="6"/>
      <c r="N2179" s="6"/>
      <c r="O2179" s="6"/>
      <c r="P2179" s="6"/>
      <c r="Q2179" s="6"/>
      <c r="R2179" s="6"/>
      <c r="S2179" s="6"/>
      <c r="T2179" s="6"/>
      <c r="U2179" s="6"/>
      <c r="V2179" s="6"/>
      <c r="W2179" s="6"/>
      <c r="X2179" s="6"/>
      <c r="Y2179" s="6"/>
      <c r="Z2179" s="6"/>
    </row>
    <row r="2180" spans="1:26" ht="15.75" customHeight="1" x14ac:dyDescent="0.3">
      <c r="A2180" s="10" t="s">
        <v>330</v>
      </c>
      <c r="B2180" s="10">
        <v>2002</v>
      </c>
      <c r="C2180" s="10" t="s">
        <v>4711</v>
      </c>
      <c r="D2180" s="10">
        <v>27</v>
      </c>
      <c r="E2180" s="10">
        <v>3</v>
      </c>
      <c r="F2180" s="24">
        <v>37465.339999999997</v>
      </c>
      <c r="G2180" s="10" t="s">
        <v>4694</v>
      </c>
      <c r="H2180" s="10" t="s">
        <v>4695</v>
      </c>
      <c r="I2180" s="10" t="s">
        <v>4712</v>
      </c>
      <c r="J2180" s="17">
        <f t="shared" si="16"/>
        <v>37526</v>
      </c>
      <c r="K2180" s="10">
        <f t="shared" ca="1" si="17"/>
        <v>23</v>
      </c>
      <c r="L2180" s="6"/>
      <c r="M2180" s="6"/>
      <c r="N2180" s="6"/>
      <c r="O2180" s="6"/>
      <c r="P2180" s="6"/>
      <c r="Q2180" s="6"/>
      <c r="R2180" s="6"/>
      <c r="S2180" s="6"/>
      <c r="T2180" s="6"/>
      <c r="U2180" s="6"/>
      <c r="V2180" s="6"/>
      <c r="W2180" s="6"/>
      <c r="X2180" s="6"/>
      <c r="Y2180" s="6"/>
      <c r="Z2180" s="6"/>
    </row>
    <row r="2181" spans="1:26" ht="15.75" customHeight="1" x14ac:dyDescent="0.3">
      <c r="A2181" s="10" t="s">
        <v>328</v>
      </c>
      <c r="B2181" s="10">
        <v>2000</v>
      </c>
      <c r="C2181" s="10" t="s">
        <v>4715</v>
      </c>
      <c r="D2181" s="10">
        <v>12</v>
      </c>
      <c r="E2181" s="10">
        <v>2</v>
      </c>
      <c r="F2181" s="24">
        <v>37484.449999999997</v>
      </c>
      <c r="G2181" s="10" t="s">
        <v>4694</v>
      </c>
      <c r="H2181" s="10" t="s">
        <v>4694</v>
      </c>
      <c r="I2181" s="10" t="s">
        <v>4708</v>
      </c>
      <c r="J2181" s="17">
        <f t="shared" si="16"/>
        <v>36811</v>
      </c>
      <c r="K2181" s="10">
        <f t="shared" ca="1" si="17"/>
        <v>25</v>
      </c>
      <c r="L2181" s="6"/>
      <c r="M2181" s="6"/>
      <c r="N2181" s="6"/>
      <c r="O2181" s="6"/>
      <c r="P2181" s="6"/>
      <c r="Q2181" s="6"/>
      <c r="R2181" s="6"/>
      <c r="S2181" s="6"/>
      <c r="T2181" s="6"/>
      <c r="U2181" s="6"/>
      <c r="V2181" s="6"/>
      <c r="W2181" s="6"/>
      <c r="X2181" s="6"/>
      <c r="Y2181" s="6"/>
      <c r="Z2181" s="6"/>
    </row>
    <row r="2182" spans="1:26" ht="15.75" customHeight="1" x14ac:dyDescent="0.3">
      <c r="A2182" s="10" t="s">
        <v>326</v>
      </c>
      <c r="B2182" s="10">
        <v>1990</v>
      </c>
      <c r="C2182" s="10" t="s">
        <v>4709</v>
      </c>
      <c r="D2182" s="10">
        <v>16</v>
      </c>
      <c r="E2182" s="10">
        <v>1</v>
      </c>
      <c r="F2182" s="24">
        <v>37607.53</v>
      </c>
      <c r="G2182" s="10" t="s">
        <v>4694</v>
      </c>
      <c r="H2182" s="10" t="s">
        <v>4695</v>
      </c>
      <c r="I2182" s="10" t="s">
        <v>4719</v>
      </c>
      <c r="J2182" s="17">
        <f t="shared" si="16"/>
        <v>33193</v>
      </c>
      <c r="K2182" s="10">
        <f t="shared" ca="1" si="17"/>
        <v>35</v>
      </c>
      <c r="L2182" s="6"/>
      <c r="M2182" s="6"/>
      <c r="N2182" s="6"/>
      <c r="O2182" s="6"/>
      <c r="P2182" s="6"/>
      <c r="Q2182" s="6"/>
      <c r="R2182" s="6"/>
      <c r="S2182" s="6"/>
      <c r="T2182" s="6"/>
      <c r="U2182" s="6"/>
      <c r="V2182" s="6"/>
      <c r="W2182" s="6"/>
      <c r="X2182" s="6"/>
      <c r="Y2182" s="6"/>
      <c r="Z2182" s="6"/>
    </row>
    <row r="2183" spans="1:26" ht="15.75" customHeight="1" x14ac:dyDescent="0.3">
      <c r="A2183" s="10" t="s">
        <v>324</v>
      </c>
      <c r="B2183" s="10">
        <v>1982</v>
      </c>
      <c r="C2183" s="10" t="s">
        <v>4710</v>
      </c>
      <c r="D2183" s="10">
        <v>20</v>
      </c>
      <c r="E2183" s="10">
        <v>3</v>
      </c>
      <c r="F2183" s="24">
        <v>37650.74</v>
      </c>
      <c r="G2183" s="10" t="s">
        <v>4695</v>
      </c>
      <c r="H2183" s="10" t="s">
        <v>4695</v>
      </c>
      <c r="I2183" s="10" t="s">
        <v>4712</v>
      </c>
      <c r="J2183" s="17">
        <f t="shared" si="16"/>
        <v>30122</v>
      </c>
      <c r="K2183" s="10">
        <f t="shared" ca="1" si="17"/>
        <v>43</v>
      </c>
      <c r="L2183" s="6"/>
      <c r="M2183" s="6"/>
      <c r="N2183" s="6"/>
      <c r="O2183" s="6"/>
      <c r="P2183" s="6"/>
      <c r="Q2183" s="6"/>
      <c r="R2183" s="6"/>
      <c r="S2183" s="6"/>
      <c r="T2183" s="6"/>
      <c r="U2183" s="6"/>
      <c r="V2183" s="6"/>
      <c r="W2183" s="6"/>
      <c r="X2183" s="6"/>
      <c r="Y2183" s="6"/>
      <c r="Z2183" s="6"/>
    </row>
    <row r="2184" spans="1:26" ht="15.75" customHeight="1" x14ac:dyDescent="0.3">
      <c r="A2184" s="10" t="s">
        <v>322</v>
      </c>
      <c r="B2184" s="10">
        <v>1970</v>
      </c>
      <c r="C2184" s="10" t="s">
        <v>4715</v>
      </c>
      <c r="D2184" s="10">
        <v>28</v>
      </c>
      <c r="E2184" s="10">
        <v>0</v>
      </c>
      <c r="F2184" s="24">
        <v>37675.06</v>
      </c>
      <c r="G2184" s="10" t="s">
        <v>4695</v>
      </c>
      <c r="H2184" s="10" t="s">
        <v>4696</v>
      </c>
      <c r="I2184" s="10" t="s">
        <v>4716</v>
      </c>
      <c r="J2184" s="17">
        <f t="shared" si="16"/>
        <v>25869</v>
      </c>
      <c r="K2184" s="10">
        <f t="shared" ca="1" si="17"/>
        <v>55</v>
      </c>
      <c r="L2184" s="6"/>
      <c r="M2184" s="6"/>
      <c r="N2184" s="6"/>
      <c r="O2184" s="6"/>
      <c r="P2184" s="6"/>
      <c r="Q2184" s="6"/>
      <c r="R2184" s="6"/>
      <c r="S2184" s="6"/>
      <c r="T2184" s="6"/>
      <c r="U2184" s="6"/>
      <c r="V2184" s="6"/>
      <c r="W2184" s="6"/>
      <c r="X2184" s="6"/>
      <c r="Y2184" s="6"/>
      <c r="Z2184" s="6"/>
    </row>
    <row r="2185" spans="1:26" ht="15.75" customHeight="1" x14ac:dyDescent="0.3">
      <c r="A2185" s="10" t="s">
        <v>320</v>
      </c>
      <c r="B2185" s="10">
        <v>1988</v>
      </c>
      <c r="C2185" s="10" t="s">
        <v>4715</v>
      </c>
      <c r="D2185" s="10">
        <v>10</v>
      </c>
      <c r="E2185" s="10">
        <v>1</v>
      </c>
      <c r="F2185" s="24">
        <v>37701.879999999997</v>
      </c>
      <c r="G2185" s="10" t="s">
        <v>4695</v>
      </c>
      <c r="H2185" s="10" t="s">
        <v>4696</v>
      </c>
      <c r="I2185" s="10" t="s">
        <v>4724</v>
      </c>
      <c r="J2185" s="17">
        <f t="shared" si="16"/>
        <v>32426</v>
      </c>
      <c r="K2185" s="10">
        <f t="shared" ca="1" si="17"/>
        <v>37</v>
      </c>
      <c r="L2185" s="6"/>
      <c r="M2185" s="6"/>
      <c r="N2185" s="6"/>
      <c r="O2185" s="6"/>
      <c r="P2185" s="6"/>
      <c r="Q2185" s="6"/>
      <c r="R2185" s="6"/>
      <c r="S2185" s="6"/>
      <c r="T2185" s="6"/>
      <c r="U2185" s="6"/>
      <c r="V2185" s="6"/>
      <c r="W2185" s="6"/>
      <c r="X2185" s="6"/>
      <c r="Y2185" s="6"/>
      <c r="Z2185" s="6"/>
    </row>
    <row r="2186" spans="1:26" ht="15.75" customHeight="1" x14ac:dyDescent="0.3">
      <c r="A2186" s="10" t="s">
        <v>318</v>
      </c>
      <c r="B2186" s="10">
        <v>1976</v>
      </c>
      <c r="C2186" s="10" t="s">
        <v>4711</v>
      </c>
      <c r="D2186" s="10">
        <v>18</v>
      </c>
      <c r="E2186" s="10">
        <v>2</v>
      </c>
      <c r="F2186" s="24">
        <v>37735.199999999997</v>
      </c>
      <c r="G2186" s="10" t="s">
        <v>4695</v>
      </c>
      <c r="H2186" s="10" t="s">
        <v>4695</v>
      </c>
      <c r="I2186" s="10" t="s">
        <v>4716</v>
      </c>
      <c r="J2186" s="17">
        <f t="shared" si="16"/>
        <v>28021</v>
      </c>
      <c r="K2186" s="10">
        <f t="shared" ca="1" si="17"/>
        <v>49</v>
      </c>
      <c r="L2186" s="6"/>
      <c r="M2186" s="6"/>
      <c r="N2186" s="6"/>
      <c r="O2186" s="6"/>
      <c r="P2186" s="6"/>
      <c r="Q2186" s="6"/>
      <c r="R2186" s="6"/>
      <c r="S2186" s="6"/>
      <c r="T2186" s="6"/>
      <c r="U2186" s="6"/>
      <c r="V2186" s="6"/>
      <c r="W2186" s="6"/>
      <c r="X2186" s="6"/>
      <c r="Y2186" s="6"/>
      <c r="Z2186" s="6"/>
    </row>
    <row r="2187" spans="1:26" ht="15.75" customHeight="1" x14ac:dyDescent="0.3">
      <c r="A2187" s="10" t="s">
        <v>316</v>
      </c>
      <c r="B2187" s="10">
        <v>1986</v>
      </c>
      <c r="C2187" s="10" t="s">
        <v>4714</v>
      </c>
      <c r="D2187" s="10">
        <v>15</v>
      </c>
      <c r="E2187" s="10">
        <v>0</v>
      </c>
      <c r="F2187" s="24">
        <v>37742.58</v>
      </c>
      <c r="G2187" s="10" t="s">
        <v>4694</v>
      </c>
      <c r="H2187" s="10" t="s">
        <v>4694</v>
      </c>
      <c r="I2187" s="10" t="s">
        <v>4708</v>
      </c>
      <c r="J2187" s="17">
        <f t="shared" si="16"/>
        <v>31639</v>
      </c>
      <c r="K2187" s="10">
        <f t="shared" ca="1" si="17"/>
        <v>39</v>
      </c>
      <c r="L2187" s="6"/>
      <c r="M2187" s="6"/>
      <c r="N2187" s="6"/>
      <c r="O2187" s="6"/>
      <c r="P2187" s="6"/>
      <c r="Q2187" s="6"/>
      <c r="R2187" s="6"/>
      <c r="S2187" s="6"/>
      <c r="T2187" s="6"/>
      <c r="U2187" s="6"/>
      <c r="V2187" s="6"/>
      <c r="W2187" s="6"/>
      <c r="X2187" s="6"/>
      <c r="Y2187" s="6"/>
      <c r="Z2187" s="6"/>
    </row>
    <row r="2188" spans="1:26" ht="15.75" customHeight="1" x14ac:dyDescent="0.3">
      <c r="A2188" s="10" t="s">
        <v>314</v>
      </c>
      <c r="B2188" s="10">
        <v>1983</v>
      </c>
      <c r="C2188" s="10" t="s">
        <v>4707</v>
      </c>
      <c r="D2188" s="10">
        <v>26</v>
      </c>
      <c r="E2188" s="10">
        <v>3</v>
      </c>
      <c r="F2188" s="24">
        <v>37800.980000000003</v>
      </c>
      <c r="G2188" s="10" t="s">
        <v>4695</v>
      </c>
      <c r="H2188" s="10" t="s">
        <v>4695</v>
      </c>
      <c r="I2188" s="10" t="s">
        <v>4716</v>
      </c>
      <c r="J2188" s="17">
        <f t="shared" si="16"/>
        <v>30523</v>
      </c>
      <c r="K2188" s="10">
        <f t="shared" ca="1" si="17"/>
        <v>42</v>
      </c>
      <c r="L2188" s="6"/>
      <c r="M2188" s="6"/>
      <c r="N2188" s="6"/>
      <c r="O2188" s="6"/>
      <c r="P2188" s="6"/>
      <c r="Q2188" s="6"/>
      <c r="R2188" s="6"/>
      <c r="S2188" s="6"/>
      <c r="T2188" s="6"/>
      <c r="U2188" s="6"/>
      <c r="V2188" s="6"/>
      <c r="W2188" s="6"/>
      <c r="X2188" s="6"/>
      <c r="Y2188" s="6"/>
      <c r="Z2188" s="6"/>
    </row>
    <row r="2189" spans="1:26" ht="15.75" customHeight="1" x14ac:dyDescent="0.3">
      <c r="A2189" s="10" t="s">
        <v>312</v>
      </c>
      <c r="B2189" s="10">
        <v>1979</v>
      </c>
      <c r="C2189" s="10" t="s">
        <v>4711</v>
      </c>
      <c r="D2189" s="10">
        <v>9</v>
      </c>
      <c r="E2189" s="10">
        <v>0</v>
      </c>
      <c r="F2189" s="24">
        <v>37829.72</v>
      </c>
      <c r="G2189" s="10" t="s">
        <v>4694</v>
      </c>
      <c r="H2189" s="10" t="s">
        <v>4695</v>
      </c>
      <c r="I2189" s="10" t="s">
        <v>4716</v>
      </c>
      <c r="J2189" s="17">
        <f t="shared" si="16"/>
        <v>29107</v>
      </c>
      <c r="K2189" s="10">
        <f t="shared" ca="1" si="17"/>
        <v>46</v>
      </c>
      <c r="L2189" s="6"/>
      <c r="M2189" s="6"/>
      <c r="N2189" s="6"/>
      <c r="O2189" s="6"/>
      <c r="P2189" s="6"/>
      <c r="Q2189" s="6"/>
      <c r="R2189" s="6"/>
      <c r="S2189" s="6"/>
      <c r="T2189" s="6"/>
      <c r="U2189" s="6"/>
      <c r="V2189" s="6"/>
      <c r="W2189" s="6"/>
      <c r="X2189" s="6"/>
      <c r="Y2189" s="6"/>
      <c r="Z2189" s="6"/>
    </row>
    <row r="2190" spans="1:26" ht="15.75" customHeight="1" x14ac:dyDescent="0.3">
      <c r="A2190" s="10" t="s">
        <v>310</v>
      </c>
      <c r="B2190" s="10">
        <v>1998</v>
      </c>
      <c r="C2190" s="10" t="s">
        <v>4707</v>
      </c>
      <c r="D2190" s="10">
        <v>29</v>
      </c>
      <c r="E2190" s="10">
        <v>0</v>
      </c>
      <c r="F2190" s="24">
        <v>38126.25</v>
      </c>
      <c r="G2190" s="10" t="s">
        <v>4694</v>
      </c>
      <c r="H2190" s="10" t="s">
        <v>4696</v>
      </c>
      <c r="I2190" s="10" t="s">
        <v>4708</v>
      </c>
      <c r="J2190" s="17">
        <f t="shared" si="16"/>
        <v>36005</v>
      </c>
      <c r="K2190" s="10">
        <f t="shared" ca="1" si="17"/>
        <v>27</v>
      </c>
      <c r="L2190" s="6"/>
      <c r="M2190" s="6"/>
      <c r="N2190" s="6"/>
      <c r="O2190" s="6"/>
      <c r="P2190" s="6"/>
      <c r="Q2190" s="6"/>
      <c r="R2190" s="6"/>
      <c r="S2190" s="6"/>
      <c r="T2190" s="6"/>
      <c r="U2190" s="6"/>
      <c r="V2190" s="6"/>
      <c r="W2190" s="6"/>
      <c r="X2190" s="6"/>
      <c r="Y2190" s="6"/>
      <c r="Z2190" s="6"/>
    </row>
    <row r="2191" spans="1:26" ht="15.75" customHeight="1" x14ac:dyDescent="0.3">
      <c r="A2191" s="10" t="s">
        <v>308</v>
      </c>
      <c r="B2191" s="10">
        <v>1972</v>
      </c>
      <c r="C2191" s="10" t="s">
        <v>4709</v>
      </c>
      <c r="D2191" s="10">
        <v>19</v>
      </c>
      <c r="E2191" s="10">
        <v>0</v>
      </c>
      <c r="F2191" s="24">
        <v>38189.1</v>
      </c>
      <c r="G2191" s="10" t="s">
        <v>4695</v>
      </c>
      <c r="H2191" s="10" t="s">
        <v>4695</v>
      </c>
      <c r="I2191" s="10" t="s">
        <v>4716</v>
      </c>
      <c r="J2191" s="17">
        <f t="shared" si="16"/>
        <v>26622</v>
      </c>
      <c r="K2191" s="10">
        <f t="shared" ca="1" si="17"/>
        <v>53</v>
      </c>
      <c r="L2191" s="6"/>
      <c r="M2191" s="6"/>
      <c r="N2191" s="6"/>
      <c r="O2191" s="6"/>
      <c r="P2191" s="6"/>
      <c r="Q2191" s="6"/>
      <c r="R2191" s="6"/>
      <c r="S2191" s="6"/>
      <c r="T2191" s="6"/>
      <c r="U2191" s="6"/>
      <c r="V2191" s="6"/>
      <c r="W2191" s="6"/>
      <c r="X2191" s="6"/>
      <c r="Y2191" s="6"/>
      <c r="Z2191" s="6"/>
    </row>
    <row r="2192" spans="1:26" ht="15.75" customHeight="1" x14ac:dyDescent="0.3">
      <c r="A2192" s="10" t="s">
        <v>306</v>
      </c>
      <c r="B2192" s="10">
        <v>1989</v>
      </c>
      <c r="C2192" s="10" t="s">
        <v>4711</v>
      </c>
      <c r="D2192" s="10">
        <v>8</v>
      </c>
      <c r="E2192" s="10">
        <v>3</v>
      </c>
      <c r="F2192" s="24">
        <v>38237.339999999997</v>
      </c>
      <c r="G2192" s="10" t="s">
        <v>4695</v>
      </c>
      <c r="H2192" s="10" t="s">
        <v>4696</v>
      </c>
      <c r="I2192" s="10" t="s">
        <v>4716</v>
      </c>
      <c r="J2192" s="17">
        <f t="shared" si="16"/>
        <v>32759</v>
      </c>
      <c r="K2192" s="10">
        <f t="shared" ca="1" si="17"/>
        <v>36</v>
      </c>
      <c r="L2192" s="6"/>
      <c r="M2192" s="6"/>
      <c r="N2192" s="6"/>
      <c r="O2192" s="6"/>
      <c r="P2192" s="6"/>
      <c r="Q2192" s="6"/>
      <c r="R2192" s="6"/>
      <c r="S2192" s="6"/>
      <c r="T2192" s="6"/>
      <c r="U2192" s="6"/>
      <c r="V2192" s="6"/>
      <c r="W2192" s="6"/>
      <c r="X2192" s="6"/>
      <c r="Y2192" s="6"/>
      <c r="Z2192" s="6"/>
    </row>
    <row r="2193" spans="1:26" ht="15.75" customHeight="1" x14ac:dyDescent="0.3">
      <c r="A2193" s="10" t="s">
        <v>304</v>
      </c>
      <c r="B2193" s="10">
        <v>1964</v>
      </c>
      <c r="C2193" s="10" t="s">
        <v>4710</v>
      </c>
      <c r="D2193" s="10">
        <v>16</v>
      </c>
      <c r="E2193" s="10">
        <v>0</v>
      </c>
      <c r="F2193" s="24">
        <v>38241.74</v>
      </c>
      <c r="G2193" s="10" t="s">
        <v>4695</v>
      </c>
      <c r="H2193" s="10" t="s">
        <v>4696</v>
      </c>
      <c r="I2193" s="10" t="s">
        <v>4716</v>
      </c>
      <c r="J2193" s="17">
        <f t="shared" si="16"/>
        <v>23544</v>
      </c>
      <c r="K2193" s="10">
        <f t="shared" ca="1" si="17"/>
        <v>61</v>
      </c>
      <c r="L2193" s="6"/>
      <c r="M2193" s="6"/>
      <c r="N2193" s="6"/>
      <c r="O2193" s="6"/>
      <c r="P2193" s="6"/>
      <c r="Q2193" s="6"/>
      <c r="R2193" s="6"/>
      <c r="S2193" s="6"/>
      <c r="T2193" s="6"/>
      <c r="U2193" s="6"/>
      <c r="V2193" s="6"/>
      <c r="W2193" s="6"/>
      <c r="X2193" s="6"/>
      <c r="Y2193" s="6"/>
      <c r="Z2193" s="6"/>
    </row>
    <row r="2194" spans="1:26" ht="15.75" customHeight="1" x14ac:dyDescent="0.3">
      <c r="A2194" s="10" t="s">
        <v>302</v>
      </c>
      <c r="B2194" s="10">
        <v>1980</v>
      </c>
      <c r="C2194" s="10" t="s">
        <v>4714</v>
      </c>
      <c r="D2194" s="10">
        <v>16</v>
      </c>
      <c r="E2194" s="10">
        <v>1</v>
      </c>
      <c r="F2194" s="24">
        <v>38245.589999999997</v>
      </c>
      <c r="G2194" s="10" t="s">
        <v>4694</v>
      </c>
      <c r="H2194" s="10" t="s">
        <v>4695</v>
      </c>
      <c r="I2194" s="10" t="s">
        <v>4708</v>
      </c>
      <c r="J2194" s="17">
        <f t="shared" si="16"/>
        <v>29449</v>
      </c>
      <c r="K2194" s="10">
        <f t="shared" ca="1" si="17"/>
        <v>45</v>
      </c>
      <c r="L2194" s="6"/>
      <c r="M2194" s="6"/>
      <c r="N2194" s="6"/>
      <c r="O2194" s="6"/>
      <c r="P2194" s="6"/>
      <c r="Q2194" s="6"/>
      <c r="R2194" s="6"/>
      <c r="S2194" s="6"/>
      <c r="T2194" s="6"/>
      <c r="U2194" s="6"/>
      <c r="V2194" s="6"/>
      <c r="W2194" s="6"/>
      <c r="X2194" s="6"/>
      <c r="Y2194" s="6"/>
      <c r="Z2194" s="6"/>
    </row>
    <row r="2195" spans="1:26" ht="15.75" customHeight="1" x14ac:dyDescent="0.3">
      <c r="A2195" s="10" t="s">
        <v>300</v>
      </c>
      <c r="B2195" s="10">
        <v>1989</v>
      </c>
      <c r="C2195" s="10" t="s">
        <v>4715</v>
      </c>
      <c r="D2195" s="10">
        <v>30</v>
      </c>
      <c r="E2195" s="10">
        <v>1</v>
      </c>
      <c r="F2195" s="24">
        <v>38282.75</v>
      </c>
      <c r="G2195" s="10" t="s">
        <v>4694</v>
      </c>
      <c r="H2195" s="10" t="s">
        <v>4695</v>
      </c>
      <c r="I2195" s="10" t="s">
        <v>4708</v>
      </c>
      <c r="J2195" s="17">
        <f t="shared" si="16"/>
        <v>32811</v>
      </c>
      <c r="K2195" s="10">
        <f t="shared" ca="1" si="17"/>
        <v>36</v>
      </c>
      <c r="L2195" s="6"/>
      <c r="M2195" s="6"/>
      <c r="N2195" s="6"/>
      <c r="O2195" s="6"/>
      <c r="P2195" s="6"/>
      <c r="Q2195" s="6"/>
      <c r="R2195" s="6"/>
      <c r="S2195" s="6"/>
      <c r="T2195" s="6"/>
      <c r="U2195" s="6"/>
      <c r="V2195" s="6"/>
      <c r="W2195" s="6"/>
      <c r="X2195" s="6"/>
      <c r="Y2195" s="6"/>
      <c r="Z2195" s="6"/>
    </row>
    <row r="2196" spans="1:26" ht="15.75" customHeight="1" x14ac:dyDescent="0.3">
      <c r="A2196" s="10" t="s">
        <v>298</v>
      </c>
      <c r="B2196" s="10">
        <v>1980</v>
      </c>
      <c r="C2196" s="10" t="s">
        <v>4710</v>
      </c>
      <c r="D2196" s="10">
        <v>12</v>
      </c>
      <c r="E2196" s="10">
        <v>2</v>
      </c>
      <c r="F2196" s="24">
        <v>38313.129999999997</v>
      </c>
      <c r="G2196" s="10" t="s">
        <v>4694</v>
      </c>
      <c r="H2196" s="10" t="s">
        <v>4696</v>
      </c>
      <c r="I2196" s="10" t="s">
        <v>4716</v>
      </c>
      <c r="J2196" s="17">
        <f t="shared" si="16"/>
        <v>29384</v>
      </c>
      <c r="K2196" s="10">
        <f t="shared" ca="1" si="17"/>
        <v>45</v>
      </c>
      <c r="L2196" s="6"/>
      <c r="M2196" s="6"/>
      <c r="N2196" s="6"/>
      <c r="O2196" s="6"/>
      <c r="P2196" s="6"/>
      <c r="Q2196" s="6"/>
      <c r="R2196" s="6"/>
      <c r="S2196" s="6"/>
      <c r="T2196" s="6"/>
      <c r="U2196" s="6"/>
      <c r="V2196" s="6"/>
      <c r="W2196" s="6"/>
      <c r="X2196" s="6"/>
      <c r="Y2196" s="6"/>
      <c r="Z2196" s="6"/>
    </row>
    <row r="2197" spans="1:26" ht="15.75" customHeight="1" x14ac:dyDescent="0.3">
      <c r="A2197" s="10" t="s">
        <v>296</v>
      </c>
      <c r="B2197" s="10">
        <v>2002</v>
      </c>
      <c r="C2197" s="10" t="s">
        <v>4711</v>
      </c>
      <c r="D2197" s="10">
        <v>17</v>
      </c>
      <c r="E2197" s="10">
        <v>2</v>
      </c>
      <c r="F2197" s="24">
        <v>38344.57</v>
      </c>
      <c r="G2197" s="10" t="s">
        <v>4694</v>
      </c>
      <c r="H2197" s="10" t="s">
        <v>4696</v>
      </c>
      <c r="I2197" s="10" t="s">
        <v>4716</v>
      </c>
      <c r="J2197" s="17">
        <f t="shared" si="16"/>
        <v>37516</v>
      </c>
      <c r="K2197" s="10">
        <f t="shared" ca="1" si="17"/>
        <v>23</v>
      </c>
      <c r="L2197" s="6"/>
      <c r="M2197" s="6"/>
      <c r="N2197" s="6"/>
      <c r="O2197" s="6"/>
      <c r="P2197" s="6"/>
      <c r="Q2197" s="6"/>
      <c r="R2197" s="6"/>
      <c r="S2197" s="6"/>
      <c r="T2197" s="6"/>
      <c r="U2197" s="6"/>
      <c r="V2197" s="6"/>
      <c r="W2197" s="6"/>
      <c r="X2197" s="6"/>
      <c r="Y2197" s="6"/>
      <c r="Z2197" s="6"/>
    </row>
    <row r="2198" spans="1:26" ht="15.75" customHeight="1" x14ac:dyDescent="0.3">
      <c r="A2198" s="10" t="s">
        <v>294</v>
      </c>
      <c r="B2198" s="10">
        <v>1970</v>
      </c>
      <c r="C2198" s="10" t="s">
        <v>4714</v>
      </c>
      <c r="D2198" s="10">
        <v>22</v>
      </c>
      <c r="E2198" s="10">
        <v>0</v>
      </c>
      <c r="F2198" s="24">
        <v>38389.79</v>
      </c>
      <c r="G2198" s="10" t="s">
        <v>4695</v>
      </c>
      <c r="H2198" s="10" t="s">
        <v>4696</v>
      </c>
      <c r="I2198" s="10" t="s">
        <v>4716</v>
      </c>
      <c r="J2198" s="17">
        <f t="shared" si="16"/>
        <v>25802</v>
      </c>
      <c r="K2198" s="10">
        <f t="shared" ca="1" si="17"/>
        <v>55</v>
      </c>
      <c r="L2198" s="6"/>
      <c r="M2198" s="6"/>
      <c r="N2198" s="6"/>
      <c r="O2198" s="6"/>
      <c r="P2198" s="6"/>
      <c r="Q2198" s="6"/>
      <c r="R2198" s="6"/>
      <c r="S2198" s="6"/>
      <c r="T2198" s="6"/>
      <c r="U2198" s="6"/>
      <c r="V2198" s="6"/>
      <c r="W2198" s="6"/>
      <c r="X2198" s="6"/>
      <c r="Y2198" s="6"/>
      <c r="Z2198" s="6"/>
    </row>
    <row r="2199" spans="1:26" ht="15.75" customHeight="1" x14ac:dyDescent="0.3">
      <c r="A2199" s="10" t="s">
        <v>292</v>
      </c>
      <c r="B2199" s="10">
        <v>1971</v>
      </c>
      <c r="C2199" s="10" t="s">
        <v>4713</v>
      </c>
      <c r="D2199" s="10">
        <v>23</v>
      </c>
      <c r="E2199" s="10">
        <v>0</v>
      </c>
      <c r="F2199" s="24">
        <v>38405.26</v>
      </c>
      <c r="G2199" s="10" t="s">
        <v>4695</v>
      </c>
      <c r="H2199" s="10" t="s">
        <v>4694</v>
      </c>
      <c r="I2199" s="10" t="s">
        <v>4716</v>
      </c>
      <c r="J2199" s="17">
        <f t="shared" si="16"/>
        <v>26290</v>
      </c>
      <c r="K2199" s="10">
        <f t="shared" ca="1" si="17"/>
        <v>53</v>
      </c>
      <c r="L2199" s="6"/>
      <c r="M2199" s="6"/>
      <c r="N2199" s="6"/>
      <c r="O2199" s="6"/>
      <c r="P2199" s="6"/>
      <c r="Q2199" s="6"/>
      <c r="R2199" s="6"/>
      <c r="S2199" s="6"/>
      <c r="T2199" s="6"/>
      <c r="U2199" s="6"/>
      <c r="V2199" s="6"/>
      <c r="W2199" s="6"/>
      <c r="X2199" s="6"/>
      <c r="Y2199" s="6"/>
      <c r="Z2199" s="6"/>
    </row>
    <row r="2200" spans="1:26" ht="15.75" customHeight="1" x14ac:dyDescent="0.3">
      <c r="A2200" s="10" t="s">
        <v>290</v>
      </c>
      <c r="B2200" s="10">
        <v>1986</v>
      </c>
      <c r="C2200" s="10" t="s">
        <v>4710</v>
      </c>
      <c r="D2200" s="10">
        <v>21</v>
      </c>
      <c r="E2200" s="10">
        <v>2</v>
      </c>
      <c r="F2200" s="24">
        <v>38415.47</v>
      </c>
      <c r="G2200" s="10" t="s">
        <v>4694</v>
      </c>
      <c r="H2200" s="10" t="s">
        <v>4695</v>
      </c>
      <c r="I2200" s="10" t="s">
        <v>4716</v>
      </c>
      <c r="J2200" s="17">
        <f t="shared" si="16"/>
        <v>31584</v>
      </c>
      <c r="K2200" s="10">
        <f t="shared" ca="1" si="17"/>
        <v>39</v>
      </c>
      <c r="L2200" s="6"/>
      <c r="M2200" s="6"/>
      <c r="N2200" s="6"/>
      <c r="O2200" s="6"/>
      <c r="P2200" s="6"/>
      <c r="Q2200" s="6"/>
      <c r="R2200" s="6"/>
      <c r="S2200" s="6"/>
      <c r="T2200" s="6"/>
      <c r="U2200" s="6"/>
      <c r="V2200" s="6"/>
      <c r="W2200" s="6"/>
      <c r="X2200" s="6"/>
      <c r="Y2200" s="6"/>
      <c r="Z2200" s="6"/>
    </row>
    <row r="2201" spans="1:26" ht="15.75" customHeight="1" x14ac:dyDescent="0.3">
      <c r="A2201" s="10" t="s">
        <v>288</v>
      </c>
      <c r="B2201" s="10">
        <v>1999</v>
      </c>
      <c r="C2201" s="10" t="s">
        <v>4709</v>
      </c>
      <c r="D2201" s="10">
        <v>12</v>
      </c>
      <c r="E2201" s="10">
        <v>2</v>
      </c>
      <c r="F2201" s="24">
        <v>38511.629999999997</v>
      </c>
      <c r="G2201" s="10" t="s">
        <v>4695</v>
      </c>
      <c r="H2201" s="10" t="s">
        <v>4695</v>
      </c>
      <c r="I2201" s="10" t="s">
        <v>4723</v>
      </c>
      <c r="J2201" s="17">
        <f t="shared" si="16"/>
        <v>36476</v>
      </c>
      <c r="K2201" s="10">
        <f t="shared" ca="1" si="17"/>
        <v>26</v>
      </c>
      <c r="L2201" s="6"/>
      <c r="M2201" s="6"/>
      <c r="N2201" s="6"/>
      <c r="O2201" s="6"/>
      <c r="P2201" s="6"/>
      <c r="Q2201" s="6"/>
      <c r="R2201" s="6"/>
      <c r="S2201" s="6"/>
      <c r="T2201" s="6"/>
      <c r="U2201" s="6"/>
      <c r="V2201" s="6"/>
      <c r="W2201" s="6"/>
      <c r="X2201" s="6"/>
      <c r="Y2201" s="6"/>
      <c r="Z2201" s="6"/>
    </row>
    <row r="2202" spans="1:26" ht="15.75" customHeight="1" x14ac:dyDescent="0.3">
      <c r="A2202" s="10" t="s">
        <v>286</v>
      </c>
      <c r="B2202" s="10">
        <v>1990</v>
      </c>
      <c r="C2202" s="10" t="s">
        <v>4707</v>
      </c>
      <c r="D2202" s="10">
        <v>13</v>
      </c>
      <c r="E2202" s="10">
        <v>3</v>
      </c>
      <c r="F2202" s="24">
        <v>38652.089999999997</v>
      </c>
      <c r="G2202" s="10" t="s">
        <v>4695</v>
      </c>
      <c r="H2202" s="10" t="s">
        <v>4695</v>
      </c>
      <c r="I2202" s="10" t="s">
        <v>4716</v>
      </c>
      <c r="J2202" s="17">
        <f t="shared" si="16"/>
        <v>33067</v>
      </c>
      <c r="K2202" s="10">
        <f t="shared" ca="1" si="17"/>
        <v>35</v>
      </c>
      <c r="L2202" s="6"/>
      <c r="M2202" s="6"/>
      <c r="N2202" s="6"/>
      <c r="O2202" s="6"/>
      <c r="P2202" s="6"/>
      <c r="Q2202" s="6"/>
      <c r="R2202" s="6"/>
      <c r="S2202" s="6"/>
      <c r="T2202" s="6"/>
      <c r="U2202" s="6"/>
      <c r="V2202" s="6"/>
      <c r="W2202" s="6"/>
      <c r="X2202" s="6"/>
      <c r="Y2202" s="6"/>
      <c r="Z2202" s="6"/>
    </row>
    <row r="2203" spans="1:26" ht="15.75" customHeight="1" x14ac:dyDescent="0.3">
      <c r="A2203" s="10" t="s">
        <v>284</v>
      </c>
      <c r="B2203" s="10">
        <v>1986</v>
      </c>
      <c r="C2203" s="10" t="s">
        <v>4707</v>
      </c>
      <c r="D2203" s="10">
        <v>20</v>
      </c>
      <c r="E2203" s="10">
        <v>1</v>
      </c>
      <c r="F2203" s="24">
        <v>38709.18</v>
      </c>
      <c r="G2203" s="10" t="s">
        <v>4694</v>
      </c>
      <c r="H2203" s="10" t="s">
        <v>4696</v>
      </c>
      <c r="I2203" s="10" t="s">
        <v>4708</v>
      </c>
      <c r="J2203" s="17">
        <f t="shared" si="16"/>
        <v>31613</v>
      </c>
      <c r="K2203" s="10">
        <f t="shared" ca="1" si="17"/>
        <v>39</v>
      </c>
      <c r="L2203" s="6"/>
      <c r="M2203" s="6"/>
      <c r="N2203" s="6"/>
      <c r="O2203" s="6"/>
      <c r="P2203" s="6"/>
      <c r="Q2203" s="6"/>
      <c r="R2203" s="6"/>
      <c r="S2203" s="6"/>
      <c r="T2203" s="6"/>
      <c r="U2203" s="6"/>
      <c r="V2203" s="6"/>
      <c r="W2203" s="6"/>
      <c r="X2203" s="6"/>
      <c r="Y2203" s="6"/>
      <c r="Z2203" s="6"/>
    </row>
    <row r="2204" spans="1:26" ht="15.75" customHeight="1" x14ac:dyDescent="0.3">
      <c r="A2204" s="10" t="s">
        <v>4717</v>
      </c>
      <c r="B2204" s="10">
        <v>1991</v>
      </c>
      <c r="C2204" s="10" t="s">
        <v>4709</v>
      </c>
      <c r="D2204" s="10">
        <v>22</v>
      </c>
      <c r="E2204" s="10">
        <v>2</v>
      </c>
      <c r="F2204" s="24">
        <v>38711</v>
      </c>
      <c r="G2204" s="10" t="s">
        <v>4694</v>
      </c>
      <c r="H2204" s="10" t="s">
        <v>4696</v>
      </c>
      <c r="I2204" s="10" t="s">
        <v>4716</v>
      </c>
      <c r="J2204" s="17">
        <f t="shared" si="16"/>
        <v>33564</v>
      </c>
      <c r="K2204" s="10">
        <f t="shared" ca="1" si="17"/>
        <v>34</v>
      </c>
      <c r="L2204" s="6"/>
      <c r="M2204" s="6"/>
      <c r="N2204" s="6"/>
      <c r="O2204" s="6"/>
      <c r="P2204" s="6"/>
      <c r="Q2204" s="6"/>
      <c r="R2204" s="6"/>
      <c r="S2204" s="6"/>
      <c r="T2204" s="6"/>
      <c r="U2204" s="6"/>
      <c r="V2204" s="6"/>
      <c r="W2204" s="6"/>
      <c r="X2204" s="6"/>
      <c r="Y2204" s="6"/>
      <c r="Z2204" s="6"/>
    </row>
    <row r="2205" spans="1:26" ht="15.75" customHeight="1" x14ac:dyDescent="0.3">
      <c r="A2205" s="10" t="s">
        <v>282</v>
      </c>
      <c r="B2205" s="10">
        <v>1991</v>
      </c>
      <c r="C2205" s="10" t="s">
        <v>4709</v>
      </c>
      <c r="D2205" s="10">
        <v>2</v>
      </c>
      <c r="E2205" s="10">
        <v>2</v>
      </c>
      <c r="F2205" s="24">
        <v>38711</v>
      </c>
      <c r="G2205" s="10" t="s">
        <v>4695</v>
      </c>
      <c r="H2205" s="10" t="s">
        <v>4695</v>
      </c>
      <c r="I2205" s="10" t="s">
        <v>4716</v>
      </c>
      <c r="J2205" s="17">
        <f t="shared" si="16"/>
        <v>33544</v>
      </c>
      <c r="K2205" s="10">
        <f t="shared" ca="1" si="17"/>
        <v>34</v>
      </c>
      <c r="L2205" s="6"/>
      <c r="M2205" s="6"/>
      <c r="N2205" s="6"/>
      <c r="O2205" s="6"/>
      <c r="P2205" s="6"/>
      <c r="Q2205" s="6"/>
      <c r="R2205" s="6"/>
      <c r="S2205" s="6"/>
      <c r="T2205" s="6"/>
      <c r="U2205" s="6"/>
      <c r="V2205" s="6"/>
      <c r="W2205" s="6"/>
      <c r="X2205" s="6"/>
      <c r="Y2205" s="6"/>
      <c r="Z2205" s="6"/>
    </row>
    <row r="2206" spans="1:26" ht="15.75" customHeight="1" x14ac:dyDescent="0.3">
      <c r="A2206" s="10" t="s">
        <v>280</v>
      </c>
      <c r="B2206" s="10">
        <v>1976</v>
      </c>
      <c r="C2206" s="10" t="s">
        <v>4710</v>
      </c>
      <c r="D2206" s="10">
        <v>15</v>
      </c>
      <c r="E2206" s="10">
        <v>2</v>
      </c>
      <c r="F2206" s="24">
        <v>38740.120000000003</v>
      </c>
      <c r="G2206" s="10" t="s">
        <v>4695</v>
      </c>
      <c r="H2206" s="10" t="s">
        <v>4695</v>
      </c>
      <c r="I2206" s="10" t="s">
        <v>4712</v>
      </c>
      <c r="J2206" s="17">
        <f t="shared" si="16"/>
        <v>27926</v>
      </c>
      <c r="K2206" s="10">
        <f t="shared" ca="1" si="17"/>
        <v>49</v>
      </c>
      <c r="L2206" s="6"/>
      <c r="M2206" s="6"/>
      <c r="N2206" s="6"/>
      <c r="O2206" s="6"/>
      <c r="P2206" s="6"/>
      <c r="Q2206" s="6"/>
      <c r="R2206" s="6"/>
      <c r="S2206" s="6"/>
      <c r="T2206" s="6"/>
      <c r="U2206" s="6"/>
      <c r="V2206" s="6"/>
      <c r="W2206" s="6"/>
      <c r="X2206" s="6"/>
      <c r="Y2206" s="6"/>
      <c r="Z2206" s="6"/>
    </row>
    <row r="2207" spans="1:26" ht="15.75" customHeight="1" x14ac:dyDescent="0.3">
      <c r="A2207" s="10" t="s">
        <v>278</v>
      </c>
      <c r="B2207" s="10">
        <v>1991</v>
      </c>
      <c r="C2207" s="10" t="s">
        <v>4709</v>
      </c>
      <c r="D2207" s="10">
        <v>8</v>
      </c>
      <c r="E2207" s="10">
        <v>3</v>
      </c>
      <c r="F2207" s="24">
        <v>38746.36</v>
      </c>
      <c r="G2207" s="10" t="s">
        <v>4694</v>
      </c>
      <c r="H2207" s="10" t="s">
        <v>4695</v>
      </c>
      <c r="I2207" s="10" t="s">
        <v>4712</v>
      </c>
      <c r="J2207" s="17">
        <f t="shared" si="16"/>
        <v>33550</v>
      </c>
      <c r="K2207" s="10">
        <f t="shared" ca="1" si="17"/>
        <v>34</v>
      </c>
      <c r="L2207" s="6"/>
      <c r="M2207" s="6"/>
      <c r="N2207" s="6"/>
      <c r="O2207" s="6"/>
      <c r="P2207" s="6"/>
      <c r="Q2207" s="6"/>
      <c r="R2207" s="6"/>
      <c r="S2207" s="6"/>
      <c r="T2207" s="6"/>
      <c r="U2207" s="6"/>
      <c r="V2207" s="6"/>
      <c r="W2207" s="6"/>
      <c r="X2207" s="6"/>
      <c r="Y2207" s="6"/>
      <c r="Z2207" s="6"/>
    </row>
    <row r="2208" spans="1:26" ht="15.75" customHeight="1" x14ac:dyDescent="0.3">
      <c r="A2208" s="10" t="s">
        <v>276</v>
      </c>
      <c r="B2208" s="10">
        <v>2004</v>
      </c>
      <c r="C2208" s="10" t="s">
        <v>4713</v>
      </c>
      <c r="D2208" s="10">
        <v>5</v>
      </c>
      <c r="E2208" s="10">
        <v>0</v>
      </c>
      <c r="F2208" s="24">
        <v>38792.69</v>
      </c>
      <c r="G2208" s="10" t="s">
        <v>4695</v>
      </c>
      <c r="H2208" s="10" t="s">
        <v>4695</v>
      </c>
      <c r="I2208" s="10" t="s">
        <v>4708</v>
      </c>
      <c r="J2208" s="17">
        <f t="shared" si="16"/>
        <v>38326</v>
      </c>
      <c r="K2208" s="10">
        <f t="shared" ca="1" si="17"/>
        <v>20</v>
      </c>
      <c r="L2208" s="6"/>
      <c r="M2208" s="6"/>
      <c r="N2208" s="6"/>
      <c r="O2208" s="6"/>
      <c r="P2208" s="6"/>
      <c r="Q2208" s="6"/>
      <c r="R2208" s="6"/>
      <c r="S2208" s="6"/>
      <c r="T2208" s="6"/>
      <c r="U2208" s="6"/>
      <c r="V2208" s="6"/>
      <c r="W2208" s="6"/>
      <c r="X2208" s="6"/>
      <c r="Y2208" s="6"/>
      <c r="Z2208" s="6"/>
    </row>
    <row r="2209" spans="1:26" ht="15.75" customHeight="1" x14ac:dyDescent="0.3">
      <c r="A2209" s="10" t="s">
        <v>274</v>
      </c>
      <c r="B2209" s="10">
        <v>1979</v>
      </c>
      <c r="C2209" s="10" t="s">
        <v>4713</v>
      </c>
      <c r="D2209" s="10">
        <v>3</v>
      </c>
      <c r="E2209" s="10">
        <v>2</v>
      </c>
      <c r="F2209" s="24">
        <v>38836.980000000003</v>
      </c>
      <c r="G2209" s="10" t="s">
        <v>4695</v>
      </c>
      <c r="H2209" s="10" t="s">
        <v>4694</v>
      </c>
      <c r="I2209" s="10" t="s">
        <v>4716</v>
      </c>
      <c r="J2209" s="17">
        <f t="shared" si="16"/>
        <v>29192</v>
      </c>
      <c r="K2209" s="10">
        <f t="shared" ca="1" si="17"/>
        <v>45</v>
      </c>
      <c r="L2209" s="6"/>
      <c r="M2209" s="6"/>
      <c r="N2209" s="6"/>
      <c r="O2209" s="6"/>
      <c r="P2209" s="6"/>
      <c r="Q2209" s="6"/>
      <c r="R2209" s="6"/>
      <c r="S2209" s="6"/>
      <c r="T2209" s="6"/>
      <c r="U2209" s="6"/>
      <c r="V2209" s="6"/>
      <c r="W2209" s="6"/>
      <c r="X2209" s="6"/>
      <c r="Y2209" s="6"/>
      <c r="Z2209" s="6"/>
    </row>
    <row r="2210" spans="1:26" ht="15.75" customHeight="1" x14ac:dyDescent="0.3">
      <c r="A2210" s="10" t="s">
        <v>272</v>
      </c>
      <c r="B2210" s="10">
        <v>1964</v>
      </c>
      <c r="C2210" s="10" t="s">
        <v>4710</v>
      </c>
      <c r="D2210" s="10">
        <v>6</v>
      </c>
      <c r="E2210" s="10">
        <v>0</v>
      </c>
      <c r="F2210" s="24">
        <v>38869.25</v>
      </c>
      <c r="G2210" s="10" t="s">
        <v>4695</v>
      </c>
      <c r="H2210" s="10" t="s">
        <v>4695</v>
      </c>
      <c r="I2210" s="10" t="s">
        <v>4716</v>
      </c>
      <c r="J2210" s="17">
        <f t="shared" si="16"/>
        <v>23534</v>
      </c>
      <c r="K2210" s="10">
        <f t="shared" ca="1" si="17"/>
        <v>61</v>
      </c>
      <c r="L2210" s="6"/>
      <c r="M2210" s="6"/>
      <c r="N2210" s="6"/>
      <c r="O2210" s="6"/>
      <c r="P2210" s="6"/>
      <c r="Q2210" s="6"/>
      <c r="R2210" s="6"/>
      <c r="S2210" s="6"/>
      <c r="T2210" s="6"/>
      <c r="U2210" s="6"/>
      <c r="V2210" s="6"/>
      <c r="W2210" s="6"/>
      <c r="X2210" s="6"/>
      <c r="Y2210" s="6"/>
      <c r="Z2210" s="6"/>
    </row>
    <row r="2211" spans="1:26" ht="15.75" customHeight="1" x14ac:dyDescent="0.3">
      <c r="A2211" s="10" t="s">
        <v>270</v>
      </c>
      <c r="B2211" s="10">
        <v>1967</v>
      </c>
      <c r="C2211" s="10" t="s">
        <v>4707</v>
      </c>
      <c r="D2211" s="10">
        <v>30</v>
      </c>
      <c r="E2211" s="10">
        <v>0</v>
      </c>
      <c r="F2211" s="24">
        <v>38893.360000000001</v>
      </c>
      <c r="G2211" s="10" t="s">
        <v>4694</v>
      </c>
      <c r="H2211" s="10" t="s">
        <v>4695</v>
      </c>
      <c r="I2211" s="10" t="s">
        <v>4716</v>
      </c>
      <c r="J2211" s="17">
        <f t="shared" si="16"/>
        <v>24683</v>
      </c>
      <c r="K2211" s="10">
        <f t="shared" ca="1" si="17"/>
        <v>58</v>
      </c>
      <c r="L2211" s="6"/>
      <c r="M2211" s="6"/>
      <c r="N2211" s="6"/>
      <c r="O2211" s="6"/>
      <c r="P2211" s="6"/>
      <c r="Q2211" s="6"/>
      <c r="R2211" s="6"/>
      <c r="S2211" s="6"/>
      <c r="T2211" s="6"/>
      <c r="U2211" s="6"/>
      <c r="V2211" s="6"/>
      <c r="W2211" s="6"/>
      <c r="X2211" s="6"/>
      <c r="Y2211" s="6"/>
      <c r="Z2211" s="6"/>
    </row>
    <row r="2212" spans="1:26" ht="15.75" customHeight="1" x14ac:dyDescent="0.3">
      <c r="A2212" s="10" t="s">
        <v>268</v>
      </c>
      <c r="B2212" s="10">
        <v>1987</v>
      </c>
      <c r="C2212" s="10" t="s">
        <v>4710</v>
      </c>
      <c r="D2212" s="10">
        <v>16</v>
      </c>
      <c r="E2212" s="10">
        <v>3</v>
      </c>
      <c r="F2212" s="24">
        <v>38924.04</v>
      </c>
      <c r="G2212" s="10" t="s">
        <v>4695</v>
      </c>
      <c r="H2212" s="10" t="s">
        <v>4695</v>
      </c>
      <c r="I2212" s="10" t="s">
        <v>4716</v>
      </c>
      <c r="J2212" s="17">
        <f t="shared" si="16"/>
        <v>31944</v>
      </c>
      <c r="K2212" s="10">
        <f t="shared" ca="1" si="17"/>
        <v>38</v>
      </c>
      <c r="L2212" s="6"/>
      <c r="M2212" s="6"/>
      <c r="N2212" s="6"/>
      <c r="O2212" s="6"/>
      <c r="P2212" s="6"/>
      <c r="Q2212" s="6"/>
      <c r="R2212" s="6"/>
      <c r="S2212" s="6"/>
      <c r="T2212" s="6"/>
      <c r="U2212" s="6"/>
      <c r="V2212" s="6"/>
      <c r="W2212" s="6"/>
      <c r="X2212" s="6"/>
      <c r="Y2212" s="6"/>
      <c r="Z2212" s="6"/>
    </row>
    <row r="2213" spans="1:26" ht="15.75" customHeight="1" x14ac:dyDescent="0.3">
      <c r="A2213" s="10" t="s">
        <v>266</v>
      </c>
      <c r="B2213" s="10">
        <v>1976</v>
      </c>
      <c r="C2213" s="10" t="s">
        <v>4713</v>
      </c>
      <c r="D2213" s="10">
        <v>15</v>
      </c>
      <c r="E2213" s="10">
        <v>2</v>
      </c>
      <c r="F2213" s="24">
        <v>38932.559999999998</v>
      </c>
      <c r="G2213" s="10" t="s">
        <v>4695</v>
      </c>
      <c r="H2213" s="10" t="s">
        <v>4696</v>
      </c>
      <c r="I2213" s="10" t="s">
        <v>4716</v>
      </c>
      <c r="J2213" s="17">
        <f t="shared" si="16"/>
        <v>28109</v>
      </c>
      <c r="K2213" s="10">
        <f t="shared" ca="1" si="17"/>
        <v>48</v>
      </c>
      <c r="L2213" s="6"/>
      <c r="M2213" s="6"/>
      <c r="N2213" s="6"/>
      <c r="O2213" s="6"/>
      <c r="P2213" s="6"/>
      <c r="Q2213" s="6"/>
      <c r="R2213" s="6"/>
      <c r="S2213" s="6"/>
      <c r="T2213" s="6"/>
      <c r="U2213" s="6"/>
      <c r="V2213" s="6"/>
      <c r="W2213" s="6"/>
      <c r="X2213" s="6"/>
      <c r="Y2213" s="6"/>
      <c r="Z2213" s="6"/>
    </row>
    <row r="2214" spans="1:26" ht="15.75" customHeight="1" x14ac:dyDescent="0.3">
      <c r="A2214" s="10" t="s">
        <v>264</v>
      </c>
      <c r="B2214" s="10">
        <v>1980</v>
      </c>
      <c r="C2214" s="10" t="s">
        <v>4711</v>
      </c>
      <c r="D2214" s="10">
        <v>24</v>
      </c>
      <c r="E2214" s="10">
        <v>2</v>
      </c>
      <c r="F2214" s="24">
        <v>38947.43</v>
      </c>
      <c r="G2214" s="10" t="s">
        <v>4695</v>
      </c>
      <c r="H2214" s="10" t="s">
        <v>4696</v>
      </c>
      <c r="I2214" s="10" t="s">
        <v>4716</v>
      </c>
      <c r="J2214" s="17">
        <f t="shared" si="16"/>
        <v>29488</v>
      </c>
      <c r="K2214" s="10">
        <f t="shared" ca="1" si="17"/>
        <v>45</v>
      </c>
      <c r="L2214" s="6"/>
      <c r="M2214" s="6"/>
      <c r="N2214" s="6"/>
      <c r="O2214" s="6"/>
      <c r="P2214" s="6"/>
      <c r="Q2214" s="6"/>
      <c r="R2214" s="6"/>
      <c r="S2214" s="6"/>
      <c r="T2214" s="6"/>
      <c r="U2214" s="6"/>
      <c r="V2214" s="6"/>
      <c r="W2214" s="6"/>
      <c r="X2214" s="6"/>
      <c r="Y2214" s="6"/>
      <c r="Z2214" s="6"/>
    </row>
    <row r="2215" spans="1:26" ht="15.75" customHeight="1" x14ac:dyDescent="0.3">
      <c r="A2215" s="10" t="s">
        <v>262</v>
      </c>
      <c r="B2215" s="10">
        <v>1978</v>
      </c>
      <c r="C2215" s="10" t="s">
        <v>4715</v>
      </c>
      <c r="D2215" s="10">
        <v>12</v>
      </c>
      <c r="E2215" s="10">
        <v>2</v>
      </c>
      <c r="F2215" s="24">
        <v>38998.550000000003</v>
      </c>
      <c r="G2215" s="10" t="s">
        <v>4694</v>
      </c>
      <c r="H2215" s="10" t="s">
        <v>4694</v>
      </c>
      <c r="I2215" s="10" t="s">
        <v>4716</v>
      </c>
      <c r="J2215" s="17">
        <f t="shared" si="16"/>
        <v>28775</v>
      </c>
      <c r="K2215" s="10">
        <f t="shared" ca="1" si="17"/>
        <v>47</v>
      </c>
      <c r="L2215" s="6"/>
      <c r="M2215" s="6"/>
      <c r="N2215" s="6"/>
      <c r="O2215" s="6"/>
      <c r="P2215" s="6"/>
      <c r="Q2215" s="6"/>
      <c r="R2215" s="6"/>
      <c r="S2215" s="6"/>
      <c r="T2215" s="6"/>
      <c r="U2215" s="6"/>
      <c r="V2215" s="6"/>
      <c r="W2215" s="6"/>
      <c r="X2215" s="6"/>
      <c r="Y2215" s="6"/>
      <c r="Z2215" s="6"/>
    </row>
    <row r="2216" spans="1:26" ht="15.75" customHeight="1" x14ac:dyDescent="0.3">
      <c r="A2216" s="10" t="s">
        <v>260</v>
      </c>
      <c r="B2216" s="10">
        <v>1985</v>
      </c>
      <c r="C2216" s="10" t="s">
        <v>4711</v>
      </c>
      <c r="D2216" s="10">
        <v>20</v>
      </c>
      <c r="E2216" s="10">
        <v>1</v>
      </c>
      <c r="F2216" s="24">
        <v>39047.29</v>
      </c>
      <c r="G2216" s="10" t="s">
        <v>4694</v>
      </c>
      <c r="H2216" s="10" t="s">
        <v>4696</v>
      </c>
      <c r="I2216" s="10" t="s">
        <v>4727</v>
      </c>
      <c r="J2216" s="17">
        <f t="shared" si="16"/>
        <v>31310</v>
      </c>
      <c r="K2216" s="10">
        <f t="shared" ca="1" si="17"/>
        <v>40</v>
      </c>
      <c r="L2216" s="6"/>
      <c r="M2216" s="6"/>
      <c r="N2216" s="6"/>
      <c r="O2216" s="6"/>
      <c r="P2216" s="6"/>
      <c r="Q2216" s="6"/>
      <c r="R2216" s="6"/>
      <c r="S2216" s="6"/>
      <c r="T2216" s="6"/>
      <c r="U2216" s="6"/>
      <c r="V2216" s="6"/>
      <c r="W2216" s="6"/>
      <c r="X2216" s="6"/>
      <c r="Y2216" s="6"/>
      <c r="Z2216" s="6"/>
    </row>
    <row r="2217" spans="1:26" ht="15.75" customHeight="1" x14ac:dyDescent="0.3">
      <c r="A2217" s="10" t="s">
        <v>258</v>
      </c>
      <c r="B2217" s="10">
        <v>1982</v>
      </c>
      <c r="C2217" s="10" t="s">
        <v>4714</v>
      </c>
      <c r="D2217" s="10">
        <v>4</v>
      </c>
      <c r="E2217" s="10">
        <v>1</v>
      </c>
      <c r="F2217" s="24">
        <v>39125.33</v>
      </c>
      <c r="G2217" s="10" t="s">
        <v>4694</v>
      </c>
      <c r="H2217" s="10" t="s">
        <v>4694</v>
      </c>
      <c r="I2217" s="10" t="s">
        <v>4720</v>
      </c>
      <c r="J2217" s="17">
        <f t="shared" si="16"/>
        <v>30167</v>
      </c>
      <c r="K2217" s="10">
        <f t="shared" ca="1" si="17"/>
        <v>43</v>
      </c>
      <c r="L2217" s="6"/>
      <c r="M2217" s="6"/>
      <c r="N2217" s="6"/>
      <c r="O2217" s="6"/>
      <c r="P2217" s="6"/>
      <c r="Q2217" s="6"/>
      <c r="R2217" s="6"/>
      <c r="S2217" s="6"/>
      <c r="T2217" s="6"/>
      <c r="U2217" s="6"/>
      <c r="V2217" s="6"/>
      <c r="W2217" s="6"/>
      <c r="X2217" s="6"/>
      <c r="Y2217" s="6"/>
      <c r="Z2217" s="6"/>
    </row>
    <row r="2218" spans="1:26" ht="15.75" customHeight="1" x14ac:dyDescent="0.3">
      <c r="A2218" s="10" t="s">
        <v>256</v>
      </c>
      <c r="B2218" s="10">
        <v>1962</v>
      </c>
      <c r="C2218" s="10" t="s">
        <v>4707</v>
      </c>
      <c r="D2218" s="10">
        <v>7</v>
      </c>
      <c r="E2218" s="10">
        <v>0</v>
      </c>
      <c r="F2218" s="24">
        <v>39221.120000000003</v>
      </c>
      <c r="G2218" s="10" t="s">
        <v>4695</v>
      </c>
      <c r="H2218" s="10" t="s">
        <v>4694</v>
      </c>
      <c r="I2218" s="10" t="s">
        <v>4716</v>
      </c>
      <c r="J2218" s="17">
        <f t="shared" si="16"/>
        <v>22834</v>
      </c>
      <c r="K2218" s="10">
        <f t="shared" ca="1" si="17"/>
        <v>63</v>
      </c>
      <c r="L2218" s="6"/>
      <c r="M2218" s="6"/>
      <c r="N2218" s="6"/>
      <c r="O2218" s="6"/>
      <c r="P2218" s="6"/>
      <c r="Q2218" s="6"/>
      <c r="R2218" s="6"/>
      <c r="S2218" s="6"/>
      <c r="T2218" s="6"/>
      <c r="U2218" s="6"/>
      <c r="V2218" s="6"/>
      <c r="W2218" s="6"/>
      <c r="X2218" s="6"/>
      <c r="Y2218" s="6"/>
      <c r="Z2218" s="6"/>
    </row>
    <row r="2219" spans="1:26" ht="15.75" customHeight="1" x14ac:dyDescent="0.3">
      <c r="A2219" s="10" t="s">
        <v>254</v>
      </c>
      <c r="B2219" s="10">
        <v>1992</v>
      </c>
      <c r="C2219" s="10" t="s">
        <v>4709</v>
      </c>
      <c r="D2219" s="10">
        <v>30</v>
      </c>
      <c r="E2219" s="10">
        <v>2</v>
      </c>
      <c r="F2219" s="24">
        <v>39241.440000000002</v>
      </c>
      <c r="G2219" s="10" t="s">
        <v>4694</v>
      </c>
      <c r="H2219" s="10" t="s">
        <v>4696</v>
      </c>
      <c r="I2219" s="10" t="s">
        <v>4716</v>
      </c>
      <c r="J2219" s="17">
        <f t="shared" si="16"/>
        <v>33938</v>
      </c>
      <c r="K2219" s="10">
        <f t="shared" ca="1" si="17"/>
        <v>32</v>
      </c>
      <c r="L2219" s="6"/>
      <c r="M2219" s="6"/>
      <c r="N2219" s="6"/>
      <c r="O2219" s="6"/>
      <c r="P2219" s="6"/>
      <c r="Q2219" s="6"/>
      <c r="R2219" s="6"/>
      <c r="S2219" s="6"/>
      <c r="T2219" s="6"/>
      <c r="U2219" s="6"/>
      <c r="V2219" s="6"/>
      <c r="W2219" s="6"/>
      <c r="X2219" s="6"/>
      <c r="Y2219" s="6"/>
      <c r="Z2219" s="6"/>
    </row>
    <row r="2220" spans="1:26" ht="15.75" customHeight="1" x14ac:dyDescent="0.3">
      <c r="A2220" s="10" t="s">
        <v>252</v>
      </c>
      <c r="B2220" s="10">
        <v>1982</v>
      </c>
      <c r="C2220" s="10" t="s">
        <v>4714</v>
      </c>
      <c r="D2220" s="10">
        <v>16</v>
      </c>
      <c r="E2220" s="10">
        <v>3</v>
      </c>
      <c r="F2220" s="24">
        <v>39315.279999999999</v>
      </c>
      <c r="G2220" s="10" t="s">
        <v>4695</v>
      </c>
      <c r="H2220" s="10" t="s">
        <v>4696</v>
      </c>
      <c r="I2220" s="10" t="s">
        <v>4716</v>
      </c>
      <c r="J2220" s="17">
        <f t="shared" si="16"/>
        <v>30179</v>
      </c>
      <c r="K2220" s="10">
        <f t="shared" ca="1" si="17"/>
        <v>43</v>
      </c>
      <c r="L2220" s="6"/>
      <c r="M2220" s="6"/>
      <c r="N2220" s="6"/>
      <c r="O2220" s="6"/>
      <c r="P2220" s="6"/>
      <c r="Q2220" s="6"/>
      <c r="R2220" s="6"/>
      <c r="S2220" s="6"/>
      <c r="T2220" s="6"/>
      <c r="U2220" s="6"/>
      <c r="V2220" s="6"/>
      <c r="W2220" s="6"/>
      <c r="X2220" s="6"/>
      <c r="Y2220" s="6"/>
      <c r="Z2220" s="6"/>
    </row>
    <row r="2221" spans="1:26" ht="15.75" customHeight="1" x14ac:dyDescent="0.3">
      <c r="A2221" s="10" t="s">
        <v>250</v>
      </c>
      <c r="B2221" s="10">
        <v>1978</v>
      </c>
      <c r="C2221" s="10" t="s">
        <v>4714</v>
      </c>
      <c r="D2221" s="10">
        <v>5</v>
      </c>
      <c r="E2221" s="10">
        <v>2</v>
      </c>
      <c r="F2221" s="24">
        <v>39352.6</v>
      </c>
      <c r="G2221" s="10" t="s">
        <v>4695</v>
      </c>
      <c r="H2221" s="10" t="s">
        <v>4696</v>
      </c>
      <c r="I2221" s="10" t="s">
        <v>4716</v>
      </c>
      <c r="J2221" s="17">
        <f t="shared" si="16"/>
        <v>28707</v>
      </c>
      <c r="K2221" s="10">
        <f t="shared" ca="1" si="17"/>
        <v>47</v>
      </c>
      <c r="L2221" s="6"/>
      <c r="M2221" s="6"/>
      <c r="N2221" s="6"/>
      <c r="O2221" s="6"/>
      <c r="P2221" s="6"/>
      <c r="Q2221" s="6"/>
      <c r="R2221" s="6"/>
      <c r="S2221" s="6"/>
      <c r="T2221" s="6"/>
      <c r="U2221" s="6"/>
      <c r="V2221" s="6"/>
      <c r="W2221" s="6"/>
      <c r="X2221" s="6"/>
      <c r="Y2221" s="6"/>
      <c r="Z2221" s="6"/>
    </row>
    <row r="2222" spans="1:26" ht="15.75" customHeight="1" x14ac:dyDescent="0.3">
      <c r="A2222" s="10" t="s">
        <v>248</v>
      </c>
      <c r="B2222" s="10">
        <v>1966</v>
      </c>
      <c r="C2222" s="10" t="s">
        <v>4710</v>
      </c>
      <c r="D2222" s="10">
        <v>24</v>
      </c>
      <c r="E2222" s="10">
        <v>0</v>
      </c>
      <c r="F2222" s="24">
        <v>39396.86</v>
      </c>
      <c r="G2222" s="10" t="s">
        <v>4695</v>
      </c>
      <c r="H2222" s="10" t="s">
        <v>4695</v>
      </c>
      <c r="I2222" s="10" t="s">
        <v>4716</v>
      </c>
      <c r="J2222" s="17">
        <f t="shared" si="16"/>
        <v>24282</v>
      </c>
      <c r="K2222" s="10">
        <f t="shared" ca="1" si="17"/>
        <v>59</v>
      </c>
      <c r="L2222" s="6"/>
      <c r="M2222" s="6"/>
      <c r="N2222" s="6"/>
      <c r="O2222" s="6"/>
      <c r="P2222" s="6"/>
      <c r="Q2222" s="6"/>
      <c r="R2222" s="6"/>
      <c r="S2222" s="6"/>
      <c r="T2222" s="6"/>
      <c r="U2222" s="6"/>
      <c r="V2222" s="6"/>
      <c r="W2222" s="6"/>
      <c r="X2222" s="6"/>
      <c r="Y2222" s="6"/>
      <c r="Z2222" s="6"/>
    </row>
    <row r="2223" spans="1:26" ht="15.75" customHeight="1" x14ac:dyDescent="0.3">
      <c r="A2223" s="10" t="s">
        <v>246</v>
      </c>
      <c r="B2223" s="10">
        <v>1978</v>
      </c>
      <c r="C2223" s="10" t="s">
        <v>4707</v>
      </c>
      <c r="D2223" s="10">
        <v>12</v>
      </c>
      <c r="E2223" s="10">
        <v>1</v>
      </c>
      <c r="F2223" s="24">
        <v>39556.49</v>
      </c>
      <c r="G2223" s="10" t="s">
        <v>4694</v>
      </c>
      <c r="H2223" s="10" t="s">
        <v>4695</v>
      </c>
      <c r="I2223" s="10" t="s">
        <v>4718</v>
      </c>
      <c r="J2223" s="17">
        <f t="shared" si="16"/>
        <v>28683</v>
      </c>
      <c r="K2223" s="10">
        <f t="shared" ca="1" si="17"/>
        <v>47</v>
      </c>
      <c r="L2223" s="6"/>
      <c r="M2223" s="6"/>
      <c r="N2223" s="6"/>
      <c r="O2223" s="6"/>
      <c r="P2223" s="6"/>
      <c r="Q2223" s="6"/>
      <c r="R2223" s="6"/>
      <c r="S2223" s="6"/>
      <c r="T2223" s="6"/>
      <c r="U2223" s="6"/>
      <c r="V2223" s="6"/>
      <c r="W2223" s="6"/>
      <c r="X2223" s="6"/>
      <c r="Y2223" s="6"/>
      <c r="Z2223" s="6"/>
    </row>
    <row r="2224" spans="1:26" ht="15.75" customHeight="1" x14ac:dyDescent="0.3">
      <c r="A2224" s="10" t="s">
        <v>244</v>
      </c>
      <c r="B2224" s="10">
        <v>1981</v>
      </c>
      <c r="C2224" s="10" t="s">
        <v>4707</v>
      </c>
      <c r="D2224" s="10">
        <v>5</v>
      </c>
      <c r="E2224" s="10">
        <v>3</v>
      </c>
      <c r="F2224" s="24">
        <v>39597.410000000003</v>
      </c>
      <c r="G2224" s="10" t="s">
        <v>4694</v>
      </c>
      <c r="H2224" s="10" t="s">
        <v>4695</v>
      </c>
      <c r="I2224" s="10" t="s">
        <v>4727</v>
      </c>
      <c r="J2224" s="17">
        <f t="shared" si="16"/>
        <v>29772</v>
      </c>
      <c r="K2224" s="10">
        <f t="shared" ca="1" si="17"/>
        <v>44</v>
      </c>
      <c r="L2224" s="6"/>
      <c r="M2224" s="6"/>
      <c r="N2224" s="6"/>
      <c r="O2224" s="6"/>
      <c r="P2224" s="6"/>
      <c r="Q2224" s="6"/>
      <c r="R2224" s="6"/>
      <c r="S2224" s="6"/>
      <c r="T2224" s="6"/>
      <c r="U2224" s="6"/>
      <c r="V2224" s="6"/>
      <c r="W2224" s="6"/>
      <c r="X2224" s="6"/>
      <c r="Y2224" s="6"/>
      <c r="Z2224" s="6"/>
    </row>
    <row r="2225" spans="1:26" ht="15.75" customHeight="1" x14ac:dyDescent="0.3">
      <c r="A2225" s="10" t="s">
        <v>242</v>
      </c>
      <c r="B2225" s="10">
        <v>1995</v>
      </c>
      <c r="C2225" s="10" t="s">
        <v>4714</v>
      </c>
      <c r="D2225" s="10">
        <v>7</v>
      </c>
      <c r="E2225" s="10">
        <v>0</v>
      </c>
      <c r="F2225" s="24">
        <v>39611.760000000002</v>
      </c>
      <c r="G2225" s="10" t="s">
        <v>4694</v>
      </c>
      <c r="H2225" s="10" t="s">
        <v>4696</v>
      </c>
      <c r="I2225" s="10" t="s">
        <v>4708</v>
      </c>
      <c r="J2225" s="17">
        <f t="shared" si="16"/>
        <v>34918</v>
      </c>
      <c r="K2225" s="10">
        <f t="shared" ca="1" si="17"/>
        <v>30</v>
      </c>
      <c r="L2225" s="6"/>
      <c r="M2225" s="6"/>
      <c r="N2225" s="6"/>
      <c r="O2225" s="6"/>
      <c r="P2225" s="6"/>
      <c r="Q2225" s="6"/>
      <c r="R2225" s="6"/>
      <c r="S2225" s="6"/>
      <c r="T2225" s="6"/>
      <c r="U2225" s="6"/>
      <c r="V2225" s="6"/>
      <c r="W2225" s="6"/>
      <c r="X2225" s="6"/>
      <c r="Y2225" s="6"/>
      <c r="Z2225" s="6"/>
    </row>
    <row r="2226" spans="1:26" ht="15.75" customHeight="1" x14ac:dyDescent="0.3">
      <c r="A2226" s="10" t="s">
        <v>240</v>
      </c>
      <c r="B2226" s="10">
        <v>1977</v>
      </c>
      <c r="C2226" s="10" t="s">
        <v>4713</v>
      </c>
      <c r="D2226" s="10">
        <v>17</v>
      </c>
      <c r="E2226" s="10">
        <v>2</v>
      </c>
      <c r="F2226" s="24">
        <v>39670.44</v>
      </c>
      <c r="G2226" s="10" t="s">
        <v>4695</v>
      </c>
      <c r="H2226" s="10" t="s">
        <v>4694</v>
      </c>
      <c r="I2226" s="10" t="s">
        <v>4712</v>
      </c>
      <c r="J2226" s="17">
        <f t="shared" si="16"/>
        <v>28476</v>
      </c>
      <c r="K2226" s="10">
        <f t="shared" ca="1" si="17"/>
        <v>47</v>
      </c>
      <c r="L2226" s="6"/>
      <c r="M2226" s="6"/>
      <c r="N2226" s="6"/>
      <c r="O2226" s="6"/>
      <c r="P2226" s="6"/>
      <c r="Q2226" s="6"/>
      <c r="R2226" s="6"/>
      <c r="S2226" s="6"/>
      <c r="T2226" s="6"/>
      <c r="U2226" s="6"/>
      <c r="V2226" s="6"/>
      <c r="W2226" s="6"/>
      <c r="X2226" s="6"/>
      <c r="Y2226" s="6"/>
      <c r="Z2226" s="6"/>
    </row>
    <row r="2227" spans="1:26" ht="15.75" customHeight="1" x14ac:dyDescent="0.3">
      <c r="A2227" s="10" t="s">
        <v>238</v>
      </c>
      <c r="B2227" s="10">
        <v>1968</v>
      </c>
      <c r="C2227" s="10" t="s">
        <v>4711</v>
      </c>
      <c r="D2227" s="10">
        <v>29</v>
      </c>
      <c r="E2227" s="10">
        <v>0</v>
      </c>
      <c r="F2227" s="24">
        <v>39721.93</v>
      </c>
      <c r="G2227" s="10" t="s">
        <v>4695</v>
      </c>
      <c r="H2227" s="10" t="s">
        <v>4695</v>
      </c>
      <c r="I2227" s="10" t="s">
        <v>4716</v>
      </c>
      <c r="J2227" s="17">
        <f t="shared" si="16"/>
        <v>25110</v>
      </c>
      <c r="K2227" s="10">
        <f t="shared" ca="1" si="17"/>
        <v>57</v>
      </c>
      <c r="L2227" s="6"/>
      <c r="M2227" s="6"/>
      <c r="N2227" s="6"/>
      <c r="O2227" s="6"/>
      <c r="P2227" s="6"/>
      <c r="Q2227" s="6"/>
      <c r="R2227" s="6"/>
      <c r="S2227" s="6"/>
      <c r="T2227" s="6"/>
      <c r="U2227" s="6"/>
      <c r="V2227" s="6"/>
      <c r="W2227" s="6"/>
      <c r="X2227" s="6"/>
      <c r="Y2227" s="6"/>
      <c r="Z2227" s="6"/>
    </row>
    <row r="2228" spans="1:26" ht="15.75" customHeight="1" x14ac:dyDescent="0.3">
      <c r="A2228" s="10" t="s">
        <v>236</v>
      </c>
      <c r="B2228" s="10">
        <v>2003</v>
      </c>
      <c r="C2228" s="10" t="s">
        <v>4707</v>
      </c>
      <c r="D2228" s="10">
        <v>16</v>
      </c>
      <c r="E2228" s="10">
        <v>0</v>
      </c>
      <c r="F2228" s="24">
        <v>39722.75</v>
      </c>
      <c r="G2228" s="10" t="s">
        <v>4694</v>
      </c>
      <c r="H2228" s="10" t="s">
        <v>4694</v>
      </c>
      <c r="I2228" s="10" t="s">
        <v>4708</v>
      </c>
      <c r="J2228" s="17">
        <f t="shared" si="16"/>
        <v>37818</v>
      </c>
      <c r="K2228" s="10">
        <f t="shared" ca="1" si="17"/>
        <v>22</v>
      </c>
      <c r="L2228" s="6"/>
      <c r="M2228" s="6"/>
      <c r="N2228" s="6"/>
      <c r="O2228" s="6"/>
      <c r="P2228" s="6"/>
      <c r="Q2228" s="6"/>
      <c r="R2228" s="6"/>
      <c r="S2228" s="6"/>
      <c r="T2228" s="6"/>
      <c r="U2228" s="6"/>
      <c r="V2228" s="6"/>
      <c r="W2228" s="6"/>
      <c r="X2228" s="6"/>
      <c r="Y2228" s="6"/>
      <c r="Z2228" s="6"/>
    </row>
    <row r="2229" spans="1:26" ht="15.75" customHeight="1" x14ac:dyDescent="0.3">
      <c r="A2229" s="10" t="s">
        <v>234</v>
      </c>
      <c r="B2229" s="10">
        <v>1977</v>
      </c>
      <c r="C2229" s="10" t="s">
        <v>4714</v>
      </c>
      <c r="D2229" s="10">
        <v>12</v>
      </c>
      <c r="E2229" s="10">
        <v>1</v>
      </c>
      <c r="F2229" s="24">
        <v>39725.519999999997</v>
      </c>
      <c r="G2229" s="10" t="s">
        <v>4695</v>
      </c>
      <c r="H2229" s="10" t="s">
        <v>4694</v>
      </c>
      <c r="I2229" s="10" t="s">
        <v>4712</v>
      </c>
      <c r="J2229" s="17">
        <f t="shared" si="16"/>
        <v>28349</v>
      </c>
      <c r="K2229" s="10">
        <f t="shared" ca="1" si="17"/>
        <v>48</v>
      </c>
      <c r="L2229" s="6"/>
      <c r="M2229" s="6"/>
      <c r="N2229" s="6"/>
      <c r="O2229" s="6"/>
      <c r="P2229" s="6"/>
      <c r="Q2229" s="6"/>
      <c r="R2229" s="6"/>
      <c r="S2229" s="6"/>
      <c r="T2229" s="6"/>
      <c r="U2229" s="6"/>
      <c r="V2229" s="6"/>
      <c r="W2229" s="6"/>
      <c r="X2229" s="6"/>
      <c r="Y2229" s="6"/>
      <c r="Z2229" s="6"/>
    </row>
    <row r="2230" spans="1:26" ht="15.75" customHeight="1" x14ac:dyDescent="0.3">
      <c r="A2230" s="10" t="s">
        <v>232</v>
      </c>
      <c r="B2230" s="10">
        <v>1973</v>
      </c>
      <c r="C2230" s="10" t="s">
        <v>4713</v>
      </c>
      <c r="D2230" s="10">
        <v>17</v>
      </c>
      <c r="E2230" s="10">
        <v>0</v>
      </c>
      <c r="F2230" s="24">
        <v>39727.61</v>
      </c>
      <c r="G2230" s="10" t="s">
        <v>4694</v>
      </c>
      <c r="H2230" s="10" t="s">
        <v>4695</v>
      </c>
      <c r="I2230" s="10" t="s">
        <v>4716</v>
      </c>
      <c r="J2230" s="17">
        <f t="shared" si="16"/>
        <v>27015</v>
      </c>
      <c r="K2230" s="10">
        <f t="shared" ca="1" si="17"/>
        <v>51</v>
      </c>
      <c r="L2230" s="6"/>
      <c r="M2230" s="6"/>
      <c r="N2230" s="6"/>
      <c r="O2230" s="6"/>
      <c r="P2230" s="6"/>
      <c r="Q2230" s="6"/>
      <c r="R2230" s="6"/>
      <c r="S2230" s="6"/>
      <c r="T2230" s="6"/>
      <c r="U2230" s="6"/>
      <c r="V2230" s="6"/>
      <c r="W2230" s="6"/>
      <c r="X2230" s="6"/>
      <c r="Y2230" s="6"/>
      <c r="Z2230" s="6"/>
    </row>
    <row r="2231" spans="1:26" ht="15.75" customHeight="1" x14ac:dyDescent="0.3">
      <c r="A2231" s="10" t="s">
        <v>230</v>
      </c>
      <c r="B2231" s="10">
        <v>1987</v>
      </c>
      <c r="C2231" s="10" t="s">
        <v>4707</v>
      </c>
      <c r="D2231" s="10">
        <v>24</v>
      </c>
      <c r="E2231" s="10">
        <v>1</v>
      </c>
      <c r="F2231" s="24">
        <v>39774.28</v>
      </c>
      <c r="G2231" s="10" t="s">
        <v>4694</v>
      </c>
      <c r="H2231" s="10" t="s">
        <v>4694</v>
      </c>
      <c r="I2231" s="10" t="s">
        <v>4725</v>
      </c>
      <c r="J2231" s="17">
        <f t="shared" si="16"/>
        <v>31982</v>
      </c>
      <c r="K2231" s="10">
        <f t="shared" ca="1" si="17"/>
        <v>38</v>
      </c>
      <c r="L2231" s="6"/>
      <c r="M2231" s="6"/>
      <c r="N2231" s="6"/>
      <c r="O2231" s="6"/>
      <c r="P2231" s="6"/>
      <c r="Q2231" s="6"/>
      <c r="R2231" s="6"/>
      <c r="S2231" s="6"/>
      <c r="T2231" s="6"/>
      <c r="U2231" s="6"/>
      <c r="V2231" s="6"/>
      <c r="W2231" s="6"/>
      <c r="X2231" s="6"/>
      <c r="Y2231" s="6"/>
      <c r="Z2231" s="6"/>
    </row>
    <row r="2232" spans="1:26" ht="15.75" customHeight="1" x14ac:dyDescent="0.3">
      <c r="A2232" s="10" t="s">
        <v>228</v>
      </c>
      <c r="B2232" s="10">
        <v>1985</v>
      </c>
      <c r="C2232" s="10" t="s">
        <v>4707</v>
      </c>
      <c r="D2232" s="10">
        <v>17</v>
      </c>
      <c r="E2232" s="10">
        <v>2</v>
      </c>
      <c r="F2232" s="24">
        <v>39836.519999999997</v>
      </c>
      <c r="G2232" s="10" t="s">
        <v>4695</v>
      </c>
      <c r="H2232" s="10" t="s">
        <v>4694</v>
      </c>
      <c r="I2232" s="10" t="s">
        <v>4716</v>
      </c>
      <c r="J2232" s="17">
        <f t="shared" si="16"/>
        <v>31245</v>
      </c>
      <c r="K2232" s="10">
        <f t="shared" ca="1" si="17"/>
        <v>40</v>
      </c>
      <c r="L2232" s="6"/>
      <c r="M2232" s="6"/>
      <c r="N2232" s="6"/>
      <c r="O2232" s="6"/>
      <c r="P2232" s="6"/>
      <c r="Q2232" s="6"/>
      <c r="R2232" s="6"/>
      <c r="S2232" s="6"/>
      <c r="T2232" s="6"/>
      <c r="U2232" s="6"/>
      <c r="V2232" s="6"/>
      <c r="W2232" s="6"/>
      <c r="X2232" s="6"/>
      <c r="Y2232" s="6"/>
      <c r="Z2232" s="6"/>
    </row>
    <row r="2233" spans="1:26" ht="15.75" customHeight="1" x14ac:dyDescent="0.3">
      <c r="A2233" s="10" t="s">
        <v>226</v>
      </c>
      <c r="B2233" s="10">
        <v>1983</v>
      </c>
      <c r="C2233" s="10" t="s">
        <v>4710</v>
      </c>
      <c r="D2233" s="10">
        <v>1</v>
      </c>
      <c r="E2233" s="10">
        <v>3</v>
      </c>
      <c r="F2233" s="24">
        <v>39865.699999999997</v>
      </c>
      <c r="G2233" s="10" t="s">
        <v>4695</v>
      </c>
      <c r="H2233" s="10" t="s">
        <v>4695</v>
      </c>
      <c r="I2233" s="10" t="s">
        <v>4716</v>
      </c>
      <c r="J2233" s="17">
        <f t="shared" si="16"/>
        <v>30468</v>
      </c>
      <c r="K2233" s="10">
        <f t="shared" ca="1" si="17"/>
        <v>42</v>
      </c>
      <c r="L2233" s="6"/>
      <c r="M2233" s="6"/>
      <c r="N2233" s="6"/>
      <c r="O2233" s="6"/>
      <c r="P2233" s="6"/>
      <c r="Q2233" s="6"/>
      <c r="R2233" s="6"/>
      <c r="S2233" s="6"/>
      <c r="T2233" s="6"/>
      <c r="U2233" s="6"/>
      <c r="V2233" s="6"/>
      <c r="W2233" s="6"/>
      <c r="X2233" s="6"/>
      <c r="Y2233" s="6"/>
      <c r="Z2233" s="6"/>
    </row>
    <row r="2234" spans="1:26" ht="15.75" customHeight="1" x14ac:dyDescent="0.3">
      <c r="A2234" s="10" t="s">
        <v>224</v>
      </c>
      <c r="B2234" s="10">
        <v>1985</v>
      </c>
      <c r="C2234" s="10" t="s">
        <v>4714</v>
      </c>
      <c r="D2234" s="10">
        <v>22</v>
      </c>
      <c r="E2234" s="10">
        <v>1</v>
      </c>
      <c r="F2234" s="24">
        <v>39871.699999999997</v>
      </c>
      <c r="G2234" s="10" t="s">
        <v>4694</v>
      </c>
      <c r="H2234" s="10" t="s">
        <v>4695</v>
      </c>
      <c r="I2234" s="10" t="s">
        <v>4708</v>
      </c>
      <c r="J2234" s="17">
        <f t="shared" si="16"/>
        <v>31281</v>
      </c>
      <c r="K2234" s="10">
        <f t="shared" ca="1" si="17"/>
        <v>40</v>
      </c>
      <c r="L2234" s="6"/>
      <c r="M2234" s="6"/>
      <c r="N2234" s="6"/>
      <c r="O2234" s="6"/>
      <c r="P2234" s="6"/>
      <c r="Q2234" s="6"/>
      <c r="R2234" s="6"/>
      <c r="S2234" s="6"/>
      <c r="T2234" s="6"/>
      <c r="U2234" s="6"/>
      <c r="V2234" s="6"/>
      <c r="W2234" s="6"/>
      <c r="X2234" s="6"/>
      <c r="Y2234" s="6"/>
      <c r="Z2234" s="6"/>
    </row>
    <row r="2235" spans="1:26" ht="15.75" customHeight="1" x14ac:dyDescent="0.3">
      <c r="A2235" s="10" t="s">
        <v>222</v>
      </c>
      <c r="B2235" s="10">
        <v>1975</v>
      </c>
      <c r="C2235" s="10" t="s">
        <v>4713</v>
      </c>
      <c r="D2235" s="10">
        <v>2</v>
      </c>
      <c r="E2235" s="10">
        <v>1</v>
      </c>
      <c r="F2235" s="24">
        <v>39963.120000000003</v>
      </c>
      <c r="G2235" s="10" t="s">
        <v>4695</v>
      </c>
      <c r="H2235" s="10" t="s">
        <v>4695</v>
      </c>
      <c r="I2235" s="10" t="s">
        <v>4716</v>
      </c>
      <c r="J2235" s="17">
        <f t="shared" si="16"/>
        <v>27730</v>
      </c>
      <c r="K2235" s="10">
        <f t="shared" ca="1" si="17"/>
        <v>49</v>
      </c>
      <c r="L2235" s="6"/>
      <c r="M2235" s="6"/>
      <c r="N2235" s="6"/>
      <c r="O2235" s="6"/>
      <c r="P2235" s="6"/>
      <c r="Q2235" s="6"/>
      <c r="R2235" s="6"/>
      <c r="S2235" s="6"/>
      <c r="T2235" s="6"/>
      <c r="U2235" s="6"/>
      <c r="V2235" s="6"/>
      <c r="W2235" s="6"/>
      <c r="X2235" s="6"/>
      <c r="Y2235" s="6"/>
      <c r="Z2235" s="6"/>
    </row>
    <row r="2236" spans="1:26" ht="15.75" customHeight="1" x14ac:dyDescent="0.3">
      <c r="A2236" s="10" t="s">
        <v>220</v>
      </c>
      <c r="B2236" s="10">
        <v>1987</v>
      </c>
      <c r="C2236" s="10" t="s">
        <v>4714</v>
      </c>
      <c r="D2236" s="10">
        <v>8</v>
      </c>
      <c r="E2236" s="10">
        <v>3</v>
      </c>
      <c r="F2236" s="24">
        <v>39983.43</v>
      </c>
      <c r="G2236" s="10" t="s">
        <v>4695</v>
      </c>
      <c r="H2236" s="10" t="s">
        <v>4696</v>
      </c>
      <c r="I2236" s="10" t="s">
        <v>4712</v>
      </c>
      <c r="J2236" s="17">
        <f t="shared" si="16"/>
        <v>31997</v>
      </c>
      <c r="K2236" s="10">
        <f t="shared" ca="1" si="17"/>
        <v>38</v>
      </c>
      <c r="L2236" s="6"/>
      <c r="M2236" s="6"/>
      <c r="N2236" s="6"/>
      <c r="O2236" s="6"/>
      <c r="P2236" s="6"/>
      <c r="Q2236" s="6"/>
      <c r="R2236" s="6"/>
      <c r="S2236" s="6"/>
      <c r="T2236" s="6"/>
      <c r="U2236" s="6"/>
      <c r="V2236" s="6"/>
      <c r="W2236" s="6"/>
      <c r="X2236" s="6"/>
      <c r="Y2236" s="6"/>
      <c r="Z2236" s="6"/>
    </row>
    <row r="2237" spans="1:26" ht="15.75" customHeight="1" x14ac:dyDescent="0.3">
      <c r="A2237" s="10" t="s">
        <v>218</v>
      </c>
      <c r="B2237" s="10">
        <v>1982</v>
      </c>
      <c r="C2237" s="10" t="s">
        <v>4713</v>
      </c>
      <c r="D2237" s="10">
        <v>25</v>
      </c>
      <c r="E2237" s="10">
        <v>2</v>
      </c>
      <c r="F2237" s="24">
        <v>40003.33</v>
      </c>
      <c r="G2237" s="10" t="s">
        <v>4694</v>
      </c>
      <c r="H2237" s="10" t="s">
        <v>4694</v>
      </c>
      <c r="I2237" s="10" t="s">
        <v>4712</v>
      </c>
      <c r="J2237" s="17">
        <f t="shared" si="16"/>
        <v>30310</v>
      </c>
      <c r="K2237" s="10">
        <f t="shared" ca="1" si="17"/>
        <v>42</v>
      </c>
      <c r="L2237" s="6"/>
      <c r="M2237" s="6"/>
      <c r="N2237" s="6"/>
      <c r="O2237" s="6"/>
      <c r="P2237" s="6"/>
      <c r="Q2237" s="6"/>
      <c r="R2237" s="6"/>
      <c r="S2237" s="6"/>
      <c r="T2237" s="6"/>
      <c r="U2237" s="6"/>
      <c r="V2237" s="6"/>
      <c r="W2237" s="6"/>
      <c r="X2237" s="6"/>
      <c r="Y2237" s="6"/>
      <c r="Z2237" s="6"/>
    </row>
    <row r="2238" spans="1:26" ht="15.75" customHeight="1" x14ac:dyDescent="0.3">
      <c r="A2238" s="10" t="s">
        <v>216</v>
      </c>
      <c r="B2238" s="10">
        <v>1978</v>
      </c>
      <c r="C2238" s="10" t="s">
        <v>4713</v>
      </c>
      <c r="D2238" s="10">
        <v>20</v>
      </c>
      <c r="E2238" s="10">
        <v>2</v>
      </c>
      <c r="F2238" s="24">
        <v>40054.730000000003</v>
      </c>
      <c r="G2238" s="10" t="s">
        <v>4694</v>
      </c>
      <c r="H2238" s="10" t="s">
        <v>4696</v>
      </c>
      <c r="I2238" s="10" t="s">
        <v>4716</v>
      </c>
      <c r="J2238" s="17">
        <f t="shared" si="16"/>
        <v>28844</v>
      </c>
      <c r="K2238" s="10">
        <f t="shared" ca="1" si="17"/>
        <v>46</v>
      </c>
      <c r="L2238" s="6"/>
      <c r="M2238" s="6"/>
      <c r="N2238" s="6"/>
      <c r="O2238" s="6"/>
      <c r="P2238" s="6"/>
      <c r="Q2238" s="6"/>
      <c r="R2238" s="6"/>
      <c r="S2238" s="6"/>
      <c r="T2238" s="6"/>
      <c r="U2238" s="6"/>
      <c r="V2238" s="6"/>
      <c r="W2238" s="6"/>
      <c r="X2238" s="6"/>
      <c r="Y2238" s="6"/>
      <c r="Z2238" s="6"/>
    </row>
    <row r="2239" spans="1:26" ht="15.75" customHeight="1" x14ac:dyDescent="0.3">
      <c r="A2239" s="10" t="s">
        <v>214</v>
      </c>
      <c r="B2239" s="10">
        <v>1966</v>
      </c>
      <c r="C2239" s="10" t="s">
        <v>4714</v>
      </c>
      <c r="D2239" s="10">
        <v>12</v>
      </c>
      <c r="E2239" s="10">
        <v>0</v>
      </c>
      <c r="F2239" s="24">
        <v>40069.440000000002</v>
      </c>
      <c r="G2239" s="10" t="s">
        <v>4694</v>
      </c>
      <c r="H2239" s="10" t="s">
        <v>4696</v>
      </c>
      <c r="I2239" s="10" t="s">
        <v>4716</v>
      </c>
      <c r="J2239" s="17">
        <f t="shared" si="16"/>
        <v>24331</v>
      </c>
      <c r="K2239" s="10">
        <f t="shared" ca="1" si="17"/>
        <v>59</v>
      </c>
      <c r="L2239" s="6"/>
      <c r="M2239" s="6"/>
      <c r="N2239" s="6"/>
      <c r="O2239" s="6"/>
      <c r="P2239" s="6"/>
      <c r="Q2239" s="6"/>
      <c r="R2239" s="6"/>
      <c r="S2239" s="6"/>
      <c r="T2239" s="6"/>
      <c r="U2239" s="6"/>
      <c r="V2239" s="6"/>
      <c r="W2239" s="6"/>
      <c r="X2239" s="6"/>
      <c r="Y2239" s="6"/>
      <c r="Z2239" s="6"/>
    </row>
    <row r="2240" spans="1:26" ht="15.75" customHeight="1" x14ac:dyDescent="0.3">
      <c r="A2240" s="10" t="s">
        <v>212</v>
      </c>
      <c r="B2240" s="10">
        <v>1983</v>
      </c>
      <c r="C2240" s="10" t="s">
        <v>4715</v>
      </c>
      <c r="D2240" s="10">
        <v>14</v>
      </c>
      <c r="E2240" s="10">
        <v>2</v>
      </c>
      <c r="F2240" s="24">
        <v>40103.89</v>
      </c>
      <c r="G2240" s="10" t="s">
        <v>4694</v>
      </c>
      <c r="H2240" s="10" t="s">
        <v>4695</v>
      </c>
      <c r="I2240" s="10" t="s">
        <v>4716</v>
      </c>
      <c r="J2240" s="17">
        <f t="shared" si="16"/>
        <v>30603</v>
      </c>
      <c r="K2240" s="10">
        <f t="shared" ca="1" si="17"/>
        <v>42</v>
      </c>
      <c r="L2240" s="6"/>
      <c r="M2240" s="6"/>
      <c r="N2240" s="6"/>
      <c r="O2240" s="6"/>
      <c r="P2240" s="6"/>
      <c r="Q2240" s="6"/>
      <c r="R2240" s="6"/>
      <c r="S2240" s="6"/>
      <c r="T2240" s="6"/>
      <c r="U2240" s="6"/>
      <c r="V2240" s="6"/>
      <c r="W2240" s="6"/>
      <c r="X2240" s="6"/>
      <c r="Y2240" s="6"/>
      <c r="Z2240" s="6"/>
    </row>
    <row r="2241" spans="1:26" ht="15.75" customHeight="1" x14ac:dyDescent="0.3">
      <c r="A2241" s="10" t="s">
        <v>210</v>
      </c>
      <c r="B2241" s="10">
        <v>1985</v>
      </c>
      <c r="C2241" s="10" t="s">
        <v>4715</v>
      </c>
      <c r="D2241" s="10">
        <v>21</v>
      </c>
      <c r="E2241" s="10">
        <v>4</v>
      </c>
      <c r="F2241" s="24">
        <v>40182.25</v>
      </c>
      <c r="G2241" s="10" t="s">
        <v>4694</v>
      </c>
      <c r="H2241" s="10" t="s">
        <v>4695</v>
      </c>
      <c r="I2241" s="10" t="s">
        <v>4716</v>
      </c>
      <c r="J2241" s="17">
        <f t="shared" si="16"/>
        <v>31341</v>
      </c>
      <c r="K2241" s="10">
        <f t="shared" ca="1" si="17"/>
        <v>40</v>
      </c>
      <c r="L2241" s="6"/>
      <c r="M2241" s="6"/>
      <c r="N2241" s="6"/>
      <c r="O2241" s="6"/>
      <c r="P2241" s="6"/>
      <c r="Q2241" s="6"/>
      <c r="R2241" s="6"/>
      <c r="S2241" s="6"/>
      <c r="T2241" s="6"/>
      <c r="U2241" s="6"/>
      <c r="V2241" s="6"/>
      <c r="W2241" s="6"/>
      <c r="X2241" s="6"/>
      <c r="Y2241" s="6"/>
      <c r="Z2241" s="6"/>
    </row>
    <row r="2242" spans="1:26" ht="15.75" customHeight="1" x14ac:dyDescent="0.3">
      <c r="A2242" s="10" t="s">
        <v>208</v>
      </c>
      <c r="B2242" s="10">
        <v>1979</v>
      </c>
      <c r="C2242" s="10" t="s">
        <v>4714</v>
      </c>
      <c r="D2242" s="10">
        <v>18</v>
      </c>
      <c r="E2242" s="10">
        <v>2</v>
      </c>
      <c r="F2242" s="24">
        <v>40204.83</v>
      </c>
      <c r="G2242" s="10" t="s">
        <v>4694</v>
      </c>
      <c r="H2242" s="10" t="s">
        <v>4696</v>
      </c>
      <c r="I2242" s="10" t="s">
        <v>4712</v>
      </c>
      <c r="J2242" s="17">
        <f t="shared" si="16"/>
        <v>29085</v>
      </c>
      <c r="K2242" s="10">
        <f t="shared" ca="1" si="17"/>
        <v>46</v>
      </c>
      <c r="L2242" s="6"/>
      <c r="M2242" s="6"/>
      <c r="N2242" s="6"/>
      <c r="O2242" s="6"/>
      <c r="P2242" s="6"/>
      <c r="Q2242" s="6"/>
      <c r="R2242" s="6"/>
      <c r="S2242" s="6"/>
      <c r="T2242" s="6"/>
      <c r="U2242" s="6"/>
      <c r="V2242" s="6"/>
      <c r="W2242" s="6"/>
      <c r="X2242" s="6"/>
      <c r="Y2242" s="6"/>
      <c r="Z2242" s="6"/>
    </row>
    <row r="2243" spans="1:26" ht="15.75" customHeight="1" x14ac:dyDescent="0.3">
      <c r="A2243" s="10" t="s">
        <v>206</v>
      </c>
      <c r="B2243" s="10">
        <v>1981</v>
      </c>
      <c r="C2243" s="10" t="s">
        <v>4707</v>
      </c>
      <c r="D2243" s="10">
        <v>28</v>
      </c>
      <c r="E2243" s="10">
        <v>1</v>
      </c>
      <c r="F2243" s="24">
        <v>40208.559999999998</v>
      </c>
      <c r="G2243" s="10" t="s">
        <v>4694</v>
      </c>
      <c r="H2243" s="10" t="s">
        <v>4695</v>
      </c>
      <c r="I2243" s="10" t="s">
        <v>4716</v>
      </c>
      <c r="J2243" s="17">
        <f t="shared" si="16"/>
        <v>29795</v>
      </c>
      <c r="K2243" s="10">
        <f t="shared" ca="1" si="17"/>
        <v>44</v>
      </c>
      <c r="L2243" s="6"/>
      <c r="M2243" s="6"/>
      <c r="N2243" s="6"/>
      <c r="O2243" s="6"/>
      <c r="P2243" s="6"/>
      <c r="Q2243" s="6"/>
      <c r="R2243" s="6"/>
      <c r="S2243" s="6"/>
      <c r="T2243" s="6"/>
      <c r="U2243" s="6"/>
      <c r="V2243" s="6"/>
      <c r="W2243" s="6"/>
      <c r="X2243" s="6"/>
      <c r="Y2243" s="6"/>
      <c r="Z2243" s="6"/>
    </row>
    <row r="2244" spans="1:26" ht="15.75" customHeight="1" x14ac:dyDescent="0.3">
      <c r="A2244" s="10" t="s">
        <v>204</v>
      </c>
      <c r="B2244" s="10">
        <v>1981</v>
      </c>
      <c r="C2244" s="10" t="s">
        <v>4715</v>
      </c>
      <c r="D2244" s="10">
        <v>4</v>
      </c>
      <c r="E2244" s="10">
        <v>1</v>
      </c>
      <c r="F2244" s="24">
        <v>40273.65</v>
      </c>
      <c r="G2244" s="10" t="s">
        <v>4694</v>
      </c>
      <c r="H2244" s="10" t="s">
        <v>4696</v>
      </c>
      <c r="I2244" s="10" t="s">
        <v>4708</v>
      </c>
      <c r="J2244" s="17">
        <f t="shared" si="16"/>
        <v>29863</v>
      </c>
      <c r="K2244" s="10">
        <f t="shared" ca="1" si="17"/>
        <v>44</v>
      </c>
      <c r="L2244" s="6"/>
      <c r="M2244" s="6"/>
      <c r="N2244" s="6"/>
      <c r="O2244" s="6"/>
      <c r="P2244" s="6"/>
      <c r="Q2244" s="6"/>
      <c r="R2244" s="6"/>
      <c r="S2244" s="6"/>
      <c r="T2244" s="6"/>
      <c r="U2244" s="6"/>
      <c r="V2244" s="6"/>
      <c r="W2244" s="6"/>
      <c r="X2244" s="6"/>
      <c r="Y2244" s="6"/>
      <c r="Z2244" s="6"/>
    </row>
    <row r="2245" spans="1:26" ht="15.75" customHeight="1" x14ac:dyDescent="0.3">
      <c r="A2245" s="10" t="s">
        <v>202</v>
      </c>
      <c r="B2245" s="10">
        <v>1977</v>
      </c>
      <c r="C2245" s="10" t="s">
        <v>4710</v>
      </c>
      <c r="D2245" s="10">
        <v>27</v>
      </c>
      <c r="E2245" s="10">
        <v>2</v>
      </c>
      <c r="F2245" s="24">
        <v>40284.379999999997</v>
      </c>
      <c r="G2245" s="10" t="s">
        <v>4694</v>
      </c>
      <c r="H2245" s="10" t="s">
        <v>4696</v>
      </c>
      <c r="I2245" s="10" t="s">
        <v>4712</v>
      </c>
      <c r="J2245" s="17">
        <f t="shared" si="16"/>
        <v>28303</v>
      </c>
      <c r="K2245" s="10">
        <f t="shared" ca="1" si="17"/>
        <v>48</v>
      </c>
      <c r="L2245" s="6"/>
      <c r="M2245" s="6"/>
      <c r="N2245" s="6"/>
      <c r="O2245" s="6"/>
      <c r="P2245" s="6"/>
      <c r="Q2245" s="6"/>
      <c r="R2245" s="6"/>
      <c r="S2245" s="6"/>
      <c r="T2245" s="6"/>
      <c r="U2245" s="6"/>
      <c r="V2245" s="6"/>
      <c r="W2245" s="6"/>
      <c r="X2245" s="6"/>
      <c r="Y2245" s="6"/>
      <c r="Z2245" s="6"/>
    </row>
    <row r="2246" spans="1:26" ht="15.75" customHeight="1" x14ac:dyDescent="0.3">
      <c r="A2246" s="10" t="s">
        <v>200</v>
      </c>
      <c r="B2246" s="10">
        <v>1962</v>
      </c>
      <c r="C2246" s="10" t="s">
        <v>4711</v>
      </c>
      <c r="D2246" s="10">
        <v>4</v>
      </c>
      <c r="E2246" s="10">
        <v>0</v>
      </c>
      <c r="F2246" s="24">
        <v>40309.93</v>
      </c>
      <c r="G2246" s="10" t="s">
        <v>4694</v>
      </c>
      <c r="H2246" s="10" t="s">
        <v>4696</v>
      </c>
      <c r="I2246" s="10" t="s">
        <v>4716</v>
      </c>
      <c r="J2246" s="17">
        <f t="shared" si="16"/>
        <v>22893</v>
      </c>
      <c r="K2246" s="10">
        <f t="shared" ca="1" si="17"/>
        <v>63</v>
      </c>
      <c r="L2246" s="6"/>
      <c r="M2246" s="6"/>
      <c r="N2246" s="6"/>
      <c r="O2246" s="6"/>
      <c r="P2246" s="6"/>
      <c r="Q2246" s="6"/>
      <c r="R2246" s="6"/>
      <c r="S2246" s="6"/>
      <c r="T2246" s="6"/>
      <c r="U2246" s="6"/>
      <c r="V2246" s="6"/>
      <c r="W2246" s="6"/>
      <c r="X2246" s="6"/>
      <c r="Y2246" s="6"/>
      <c r="Z2246" s="6"/>
    </row>
    <row r="2247" spans="1:26" ht="15.75" customHeight="1" x14ac:dyDescent="0.3">
      <c r="A2247" s="10" t="s">
        <v>198</v>
      </c>
      <c r="B2247" s="10">
        <v>1966</v>
      </c>
      <c r="C2247" s="10" t="s">
        <v>4714</v>
      </c>
      <c r="D2247" s="10">
        <v>12</v>
      </c>
      <c r="E2247" s="10">
        <v>0</v>
      </c>
      <c r="F2247" s="24">
        <v>40373.74</v>
      </c>
      <c r="G2247" s="10" t="s">
        <v>4694</v>
      </c>
      <c r="H2247" s="10" t="s">
        <v>4696</v>
      </c>
      <c r="I2247" s="10" t="s">
        <v>4716</v>
      </c>
      <c r="J2247" s="17">
        <f t="shared" si="16"/>
        <v>24331</v>
      </c>
      <c r="K2247" s="10">
        <f t="shared" ca="1" si="17"/>
        <v>59</v>
      </c>
      <c r="L2247" s="6"/>
      <c r="M2247" s="6"/>
      <c r="N2247" s="6"/>
      <c r="O2247" s="6"/>
      <c r="P2247" s="6"/>
      <c r="Q2247" s="6"/>
      <c r="R2247" s="6"/>
      <c r="S2247" s="6"/>
      <c r="T2247" s="6"/>
      <c r="U2247" s="6"/>
      <c r="V2247" s="6"/>
      <c r="W2247" s="6"/>
      <c r="X2247" s="6"/>
      <c r="Y2247" s="6"/>
      <c r="Z2247" s="6"/>
    </row>
    <row r="2248" spans="1:26" ht="15.75" customHeight="1" x14ac:dyDescent="0.3">
      <c r="A2248" s="10" t="s">
        <v>196</v>
      </c>
      <c r="B2248" s="10">
        <v>1985</v>
      </c>
      <c r="C2248" s="10" t="s">
        <v>4709</v>
      </c>
      <c r="D2248" s="10">
        <v>3</v>
      </c>
      <c r="E2248" s="10">
        <v>0</v>
      </c>
      <c r="F2248" s="24">
        <v>40419.019999999997</v>
      </c>
      <c r="G2248" s="10" t="s">
        <v>4694</v>
      </c>
      <c r="H2248" s="10" t="s">
        <v>4695</v>
      </c>
      <c r="I2248" s="10" t="s">
        <v>4708</v>
      </c>
      <c r="J2248" s="17">
        <f t="shared" si="16"/>
        <v>31354</v>
      </c>
      <c r="K2248" s="10">
        <f t="shared" ca="1" si="17"/>
        <v>40</v>
      </c>
      <c r="L2248" s="6"/>
      <c r="M2248" s="6"/>
      <c r="N2248" s="6"/>
      <c r="O2248" s="6"/>
      <c r="P2248" s="6"/>
      <c r="Q2248" s="6"/>
      <c r="R2248" s="6"/>
      <c r="S2248" s="6"/>
      <c r="T2248" s="6"/>
      <c r="U2248" s="6"/>
      <c r="V2248" s="6"/>
      <c r="W2248" s="6"/>
      <c r="X2248" s="6"/>
      <c r="Y2248" s="6"/>
      <c r="Z2248" s="6"/>
    </row>
    <row r="2249" spans="1:26" ht="15.75" customHeight="1" x14ac:dyDescent="0.3">
      <c r="A2249" s="10" t="s">
        <v>194</v>
      </c>
      <c r="B2249" s="10">
        <v>1975</v>
      </c>
      <c r="C2249" s="10" t="s">
        <v>4707</v>
      </c>
      <c r="D2249" s="10">
        <v>10</v>
      </c>
      <c r="E2249" s="10">
        <v>1</v>
      </c>
      <c r="F2249" s="24">
        <v>40590.550000000003</v>
      </c>
      <c r="G2249" s="10" t="s">
        <v>4694</v>
      </c>
      <c r="H2249" s="10" t="s">
        <v>4696</v>
      </c>
      <c r="I2249" s="10" t="s">
        <v>4712</v>
      </c>
      <c r="J2249" s="17">
        <f t="shared" si="16"/>
        <v>27585</v>
      </c>
      <c r="K2249" s="10">
        <f t="shared" ca="1" si="17"/>
        <v>50</v>
      </c>
      <c r="L2249" s="6"/>
      <c r="M2249" s="6"/>
      <c r="N2249" s="6"/>
      <c r="O2249" s="6"/>
      <c r="P2249" s="6"/>
      <c r="Q2249" s="6"/>
      <c r="R2249" s="6"/>
      <c r="S2249" s="6"/>
      <c r="T2249" s="6"/>
      <c r="U2249" s="6"/>
      <c r="V2249" s="6"/>
      <c r="W2249" s="6"/>
      <c r="X2249" s="6"/>
      <c r="Y2249" s="6"/>
      <c r="Z2249" s="6"/>
    </row>
    <row r="2250" spans="1:26" ht="15.75" customHeight="1" x14ac:dyDescent="0.3">
      <c r="A2250" s="10" t="s">
        <v>192</v>
      </c>
      <c r="B2250" s="10">
        <v>1970</v>
      </c>
      <c r="C2250" s="10" t="s">
        <v>4711</v>
      </c>
      <c r="D2250" s="10">
        <v>25</v>
      </c>
      <c r="E2250" s="10">
        <v>0</v>
      </c>
      <c r="F2250" s="24">
        <v>40692.910000000003</v>
      </c>
      <c r="G2250" s="10" t="s">
        <v>4694</v>
      </c>
      <c r="H2250" s="10" t="s">
        <v>4694</v>
      </c>
      <c r="I2250" s="10" t="s">
        <v>4716</v>
      </c>
      <c r="J2250" s="17">
        <f t="shared" si="16"/>
        <v>25836</v>
      </c>
      <c r="K2250" s="10">
        <f t="shared" ca="1" si="17"/>
        <v>55</v>
      </c>
      <c r="L2250" s="6"/>
      <c r="M2250" s="6"/>
      <c r="N2250" s="6"/>
      <c r="O2250" s="6"/>
      <c r="P2250" s="6"/>
      <c r="Q2250" s="6"/>
      <c r="R2250" s="6"/>
      <c r="S2250" s="6"/>
      <c r="T2250" s="6"/>
      <c r="U2250" s="6"/>
      <c r="V2250" s="6"/>
      <c r="W2250" s="6"/>
      <c r="X2250" s="6"/>
      <c r="Y2250" s="6"/>
      <c r="Z2250" s="6"/>
    </row>
    <row r="2251" spans="1:26" ht="15.75" customHeight="1" x14ac:dyDescent="0.3">
      <c r="A2251" s="10" t="s">
        <v>190</v>
      </c>
      <c r="B2251" s="10">
        <v>1976</v>
      </c>
      <c r="C2251" s="10" t="s">
        <v>4713</v>
      </c>
      <c r="D2251" s="10">
        <v>26</v>
      </c>
      <c r="E2251" s="10">
        <v>3</v>
      </c>
      <c r="F2251" s="24">
        <v>40720.550000000003</v>
      </c>
      <c r="G2251" s="10" t="s">
        <v>4694</v>
      </c>
      <c r="H2251" s="10" t="s">
        <v>4696</v>
      </c>
      <c r="I2251" s="10" t="s">
        <v>4712</v>
      </c>
      <c r="J2251" s="17">
        <f t="shared" si="16"/>
        <v>28120</v>
      </c>
      <c r="K2251" s="10">
        <f t="shared" ca="1" si="17"/>
        <v>48</v>
      </c>
      <c r="L2251" s="6"/>
      <c r="M2251" s="6"/>
      <c r="N2251" s="6"/>
      <c r="O2251" s="6"/>
      <c r="P2251" s="6"/>
      <c r="Q2251" s="6"/>
      <c r="R2251" s="6"/>
      <c r="S2251" s="6"/>
      <c r="T2251" s="6"/>
      <c r="U2251" s="6"/>
      <c r="V2251" s="6"/>
      <c r="W2251" s="6"/>
      <c r="X2251" s="6"/>
      <c r="Y2251" s="6"/>
      <c r="Z2251" s="6"/>
    </row>
    <row r="2252" spans="1:26" ht="15.75" customHeight="1" x14ac:dyDescent="0.3">
      <c r="A2252" s="10" t="s">
        <v>188</v>
      </c>
      <c r="B2252" s="10">
        <v>1972</v>
      </c>
      <c r="C2252" s="10" t="s">
        <v>4710</v>
      </c>
      <c r="D2252" s="10">
        <v>10</v>
      </c>
      <c r="E2252" s="10">
        <v>0</v>
      </c>
      <c r="F2252" s="24">
        <v>40817.85</v>
      </c>
      <c r="G2252" s="10" t="s">
        <v>4694</v>
      </c>
      <c r="H2252" s="10" t="s">
        <v>4696</v>
      </c>
      <c r="I2252" s="10" t="s">
        <v>4716</v>
      </c>
      <c r="J2252" s="17">
        <f t="shared" si="16"/>
        <v>26460</v>
      </c>
      <c r="K2252" s="10">
        <f t="shared" ca="1" si="17"/>
        <v>53</v>
      </c>
      <c r="L2252" s="6"/>
      <c r="M2252" s="6"/>
      <c r="N2252" s="6"/>
      <c r="O2252" s="6"/>
      <c r="P2252" s="6"/>
      <c r="Q2252" s="6"/>
      <c r="R2252" s="6"/>
      <c r="S2252" s="6"/>
      <c r="T2252" s="6"/>
      <c r="U2252" s="6"/>
      <c r="V2252" s="6"/>
      <c r="W2252" s="6"/>
      <c r="X2252" s="6"/>
      <c r="Y2252" s="6"/>
      <c r="Z2252" s="6"/>
    </row>
    <row r="2253" spans="1:26" ht="15.75" customHeight="1" x14ac:dyDescent="0.3">
      <c r="A2253" s="10" t="s">
        <v>186</v>
      </c>
      <c r="B2253" s="10">
        <v>1999</v>
      </c>
      <c r="C2253" s="10" t="s">
        <v>4707</v>
      </c>
      <c r="D2253" s="10">
        <v>2</v>
      </c>
      <c r="E2253" s="10">
        <v>1</v>
      </c>
      <c r="F2253" s="24">
        <v>40904.199999999997</v>
      </c>
      <c r="G2253" s="10" t="s">
        <v>4694</v>
      </c>
      <c r="H2253" s="10" t="s">
        <v>4694</v>
      </c>
      <c r="I2253" s="10" t="s">
        <v>4723</v>
      </c>
      <c r="J2253" s="17">
        <f t="shared" si="16"/>
        <v>36343</v>
      </c>
      <c r="K2253" s="10">
        <f t="shared" ca="1" si="17"/>
        <v>26</v>
      </c>
      <c r="L2253" s="6"/>
      <c r="M2253" s="6"/>
      <c r="N2253" s="6"/>
      <c r="O2253" s="6"/>
      <c r="P2253" s="6"/>
      <c r="Q2253" s="6"/>
      <c r="R2253" s="6"/>
      <c r="S2253" s="6"/>
      <c r="T2253" s="6"/>
      <c r="U2253" s="6"/>
      <c r="V2253" s="6"/>
      <c r="W2253" s="6"/>
      <c r="X2253" s="6"/>
      <c r="Y2253" s="6"/>
      <c r="Z2253" s="6"/>
    </row>
    <row r="2254" spans="1:26" ht="15.75" customHeight="1" x14ac:dyDescent="0.3">
      <c r="A2254" s="10" t="s">
        <v>184</v>
      </c>
      <c r="B2254" s="10">
        <v>1992</v>
      </c>
      <c r="C2254" s="10" t="s">
        <v>4714</v>
      </c>
      <c r="D2254" s="10">
        <v>4</v>
      </c>
      <c r="E2254" s="10">
        <v>3</v>
      </c>
      <c r="F2254" s="24">
        <v>40932.43</v>
      </c>
      <c r="G2254" s="10" t="s">
        <v>4694</v>
      </c>
      <c r="H2254" s="10" t="s">
        <v>4695</v>
      </c>
      <c r="I2254" s="10" t="s">
        <v>4708</v>
      </c>
      <c r="J2254" s="17">
        <f t="shared" si="16"/>
        <v>33820</v>
      </c>
      <c r="K2254" s="10">
        <f t="shared" ca="1" si="17"/>
        <v>33</v>
      </c>
      <c r="L2254" s="6"/>
      <c r="M2254" s="6"/>
      <c r="N2254" s="6"/>
      <c r="O2254" s="6"/>
      <c r="P2254" s="6"/>
      <c r="Q2254" s="6"/>
      <c r="R2254" s="6"/>
      <c r="S2254" s="6"/>
      <c r="T2254" s="6"/>
      <c r="U2254" s="6"/>
      <c r="V2254" s="6"/>
      <c r="W2254" s="6"/>
      <c r="X2254" s="6"/>
      <c r="Y2254" s="6"/>
      <c r="Z2254" s="6"/>
    </row>
    <row r="2255" spans="1:26" ht="15.75" customHeight="1" x14ac:dyDescent="0.3">
      <c r="A2255" s="10" t="s">
        <v>182</v>
      </c>
      <c r="B2255" s="10">
        <v>1979</v>
      </c>
      <c r="C2255" s="10" t="s">
        <v>4711</v>
      </c>
      <c r="D2255" s="10">
        <v>16</v>
      </c>
      <c r="E2255" s="10">
        <v>3</v>
      </c>
      <c r="F2255" s="24">
        <v>40941.29</v>
      </c>
      <c r="G2255" s="10" t="s">
        <v>4694</v>
      </c>
      <c r="H2255" s="10" t="s">
        <v>4695</v>
      </c>
      <c r="I2255" s="10" t="s">
        <v>4708</v>
      </c>
      <c r="J2255" s="17">
        <f t="shared" si="16"/>
        <v>29114</v>
      </c>
      <c r="K2255" s="10">
        <f t="shared" ca="1" si="17"/>
        <v>46</v>
      </c>
      <c r="L2255" s="6"/>
      <c r="M2255" s="6"/>
      <c r="N2255" s="6"/>
      <c r="O2255" s="6"/>
      <c r="P2255" s="6"/>
      <c r="Q2255" s="6"/>
      <c r="R2255" s="6"/>
      <c r="S2255" s="6"/>
      <c r="T2255" s="6"/>
      <c r="U2255" s="6"/>
      <c r="V2255" s="6"/>
      <c r="W2255" s="6"/>
      <c r="X2255" s="6"/>
      <c r="Y2255" s="6"/>
      <c r="Z2255" s="6"/>
    </row>
    <row r="2256" spans="1:26" ht="15.75" customHeight="1" x14ac:dyDescent="0.3">
      <c r="A2256" s="10" t="s">
        <v>180</v>
      </c>
      <c r="B2256" s="10">
        <v>1983</v>
      </c>
      <c r="C2256" s="10" t="s">
        <v>4711</v>
      </c>
      <c r="D2256" s="10">
        <v>8</v>
      </c>
      <c r="E2256" s="10">
        <v>3</v>
      </c>
      <c r="F2256" s="24">
        <v>40961.29</v>
      </c>
      <c r="G2256" s="10" t="s">
        <v>4694</v>
      </c>
      <c r="H2256" s="10" t="s">
        <v>4695</v>
      </c>
      <c r="I2256" s="10" t="s">
        <v>4716</v>
      </c>
      <c r="J2256" s="17">
        <f t="shared" si="16"/>
        <v>30567</v>
      </c>
      <c r="K2256" s="10">
        <f t="shared" ca="1" si="17"/>
        <v>42</v>
      </c>
      <c r="L2256" s="6"/>
      <c r="M2256" s="6"/>
      <c r="N2256" s="6"/>
      <c r="O2256" s="6"/>
      <c r="P2256" s="6"/>
      <c r="Q2256" s="6"/>
      <c r="R2256" s="6"/>
      <c r="S2256" s="6"/>
      <c r="T2256" s="6"/>
      <c r="U2256" s="6"/>
      <c r="V2256" s="6"/>
      <c r="W2256" s="6"/>
      <c r="X2256" s="6"/>
      <c r="Y2256" s="6"/>
      <c r="Z2256" s="6"/>
    </row>
    <row r="2257" spans="1:26" ht="15.75" customHeight="1" x14ac:dyDescent="0.3">
      <c r="A2257" s="10" t="s">
        <v>178</v>
      </c>
      <c r="B2257" s="10">
        <v>1974</v>
      </c>
      <c r="C2257" s="10" t="s">
        <v>4710</v>
      </c>
      <c r="D2257" s="10">
        <v>5</v>
      </c>
      <c r="E2257" s="10">
        <v>0</v>
      </c>
      <c r="F2257" s="24">
        <v>40974.160000000003</v>
      </c>
      <c r="G2257" s="10" t="s">
        <v>4694</v>
      </c>
      <c r="H2257" s="10" t="s">
        <v>4695</v>
      </c>
      <c r="I2257" s="10" t="s">
        <v>4708</v>
      </c>
      <c r="J2257" s="17">
        <f t="shared" si="16"/>
        <v>27185</v>
      </c>
      <c r="K2257" s="10">
        <f t="shared" ca="1" si="17"/>
        <v>51</v>
      </c>
      <c r="L2257" s="6"/>
      <c r="M2257" s="6"/>
      <c r="N2257" s="6"/>
      <c r="O2257" s="6"/>
      <c r="P2257" s="6"/>
      <c r="Q2257" s="6"/>
      <c r="R2257" s="6"/>
      <c r="S2257" s="6"/>
      <c r="T2257" s="6"/>
      <c r="U2257" s="6"/>
      <c r="V2257" s="6"/>
      <c r="W2257" s="6"/>
      <c r="X2257" s="6"/>
      <c r="Y2257" s="6"/>
      <c r="Z2257" s="6"/>
    </row>
    <row r="2258" spans="1:26" ht="15.75" customHeight="1" x14ac:dyDescent="0.3">
      <c r="A2258" s="10" t="s">
        <v>176</v>
      </c>
      <c r="B2258" s="10">
        <v>1979</v>
      </c>
      <c r="C2258" s="10" t="s">
        <v>4715</v>
      </c>
      <c r="D2258" s="10">
        <v>11</v>
      </c>
      <c r="E2258" s="10">
        <v>1</v>
      </c>
      <c r="F2258" s="24">
        <v>41034.22</v>
      </c>
      <c r="G2258" s="10" t="s">
        <v>4694</v>
      </c>
      <c r="H2258" s="10" t="s">
        <v>4696</v>
      </c>
      <c r="I2258" s="10" t="s">
        <v>4727</v>
      </c>
      <c r="J2258" s="17">
        <f t="shared" si="16"/>
        <v>29139</v>
      </c>
      <c r="K2258" s="10">
        <f t="shared" ca="1" si="17"/>
        <v>46</v>
      </c>
      <c r="L2258" s="6"/>
      <c r="M2258" s="6"/>
      <c r="N2258" s="6"/>
      <c r="O2258" s="6"/>
      <c r="P2258" s="6"/>
      <c r="Q2258" s="6"/>
      <c r="R2258" s="6"/>
      <c r="S2258" s="6"/>
      <c r="T2258" s="6"/>
      <c r="U2258" s="6"/>
      <c r="V2258" s="6"/>
      <c r="W2258" s="6"/>
      <c r="X2258" s="6"/>
      <c r="Y2258" s="6"/>
      <c r="Z2258" s="6"/>
    </row>
    <row r="2259" spans="1:26" ht="15.75" customHeight="1" x14ac:dyDescent="0.3">
      <c r="A2259" s="10" t="s">
        <v>174</v>
      </c>
      <c r="B2259" s="10">
        <v>1972</v>
      </c>
      <c r="C2259" s="10" t="s">
        <v>4714</v>
      </c>
      <c r="D2259" s="10">
        <v>12</v>
      </c>
      <c r="E2259" s="10">
        <v>0</v>
      </c>
      <c r="F2259" s="24">
        <v>41055.29</v>
      </c>
      <c r="G2259" s="10" t="s">
        <v>4694</v>
      </c>
      <c r="H2259" s="10" t="s">
        <v>4695</v>
      </c>
      <c r="I2259" s="10" t="s">
        <v>4716</v>
      </c>
      <c r="J2259" s="17">
        <f t="shared" si="16"/>
        <v>26523</v>
      </c>
      <c r="K2259" s="10">
        <f t="shared" ca="1" si="17"/>
        <v>53</v>
      </c>
      <c r="L2259" s="6"/>
      <c r="M2259" s="6"/>
      <c r="N2259" s="6"/>
      <c r="O2259" s="6"/>
      <c r="P2259" s="6"/>
      <c r="Q2259" s="6"/>
      <c r="R2259" s="6"/>
      <c r="S2259" s="6"/>
      <c r="T2259" s="6"/>
      <c r="U2259" s="6"/>
      <c r="V2259" s="6"/>
      <c r="W2259" s="6"/>
      <c r="X2259" s="6"/>
      <c r="Y2259" s="6"/>
      <c r="Z2259" s="6"/>
    </row>
    <row r="2260" spans="1:26" ht="15.75" customHeight="1" x14ac:dyDescent="0.3">
      <c r="A2260" s="10" t="s">
        <v>172</v>
      </c>
      <c r="B2260" s="10">
        <v>1972</v>
      </c>
      <c r="C2260" s="10" t="s">
        <v>4711</v>
      </c>
      <c r="D2260" s="10">
        <v>6</v>
      </c>
      <c r="E2260" s="10">
        <v>0</v>
      </c>
      <c r="F2260" s="24">
        <v>41097.160000000003</v>
      </c>
      <c r="G2260" s="10" t="s">
        <v>4694</v>
      </c>
      <c r="H2260" s="10" t="s">
        <v>4696</v>
      </c>
      <c r="I2260" s="10" t="s">
        <v>4720</v>
      </c>
      <c r="J2260" s="17">
        <f t="shared" si="16"/>
        <v>26548</v>
      </c>
      <c r="K2260" s="10">
        <f t="shared" ca="1" si="17"/>
        <v>53</v>
      </c>
      <c r="L2260" s="6"/>
      <c r="M2260" s="6"/>
      <c r="N2260" s="6"/>
      <c r="O2260" s="6"/>
      <c r="P2260" s="6"/>
      <c r="Q2260" s="6"/>
      <c r="R2260" s="6"/>
      <c r="S2260" s="6"/>
      <c r="T2260" s="6"/>
      <c r="U2260" s="6"/>
      <c r="V2260" s="6"/>
      <c r="W2260" s="6"/>
      <c r="X2260" s="6"/>
      <c r="Y2260" s="6"/>
      <c r="Z2260" s="6"/>
    </row>
    <row r="2261" spans="1:26" ht="15.75" customHeight="1" x14ac:dyDescent="0.3">
      <c r="A2261" s="10" t="s">
        <v>170</v>
      </c>
      <c r="B2261" s="10">
        <v>1969</v>
      </c>
      <c r="C2261" s="10" t="s">
        <v>4714</v>
      </c>
      <c r="D2261" s="10">
        <v>8</v>
      </c>
      <c r="E2261" s="10">
        <v>0</v>
      </c>
      <c r="F2261" s="24">
        <v>41191.57</v>
      </c>
      <c r="G2261" s="10" t="s">
        <v>4694</v>
      </c>
      <c r="H2261" s="10" t="s">
        <v>4695</v>
      </c>
      <c r="I2261" s="10" t="s">
        <v>4716</v>
      </c>
      <c r="J2261" s="17">
        <f t="shared" si="16"/>
        <v>25423</v>
      </c>
      <c r="K2261" s="10">
        <f t="shared" ca="1" si="17"/>
        <v>56</v>
      </c>
      <c r="L2261" s="6"/>
      <c r="M2261" s="6"/>
      <c r="N2261" s="6"/>
      <c r="O2261" s="6"/>
      <c r="P2261" s="6"/>
      <c r="Q2261" s="6"/>
      <c r="R2261" s="6"/>
      <c r="S2261" s="6"/>
      <c r="T2261" s="6"/>
      <c r="U2261" s="6"/>
      <c r="V2261" s="6"/>
      <c r="W2261" s="6"/>
      <c r="X2261" s="6"/>
      <c r="Y2261" s="6"/>
      <c r="Z2261" s="6"/>
    </row>
    <row r="2262" spans="1:26" ht="15.75" customHeight="1" x14ac:dyDescent="0.3">
      <c r="A2262" s="10" t="s">
        <v>168</v>
      </c>
      <c r="B2262" s="10">
        <v>1964</v>
      </c>
      <c r="C2262" s="10" t="s">
        <v>4710</v>
      </c>
      <c r="D2262" s="10">
        <v>6</v>
      </c>
      <c r="E2262" s="10">
        <v>0</v>
      </c>
      <c r="F2262" s="24">
        <v>41250.39</v>
      </c>
      <c r="G2262" s="10" t="s">
        <v>4694</v>
      </c>
      <c r="H2262" s="10" t="s">
        <v>4696</v>
      </c>
      <c r="I2262" s="10" t="s">
        <v>4716</v>
      </c>
      <c r="J2262" s="17">
        <f t="shared" si="16"/>
        <v>23534</v>
      </c>
      <c r="K2262" s="10">
        <f t="shared" ca="1" si="17"/>
        <v>61</v>
      </c>
      <c r="L2262" s="6"/>
      <c r="M2262" s="6"/>
      <c r="N2262" s="6"/>
      <c r="O2262" s="6"/>
      <c r="P2262" s="6"/>
      <c r="Q2262" s="6"/>
      <c r="R2262" s="6"/>
      <c r="S2262" s="6"/>
      <c r="T2262" s="6"/>
      <c r="U2262" s="6"/>
      <c r="V2262" s="6"/>
      <c r="W2262" s="6"/>
      <c r="X2262" s="6"/>
      <c r="Y2262" s="6"/>
      <c r="Z2262" s="6"/>
    </row>
    <row r="2263" spans="1:26" ht="15.75" customHeight="1" x14ac:dyDescent="0.3">
      <c r="A2263" s="10" t="s">
        <v>166</v>
      </c>
      <c r="B2263" s="10">
        <v>1977</v>
      </c>
      <c r="C2263" s="10" t="s">
        <v>4714</v>
      </c>
      <c r="D2263" s="10">
        <v>27</v>
      </c>
      <c r="E2263" s="10">
        <v>2</v>
      </c>
      <c r="F2263" s="24">
        <v>41271.5</v>
      </c>
      <c r="G2263" s="10" t="s">
        <v>4694</v>
      </c>
      <c r="H2263" s="10" t="s">
        <v>4695</v>
      </c>
      <c r="I2263" s="10" t="s">
        <v>4716</v>
      </c>
      <c r="J2263" s="17">
        <f t="shared" si="16"/>
        <v>28364</v>
      </c>
      <c r="K2263" s="10">
        <f t="shared" ca="1" si="17"/>
        <v>48</v>
      </c>
      <c r="L2263" s="6"/>
      <c r="M2263" s="6"/>
      <c r="N2263" s="6"/>
      <c r="O2263" s="6"/>
      <c r="P2263" s="6"/>
      <c r="Q2263" s="6"/>
      <c r="R2263" s="6"/>
      <c r="S2263" s="6"/>
      <c r="T2263" s="6"/>
      <c r="U2263" s="6"/>
      <c r="V2263" s="6"/>
      <c r="W2263" s="6"/>
      <c r="X2263" s="6"/>
      <c r="Y2263" s="6"/>
      <c r="Z2263" s="6"/>
    </row>
    <row r="2264" spans="1:26" ht="15.75" customHeight="1" x14ac:dyDescent="0.3">
      <c r="A2264" s="10" t="s">
        <v>164</v>
      </c>
      <c r="B2264" s="10">
        <v>1964</v>
      </c>
      <c r="C2264" s="10" t="s">
        <v>4715</v>
      </c>
      <c r="D2264" s="10">
        <v>7</v>
      </c>
      <c r="E2264" s="10">
        <v>0</v>
      </c>
      <c r="F2264" s="24">
        <v>41331.79</v>
      </c>
      <c r="G2264" s="10" t="s">
        <v>4694</v>
      </c>
      <c r="H2264" s="10" t="s">
        <v>4695</v>
      </c>
      <c r="I2264" s="10" t="s">
        <v>4716</v>
      </c>
      <c r="J2264" s="17">
        <f t="shared" si="16"/>
        <v>23657</v>
      </c>
      <c r="K2264" s="10">
        <f t="shared" ca="1" si="17"/>
        <v>61</v>
      </c>
      <c r="L2264" s="6"/>
      <c r="M2264" s="6"/>
      <c r="N2264" s="6"/>
      <c r="O2264" s="6"/>
      <c r="P2264" s="6"/>
      <c r="Q2264" s="6"/>
      <c r="R2264" s="6"/>
      <c r="S2264" s="6"/>
      <c r="T2264" s="6"/>
      <c r="U2264" s="6"/>
      <c r="V2264" s="6"/>
      <c r="W2264" s="6"/>
      <c r="X2264" s="6"/>
      <c r="Y2264" s="6"/>
      <c r="Z2264" s="6"/>
    </row>
    <row r="2265" spans="1:26" ht="15.75" customHeight="1" x14ac:dyDescent="0.3">
      <c r="A2265" s="10" t="s">
        <v>162</v>
      </c>
      <c r="B2265" s="10">
        <v>1971</v>
      </c>
      <c r="C2265" s="10" t="s">
        <v>4715</v>
      </c>
      <c r="D2265" s="10">
        <v>16</v>
      </c>
      <c r="E2265" s="10">
        <v>0</v>
      </c>
      <c r="F2265" s="24">
        <v>41351.879999999997</v>
      </c>
      <c r="G2265" s="10" t="s">
        <v>4694</v>
      </c>
      <c r="H2265" s="10" t="s">
        <v>4695</v>
      </c>
      <c r="I2265" s="10" t="s">
        <v>4716</v>
      </c>
      <c r="J2265" s="17">
        <f t="shared" si="16"/>
        <v>26222</v>
      </c>
      <c r="K2265" s="10">
        <f t="shared" ca="1" si="17"/>
        <v>54</v>
      </c>
      <c r="L2265" s="6"/>
      <c r="M2265" s="6"/>
      <c r="N2265" s="6"/>
      <c r="O2265" s="6"/>
      <c r="P2265" s="6"/>
      <c r="Q2265" s="6"/>
      <c r="R2265" s="6"/>
      <c r="S2265" s="6"/>
      <c r="T2265" s="6"/>
      <c r="U2265" s="6"/>
      <c r="V2265" s="6"/>
      <c r="W2265" s="6"/>
      <c r="X2265" s="6"/>
      <c r="Y2265" s="6"/>
      <c r="Z2265" s="6"/>
    </row>
    <row r="2266" spans="1:26" ht="15.75" customHeight="1" x14ac:dyDescent="0.3">
      <c r="A2266" s="10" t="s">
        <v>160</v>
      </c>
      <c r="B2266" s="10">
        <v>1967</v>
      </c>
      <c r="C2266" s="10" t="s">
        <v>4713</v>
      </c>
      <c r="D2266" s="10">
        <v>22</v>
      </c>
      <c r="E2266" s="10">
        <v>0</v>
      </c>
      <c r="F2266" s="24">
        <v>41505.15</v>
      </c>
      <c r="G2266" s="10" t="s">
        <v>4694</v>
      </c>
      <c r="H2266" s="10" t="s">
        <v>4695</v>
      </c>
      <c r="I2266" s="10" t="s">
        <v>4716</v>
      </c>
      <c r="J2266" s="17">
        <f t="shared" si="16"/>
        <v>24828</v>
      </c>
      <c r="K2266" s="10">
        <f t="shared" ca="1" si="17"/>
        <v>57</v>
      </c>
      <c r="L2266" s="6"/>
      <c r="M2266" s="6"/>
      <c r="N2266" s="6"/>
      <c r="O2266" s="6"/>
      <c r="P2266" s="6"/>
      <c r="Q2266" s="6"/>
      <c r="R2266" s="6"/>
      <c r="S2266" s="6"/>
      <c r="T2266" s="6"/>
      <c r="U2266" s="6"/>
      <c r="V2266" s="6"/>
      <c r="W2266" s="6"/>
      <c r="X2266" s="6"/>
      <c r="Y2266" s="6"/>
      <c r="Z2266" s="6"/>
    </row>
    <row r="2267" spans="1:26" ht="15.75" customHeight="1" x14ac:dyDescent="0.3">
      <c r="A2267" s="10" t="s">
        <v>158</v>
      </c>
      <c r="B2267" s="10">
        <v>1974</v>
      </c>
      <c r="C2267" s="10" t="s">
        <v>4709</v>
      </c>
      <c r="D2267" s="10">
        <v>24</v>
      </c>
      <c r="E2267" s="10">
        <v>0</v>
      </c>
      <c r="F2267" s="24">
        <v>41636.199999999997</v>
      </c>
      <c r="G2267" s="10" t="s">
        <v>4694</v>
      </c>
      <c r="H2267" s="10" t="s">
        <v>4694</v>
      </c>
      <c r="I2267" s="10" t="s">
        <v>4716</v>
      </c>
      <c r="J2267" s="17">
        <f t="shared" si="16"/>
        <v>27357</v>
      </c>
      <c r="K2267" s="10">
        <f t="shared" ca="1" si="17"/>
        <v>51</v>
      </c>
      <c r="L2267" s="6"/>
      <c r="M2267" s="6"/>
      <c r="N2267" s="6"/>
      <c r="O2267" s="6"/>
      <c r="P2267" s="6"/>
      <c r="Q2267" s="6"/>
      <c r="R2267" s="6"/>
      <c r="S2267" s="6"/>
      <c r="T2267" s="6"/>
      <c r="U2267" s="6"/>
      <c r="V2267" s="6"/>
      <c r="W2267" s="6"/>
      <c r="X2267" s="6"/>
      <c r="Y2267" s="6"/>
      <c r="Z2267" s="6"/>
    </row>
    <row r="2268" spans="1:26" ht="15.75" customHeight="1" x14ac:dyDescent="0.3">
      <c r="A2268" s="10" t="s">
        <v>156</v>
      </c>
      <c r="B2268" s="10">
        <v>1976</v>
      </c>
      <c r="C2268" s="10" t="s">
        <v>4715</v>
      </c>
      <c r="D2268" s="10">
        <v>29</v>
      </c>
      <c r="E2268" s="10">
        <v>1</v>
      </c>
      <c r="F2268" s="24">
        <v>41661.599999999999</v>
      </c>
      <c r="G2268" s="10" t="s">
        <v>4694</v>
      </c>
      <c r="H2268" s="10" t="s">
        <v>4696</v>
      </c>
      <c r="I2268" s="10" t="s">
        <v>4716</v>
      </c>
      <c r="J2268" s="17">
        <f t="shared" si="16"/>
        <v>28062</v>
      </c>
      <c r="K2268" s="10">
        <f t="shared" ca="1" si="17"/>
        <v>49</v>
      </c>
      <c r="L2268" s="6"/>
      <c r="M2268" s="6"/>
      <c r="N2268" s="6"/>
      <c r="O2268" s="6"/>
      <c r="P2268" s="6"/>
      <c r="Q2268" s="6"/>
      <c r="R2268" s="6"/>
      <c r="S2268" s="6"/>
      <c r="T2268" s="6"/>
      <c r="U2268" s="6"/>
      <c r="V2268" s="6"/>
      <c r="W2268" s="6"/>
      <c r="X2268" s="6"/>
      <c r="Y2268" s="6"/>
      <c r="Z2268" s="6"/>
    </row>
    <row r="2269" spans="1:26" ht="15.75" customHeight="1" x14ac:dyDescent="0.3">
      <c r="A2269" s="10" t="s">
        <v>154</v>
      </c>
      <c r="B2269" s="10">
        <v>1975</v>
      </c>
      <c r="C2269" s="10" t="s">
        <v>4709</v>
      </c>
      <c r="D2269" s="10">
        <v>14</v>
      </c>
      <c r="E2269" s="10">
        <v>0</v>
      </c>
      <c r="F2269" s="24">
        <v>41676.080000000002</v>
      </c>
      <c r="G2269" s="10" t="s">
        <v>4694</v>
      </c>
      <c r="H2269" s="10" t="s">
        <v>4695</v>
      </c>
      <c r="I2269" s="10" t="s">
        <v>4708</v>
      </c>
      <c r="J2269" s="17">
        <f t="shared" si="16"/>
        <v>27712</v>
      </c>
      <c r="K2269" s="10">
        <f t="shared" ca="1" si="17"/>
        <v>50</v>
      </c>
      <c r="L2269" s="6"/>
      <c r="M2269" s="6"/>
      <c r="N2269" s="6"/>
      <c r="O2269" s="6"/>
      <c r="P2269" s="6"/>
      <c r="Q2269" s="6"/>
      <c r="R2269" s="6"/>
      <c r="S2269" s="6"/>
      <c r="T2269" s="6"/>
      <c r="U2269" s="6"/>
      <c r="V2269" s="6"/>
      <c r="W2269" s="6"/>
      <c r="X2269" s="6"/>
      <c r="Y2269" s="6"/>
      <c r="Z2269" s="6"/>
    </row>
    <row r="2270" spans="1:26" ht="15.75" customHeight="1" x14ac:dyDescent="0.3">
      <c r="A2270" s="10" t="s">
        <v>152</v>
      </c>
      <c r="B2270" s="10">
        <v>1975</v>
      </c>
      <c r="C2270" s="10" t="s">
        <v>4711</v>
      </c>
      <c r="D2270" s="10">
        <v>29</v>
      </c>
      <c r="E2270" s="10">
        <v>1</v>
      </c>
      <c r="F2270" s="24">
        <v>41681.86</v>
      </c>
      <c r="G2270" s="10" t="s">
        <v>4694</v>
      </c>
      <c r="H2270" s="10" t="s">
        <v>4694</v>
      </c>
      <c r="I2270" s="10" t="s">
        <v>4716</v>
      </c>
      <c r="J2270" s="17">
        <f t="shared" si="16"/>
        <v>27666</v>
      </c>
      <c r="K2270" s="10">
        <f t="shared" ca="1" si="17"/>
        <v>50</v>
      </c>
      <c r="L2270" s="6"/>
      <c r="M2270" s="6"/>
      <c r="N2270" s="6"/>
      <c r="O2270" s="6"/>
      <c r="P2270" s="6"/>
      <c r="Q2270" s="6"/>
      <c r="R2270" s="6"/>
      <c r="S2270" s="6"/>
      <c r="T2270" s="6"/>
      <c r="U2270" s="6"/>
      <c r="V2270" s="6"/>
      <c r="W2270" s="6"/>
      <c r="X2270" s="6"/>
      <c r="Y2270" s="6"/>
      <c r="Z2270" s="6"/>
    </row>
    <row r="2271" spans="1:26" ht="15.75" customHeight="1" x14ac:dyDescent="0.3">
      <c r="A2271" s="10" t="s">
        <v>150</v>
      </c>
      <c r="B2271" s="10">
        <v>1962</v>
      </c>
      <c r="C2271" s="10" t="s">
        <v>4711</v>
      </c>
      <c r="D2271" s="10">
        <v>22</v>
      </c>
      <c r="E2271" s="10">
        <v>0</v>
      </c>
      <c r="F2271" s="24">
        <v>41794.629999999997</v>
      </c>
      <c r="G2271" s="10" t="s">
        <v>4694</v>
      </c>
      <c r="H2271" s="10" t="s">
        <v>4696</v>
      </c>
      <c r="I2271" s="10" t="s">
        <v>4716</v>
      </c>
      <c r="J2271" s="17">
        <f t="shared" si="16"/>
        <v>22911</v>
      </c>
      <c r="K2271" s="10">
        <f t="shared" ca="1" si="17"/>
        <v>63</v>
      </c>
      <c r="L2271" s="6"/>
      <c r="M2271" s="6"/>
      <c r="N2271" s="6"/>
      <c r="O2271" s="6"/>
      <c r="P2271" s="6"/>
      <c r="Q2271" s="6"/>
      <c r="R2271" s="6"/>
      <c r="S2271" s="6"/>
      <c r="T2271" s="6"/>
      <c r="U2271" s="6"/>
      <c r="V2271" s="6"/>
      <c r="W2271" s="6"/>
      <c r="X2271" s="6"/>
      <c r="Y2271" s="6"/>
      <c r="Z2271" s="6"/>
    </row>
    <row r="2272" spans="1:26" ht="15.75" customHeight="1" x14ac:dyDescent="0.3">
      <c r="A2272" s="10" t="s">
        <v>148</v>
      </c>
      <c r="B2272" s="10">
        <v>1966</v>
      </c>
      <c r="C2272" s="10" t="s">
        <v>4711</v>
      </c>
      <c r="D2272" s="10">
        <v>21</v>
      </c>
      <c r="E2272" s="10">
        <v>0</v>
      </c>
      <c r="F2272" s="24">
        <v>41886.54</v>
      </c>
      <c r="G2272" s="10" t="s">
        <v>4694</v>
      </c>
      <c r="H2272" s="10" t="s">
        <v>4696</v>
      </c>
      <c r="I2272" s="10" t="s">
        <v>4716</v>
      </c>
      <c r="J2272" s="17">
        <f t="shared" si="16"/>
        <v>24371</v>
      </c>
      <c r="K2272" s="10">
        <f t="shared" ca="1" si="17"/>
        <v>59</v>
      </c>
      <c r="L2272" s="6"/>
      <c r="M2272" s="6"/>
      <c r="N2272" s="6"/>
      <c r="O2272" s="6"/>
      <c r="P2272" s="6"/>
      <c r="Q2272" s="6"/>
      <c r="R2272" s="6"/>
      <c r="S2272" s="6"/>
      <c r="T2272" s="6"/>
      <c r="U2272" s="6"/>
      <c r="V2272" s="6"/>
      <c r="W2272" s="6"/>
      <c r="X2272" s="6"/>
      <c r="Y2272" s="6"/>
      <c r="Z2272" s="6"/>
    </row>
    <row r="2273" spans="1:26" ht="15.75" customHeight="1" x14ac:dyDescent="0.3">
      <c r="A2273" s="10" t="s">
        <v>146</v>
      </c>
      <c r="B2273" s="10">
        <v>1972</v>
      </c>
      <c r="C2273" s="10" t="s">
        <v>4710</v>
      </c>
      <c r="D2273" s="10">
        <v>8</v>
      </c>
      <c r="E2273" s="10">
        <v>1</v>
      </c>
      <c r="F2273" s="24">
        <v>41919.1</v>
      </c>
      <c r="G2273" s="10" t="s">
        <v>4694</v>
      </c>
      <c r="H2273" s="10" t="s">
        <v>4694</v>
      </c>
      <c r="I2273" s="10" t="s">
        <v>4720</v>
      </c>
      <c r="J2273" s="17">
        <f t="shared" si="16"/>
        <v>26458</v>
      </c>
      <c r="K2273" s="10">
        <f t="shared" ca="1" si="17"/>
        <v>53</v>
      </c>
      <c r="L2273" s="6"/>
      <c r="M2273" s="6"/>
      <c r="N2273" s="6"/>
      <c r="O2273" s="6"/>
      <c r="P2273" s="6"/>
      <c r="Q2273" s="6"/>
      <c r="R2273" s="6"/>
      <c r="S2273" s="6"/>
      <c r="T2273" s="6"/>
      <c r="U2273" s="6"/>
      <c r="V2273" s="6"/>
      <c r="W2273" s="6"/>
      <c r="X2273" s="6"/>
      <c r="Y2273" s="6"/>
      <c r="Z2273" s="6"/>
    </row>
    <row r="2274" spans="1:26" ht="15.75" customHeight="1" x14ac:dyDescent="0.3">
      <c r="A2274" s="10" t="s">
        <v>144</v>
      </c>
      <c r="B2274" s="10">
        <v>1984</v>
      </c>
      <c r="C2274" s="10" t="s">
        <v>4709</v>
      </c>
      <c r="D2274" s="10">
        <v>10</v>
      </c>
      <c r="E2274" s="10">
        <v>3</v>
      </c>
      <c r="F2274" s="24">
        <v>41949.24</v>
      </c>
      <c r="G2274" s="10" t="s">
        <v>4694</v>
      </c>
      <c r="H2274" s="10" t="s">
        <v>4694</v>
      </c>
      <c r="I2274" s="10" t="s">
        <v>4708</v>
      </c>
      <c r="J2274" s="17">
        <f t="shared" si="16"/>
        <v>30996</v>
      </c>
      <c r="K2274" s="10">
        <f t="shared" ca="1" si="17"/>
        <v>41</v>
      </c>
      <c r="L2274" s="6"/>
      <c r="M2274" s="6"/>
      <c r="N2274" s="6"/>
      <c r="O2274" s="6"/>
      <c r="P2274" s="6"/>
      <c r="Q2274" s="6"/>
      <c r="R2274" s="6"/>
      <c r="S2274" s="6"/>
      <c r="T2274" s="6"/>
      <c r="U2274" s="6"/>
      <c r="V2274" s="6"/>
      <c r="W2274" s="6"/>
      <c r="X2274" s="6"/>
      <c r="Y2274" s="6"/>
      <c r="Z2274" s="6"/>
    </row>
    <row r="2275" spans="1:26" ht="15.75" customHeight="1" x14ac:dyDescent="0.3">
      <c r="A2275" s="10" t="s">
        <v>142</v>
      </c>
      <c r="B2275" s="10">
        <v>1968</v>
      </c>
      <c r="C2275" s="10" t="s">
        <v>4713</v>
      </c>
      <c r="D2275" s="10">
        <v>19</v>
      </c>
      <c r="E2275" s="10">
        <v>1</v>
      </c>
      <c r="F2275" s="24">
        <v>41999.519999999997</v>
      </c>
      <c r="G2275" s="10" t="s">
        <v>4694</v>
      </c>
      <c r="H2275" s="10" t="s">
        <v>4696</v>
      </c>
      <c r="I2275" s="10" t="s">
        <v>4708</v>
      </c>
      <c r="J2275" s="17">
        <f t="shared" si="16"/>
        <v>25191</v>
      </c>
      <c r="K2275" s="10">
        <f t="shared" ca="1" si="17"/>
        <v>56</v>
      </c>
      <c r="L2275" s="6"/>
      <c r="M2275" s="6"/>
      <c r="N2275" s="6"/>
      <c r="O2275" s="6"/>
      <c r="P2275" s="6"/>
      <c r="Q2275" s="6"/>
      <c r="R2275" s="6"/>
      <c r="S2275" s="6"/>
      <c r="T2275" s="6"/>
      <c r="U2275" s="6"/>
      <c r="V2275" s="6"/>
      <c r="W2275" s="6"/>
      <c r="X2275" s="6"/>
      <c r="Y2275" s="6"/>
      <c r="Z2275" s="6"/>
    </row>
    <row r="2276" spans="1:26" ht="15.75" customHeight="1" x14ac:dyDescent="0.3">
      <c r="A2276" s="10" t="s">
        <v>140</v>
      </c>
      <c r="B2276" s="10">
        <v>1976</v>
      </c>
      <c r="C2276" s="10" t="s">
        <v>4709</v>
      </c>
      <c r="D2276" s="10">
        <v>28</v>
      </c>
      <c r="E2276" s="10">
        <v>0</v>
      </c>
      <c r="F2276" s="24">
        <v>42111.66</v>
      </c>
      <c r="G2276" s="10" t="s">
        <v>4694</v>
      </c>
      <c r="H2276" s="10" t="s">
        <v>4694</v>
      </c>
      <c r="I2276" s="10" t="s">
        <v>4723</v>
      </c>
      <c r="J2276" s="17">
        <f t="shared" si="16"/>
        <v>28092</v>
      </c>
      <c r="K2276" s="10">
        <f t="shared" ca="1" si="17"/>
        <v>49</v>
      </c>
      <c r="L2276" s="6"/>
      <c r="M2276" s="6"/>
      <c r="N2276" s="6"/>
      <c r="O2276" s="6"/>
      <c r="P2276" s="6"/>
      <c r="Q2276" s="6"/>
      <c r="R2276" s="6"/>
      <c r="S2276" s="6"/>
      <c r="T2276" s="6"/>
      <c r="U2276" s="6"/>
      <c r="V2276" s="6"/>
      <c r="W2276" s="6"/>
      <c r="X2276" s="6"/>
      <c r="Y2276" s="6"/>
      <c r="Z2276" s="6"/>
    </row>
    <row r="2277" spans="1:26" ht="15.75" customHeight="1" x14ac:dyDescent="0.3">
      <c r="A2277" s="10" t="s">
        <v>138</v>
      </c>
      <c r="B2277" s="10">
        <v>1997</v>
      </c>
      <c r="C2277" s="10" t="s">
        <v>4713</v>
      </c>
      <c r="D2277" s="10">
        <v>9</v>
      </c>
      <c r="E2277" s="10">
        <v>2</v>
      </c>
      <c r="F2277" s="24">
        <v>42112.24</v>
      </c>
      <c r="G2277" s="10" t="s">
        <v>4694</v>
      </c>
      <c r="H2277" s="10" t="s">
        <v>4696</v>
      </c>
      <c r="I2277" s="10" t="s">
        <v>4708</v>
      </c>
      <c r="J2277" s="17">
        <f t="shared" si="16"/>
        <v>35773</v>
      </c>
      <c r="K2277" s="10">
        <f t="shared" ca="1" si="17"/>
        <v>27</v>
      </c>
      <c r="L2277" s="6"/>
      <c r="M2277" s="6"/>
      <c r="N2277" s="6"/>
      <c r="O2277" s="6"/>
      <c r="P2277" s="6"/>
      <c r="Q2277" s="6"/>
      <c r="R2277" s="6"/>
      <c r="S2277" s="6"/>
      <c r="T2277" s="6"/>
      <c r="U2277" s="6"/>
      <c r="V2277" s="6"/>
      <c r="W2277" s="6"/>
      <c r="X2277" s="6"/>
      <c r="Y2277" s="6"/>
      <c r="Z2277" s="6"/>
    </row>
    <row r="2278" spans="1:26" ht="15.75" customHeight="1" x14ac:dyDescent="0.3">
      <c r="A2278" s="10" t="s">
        <v>136</v>
      </c>
      <c r="B2278" s="10">
        <v>1979</v>
      </c>
      <c r="C2278" s="10" t="s">
        <v>4707</v>
      </c>
      <c r="D2278" s="10">
        <v>3</v>
      </c>
      <c r="E2278" s="10">
        <v>3</v>
      </c>
      <c r="F2278" s="24">
        <v>42124.52</v>
      </c>
      <c r="G2278" s="10" t="s">
        <v>4694</v>
      </c>
      <c r="H2278" s="10" t="s">
        <v>4694</v>
      </c>
      <c r="I2278" s="10" t="s">
        <v>4708</v>
      </c>
      <c r="J2278" s="17">
        <f t="shared" si="16"/>
        <v>29039</v>
      </c>
      <c r="K2278" s="10">
        <f t="shared" ca="1" si="17"/>
        <v>46</v>
      </c>
      <c r="L2278" s="6"/>
      <c r="M2278" s="6"/>
      <c r="N2278" s="6"/>
      <c r="O2278" s="6"/>
      <c r="P2278" s="6"/>
      <c r="Q2278" s="6"/>
      <c r="R2278" s="6"/>
      <c r="S2278" s="6"/>
      <c r="T2278" s="6"/>
      <c r="U2278" s="6"/>
      <c r="V2278" s="6"/>
      <c r="W2278" s="6"/>
      <c r="X2278" s="6"/>
      <c r="Y2278" s="6"/>
      <c r="Z2278" s="6"/>
    </row>
    <row r="2279" spans="1:26" ht="15.75" customHeight="1" x14ac:dyDescent="0.3">
      <c r="A2279" s="10" t="s">
        <v>134</v>
      </c>
      <c r="B2279" s="10">
        <v>1973</v>
      </c>
      <c r="C2279" s="10" t="s">
        <v>4711</v>
      </c>
      <c r="D2279" s="10">
        <v>18</v>
      </c>
      <c r="E2279" s="10">
        <v>0</v>
      </c>
      <c r="F2279" s="24">
        <v>42188.15</v>
      </c>
      <c r="G2279" s="10" t="s">
        <v>4694</v>
      </c>
      <c r="H2279" s="10" t="s">
        <v>4694</v>
      </c>
      <c r="I2279" s="10" t="s">
        <v>4716</v>
      </c>
      <c r="J2279" s="17">
        <f t="shared" si="16"/>
        <v>26925</v>
      </c>
      <c r="K2279" s="10">
        <f t="shared" ca="1" si="17"/>
        <v>52</v>
      </c>
      <c r="L2279" s="6"/>
      <c r="M2279" s="6"/>
      <c r="N2279" s="6"/>
      <c r="O2279" s="6"/>
      <c r="P2279" s="6"/>
      <c r="Q2279" s="6"/>
      <c r="R2279" s="6"/>
      <c r="S2279" s="6"/>
      <c r="T2279" s="6"/>
      <c r="U2279" s="6"/>
      <c r="V2279" s="6"/>
      <c r="W2279" s="6"/>
      <c r="X2279" s="6"/>
      <c r="Y2279" s="6"/>
      <c r="Z2279" s="6"/>
    </row>
    <row r="2280" spans="1:26" ht="15.75" customHeight="1" x14ac:dyDescent="0.3">
      <c r="A2280" s="10" t="s">
        <v>132</v>
      </c>
      <c r="B2280" s="10">
        <v>1975</v>
      </c>
      <c r="C2280" s="10" t="s">
        <v>4714</v>
      </c>
      <c r="D2280" s="10">
        <v>15</v>
      </c>
      <c r="E2280" s="10">
        <v>1</v>
      </c>
      <c r="F2280" s="24">
        <v>42211.14</v>
      </c>
      <c r="G2280" s="10" t="s">
        <v>4694</v>
      </c>
      <c r="H2280" s="10" t="s">
        <v>4696</v>
      </c>
      <c r="I2280" s="10" t="s">
        <v>4708</v>
      </c>
      <c r="J2280" s="17">
        <f t="shared" si="16"/>
        <v>27621</v>
      </c>
      <c r="K2280" s="10">
        <f t="shared" ca="1" si="17"/>
        <v>50</v>
      </c>
      <c r="L2280" s="6"/>
      <c r="M2280" s="6"/>
      <c r="N2280" s="6"/>
      <c r="O2280" s="6"/>
      <c r="P2280" s="6"/>
      <c r="Q2280" s="6"/>
      <c r="R2280" s="6"/>
      <c r="S2280" s="6"/>
      <c r="T2280" s="6"/>
      <c r="U2280" s="6"/>
      <c r="V2280" s="6"/>
      <c r="W2280" s="6"/>
      <c r="X2280" s="6"/>
      <c r="Y2280" s="6"/>
      <c r="Z2280" s="6"/>
    </row>
    <row r="2281" spans="1:26" ht="15.75" customHeight="1" x14ac:dyDescent="0.3">
      <c r="A2281" s="10" t="s">
        <v>130</v>
      </c>
      <c r="B2281" s="10">
        <v>1967</v>
      </c>
      <c r="C2281" s="10" t="s">
        <v>4710</v>
      </c>
      <c r="D2281" s="10">
        <v>28</v>
      </c>
      <c r="E2281" s="10">
        <v>0</v>
      </c>
      <c r="F2281" s="24">
        <v>42303.69</v>
      </c>
      <c r="G2281" s="10" t="s">
        <v>4694</v>
      </c>
      <c r="H2281" s="10" t="s">
        <v>4695</v>
      </c>
      <c r="I2281" s="10" t="s">
        <v>4720</v>
      </c>
      <c r="J2281" s="17">
        <f t="shared" si="16"/>
        <v>24651</v>
      </c>
      <c r="K2281" s="10">
        <f t="shared" ca="1" si="17"/>
        <v>58</v>
      </c>
      <c r="L2281" s="6"/>
      <c r="M2281" s="6"/>
      <c r="N2281" s="6"/>
      <c r="O2281" s="6"/>
      <c r="P2281" s="6"/>
      <c r="Q2281" s="6"/>
      <c r="R2281" s="6"/>
      <c r="S2281" s="6"/>
      <c r="T2281" s="6"/>
      <c r="U2281" s="6"/>
      <c r="V2281" s="6"/>
      <c r="W2281" s="6"/>
      <c r="X2281" s="6"/>
      <c r="Y2281" s="6"/>
      <c r="Z2281" s="6"/>
    </row>
    <row r="2282" spans="1:26" ht="15.75" customHeight="1" x14ac:dyDescent="0.3">
      <c r="A2282" s="10" t="s">
        <v>128</v>
      </c>
      <c r="B2282" s="10">
        <v>1968</v>
      </c>
      <c r="C2282" s="10" t="s">
        <v>4714</v>
      </c>
      <c r="D2282" s="10">
        <v>3</v>
      </c>
      <c r="E2282" s="10">
        <v>0</v>
      </c>
      <c r="F2282" s="24">
        <v>42478.6</v>
      </c>
      <c r="G2282" s="10" t="s">
        <v>4694</v>
      </c>
      <c r="H2282" s="10" t="s">
        <v>4695</v>
      </c>
      <c r="I2282" s="10" t="s">
        <v>4716</v>
      </c>
      <c r="J2282" s="17">
        <f t="shared" si="16"/>
        <v>25053</v>
      </c>
      <c r="K2282" s="10">
        <f t="shared" ca="1" si="17"/>
        <v>57</v>
      </c>
      <c r="L2282" s="6"/>
      <c r="M2282" s="6"/>
      <c r="N2282" s="6"/>
      <c r="O2282" s="6"/>
      <c r="P2282" s="6"/>
      <c r="Q2282" s="6"/>
      <c r="R2282" s="6"/>
      <c r="S2282" s="6"/>
      <c r="T2282" s="6"/>
      <c r="U2282" s="6"/>
      <c r="V2282" s="6"/>
      <c r="W2282" s="6"/>
      <c r="X2282" s="6"/>
      <c r="Y2282" s="6"/>
      <c r="Z2282" s="6"/>
    </row>
    <row r="2283" spans="1:26" ht="15.75" customHeight="1" x14ac:dyDescent="0.3">
      <c r="A2283" s="10" t="s">
        <v>126</v>
      </c>
      <c r="B2283" s="10">
        <v>1967</v>
      </c>
      <c r="C2283" s="10" t="s">
        <v>4710</v>
      </c>
      <c r="D2283" s="10">
        <v>27</v>
      </c>
      <c r="E2283" s="10">
        <v>0</v>
      </c>
      <c r="F2283" s="24">
        <v>42538.720000000001</v>
      </c>
      <c r="G2283" s="10" t="s">
        <v>4694</v>
      </c>
      <c r="H2283" s="10" t="s">
        <v>4696</v>
      </c>
      <c r="I2283" s="10" t="s">
        <v>4716</v>
      </c>
      <c r="J2283" s="17">
        <f t="shared" si="16"/>
        <v>24650</v>
      </c>
      <c r="K2283" s="10">
        <f t="shared" ca="1" si="17"/>
        <v>58</v>
      </c>
      <c r="L2283" s="6"/>
      <c r="M2283" s="6"/>
      <c r="N2283" s="6"/>
      <c r="O2283" s="6"/>
      <c r="P2283" s="6"/>
      <c r="Q2283" s="6"/>
      <c r="R2283" s="6"/>
      <c r="S2283" s="6"/>
      <c r="T2283" s="6"/>
      <c r="U2283" s="6"/>
      <c r="V2283" s="6"/>
      <c r="W2283" s="6"/>
      <c r="X2283" s="6"/>
      <c r="Y2283" s="6"/>
      <c r="Z2283" s="6"/>
    </row>
    <row r="2284" spans="1:26" ht="15.75" customHeight="1" x14ac:dyDescent="0.3">
      <c r="A2284" s="10" t="s">
        <v>124</v>
      </c>
      <c r="B2284" s="10">
        <v>1979</v>
      </c>
      <c r="C2284" s="10" t="s">
        <v>4713</v>
      </c>
      <c r="D2284" s="10">
        <v>27</v>
      </c>
      <c r="E2284" s="10">
        <v>2</v>
      </c>
      <c r="F2284" s="24">
        <v>42560.43</v>
      </c>
      <c r="G2284" s="10" t="s">
        <v>4694</v>
      </c>
      <c r="H2284" s="10" t="s">
        <v>4696</v>
      </c>
      <c r="I2284" s="10" t="s">
        <v>4708</v>
      </c>
      <c r="J2284" s="17">
        <f t="shared" si="16"/>
        <v>29216</v>
      </c>
      <c r="K2284" s="10">
        <f t="shared" ca="1" si="17"/>
        <v>45</v>
      </c>
      <c r="L2284" s="6"/>
      <c r="M2284" s="6"/>
      <c r="N2284" s="6"/>
      <c r="O2284" s="6"/>
      <c r="P2284" s="6"/>
      <c r="Q2284" s="6"/>
      <c r="R2284" s="6"/>
      <c r="S2284" s="6"/>
      <c r="T2284" s="6"/>
      <c r="U2284" s="6"/>
      <c r="V2284" s="6"/>
      <c r="W2284" s="6"/>
      <c r="X2284" s="6"/>
      <c r="Y2284" s="6"/>
      <c r="Z2284" s="6"/>
    </row>
    <row r="2285" spans="1:26" ht="15.75" customHeight="1" x14ac:dyDescent="0.3">
      <c r="A2285" s="10" t="s">
        <v>122</v>
      </c>
      <c r="B2285" s="10">
        <v>1971</v>
      </c>
      <c r="C2285" s="10" t="s">
        <v>4709</v>
      </c>
      <c r="D2285" s="10">
        <v>3</v>
      </c>
      <c r="E2285" s="10">
        <v>0</v>
      </c>
      <c r="F2285" s="24">
        <v>42644.2</v>
      </c>
      <c r="G2285" s="10" t="s">
        <v>4694</v>
      </c>
      <c r="H2285" s="10" t="s">
        <v>4696</v>
      </c>
      <c r="I2285" s="10" t="s">
        <v>4716</v>
      </c>
      <c r="J2285" s="17">
        <f t="shared" si="16"/>
        <v>26240</v>
      </c>
      <c r="K2285" s="10">
        <f t="shared" ca="1" si="17"/>
        <v>54</v>
      </c>
      <c r="L2285" s="6"/>
      <c r="M2285" s="6"/>
      <c r="N2285" s="6"/>
      <c r="O2285" s="6"/>
      <c r="P2285" s="6"/>
      <c r="Q2285" s="6"/>
      <c r="R2285" s="6"/>
      <c r="S2285" s="6"/>
      <c r="T2285" s="6"/>
      <c r="U2285" s="6"/>
      <c r="V2285" s="6"/>
      <c r="W2285" s="6"/>
      <c r="X2285" s="6"/>
      <c r="Y2285" s="6"/>
      <c r="Z2285" s="6"/>
    </row>
    <row r="2286" spans="1:26" ht="15.75" customHeight="1" x14ac:dyDescent="0.3">
      <c r="A2286" s="10" t="s">
        <v>120</v>
      </c>
      <c r="B2286" s="10">
        <v>1977</v>
      </c>
      <c r="C2286" s="10" t="s">
        <v>4715</v>
      </c>
      <c r="D2286" s="10">
        <v>21</v>
      </c>
      <c r="E2286" s="10">
        <v>2</v>
      </c>
      <c r="F2286" s="24">
        <v>42760.5</v>
      </c>
      <c r="G2286" s="10" t="s">
        <v>4694</v>
      </c>
      <c r="H2286" s="10" t="s">
        <v>4695</v>
      </c>
      <c r="I2286" s="10" t="s">
        <v>4712</v>
      </c>
      <c r="J2286" s="17">
        <f t="shared" si="16"/>
        <v>28419</v>
      </c>
      <c r="K2286" s="10">
        <f t="shared" ca="1" si="17"/>
        <v>48</v>
      </c>
      <c r="L2286" s="6"/>
      <c r="M2286" s="6"/>
      <c r="N2286" s="6"/>
      <c r="O2286" s="6"/>
      <c r="P2286" s="6"/>
      <c r="Q2286" s="6"/>
      <c r="R2286" s="6"/>
      <c r="S2286" s="6"/>
      <c r="T2286" s="6"/>
      <c r="U2286" s="6"/>
      <c r="V2286" s="6"/>
      <c r="W2286" s="6"/>
      <c r="X2286" s="6"/>
      <c r="Y2286" s="6"/>
      <c r="Z2286" s="6"/>
    </row>
    <row r="2287" spans="1:26" ht="15.75" customHeight="1" x14ac:dyDescent="0.3">
      <c r="A2287" s="10" t="s">
        <v>118</v>
      </c>
      <c r="B2287" s="10">
        <v>1965</v>
      </c>
      <c r="C2287" s="10" t="s">
        <v>4715</v>
      </c>
      <c r="D2287" s="10">
        <v>29</v>
      </c>
      <c r="E2287" s="10">
        <v>0</v>
      </c>
      <c r="F2287" s="24">
        <v>42764.12</v>
      </c>
      <c r="G2287" s="10" t="s">
        <v>4694</v>
      </c>
      <c r="H2287" s="10" t="s">
        <v>4695</v>
      </c>
      <c r="I2287" s="10" t="s">
        <v>4716</v>
      </c>
      <c r="J2287" s="17">
        <f t="shared" si="16"/>
        <v>24044</v>
      </c>
      <c r="K2287" s="10">
        <f t="shared" ca="1" si="17"/>
        <v>60</v>
      </c>
      <c r="L2287" s="6"/>
      <c r="M2287" s="6"/>
      <c r="N2287" s="6"/>
      <c r="O2287" s="6"/>
      <c r="P2287" s="6"/>
      <c r="Q2287" s="6"/>
      <c r="R2287" s="6"/>
      <c r="S2287" s="6"/>
      <c r="T2287" s="6"/>
      <c r="U2287" s="6"/>
      <c r="V2287" s="6"/>
      <c r="W2287" s="6"/>
      <c r="X2287" s="6"/>
      <c r="Y2287" s="6"/>
      <c r="Z2287" s="6"/>
    </row>
    <row r="2288" spans="1:26" ht="15.75" customHeight="1" x14ac:dyDescent="0.3">
      <c r="A2288" s="10" t="s">
        <v>116</v>
      </c>
      <c r="B2288" s="10">
        <v>1972</v>
      </c>
      <c r="C2288" s="10" t="s">
        <v>4711</v>
      </c>
      <c r="D2288" s="10">
        <v>10</v>
      </c>
      <c r="E2288" s="10">
        <v>2</v>
      </c>
      <c r="F2288" s="24">
        <v>42856.84</v>
      </c>
      <c r="G2288" s="10" t="s">
        <v>4694</v>
      </c>
      <c r="H2288" s="10" t="s">
        <v>4694</v>
      </c>
      <c r="I2288" s="10" t="s">
        <v>4716</v>
      </c>
      <c r="J2288" s="17">
        <f t="shared" si="16"/>
        <v>26552</v>
      </c>
      <c r="K2288" s="10">
        <f t="shared" ca="1" si="17"/>
        <v>53</v>
      </c>
      <c r="L2288" s="6"/>
      <c r="M2288" s="6"/>
      <c r="N2288" s="6"/>
      <c r="O2288" s="6"/>
      <c r="P2288" s="6"/>
      <c r="Q2288" s="6"/>
      <c r="R2288" s="6"/>
      <c r="S2288" s="6"/>
      <c r="T2288" s="6"/>
      <c r="U2288" s="6"/>
      <c r="V2288" s="6"/>
      <c r="W2288" s="6"/>
      <c r="X2288" s="6"/>
      <c r="Y2288" s="6"/>
      <c r="Z2288" s="6"/>
    </row>
    <row r="2289" spans="1:26" ht="15.75" customHeight="1" x14ac:dyDescent="0.3">
      <c r="A2289" s="10" t="s">
        <v>114</v>
      </c>
      <c r="B2289" s="10">
        <v>1975</v>
      </c>
      <c r="C2289" s="10" t="s">
        <v>4715</v>
      </c>
      <c r="D2289" s="10">
        <v>23</v>
      </c>
      <c r="E2289" s="10">
        <v>1</v>
      </c>
      <c r="F2289" s="24">
        <v>42969.85</v>
      </c>
      <c r="G2289" s="10" t="s">
        <v>4694</v>
      </c>
      <c r="H2289" s="10" t="s">
        <v>4696</v>
      </c>
      <c r="I2289" s="10" t="s">
        <v>4708</v>
      </c>
      <c r="J2289" s="17">
        <f t="shared" si="16"/>
        <v>27690</v>
      </c>
      <c r="K2289" s="10">
        <f t="shared" ca="1" si="17"/>
        <v>50</v>
      </c>
      <c r="L2289" s="6"/>
      <c r="M2289" s="6"/>
      <c r="N2289" s="6"/>
      <c r="O2289" s="6"/>
      <c r="P2289" s="6"/>
      <c r="Q2289" s="6"/>
      <c r="R2289" s="6"/>
      <c r="S2289" s="6"/>
      <c r="T2289" s="6"/>
      <c r="U2289" s="6"/>
      <c r="V2289" s="6"/>
      <c r="W2289" s="6"/>
      <c r="X2289" s="6"/>
      <c r="Y2289" s="6"/>
      <c r="Z2289" s="6"/>
    </row>
    <row r="2290" spans="1:26" ht="15.75" customHeight="1" x14ac:dyDescent="0.3">
      <c r="A2290" s="10" t="s">
        <v>112</v>
      </c>
      <c r="B2290" s="10">
        <v>1978</v>
      </c>
      <c r="C2290" s="10" t="s">
        <v>4709</v>
      </c>
      <c r="D2290" s="10">
        <v>4</v>
      </c>
      <c r="E2290" s="10">
        <v>0</v>
      </c>
      <c r="F2290" s="24">
        <v>42983.46</v>
      </c>
      <c r="G2290" s="10" t="s">
        <v>4694</v>
      </c>
      <c r="H2290" s="10" t="s">
        <v>4695</v>
      </c>
      <c r="I2290" s="10" t="s">
        <v>4712</v>
      </c>
      <c r="J2290" s="17">
        <f t="shared" si="16"/>
        <v>28798</v>
      </c>
      <c r="K2290" s="10">
        <f t="shared" ca="1" si="17"/>
        <v>47</v>
      </c>
      <c r="L2290" s="6"/>
      <c r="M2290" s="6"/>
      <c r="N2290" s="6"/>
      <c r="O2290" s="6"/>
      <c r="P2290" s="6"/>
      <c r="Q2290" s="6"/>
      <c r="R2290" s="6"/>
      <c r="S2290" s="6"/>
      <c r="T2290" s="6"/>
      <c r="U2290" s="6"/>
      <c r="V2290" s="6"/>
      <c r="W2290" s="6"/>
      <c r="X2290" s="6"/>
      <c r="Y2290" s="6"/>
      <c r="Z2290" s="6"/>
    </row>
    <row r="2291" spans="1:26" ht="15.75" customHeight="1" x14ac:dyDescent="0.3">
      <c r="A2291" s="10" t="s">
        <v>110</v>
      </c>
      <c r="B2291" s="10">
        <v>1965</v>
      </c>
      <c r="C2291" s="10" t="s">
        <v>4709</v>
      </c>
      <c r="D2291" s="10">
        <v>29</v>
      </c>
      <c r="E2291" s="10">
        <v>0</v>
      </c>
      <c r="F2291" s="24">
        <v>43073.760000000002</v>
      </c>
      <c r="G2291" s="10" t="s">
        <v>4695</v>
      </c>
      <c r="H2291" s="10" t="s">
        <v>4695</v>
      </c>
      <c r="I2291" s="10" t="s">
        <v>4716</v>
      </c>
      <c r="J2291" s="17">
        <f t="shared" si="16"/>
        <v>24075</v>
      </c>
      <c r="K2291" s="10">
        <f t="shared" ca="1" si="17"/>
        <v>60</v>
      </c>
      <c r="L2291" s="6"/>
      <c r="M2291" s="6"/>
      <c r="N2291" s="6"/>
      <c r="O2291" s="6"/>
      <c r="P2291" s="6"/>
      <c r="Q2291" s="6"/>
      <c r="R2291" s="6"/>
      <c r="S2291" s="6"/>
      <c r="T2291" s="6"/>
      <c r="U2291" s="6"/>
      <c r="V2291" s="6"/>
      <c r="W2291" s="6"/>
      <c r="X2291" s="6"/>
      <c r="Y2291" s="6"/>
      <c r="Z2291" s="6"/>
    </row>
    <row r="2292" spans="1:26" ht="15.75" customHeight="1" x14ac:dyDescent="0.3">
      <c r="A2292" s="10" t="s">
        <v>108</v>
      </c>
      <c r="B2292" s="10">
        <v>1969</v>
      </c>
      <c r="C2292" s="10" t="s">
        <v>4713</v>
      </c>
      <c r="D2292" s="10">
        <v>3</v>
      </c>
      <c r="E2292" s="10">
        <v>0</v>
      </c>
      <c r="F2292" s="24">
        <v>43254.42</v>
      </c>
      <c r="G2292" s="10" t="s">
        <v>4695</v>
      </c>
      <c r="H2292" s="10" t="s">
        <v>4695</v>
      </c>
      <c r="I2292" s="10" t="s">
        <v>4720</v>
      </c>
      <c r="J2292" s="17">
        <f t="shared" si="16"/>
        <v>25540</v>
      </c>
      <c r="K2292" s="10">
        <f t="shared" ca="1" si="17"/>
        <v>55</v>
      </c>
      <c r="L2292" s="6"/>
      <c r="M2292" s="6"/>
      <c r="N2292" s="6"/>
      <c r="O2292" s="6"/>
      <c r="P2292" s="6"/>
      <c r="Q2292" s="6"/>
      <c r="R2292" s="6"/>
      <c r="S2292" s="6"/>
      <c r="T2292" s="6"/>
      <c r="U2292" s="6"/>
      <c r="V2292" s="6"/>
      <c r="W2292" s="6"/>
      <c r="X2292" s="6"/>
      <c r="Y2292" s="6"/>
      <c r="Z2292" s="6"/>
    </row>
    <row r="2293" spans="1:26" ht="15.75" customHeight="1" x14ac:dyDescent="0.3">
      <c r="A2293" s="10" t="s">
        <v>106</v>
      </c>
      <c r="B2293" s="10">
        <v>1965</v>
      </c>
      <c r="C2293" s="10" t="s">
        <v>4714</v>
      </c>
      <c r="D2293" s="10">
        <v>22</v>
      </c>
      <c r="E2293" s="10">
        <v>0</v>
      </c>
      <c r="F2293" s="24">
        <v>43578.94</v>
      </c>
      <c r="G2293" s="10" t="s">
        <v>4695</v>
      </c>
      <c r="H2293" s="10" t="s">
        <v>4695</v>
      </c>
      <c r="I2293" s="10" t="s">
        <v>4712</v>
      </c>
      <c r="J2293" s="17">
        <f t="shared" si="16"/>
        <v>23976</v>
      </c>
      <c r="K2293" s="10">
        <f t="shared" ca="1" si="17"/>
        <v>60</v>
      </c>
      <c r="L2293" s="6"/>
      <c r="M2293" s="6"/>
      <c r="N2293" s="6"/>
      <c r="O2293" s="6"/>
      <c r="P2293" s="6"/>
      <c r="Q2293" s="6"/>
      <c r="R2293" s="6"/>
      <c r="S2293" s="6"/>
      <c r="T2293" s="6"/>
      <c r="U2293" s="6"/>
      <c r="V2293" s="6"/>
      <c r="W2293" s="6"/>
      <c r="X2293" s="6"/>
      <c r="Y2293" s="6"/>
      <c r="Z2293" s="6"/>
    </row>
    <row r="2294" spans="1:26" ht="15.75" customHeight="1" x14ac:dyDescent="0.3">
      <c r="A2294" s="10" t="s">
        <v>104</v>
      </c>
      <c r="B2294" s="10">
        <v>1986</v>
      </c>
      <c r="C2294" s="10" t="s">
        <v>4713</v>
      </c>
      <c r="D2294" s="10">
        <v>29</v>
      </c>
      <c r="E2294" s="10">
        <v>3</v>
      </c>
      <c r="F2294" s="24">
        <v>43753.34</v>
      </c>
      <c r="G2294" s="10" t="s">
        <v>4695</v>
      </c>
      <c r="H2294" s="10" t="s">
        <v>4694</v>
      </c>
      <c r="I2294" s="10" t="s">
        <v>4718</v>
      </c>
      <c r="J2294" s="17">
        <f t="shared" si="16"/>
        <v>31775</v>
      </c>
      <c r="K2294" s="10">
        <f t="shared" ca="1" si="17"/>
        <v>38</v>
      </c>
      <c r="L2294" s="6"/>
      <c r="M2294" s="6"/>
      <c r="N2294" s="6"/>
      <c r="O2294" s="6"/>
      <c r="P2294" s="6"/>
      <c r="Q2294" s="6"/>
      <c r="R2294" s="6"/>
      <c r="S2294" s="6"/>
      <c r="T2294" s="6"/>
      <c r="U2294" s="6"/>
      <c r="V2294" s="6"/>
      <c r="W2294" s="6"/>
      <c r="X2294" s="6"/>
      <c r="Y2294" s="6"/>
      <c r="Z2294" s="6"/>
    </row>
    <row r="2295" spans="1:26" ht="15.75" customHeight="1" x14ac:dyDescent="0.3">
      <c r="A2295" s="10" t="s">
        <v>102</v>
      </c>
      <c r="B2295" s="10">
        <v>1966</v>
      </c>
      <c r="C2295" s="10" t="s">
        <v>4715</v>
      </c>
      <c r="D2295" s="10">
        <v>25</v>
      </c>
      <c r="E2295" s="10">
        <v>2</v>
      </c>
      <c r="F2295" s="24">
        <v>43813.87</v>
      </c>
      <c r="G2295" s="10" t="s">
        <v>4695</v>
      </c>
      <c r="H2295" s="10" t="s">
        <v>4695</v>
      </c>
      <c r="I2295" s="10" t="s">
        <v>4708</v>
      </c>
      <c r="J2295" s="17">
        <f t="shared" si="16"/>
        <v>24405</v>
      </c>
      <c r="K2295" s="10">
        <f t="shared" ca="1" si="17"/>
        <v>59</v>
      </c>
      <c r="L2295" s="6"/>
      <c r="M2295" s="6"/>
      <c r="N2295" s="6"/>
      <c r="O2295" s="6"/>
      <c r="P2295" s="6"/>
      <c r="Q2295" s="6"/>
      <c r="R2295" s="6"/>
      <c r="S2295" s="6"/>
      <c r="T2295" s="6"/>
      <c r="U2295" s="6"/>
      <c r="V2295" s="6"/>
      <c r="W2295" s="6"/>
      <c r="X2295" s="6"/>
      <c r="Y2295" s="6"/>
      <c r="Z2295" s="6"/>
    </row>
    <row r="2296" spans="1:26" ht="15.75" customHeight="1" x14ac:dyDescent="0.3">
      <c r="A2296" s="10" t="s">
        <v>100</v>
      </c>
      <c r="B2296" s="10">
        <v>1966</v>
      </c>
      <c r="C2296" s="10" t="s">
        <v>4707</v>
      </c>
      <c r="D2296" s="10">
        <v>2</v>
      </c>
      <c r="E2296" s="10">
        <v>0</v>
      </c>
      <c r="F2296" s="24">
        <v>43817.45</v>
      </c>
      <c r="G2296" s="10" t="s">
        <v>4695</v>
      </c>
      <c r="H2296" s="10" t="s">
        <v>4696</v>
      </c>
      <c r="I2296" s="10" t="s">
        <v>4712</v>
      </c>
      <c r="J2296" s="17">
        <f t="shared" si="16"/>
        <v>24290</v>
      </c>
      <c r="K2296" s="10">
        <f t="shared" ca="1" si="17"/>
        <v>59</v>
      </c>
      <c r="L2296" s="6"/>
      <c r="M2296" s="6"/>
      <c r="N2296" s="6"/>
      <c r="O2296" s="6"/>
      <c r="P2296" s="6"/>
      <c r="Q2296" s="6"/>
      <c r="R2296" s="6"/>
      <c r="S2296" s="6"/>
      <c r="T2296" s="6"/>
      <c r="U2296" s="6"/>
      <c r="V2296" s="6"/>
      <c r="W2296" s="6"/>
      <c r="X2296" s="6"/>
      <c r="Y2296" s="6"/>
      <c r="Z2296" s="6"/>
    </row>
    <row r="2297" spans="1:26" ht="15.75" customHeight="1" x14ac:dyDescent="0.3">
      <c r="A2297" s="10" t="s">
        <v>98</v>
      </c>
      <c r="B2297" s="10">
        <v>1980</v>
      </c>
      <c r="C2297" s="10" t="s">
        <v>4709</v>
      </c>
      <c r="D2297" s="10">
        <v>10</v>
      </c>
      <c r="E2297" s="10">
        <v>2</v>
      </c>
      <c r="F2297" s="24">
        <v>43896.38</v>
      </c>
      <c r="G2297" s="10" t="s">
        <v>4695</v>
      </c>
      <c r="H2297" s="10" t="s">
        <v>4694</v>
      </c>
      <c r="I2297" s="10" t="s">
        <v>4708</v>
      </c>
      <c r="J2297" s="17">
        <f t="shared" ref="J2297:J2344" si="18">DATEVALUE(D2297&amp;"-"&amp;C2297&amp;" -"&amp;B2297)</f>
        <v>29535</v>
      </c>
      <c r="K2297" s="10">
        <f t="shared" ref="K2297:K2344" ca="1" si="19">DATEDIF(J2297,TODAY(),"Y")</f>
        <v>45</v>
      </c>
      <c r="L2297" s="6"/>
      <c r="M2297" s="6"/>
      <c r="N2297" s="6"/>
      <c r="O2297" s="6"/>
      <c r="P2297" s="6"/>
      <c r="Q2297" s="6"/>
      <c r="R2297" s="6"/>
      <c r="S2297" s="6"/>
      <c r="T2297" s="6"/>
      <c r="U2297" s="6"/>
      <c r="V2297" s="6"/>
      <c r="W2297" s="6"/>
      <c r="X2297" s="6"/>
      <c r="Y2297" s="6"/>
      <c r="Z2297" s="6"/>
    </row>
    <row r="2298" spans="1:26" ht="15.75" customHeight="1" x14ac:dyDescent="0.3">
      <c r="A2298" s="10" t="s">
        <v>96</v>
      </c>
      <c r="B2298" s="10">
        <v>1966</v>
      </c>
      <c r="C2298" s="10" t="s">
        <v>4715</v>
      </c>
      <c r="D2298" s="10">
        <v>5</v>
      </c>
      <c r="E2298" s="10">
        <v>0</v>
      </c>
      <c r="F2298" s="24">
        <v>43921.18</v>
      </c>
      <c r="G2298" s="10" t="s">
        <v>4695</v>
      </c>
      <c r="H2298" s="10" t="s">
        <v>4695</v>
      </c>
      <c r="I2298" s="10" t="s">
        <v>4712</v>
      </c>
      <c r="J2298" s="17">
        <f t="shared" si="18"/>
        <v>24385</v>
      </c>
      <c r="K2298" s="10">
        <f t="shared" ca="1" si="19"/>
        <v>59</v>
      </c>
      <c r="L2298" s="6"/>
      <c r="M2298" s="6"/>
      <c r="N2298" s="6"/>
      <c r="O2298" s="6"/>
      <c r="P2298" s="6"/>
      <c r="Q2298" s="6"/>
      <c r="R2298" s="6"/>
      <c r="S2298" s="6"/>
      <c r="T2298" s="6"/>
      <c r="U2298" s="6"/>
      <c r="V2298" s="6"/>
      <c r="W2298" s="6"/>
      <c r="X2298" s="6"/>
      <c r="Y2298" s="6"/>
      <c r="Z2298" s="6"/>
    </row>
    <row r="2299" spans="1:26" ht="15.75" customHeight="1" x14ac:dyDescent="0.3">
      <c r="A2299" s="10" t="s">
        <v>94</v>
      </c>
      <c r="B2299" s="10">
        <v>1988</v>
      </c>
      <c r="C2299" s="10" t="s">
        <v>4707</v>
      </c>
      <c r="D2299" s="10">
        <v>16</v>
      </c>
      <c r="E2299" s="10">
        <v>1</v>
      </c>
      <c r="F2299" s="24">
        <v>43943.88</v>
      </c>
      <c r="G2299" s="10" t="s">
        <v>4695</v>
      </c>
      <c r="H2299" s="10" t="s">
        <v>4694</v>
      </c>
      <c r="I2299" s="10" t="s">
        <v>4712</v>
      </c>
      <c r="J2299" s="17">
        <f t="shared" si="18"/>
        <v>32340</v>
      </c>
      <c r="K2299" s="10">
        <f t="shared" ca="1" si="19"/>
        <v>37</v>
      </c>
      <c r="L2299" s="6"/>
      <c r="M2299" s="6"/>
      <c r="N2299" s="6"/>
      <c r="O2299" s="6"/>
      <c r="P2299" s="6"/>
      <c r="Q2299" s="6"/>
      <c r="R2299" s="6"/>
      <c r="S2299" s="6"/>
      <c r="T2299" s="6"/>
      <c r="U2299" s="6"/>
      <c r="V2299" s="6"/>
      <c r="W2299" s="6"/>
      <c r="X2299" s="6"/>
      <c r="Y2299" s="6"/>
      <c r="Z2299" s="6"/>
    </row>
    <row r="2300" spans="1:26" ht="15.75" customHeight="1" x14ac:dyDescent="0.3">
      <c r="A2300" s="10" t="s">
        <v>92</v>
      </c>
      <c r="B2300" s="10">
        <v>1975</v>
      </c>
      <c r="C2300" s="10" t="s">
        <v>4710</v>
      </c>
      <c r="D2300" s="10">
        <v>1</v>
      </c>
      <c r="E2300" s="10">
        <v>2</v>
      </c>
      <c r="F2300" s="24">
        <v>44202.65</v>
      </c>
      <c r="G2300" s="10" t="s">
        <v>4695</v>
      </c>
      <c r="H2300" s="10" t="s">
        <v>4695</v>
      </c>
      <c r="I2300" s="10" t="s">
        <v>4708</v>
      </c>
      <c r="J2300" s="17">
        <f t="shared" si="18"/>
        <v>27546</v>
      </c>
      <c r="K2300" s="10">
        <f t="shared" ca="1" si="19"/>
        <v>50</v>
      </c>
      <c r="L2300" s="6"/>
      <c r="M2300" s="6"/>
      <c r="N2300" s="6"/>
      <c r="O2300" s="6"/>
      <c r="P2300" s="6"/>
      <c r="Q2300" s="6"/>
      <c r="R2300" s="6"/>
      <c r="S2300" s="6"/>
      <c r="T2300" s="6"/>
      <c r="U2300" s="6"/>
      <c r="V2300" s="6"/>
      <c r="W2300" s="6"/>
      <c r="X2300" s="6"/>
      <c r="Y2300" s="6"/>
      <c r="Z2300" s="6"/>
    </row>
    <row r="2301" spans="1:26" ht="15.75" customHeight="1" x14ac:dyDescent="0.3">
      <c r="A2301" s="10" t="s">
        <v>90</v>
      </c>
      <c r="B2301" s="10">
        <v>1968</v>
      </c>
      <c r="C2301" s="10" t="s">
        <v>4709</v>
      </c>
      <c r="D2301" s="10">
        <v>24</v>
      </c>
      <c r="E2301" s="10">
        <v>2</v>
      </c>
      <c r="F2301" s="24">
        <v>44260.75</v>
      </c>
      <c r="G2301" s="10" t="s">
        <v>4695</v>
      </c>
      <c r="H2301" s="10" t="s">
        <v>4694</v>
      </c>
      <c r="I2301" s="10" t="s">
        <v>4708</v>
      </c>
      <c r="J2301" s="17">
        <f t="shared" si="18"/>
        <v>25166</v>
      </c>
      <c r="K2301" s="10">
        <f t="shared" ca="1" si="19"/>
        <v>57</v>
      </c>
      <c r="L2301" s="6"/>
      <c r="M2301" s="6"/>
      <c r="N2301" s="6"/>
      <c r="O2301" s="6"/>
      <c r="P2301" s="6"/>
      <c r="Q2301" s="6"/>
      <c r="R2301" s="6"/>
      <c r="S2301" s="6"/>
      <c r="T2301" s="6"/>
      <c r="U2301" s="6"/>
      <c r="V2301" s="6"/>
      <c r="W2301" s="6"/>
      <c r="X2301" s="6"/>
      <c r="Y2301" s="6"/>
      <c r="Z2301" s="6"/>
    </row>
    <row r="2302" spans="1:26" ht="15.75" customHeight="1" x14ac:dyDescent="0.3">
      <c r="A2302" s="10" t="s">
        <v>88</v>
      </c>
      <c r="B2302" s="10">
        <v>1971</v>
      </c>
      <c r="C2302" s="10" t="s">
        <v>4715</v>
      </c>
      <c r="D2302" s="10">
        <v>29</v>
      </c>
      <c r="E2302" s="10">
        <v>0</v>
      </c>
      <c r="F2302" s="24">
        <v>44400.41</v>
      </c>
      <c r="G2302" s="10" t="s">
        <v>4695</v>
      </c>
      <c r="H2302" s="10" t="s">
        <v>4695</v>
      </c>
      <c r="I2302" s="10" t="s">
        <v>4708</v>
      </c>
      <c r="J2302" s="17">
        <f t="shared" si="18"/>
        <v>26235</v>
      </c>
      <c r="K2302" s="10">
        <f t="shared" ca="1" si="19"/>
        <v>54</v>
      </c>
      <c r="L2302" s="6"/>
      <c r="M2302" s="6"/>
      <c r="N2302" s="6"/>
      <c r="O2302" s="6"/>
      <c r="P2302" s="6"/>
      <c r="Q2302" s="6"/>
      <c r="R2302" s="6"/>
      <c r="S2302" s="6"/>
      <c r="T2302" s="6"/>
      <c r="U2302" s="6"/>
      <c r="V2302" s="6"/>
      <c r="W2302" s="6"/>
      <c r="X2302" s="6"/>
      <c r="Y2302" s="6"/>
      <c r="Z2302" s="6"/>
    </row>
    <row r="2303" spans="1:26" ht="15.75" customHeight="1" x14ac:dyDescent="0.3">
      <c r="A2303" s="10" t="s">
        <v>86</v>
      </c>
      <c r="B2303" s="10">
        <v>1967</v>
      </c>
      <c r="C2303" s="10" t="s">
        <v>4711</v>
      </c>
      <c r="D2303" s="10">
        <v>14</v>
      </c>
      <c r="E2303" s="10">
        <v>0</v>
      </c>
      <c r="F2303" s="24">
        <v>44423.8</v>
      </c>
      <c r="G2303" s="10" t="s">
        <v>4695</v>
      </c>
      <c r="H2303" s="10" t="s">
        <v>4696</v>
      </c>
      <c r="I2303" s="10" t="s">
        <v>4708</v>
      </c>
      <c r="J2303" s="17">
        <f t="shared" si="18"/>
        <v>24729</v>
      </c>
      <c r="K2303" s="10">
        <f t="shared" ca="1" si="19"/>
        <v>58</v>
      </c>
      <c r="L2303" s="6"/>
      <c r="M2303" s="6"/>
      <c r="N2303" s="6"/>
      <c r="O2303" s="6"/>
      <c r="P2303" s="6"/>
      <c r="Q2303" s="6"/>
      <c r="R2303" s="6"/>
      <c r="S2303" s="6"/>
      <c r="T2303" s="6"/>
      <c r="U2303" s="6"/>
      <c r="V2303" s="6"/>
      <c r="W2303" s="6"/>
      <c r="X2303" s="6"/>
      <c r="Y2303" s="6"/>
      <c r="Z2303" s="6"/>
    </row>
    <row r="2304" spans="1:26" ht="15.75" customHeight="1" x14ac:dyDescent="0.3">
      <c r="A2304" s="10" t="s">
        <v>84</v>
      </c>
      <c r="B2304" s="10">
        <v>2000</v>
      </c>
      <c r="C2304" s="10" t="s">
        <v>4714</v>
      </c>
      <c r="D2304" s="10">
        <v>2</v>
      </c>
      <c r="E2304" s="10">
        <v>1</v>
      </c>
      <c r="F2304" s="24">
        <v>44501.4</v>
      </c>
      <c r="G2304" s="10" t="s">
        <v>4695</v>
      </c>
      <c r="H2304" s="10" t="s">
        <v>4696</v>
      </c>
      <c r="I2304" s="10" t="s">
        <v>4708</v>
      </c>
      <c r="J2304" s="17">
        <f t="shared" si="18"/>
        <v>36740</v>
      </c>
      <c r="K2304" s="10">
        <f t="shared" ca="1" si="19"/>
        <v>25</v>
      </c>
      <c r="L2304" s="6"/>
      <c r="M2304" s="6"/>
      <c r="N2304" s="6"/>
      <c r="O2304" s="6"/>
      <c r="P2304" s="6"/>
      <c r="Q2304" s="6"/>
      <c r="R2304" s="6"/>
      <c r="S2304" s="6"/>
      <c r="T2304" s="6"/>
      <c r="U2304" s="6"/>
      <c r="V2304" s="6"/>
      <c r="W2304" s="6"/>
      <c r="X2304" s="6"/>
      <c r="Y2304" s="6"/>
      <c r="Z2304" s="6"/>
    </row>
    <row r="2305" spans="1:26" ht="15.75" customHeight="1" x14ac:dyDescent="0.3">
      <c r="A2305" s="10" t="s">
        <v>82</v>
      </c>
      <c r="B2305" s="10">
        <v>1993</v>
      </c>
      <c r="C2305" s="10" t="s">
        <v>4715</v>
      </c>
      <c r="D2305" s="10">
        <v>11</v>
      </c>
      <c r="E2305" s="10">
        <v>2</v>
      </c>
      <c r="F2305" s="24">
        <v>44585.46</v>
      </c>
      <c r="G2305" s="10" t="s">
        <v>4695</v>
      </c>
      <c r="H2305" s="10" t="s">
        <v>4695</v>
      </c>
      <c r="I2305" s="10" t="s">
        <v>4716</v>
      </c>
      <c r="J2305" s="17">
        <f t="shared" si="18"/>
        <v>34253</v>
      </c>
      <c r="K2305" s="10">
        <f t="shared" ca="1" si="19"/>
        <v>32</v>
      </c>
      <c r="L2305" s="6"/>
      <c r="M2305" s="6"/>
      <c r="N2305" s="6"/>
      <c r="O2305" s="6"/>
      <c r="P2305" s="6"/>
      <c r="Q2305" s="6"/>
      <c r="R2305" s="6"/>
      <c r="S2305" s="6"/>
      <c r="T2305" s="6"/>
      <c r="U2305" s="6"/>
      <c r="V2305" s="6"/>
      <c r="W2305" s="6"/>
      <c r="X2305" s="6"/>
      <c r="Y2305" s="6"/>
      <c r="Z2305" s="6"/>
    </row>
    <row r="2306" spans="1:26" ht="15.75" customHeight="1" x14ac:dyDescent="0.3">
      <c r="A2306" s="10" t="s">
        <v>80</v>
      </c>
      <c r="B2306" s="10">
        <v>1971</v>
      </c>
      <c r="C2306" s="10" t="s">
        <v>4714</v>
      </c>
      <c r="D2306" s="10">
        <v>13</v>
      </c>
      <c r="E2306" s="10">
        <v>2</v>
      </c>
      <c r="F2306" s="24">
        <v>44641.2</v>
      </c>
      <c r="G2306" s="10" t="s">
        <v>4695</v>
      </c>
      <c r="H2306" s="10" t="s">
        <v>4696</v>
      </c>
      <c r="I2306" s="10" t="s">
        <v>4723</v>
      </c>
      <c r="J2306" s="17">
        <f t="shared" si="18"/>
        <v>26158</v>
      </c>
      <c r="K2306" s="10">
        <f t="shared" ca="1" si="19"/>
        <v>54</v>
      </c>
      <c r="L2306" s="6"/>
      <c r="M2306" s="6"/>
      <c r="N2306" s="6"/>
      <c r="O2306" s="6"/>
      <c r="P2306" s="6"/>
      <c r="Q2306" s="6"/>
      <c r="R2306" s="6"/>
      <c r="S2306" s="6"/>
      <c r="T2306" s="6"/>
      <c r="U2306" s="6"/>
      <c r="V2306" s="6"/>
      <c r="W2306" s="6"/>
      <c r="X2306" s="6"/>
      <c r="Y2306" s="6"/>
      <c r="Z2306" s="6"/>
    </row>
    <row r="2307" spans="1:26" ht="15.75" customHeight="1" x14ac:dyDescent="0.3">
      <c r="A2307" s="10" t="s">
        <v>78</v>
      </c>
      <c r="B2307" s="10">
        <v>1962</v>
      </c>
      <c r="C2307" s="10" t="s">
        <v>4713</v>
      </c>
      <c r="D2307" s="10">
        <v>17</v>
      </c>
      <c r="E2307" s="10">
        <v>0</v>
      </c>
      <c r="F2307" s="24">
        <v>45008.959999999999</v>
      </c>
      <c r="G2307" s="10" t="s">
        <v>4695</v>
      </c>
      <c r="H2307" s="10" t="s">
        <v>4695</v>
      </c>
      <c r="I2307" s="10" t="s">
        <v>4708</v>
      </c>
      <c r="J2307" s="17">
        <f t="shared" si="18"/>
        <v>22997</v>
      </c>
      <c r="K2307" s="10">
        <f t="shared" ca="1" si="19"/>
        <v>62</v>
      </c>
      <c r="L2307" s="6"/>
      <c r="M2307" s="6"/>
      <c r="N2307" s="6"/>
      <c r="O2307" s="6"/>
      <c r="P2307" s="6"/>
      <c r="Q2307" s="6"/>
      <c r="R2307" s="6"/>
      <c r="S2307" s="6"/>
      <c r="T2307" s="6"/>
      <c r="U2307" s="6"/>
      <c r="V2307" s="6"/>
      <c r="W2307" s="6"/>
      <c r="X2307" s="6"/>
      <c r="Y2307" s="6"/>
      <c r="Z2307" s="6"/>
    </row>
    <row r="2308" spans="1:26" ht="15.75" customHeight="1" x14ac:dyDescent="0.3">
      <c r="A2308" s="10" t="s">
        <v>76</v>
      </c>
      <c r="B2308" s="10">
        <v>1974</v>
      </c>
      <c r="C2308" s="10" t="s">
        <v>4714</v>
      </c>
      <c r="D2308" s="10">
        <v>9</v>
      </c>
      <c r="E2308" s="10">
        <v>2</v>
      </c>
      <c r="F2308" s="24">
        <v>45702.02</v>
      </c>
      <c r="G2308" s="10" t="s">
        <v>4695</v>
      </c>
      <c r="H2308" s="10" t="s">
        <v>4695</v>
      </c>
      <c r="I2308" s="10" t="s">
        <v>4712</v>
      </c>
      <c r="J2308" s="17">
        <f t="shared" si="18"/>
        <v>27250</v>
      </c>
      <c r="K2308" s="10">
        <f t="shared" ca="1" si="19"/>
        <v>51</v>
      </c>
      <c r="L2308" s="6"/>
      <c r="M2308" s="6"/>
      <c r="N2308" s="6"/>
      <c r="O2308" s="6"/>
      <c r="P2308" s="6"/>
      <c r="Q2308" s="6"/>
      <c r="R2308" s="6"/>
      <c r="S2308" s="6"/>
      <c r="T2308" s="6"/>
      <c r="U2308" s="6"/>
      <c r="V2308" s="6"/>
      <c r="W2308" s="6"/>
      <c r="X2308" s="6"/>
      <c r="Y2308" s="6"/>
      <c r="Z2308" s="6"/>
    </row>
    <row r="2309" spans="1:26" ht="15.75" customHeight="1" x14ac:dyDescent="0.3">
      <c r="A2309" s="10" t="s">
        <v>74</v>
      </c>
      <c r="B2309" s="10">
        <v>1960</v>
      </c>
      <c r="C2309" s="10" t="s">
        <v>4713</v>
      </c>
      <c r="D2309" s="10">
        <v>21</v>
      </c>
      <c r="E2309" s="10">
        <v>0</v>
      </c>
      <c r="F2309" s="24">
        <v>45710.21</v>
      </c>
      <c r="G2309" s="10" t="s">
        <v>4695</v>
      </c>
      <c r="H2309" s="10" t="s">
        <v>4695</v>
      </c>
      <c r="I2309" s="10" t="s">
        <v>4720</v>
      </c>
      <c r="J2309" s="17">
        <f t="shared" si="18"/>
        <v>22271</v>
      </c>
      <c r="K2309" s="10">
        <f t="shared" ca="1" si="19"/>
        <v>64</v>
      </c>
      <c r="L2309" s="6"/>
      <c r="M2309" s="6"/>
      <c r="N2309" s="6"/>
      <c r="O2309" s="6"/>
      <c r="P2309" s="6"/>
      <c r="Q2309" s="6"/>
      <c r="R2309" s="6"/>
      <c r="S2309" s="6"/>
      <c r="T2309" s="6"/>
      <c r="U2309" s="6"/>
      <c r="V2309" s="6"/>
      <c r="W2309" s="6"/>
      <c r="X2309" s="6"/>
      <c r="Y2309" s="6"/>
      <c r="Z2309" s="6"/>
    </row>
    <row r="2310" spans="1:26" ht="15.75" customHeight="1" x14ac:dyDescent="0.3">
      <c r="A2310" s="10" t="s">
        <v>72</v>
      </c>
      <c r="B2310" s="10">
        <v>1979</v>
      </c>
      <c r="C2310" s="10" t="s">
        <v>4714</v>
      </c>
      <c r="D2310" s="10">
        <v>12</v>
      </c>
      <c r="E2310" s="10">
        <v>0</v>
      </c>
      <c r="F2310" s="24">
        <v>45863.21</v>
      </c>
      <c r="G2310" s="10" t="s">
        <v>4695</v>
      </c>
      <c r="H2310" s="10" t="s">
        <v>4694</v>
      </c>
      <c r="I2310" s="10" t="s">
        <v>4708</v>
      </c>
      <c r="J2310" s="17">
        <f t="shared" si="18"/>
        <v>29079</v>
      </c>
      <c r="K2310" s="10">
        <f t="shared" ca="1" si="19"/>
        <v>46</v>
      </c>
      <c r="L2310" s="6"/>
      <c r="M2310" s="6"/>
      <c r="N2310" s="6"/>
      <c r="O2310" s="6"/>
      <c r="P2310" s="6"/>
      <c r="Q2310" s="6"/>
      <c r="R2310" s="6"/>
      <c r="S2310" s="6"/>
      <c r="T2310" s="6"/>
      <c r="U2310" s="6"/>
      <c r="V2310" s="6"/>
      <c r="W2310" s="6"/>
      <c r="X2310" s="6"/>
      <c r="Y2310" s="6"/>
      <c r="Z2310" s="6"/>
    </row>
    <row r="2311" spans="1:26" ht="15.75" customHeight="1" x14ac:dyDescent="0.3">
      <c r="A2311" s="10" t="s">
        <v>70</v>
      </c>
      <c r="B2311" s="10">
        <v>1985</v>
      </c>
      <c r="C2311" s="10" t="s">
        <v>4711</v>
      </c>
      <c r="D2311" s="10">
        <v>30</v>
      </c>
      <c r="E2311" s="10">
        <v>2</v>
      </c>
      <c r="F2311" s="24">
        <v>46113.51</v>
      </c>
      <c r="G2311" s="10" t="s">
        <v>4695</v>
      </c>
      <c r="H2311" s="10" t="s">
        <v>4696</v>
      </c>
      <c r="I2311" s="10" t="s">
        <v>4716</v>
      </c>
      <c r="J2311" s="17">
        <f t="shared" si="18"/>
        <v>31320</v>
      </c>
      <c r="K2311" s="10">
        <f t="shared" ca="1" si="19"/>
        <v>40</v>
      </c>
      <c r="L2311" s="6"/>
      <c r="M2311" s="6"/>
      <c r="N2311" s="6"/>
      <c r="O2311" s="6"/>
      <c r="P2311" s="6"/>
      <c r="Q2311" s="6"/>
      <c r="R2311" s="6"/>
      <c r="S2311" s="6"/>
      <c r="T2311" s="6"/>
      <c r="U2311" s="6"/>
      <c r="V2311" s="6"/>
      <c r="W2311" s="6"/>
      <c r="X2311" s="6"/>
      <c r="Y2311" s="6"/>
      <c r="Z2311" s="6"/>
    </row>
    <row r="2312" spans="1:26" ht="15.75" customHeight="1" x14ac:dyDescent="0.3">
      <c r="A2312" s="10" t="s">
        <v>68</v>
      </c>
      <c r="B2312" s="10">
        <v>1962</v>
      </c>
      <c r="C2312" s="10" t="s">
        <v>4713</v>
      </c>
      <c r="D2312" s="10">
        <v>4</v>
      </c>
      <c r="E2312" s="10">
        <v>3</v>
      </c>
      <c r="F2312" s="24">
        <v>46130.53</v>
      </c>
      <c r="G2312" s="10" t="s">
        <v>4694</v>
      </c>
      <c r="H2312" s="10" t="s">
        <v>4694</v>
      </c>
      <c r="I2312" s="10" t="s">
        <v>4712</v>
      </c>
      <c r="J2312" s="17">
        <f t="shared" si="18"/>
        <v>22984</v>
      </c>
      <c r="K2312" s="10">
        <f t="shared" ca="1" si="19"/>
        <v>62</v>
      </c>
      <c r="L2312" s="6"/>
      <c r="M2312" s="6"/>
      <c r="N2312" s="6"/>
      <c r="O2312" s="6"/>
      <c r="P2312" s="6"/>
      <c r="Q2312" s="6"/>
      <c r="R2312" s="6"/>
      <c r="S2312" s="6"/>
      <c r="T2312" s="6"/>
      <c r="U2312" s="6"/>
      <c r="V2312" s="6"/>
      <c r="W2312" s="6"/>
      <c r="X2312" s="6"/>
      <c r="Y2312" s="6"/>
      <c r="Z2312" s="6"/>
    </row>
    <row r="2313" spans="1:26" ht="15.75" customHeight="1" x14ac:dyDescent="0.3">
      <c r="A2313" s="10" t="s">
        <v>66</v>
      </c>
      <c r="B2313" s="10">
        <v>1976</v>
      </c>
      <c r="C2313" s="10" t="s">
        <v>4713</v>
      </c>
      <c r="D2313" s="10">
        <v>2</v>
      </c>
      <c r="E2313" s="10">
        <v>3</v>
      </c>
      <c r="F2313" s="24">
        <v>46151.12</v>
      </c>
      <c r="G2313" s="10" t="s">
        <v>4694</v>
      </c>
      <c r="H2313" s="10" t="s">
        <v>4696</v>
      </c>
      <c r="I2313" s="10" t="s">
        <v>4708</v>
      </c>
      <c r="J2313" s="17">
        <f t="shared" si="18"/>
        <v>28096</v>
      </c>
      <c r="K2313" s="10">
        <f t="shared" ca="1" si="19"/>
        <v>48</v>
      </c>
      <c r="L2313" s="6"/>
      <c r="M2313" s="6"/>
      <c r="N2313" s="6"/>
      <c r="O2313" s="6"/>
      <c r="P2313" s="6"/>
      <c r="Q2313" s="6"/>
      <c r="R2313" s="6"/>
      <c r="S2313" s="6"/>
      <c r="T2313" s="6"/>
      <c r="U2313" s="6"/>
      <c r="V2313" s="6"/>
      <c r="W2313" s="6"/>
      <c r="X2313" s="6"/>
      <c r="Y2313" s="6"/>
      <c r="Z2313" s="6"/>
    </row>
    <row r="2314" spans="1:26" ht="15.75" customHeight="1" x14ac:dyDescent="0.3">
      <c r="A2314" s="10" t="s">
        <v>64</v>
      </c>
      <c r="B2314" s="10">
        <v>1978</v>
      </c>
      <c r="C2314" s="10" t="s">
        <v>4714</v>
      </c>
      <c r="D2314" s="10">
        <v>17</v>
      </c>
      <c r="E2314" s="10">
        <v>2</v>
      </c>
      <c r="F2314" s="24">
        <v>46200.99</v>
      </c>
      <c r="G2314" s="10" t="s">
        <v>4694</v>
      </c>
      <c r="H2314" s="10" t="s">
        <v>4694</v>
      </c>
      <c r="I2314" s="10" t="s">
        <v>4708</v>
      </c>
      <c r="J2314" s="17">
        <f t="shared" si="18"/>
        <v>28719</v>
      </c>
      <c r="K2314" s="10">
        <f t="shared" ca="1" si="19"/>
        <v>47</v>
      </c>
      <c r="L2314" s="6"/>
      <c r="M2314" s="6"/>
      <c r="N2314" s="6"/>
      <c r="O2314" s="6"/>
      <c r="P2314" s="6"/>
      <c r="Q2314" s="6"/>
      <c r="R2314" s="6"/>
      <c r="S2314" s="6"/>
      <c r="T2314" s="6"/>
      <c r="U2314" s="6"/>
      <c r="V2314" s="6"/>
      <c r="W2314" s="6"/>
      <c r="X2314" s="6"/>
      <c r="Y2314" s="6"/>
      <c r="Z2314" s="6"/>
    </row>
    <row r="2315" spans="1:26" ht="15.75" customHeight="1" x14ac:dyDescent="0.3">
      <c r="A2315" s="10" t="s">
        <v>62</v>
      </c>
      <c r="B2315" s="10">
        <v>1971</v>
      </c>
      <c r="C2315" s="10" t="s">
        <v>4713</v>
      </c>
      <c r="D2315" s="10">
        <v>6</v>
      </c>
      <c r="E2315" s="10">
        <v>3</v>
      </c>
      <c r="F2315" s="24">
        <v>46255.11</v>
      </c>
      <c r="G2315" s="10" t="s">
        <v>4694</v>
      </c>
      <c r="H2315" s="10" t="s">
        <v>4696</v>
      </c>
      <c r="I2315" s="10" t="s">
        <v>4723</v>
      </c>
      <c r="J2315" s="17">
        <f t="shared" si="18"/>
        <v>26273</v>
      </c>
      <c r="K2315" s="10">
        <f t="shared" ca="1" si="19"/>
        <v>53</v>
      </c>
      <c r="L2315" s="6"/>
      <c r="M2315" s="6"/>
      <c r="N2315" s="6"/>
      <c r="O2315" s="6"/>
      <c r="P2315" s="6"/>
      <c r="Q2315" s="6"/>
      <c r="R2315" s="6"/>
      <c r="S2315" s="6"/>
      <c r="T2315" s="6"/>
      <c r="U2315" s="6"/>
      <c r="V2315" s="6"/>
      <c r="W2315" s="6"/>
      <c r="X2315" s="6"/>
      <c r="Y2315" s="6"/>
      <c r="Z2315" s="6"/>
    </row>
    <row r="2316" spans="1:26" ht="15.75" customHeight="1" x14ac:dyDescent="0.3">
      <c r="A2316" s="10" t="s">
        <v>60</v>
      </c>
      <c r="B2316" s="10">
        <v>1961</v>
      </c>
      <c r="C2316" s="10" t="s">
        <v>4714</v>
      </c>
      <c r="D2316" s="10">
        <v>8</v>
      </c>
      <c r="E2316" s="10">
        <v>0</v>
      </c>
      <c r="F2316" s="24">
        <v>46599.11</v>
      </c>
      <c r="G2316" s="10" t="s">
        <v>4694</v>
      </c>
      <c r="H2316" s="10" t="s">
        <v>4694</v>
      </c>
      <c r="I2316" s="10" t="s">
        <v>4708</v>
      </c>
      <c r="J2316" s="17">
        <f t="shared" si="18"/>
        <v>22501</v>
      </c>
      <c r="K2316" s="10">
        <f t="shared" ca="1" si="19"/>
        <v>64</v>
      </c>
      <c r="L2316" s="6"/>
      <c r="M2316" s="6"/>
      <c r="N2316" s="6"/>
      <c r="O2316" s="6"/>
      <c r="P2316" s="6"/>
      <c r="Q2316" s="6"/>
      <c r="R2316" s="6"/>
      <c r="S2316" s="6"/>
      <c r="T2316" s="6"/>
      <c r="U2316" s="6"/>
      <c r="V2316" s="6"/>
      <c r="W2316" s="6"/>
      <c r="X2316" s="6"/>
      <c r="Y2316" s="6"/>
      <c r="Z2316" s="6"/>
    </row>
    <row r="2317" spans="1:26" ht="15.75" customHeight="1" x14ac:dyDescent="0.3">
      <c r="A2317" s="10" t="s">
        <v>58</v>
      </c>
      <c r="B2317" s="10">
        <v>1969</v>
      </c>
      <c r="C2317" s="10" t="s">
        <v>4710</v>
      </c>
      <c r="D2317" s="10">
        <v>23</v>
      </c>
      <c r="E2317" s="10">
        <v>3</v>
      </c>
      <c r="F2317" s="24">
        <v>46661.440000000002</v>
      </c>
      <c r="G2317" s="10" t="s">
        <v>4694</v>
      </c>
      <c r="H2317" s="10" t="s">
        <v>4696</v>
      </c>
      <c r="I2317" s="10" t="s">
        <v>4712</v>
      </c>
      <c r="J2317" s="17">
        <f t="shared" si="18"/>
        <v>25377</v>
      </c>
      <c r="K2317" s="10">
        <f t="shared" ca="1" si="19"/>
        <v>56</v>
      </c>
      <c r="L2317" s="6"/>
      <c r="M2317" s="6"/>
      <c r="N2317" s="6"/>
      <c r="O2317" s="6"/>
      <c r="P2317" s="6"/>
      <c r="Q2317" s="6"/>
      <c r="R2317" s="6"/>
      <c r="S2317" s="6"/>
      <c r="T2317" s="6"/>
      <c r="U2317" s="6"/>
      <c r="V2317" s="6"/>
      <c r="W2317" s="6"/>
      <c r="X2317" s="6"/>
      <c r="Y2317" s="6"/>
      <c r="Z2317" s="6"/>
    </row>
    <row r="2318" spans="1:26" ht="15.75" customHeight="1" x14ac:dyDescent="0.3">
      <c r="A2318" s="10" t="s">
        <v>56</v>
      </c>
      <c r="B2318" s="10">
        <v>1960</v>
      </c>
      <c r="C2318" s="10" t="s">
        <v>4709</v>
      </c>
      <c r="D2318" s="10">
        <v>17</v>
      </c>
      <c r="E2318" s="10">
        <v>3</v>
      </c>
      <c r="F2318" s="24">
        <v>46718.16</v>
      </c>
      <c r="G2318" s="10" t="s">
        <v>4694</v>
      </c>
      <c r="H2318" s="10" t="s">
        <v>4694</v>
      </c>
      <c r="I2318" s="10" t="s">
        <v>4712</v>
      </c>
      <c r="J2318" s="17">
        <f t="shared" si="18"/>
        <v>22237</v>
      </c>
      <c r="K2318" s="10">
        <f t="shared" ca="1" si="19"/>
        <v>65</v>
      </c>
      <c r="L2318" s="6"/>
      <c r="M2318" s="6"/>
      <c r="N2318" s="6"/>
      <c r="O2318" s="6"/>
      <c r="P2318" s="6"/>
      <c r="Q2318" s="6"/>
      <c r="R2318" s="6"/>
      <c r="S2318" s="6"/>
      <c r="T2318" s="6"/>
      <c r="U2318" s="6"/>
      <c r="V2318" s="6"/>
      <c r="W2318" s="6"/>
      <c r="X2318" s="6"/>
      <c r="Y2318" s="6"/>
      <c r="Z2318" s="6"/>
    </row>
    <row r="2319" spans="1:26" ht="15.75" customHeight="1" x14ac:dyDescent="0.3">
      <c r="A2319" s="10" t="s">
        <v>54</v>
      </c>
      <c r="B2319" s="10">
        <v>1958</v>
      </c>
      <c r="C2319" s="10" t="s">
        <v>4711</v>
      </c>
      <c r="D2319" s="10">
        <v>15</v>
      </c>
      <c r="E2319" s="10">
        <v>0</v>
      </c>
      <c r="F2319" s="24">
        <v>46889.26</v>
      </c>
      <c r="G2319" s="10" t="s">
        <v>4695</v>
      </c>
      <c r="H2319" s="10" t="s">
        <v>4696</v>
      </c>
      <c r="I2319" s="10" t="s">
        <v>4708</v>
      </c>
      <c r="J2319" s="17">
        <f t="shared" si="18"/>
        <v>21443</v>
      </c>
      <c r="K2319" s="10">
        <f t="shared" ca="1" si="19"/>
        <v>67</v>
      </c>
      <c r="L2319" s="6"/>
      <c r="M2319" s="6"/>
      <c r="N2319" s="6"/>
      <c r="O2319" s="6"/>
      <c r="P2319" s="6"/>
      <c r="Q2319" s="6"/>
      <c r="R2319" s="6"/>
      <c r="S2319" s="6"/>
      <c r="T2319" s="6"/>
      <c r="U2319" s="6"/>
      <c r="V2319" s="6"/>
      <c r="W2319" s="6"/>
      <c r="X2319" s="6"/>
      <c r="Y2319" s="6"/>
      <c r="Z2319" s="6"/>
    </row>
    <row r="2320" spans="1:26" ht="15.75" customHeight="1" x14ac:dyDescent="0.3">
      <c r="A2320" s="10" t="s">
        <v>52</v>
      </c>
      <c r="B2320" s="10">
        <v>1959</v>
      </c>
      <c r="C2320" s="10" t="s">
        <v>4707</v>
      </c>
      <c r="D2320" s="10">
        <v>14</v>
      </c>
      <c r="E2320" s="10">
        <v>0</v>
      </c>
      <c r="F2320" s="24">
        <v>47055.53</v>
      </c>
      <c r="G2320" s="10" t="s">
        <v>4695</v>
      </c>
      <c r="H2320" s="10" t="s">
        <v>4694</v>
      </c>
      <c r="I2320" s="10" t="s">
        <v>4708</v>
      </c>
      <c r="J2320" s="17">
        <f t="shared" si="18"/>
        <v>21745</v>
      </c>
      <c r="K2320" s="10">
        <f t="shared" ca="1" si="19"/>
        <v>66</v>
      </c>
      <c r="L2320" s="6"/>
      <c r="M2320" s="6"/>
      <c r="N2320" s="6"/>
      <c r="O2320" s="6"/>
      <c r="P2320" s="6"/>
      <c r="Q2320" s="6"/>
      <c r="R2320" s="6"/>
      <c r="S2320" s="6"/>
      <c r="T2320" s="6"/>
      <c r="U2320" s="6"/>
      <c r="V2320" s="6"/>
      <c r="W2320" s="6"/>
      <c r="X2320" s="6"/>
      <c r="Y2320" s="6"/>
      <c r="Z2320" s="6"/>
    </row>
    <row r="2321" spans="1:26" ht="15.75" customHeight="1" x14ac:dyDescent="0.3">
      <c r="A2321" s="10" t="s">
        <v>50</v>
      </c>
      <c r="B2321" s="10">
        <v>1970</v>
      </c>
      <c r="C2321" s="10" t="s">
        <v>4713</v>
      </c>
      <c r="D2321" s="10">
        <v>28</v>
      </c>
      <c r="E2321" s="10">
        <v>2</v>
      </c>
      <c r="F2321" s="24">
        <v>47269.85</v>
      </c>
      <c r="G2321" s="10" t="s">
        <v>4694</v>
      </c>
      <c r="H2321" s="10" t="s">
        <v>4695</v>
      </c>
      <c r="I2321" s="10" t="s">
        <v>4708</v>
      </c>
      <c r="J2321" s="17">
        <f t="shared" si="18"/>
        <v>25930</v>
      </c>
      <c r="K2321" s="10">
        <f t="shared" ca="1" si="19"/>
        <v>54</v>
      </c>
      <c r="L2321" s="6"/>
      <c r="M2321" s="6"/>
      <c r="N2321" s="6"/>
      <c r="O2321" s="6"/>
      <c r="P2321" s="6"/>
      <c r="Q2321" s="6"/>
      <c r="R2321" s="6"/>
      <c r="S2321" s="6"/>
      <c r="T2321" s="6"/>
      <c r="U2321" s="6"/>
      <c r="V2321" s="6"/>
      <c r="W2321" s="6"/>
      <c r="X2321" s="6"/>
      <c r="Y2321" s="6"/>
      <c r="Z2321" s="6"/>
    </row>
    <row r="2322" spans="1:26" ht="15.75" customHeight="1" x14ac:dyDescent="0.3">
      <c r="A2322" s="10" t="s">
        <v>48</v>
      </c>
      <c r="B2322" s="10">
        <v>1958</v>
      </c>
      <c r="C2322" s="10" t="s">
        <v>4711</v>
      </c>
      <c r="D2322" s="10">
        <v>3</v>
      </c>
      <c r="E2322" s="10">
        <v>2</v>
      </c>
      <c r="F2322" s="24">
        <v>47291.06</v>
      </c>
      <c r="G2322" s="10" t="s">
        <v>4695</v>
      </c>
      <c r="H2322" s="10" t="s">
        <v>4694</v>
      </c>
      <c r="I2322" s="10" t="s">
        <v>4716</v>
      </c>
      <c r="J2322" s="17">
        <f t="shared" si="18"/>
        <v>21431</v>
      </c>
      <c r="K2322" s="10">
        <f t="shared" ca="1" si="19"/>
        <v>67</v>
      </c>
      <c r="L2322" s="6"/>
      <c r="M2322" s="6"/>
      <c r="N2322" s="6"/>
      <c r="O2322" s="6"/>
      <c r="P2322" s="6"/>
      <c r="Q2322" s="6"/>
      <c r="R2322" s="6"/>
      <c r="S2322" s="6"/>
      <c r="T2322" s="6"/>
      <c r="U2322" s="6"/>
      <c r="V2322" s="6"/>
      <c r="W2322" s="6"/>
      <c r="X2322" s="6"/>
      <c r="Y2322" s="6"/>
      <c r="Z2322" s="6"/>
    </row>
    <row r="2323" spans="1:26" ht="15.75" customHeight="1" x14ac:dyDescent="0.3">
      <c r="A2323" s="10" t="s">
        <v>46</v>
      </c>
      <c r="B2323" s="10">
        <v>1959</v>
      </c>
      <c r="C2323" s="10" t="s">
        <v>4715</v>
      </c>
      <c r="D2323" s="10">
        <v>4</v>
      </c>
      <c r="E2323" s="10">
        <v>2</v>
      </c>
      <c r="F2323" s="24">
        <v>47305.31</v>
      </c>
      <c r="G2323" s="10" t="s">
        <v>4695</v>
      </c>
      <c r="H2323" s="10" t="s">
        <v>4694</v>
      </c>
      <c r="I2323" s="10" t="s">
        <v>4716</v>
      </c>
      <c r="J2323" s="17">
        <f t="shared" si="18"/>
        <v>21827</v>
      </c>
      <c r="K2323" s="10">
        <f t="shared" ca="1" si="19"/>
        <v>66</v>
      </c>
      <c r="L2323" s="6"/>
      <c r="M2323" s="6"/>
      <c r="N2323" s="6"/>
      <c r="O2323" s="6"/>
      <c r="P2323" s="6"/>
      <c r="Q2323" s="6"/>
      <c r="R2323" s="6"/>
      <c r="S2323" s="6"/>
      <c r="T2323" s="6"/>
      <c r="U2323" s="6"/>
      <c r="V2323" s="6"/>
      <c r="W2323" s="6"/>
      <c r="X2323" s="6"/>
      <c r="Y2323" s="6"/>
      <c r="Z2323" s="6"/>
    </row>
    <row r="2324" spans="1:26" ht="15.75" customHeight="1" x14ac:dyDescent="0.3">
      <c r="A2324" s="10" t="s">
        <v>44</v>
      </c>
      <c r="B2324" s="10">
        <v>1961</v>
      </c>
      <c r="C2324" s="10" t="s">
        <v>4710</v>
      </c>
      <c r="D2324" s="10">
        <v>13</v>
      </c>
      <c r="E2324" s="10">
        <v>1</v>
      </c>
      <c r="F2324" s="24">
        <v>47403.88</v>
      </c>
      <c r="G2324" s="10" t="s">
        <v>4694</v>
      </c>
      <c r="H2324" s="10" t="s">
        <v>4696</v>
      </c>
      <c r="I2324" s="10" t="s">
        <v>4716</v>
      </c>
      <c r="J2324" s="17">
        <f t="shared" si="18"/>
        <v>22445</v>
      </c>
      <c r="K2324" s="10">
        <f t="shared" ca="1" si="19"/>
        <v>64</v>
      </c>
      <c r="L2324" s="6"/>
      <c r="M2324" s="6"/>
      <c r="N2324" s="6"/>
      <c r="O2324" s="6"/>
      <c r="P2324" s="6"/>
      <c r="Q2324" s="6"/>
      <c r="R2324" s="6"/>
      <c r="S2324" s="6"/>
      <c r="T2324" s="6"/>
      <c r="U2324" s="6"/>
      <c r="V2324" s="6"/>
      <c r="W2324" s="6"/>
      <c r="X2324" s="6"/>
      <c r="Y2324" s="6"/>
      <c r="Z2324" s="6"/>
    </row>
    <row r="2325" spans="1:26" ht="15.75" customHeight="1" x14ac:dyDescent="0.3">
      <c r="A2325" s="10" t="s">
        <v>42</v>
      </c>
      <c r="B2325" s="10">
        <v>1971</v>
      </c>
      <c r="C2325" s="10" t="s">
        <v>4711</v>
      </c>
      <c r="D2325" s="10">
        <v>27</v>
      </c>
      <c r="E2325" s="10">
        <v>2</v>
      </c>
      <c r="F2325" s="24">
        <v>47462.89</v>
      </c>
      <c r="G2325" s="10" t="s">
        <v>4694</v>
      </c>
      <c r="H2325" s="10" t="s">
        <v>4695</v>
      </c>
      <c r="I2325" s="10" t="s">
        <v>4708</v>
      </c>
      <c r="J2325" s="17">
        <f t="shared" si="18"/>
        <v>26203</v>
      </c>
      <c r="K2325" s="10">
        <f t="shared" ca="1" si="19"/>
        <v>54</v>
      </c>
      <c r="L2325" s="6"/>
      <c r="M2325" s="6"/>
      <c r="N2325" s="6"/>
      <c r="O2325" s="6"/>
      <c r="P2325" s="6"/>
      <c r="Q2325" s="6"/>
      <c r="R2325" s="6"/>
      <c r="S2325" s="6"/>
      <c r="T2325" s="6"/>
      <c r="U2325" s="6"/>
      <c r="V2325" s="6"/>
      <c r="W2325" s="6"/>
      <c r="X2325" s="6"/>
      <c r="Y2325" s="6"/>
      <c r="Z2325" s="6"/>
    </row>
    <row r="2326" spans="1:26" ht="15.75" customHeight="1" x14ac:dyDescent="0.3">
      <c r="A2326" s="10" t="s">
        <v>40</v>
      </c>
      <c r="B2326" s="10">
        <v>1964</v>
      </c>
      <c r="C2326" s="10" t="s">
        <v>4709</v>
      </c>
      <c r="D2326" s="10">
        <v>7</v>
      </c>
      <c r="E2326" s="10">
        <v>2</v>
      </c>
      <c r="F2326" s="24">
        <v>47496.49</v>
      </c>
      <c r="G2326" s="10" t="s">
        <v>4694</v>
      </c>
      <c r="H2326" s="10" t="s">
        <v>4696</v>
      </c>
      <c r="I2326" s="10" t="s">
        <v>4712</v>
      </c>
      <c r="J2326" s="17">
        <f t="shared" si="18"/>
        <v>23688</v>
      </c>
      <c r="K2326" s="10">
        <f t="shared" ca="1" si="19"/>
        <v>61</v>
      </c>
      <c r="L2326" s="6"/>
      <c r="M2326" s="6"/>
      <c r="N2326" s="6"/>
      <c r="O2326" s="6"/>
      <c r="P2326" s="6"/>
      <c r="Q2326" s="6"/>
      <c r="R2326" s="6"/>
      <c r="S2326" s="6"/>
      <c r="T2326" s="6"/>
      <c r="U2326" s="6"/>
      <c r="V2326" s="6"/>
      <c r="W2326" s="6"/>
      <c r="X2326" s="6"/>
      <c r="Y2326" s="6"/>
      <c r="Z2326" s="6"/>
    </row>
    <row r="2327" spans="1:26" ht="15.75" customHeight="1" x14ac:dyDescent="0.3">
      <c r="A2327" s="10" t="s">
        <v>38</v>
      </c>
      <c r="B2327" s="10">
        <v>1963</v>
      </c>
      <c r="C2327" s="10" t="s">
        <v>4714</v>
      </c>
      <c r="D2327" s="10">
        <v>5</v>
      </c>
      <c r="E2327" s="10">
        <v>1</v>
      </c>
      <c r="F2327" s="24">
        <v>47896.79</v>
      </c>
      <c r="G2327" s="10" t="s">
        <v>4694</v>
      </c>
      <c r="H2327" s="10" t="s">
        <v>4696</v>
      </c>
      <c r="I2327" s="10" t="s">
        <v>4723</v>
      </c>
      <c r="J2327" s="17">
        <f t="shared" si="18"/>
        <v>23228</v>
      </c>
      <c r="K2327" s="10">
        <f t="shared" ca="1" si="19"/>
        <v>62</v>
      </c>
      <c r="L2327" s="6"/>
      <c r="M2327" s="6"/>
      <c r="N2327" s="6"/>
      <c r="O2327" s="6"/>
      <c r="P2327" s="6"/>
      <c r="Q2327" s="6"/>
      <c r="R2327" s="6"/>
      <c r="S2327" s="6"/>
      <c r="T2327" s="6"/>
      <c r="U2327" s="6"/>
      <c r="V2327" s="6"/>
      <c r="W2327" s="6"/>
      <c r="X2327" s="6"/>
      <c r="Y2327" s="6"/>
      <c r="Z2327" s="6"/>
    </row>
    <row r="2328" spans="1:26" ht="15.75" customHeight="1" x14ac:dyDescent="0.3">
      <c r="A2328" s="10" t="s">
        <v>36</v>
      </c>
      <c r="B2328" s="10">
        <v>1958</v>
      </c>
      <c r="C2328" s="10" t="s">
        <v>4709</v>
      </c>
      <c r="D2328" s="10">
        <v>16</v>
      </c>
      <c r="E2328" s="10">
        <v>1</v>
      </c>
      <c r="F2328" s="24">
        <v>47928.03</v>
      </c>
      <c r="G2328" s="10" t="s">
        <v>4695</v>
      </c>
      <c r="H2328" s="10" t="s">
        <v>4696</v>
      </c>
      <c r="I2328" s="10" t="s">
        <v>4716</v>
      </c>
      <c r="J2328" s="17">
        <f t="shared" si="18"/>
        <v>21505</v>
      </c>
      <c r="K2328" s="10">
        <f t="shared" ca="1" si="19"/>
        <v>67</v>
      </c>
      <c r="L2328" s="6"/>
      <c r="M2328" s="6"/>
      <c r="N2328" s="6"/>
      <c r="O2328" s="6"/>
      <c r="P2328" s="6"/>
      <c r="Q2328" s="6"/>
      <c r="R2328" s="6"/>
      <c r="S2328" s="6"/>
      <c r="T2328" s="6"/>
      <c r="U2328" s="6"/>
      <c r="V2328" s="6"/>
      <c r="W2328" s="6"/>
      <c r="X2328" s="6"/>
      <c r="Y2328" s="6"/>
      <c r="Z2328" s="6"/>
    </row>
    <row r="2329" spans="1:26" ht="15.75" customHeight="1" x14ac:dyDescent="0.3">
      <c r="A2329" s="10" t="s">
        <v>34</v>
      </c>
      <c r="B2329" s="10">
        <v>1962</v>
      </c>
      <c r="C2329" s="10" t="s">
        <v>4714</v>
      </c>
      <c r="D2329" s="10">
        <v>27</v>
      </c>
      <c r="E2329" s="10">
        <v>0</v>
      </c>
      <c r="F2329" s="24">
        <v>48173.36</v>
      </c>
      <c r="G2329" s="10" t="s">
        <v>4694</v>
      </c>
      <c r="H2329" s="10" t="s">
        <v>4696</v>
      </c>
      <c r="I2329" s="10" t="s">
        <v>4716</v>
      </c>
      <c r="J2329" s="17">
        <f t="shared" si="18"/>
        <v>22885</v>
      </c>
      <c r="K2329" s="10">
        <f t="shared" ca="1" si="19"/>
        <v>63</v>
      </c>
      <c r="L2329" s="6"/>
      <c r="M2329" s="6"/>
      <c r="N2329" s="6"/>
      <c r="O2329" s="6"/>
      <c r="P2329" s="6"/>
      <c r="Q2329" s="6"/>
      <c r="R2329" s="6"/>
      <c r="S2329" s="6"/>
      <c r="T2329" s="6"/>
      <c r="U2329" s="6"/>
      <c r="V2329" s="6"/>
      <c r="W2329" s="6"/>
      <c r="X2329" s="6"/>
      <c r="Y2329" s="6"/>
      <c r="Z2329" s="6"/>
    </row>
    <row r="2330" spans="1:26" ht="15.75" customHeight="1" x14ac:dyDescent="0.3">
      <c r="A2330" s="10" t="s">
        <v>32</v>
      </c>
      <c r="B2330" s="10">
        <v>1961</v>
      </c>
      <c r="C2330" s="10" t="s">
        <v>4713</v>
      </c>
      <c r="D2330" s="10">
        <v>21</v>
      </c>
      <c r="E2330" s="10">
        <v>1</v>
      </c>
      <c r="F2330" s="24">
        <v>48517.56</v>
      </c>
      <c r="G2330" s="10" t="s">
        <v>4694</v>
      </c>
      <c r="H2330" s="10" t="s">
        <v>4696</v>
      </c>
      <c r="I2330" s="10" t="s">
        <v>4723</v>
      </c>
      <c r="J2330" s="17">
        <f t="shared" si="18"/>
        <v>22636</v>
      </c>
      <c r="K2330" s="10">
        <f t="shared" ca="1" si="19"/>
        <v>63</v>
      </c>
      <c r="L2330" s="6"/>
      <c r="M2330" s="6"/>
      <c r="N2330" s="6"/>
      <c r="O2330" s="6"/>
      <c r="P2330" s="6"/>
      <c r="Q2330" s="6"/>
      <c r="R2330" s="6"/>
      <c r="S2330" s="6"/>
      <c r="T2330" s="6"/>
      <c r="U2330" s="6"/>
      <c r="V2330" s="6"/>
      <c r="W2330" s="6"/>
      <c r="X2330" s="6"/>
      <c r="Y2330" s="6"/>
      <c r="Z2330" s="6"/>
    </row>
    <row r="2331" spans="1:26" ht="15.75" customHeight="1" x14ac:dyDescent="0.3">
      <c r="A2331" s="10" t="s">
        <v>30</v>
      </c>
      <c r="B2331" s="10">
        <v>1968</v>
      </c>
      <c r="C2331" s="10" t="s">
        <v>4713</v>
      </c>
      <c r="D2331" s="10">
        <v>1</v>
      </c>
      <c r="E2331" s="10">
        <v>3</v>
      </c>
      <c r="F2331" s="24">
        <v>48549.18</v>
      </c>
      <c r="G2331" s="10" t="s">
        <v>4694</v>
      </c>
      <c r="H2331" s="10" t="s">
        <v>4696</v>
      </c>
      <c r="I2331" s="10" t="s">
        <v>4720</v>
      </c>
      <c r="J2331" s="17">
        <f t="shared" si="18"/>
        <v>25173</v>
      </c>
      <c r="K2331" s="10">
        <f t="shared" ca="1" si="19"/>
        <v>56</v>
      </c>
      <c r="L2331" s="6"/>
      <c r="M2331" s="6"/>
      <c r="N2331" s="6"/>
      <c r="O2331" s="6"/>
      <c r="P2331" s="6"/>
      <c r="Q2331" s="6"/>
      <c r="R2331" s="6"/>
      <c r="S2331" s="6"/>
      <c r="T2331" s="6"/>
      <c r="U2331" s="6"/>
      <c r="V2331" s="6"/>
      <c r="W2331" s="6"/>
      <c r="X2331" s="6"/>
      <c r="Y2331" s="6"/>
      <c r="Z2331" s="6"/>
    </row>
    <row r="2332" spans="1:26" ht="15.75" customHeight="1" x14ac:dyDescent="0.3">
      <c r="A2332" s="10" t="s">
        <v>28</v>
      </c>
      <c r="B2332" s="10">
        <v>1962</v>
      </c>
      <c r="C2332" s="10" t="s">
        <v>4715</v>
      </c>
      <c r="D2332" s="10">
        <v>11</v>
      </c>
      <c r="E2332" s="10">
        <v>0</v>
      </c>
      <c r="F2332" s="24">
        <v>48673.56</v>
      </c>
      <c r="G2332" s="10" t="s">
        <v>4694</v>
      </c>
      <c r="H2332" s="10" t="s">
        <v>4695</v>
      </c>
      <c r="I2332" s="10" t="s">
        <v>4708</v>
      </c>
      <c r="J2332" s="17">
        <f t="shared" si="18"/>
        <v>22930</v>
      </c>
      <c r="K2332" s="10">
        <f t="shared" ca="1" si="19"/>
        <v>63</v>
      </c>
      <c r="L2332" s="6"/>
      <c r="M2332" s="6"/>
      <c r="N2332" s="6"/>
      <c r="O2332" s="6"/>
      <c r="P2332" s="6"/>
      <c r="Q2332" s="6"/>
      <c r="R2332" s="6"/>
      <c r="S2332" s="6"/>
      <c r="T2332" s="6"/>
      <c r="U2332" s="6"/>
      <c r="V2332" s="6"/>
      <c r="W2332" s="6"/>
      <c r="X2332" s="6"/>
      <c r="Y2332" s="6"/>
      <c r="Z2332" s="6"/>
    </row>
    <row r="2333" spans="1:26" ht="15.75" customHeight="1" x14ac:dyDescent="0.3">
      <c r="A2333" s="10" t="s">
        <v>26</v>
      </c>
      <c r="B2333" s="10">
        <v>1965</v>
      </c>
      <c r="C2333" s="10" t="s">
        <v>4715</v>
      </c>
      <c r="D2333" s="10">
        <v>27</v>
      </c>
      <c r="E2333" s="10">
        <v>1</v>
      </c>
      <c r="F2333" s="24">
        <v>48675.519999999997</v>
      </c>
      <c r="G2333" s="10" t="s">
        <v>4694</v>
      </c>
      <c r="H2333" s="10" t="s">
        <v>4695</v>
      </c>
      <c r="I2333" s="10" t="s">
        <v>4708</v>
      </c>
      <c r="J2333" s="17">
        <f t="shared" si="18"/>
        <v>24042</v>
      </c>
      <c r="K2333" s="10">
        <f t="shared" ca="1" si="19"/>
        <v>60</v>
      </c>
      <c r="L2333" s="6"/>
      <c r="M2333" s="6"/>
      <c r="N2333" s="6"/>
      <c r="O2333" s="6"/>
      <c r="P2333" s="6"/>
      <c r="Q2333" s="6"/>
      <c r="R2333" s="6"/>
      <c r="S2333" s="6"/>
      <c r="T2333" s="6"/>
      <c r="U2333" s="6"/>
      <c r="V2333" s="6"/>
      <c r="W2333" s="6"/>
      <c r="X2333" s="6"/>
      <c r="Y2333" s="6"/>
      <c r="Z2333" s="6"/>
    </row>
    <row r="2334" spans="1:26" ht="15.75" customHeight="1" x14ac:dyDescent="0.3">
      <c r="A2334" s="10" t="s">
        <v>24</v>
      </c>
      <c r="B2334" s="10">
        <v>1959</v>
      </c>
      <c r="C2334" s="10" t="s">
        <v>4707</v>
      </c>
      <c r="D2334" s="10">
        <v>22</v>
      </c>
      <c r="E2334" s="10">
        <v>0</v>
      </c>
      <c r="F2334" s="24">
        <v>48824.45</v>
      </c>
      <c r="G2334" s="10" t="s">
        <v>4695</v>
      </c>
      <c r="H2334" s="10" t="s">
        <v>4694</v>
      </c>
      <c r="I2334" s="10" t="s">
        <v>4716</v>
      </c>
      <c r="J2334" s="17">
        <f t="shared" si="18"/>
        <v>21753</v>
      </c>
      <c r="K2334" s="10">
        <f t="shared" ca="1" si="19"/>
        <v>66</v>
      </c>
      <c r="L2334" s="6"/>
      <c r="M2334" s="6"/>
      <c r="N2334" s="6"/>
      <c r="O2334" s="6"/>
      <c r="P2334" s="6"/>
      <c r="Q2334" s="6"/>
      <c r="R2334" s="6"/>
      <c r="S2334" s="6"/>
      <c r="T2334" s="6"/>
      <c r="U2334" s="6"/>
      <c r="V2334" s="6"/>
      <c r="W2334" s="6"/>
      <c r="X2334" s="6"/>
      <c r="Y2334" s="6"/>
      <c r="Z2334" s="6"/>
    </row>
    <row r="2335" spans="1:26" ht="15.75" customHeight="1" x14ac:dyDescent="0.3">
      <c r="A2335" s="10" t="s">
        <v>22</v>
      </c>
      <c r="B2335" s="10">
        <v>1978</v>
      </c>
      <c r="C2335" s="10" t="s">
        <v>4713</v>
      </c>
      <c r="D2335" s="10">
        <v>29</v>
      </c>
      <c r="E2335" s="10">
        <v>0</v>
      </c>
      <c r="F2335" s="24">
        <v>48885.14</v>
      </c>
      <c r="G2335" s="10" t="s">
        <v>4694</v>
      </c>
      <c r="H2335" s="10" t="s">
        <v>4695</v>
      </c>
      <c r="I2335" s="10" t="s">
        <v>4708</v>
      </c>
      <c r="J2335" s="17">
        <f t="shared" si="18"/>
        <v>28853</v>
      </c>
      <c r="K2335" s="10">
        <f t="shared" ca="1" si="19"/>
        <v>46</v>
      </c>
      <c r="L2335" s="6"/>
      <c r="M2335" s="6"/>
      <c r="N2335" s="6"/>
      <c r="O2335" s="6"/>
      <c r="P2335" s="6"/>
      <c r="Q2335" s="6"/>
      <c r="R2335" s="6"/>
      <c r="S2335" s="6"/>
      <c r="T2335" s="6"/>
      <c r="U2335" s="6"/>
      <c r="V2335" s="6"/>
      <c r="W2335" s="6"/>
      <c r="X2335" s="6"/>
      <c r="Y2335" s="6"/>
      <c r="Z2335" s="6"/>
    </row>
    <row r="2336" spans="1:26" ht="15.75" customHeight="1" x14ac:dyDescent="0.3">
      <c r="A2336" s="10" t="s">
        <v>20</v>
      </c>
      <c r="B2336" s="10">
        <v>1963</v>
      </c>
      <c r="C2336" s="10" t="s">
        <v>4711</v>
      </c>
      <c r="D2336" s="10">
        <v>4</v>
      </c>
      <c r="E2336" s="10">
        <v>1</v>
      </c>
      <c r="F2336" s="24">
        <v>48970.25</v>
      </c>
      <c r="G2336" s="10" t="s">
        <v>4694</v>
      </c>
      <c r="H2336" s="10" t="s">
        <v>4695</v>
      </c>
      <c r="I2336" s="10" t="s">
        <v>4708</v>
      </c>
      <c r="J2336" s="17">
        <f t="shared" si="18"/>
        <v>23258</v>
      </c>
      <c r="K2336" s="10">
        <f t="shared" ca="1" si="19"/>
        <v>62</v>
      </c>
      <c r="L2336" s="6"/>
      <c r="M2336" s="6"/>
      <c r="N2336" s="6"/>
      <c r="O2336" s="6"/>
      <c r="P2336" s="6"/>
      <c r="Q2336" s="6"/>
      <c r="R2336" s="6"/>
      <c r="S2336" s="6"/>
      <c r="T2336" s="6"/>
      <c r="U2336" s="6"/>
      <c r="V2336" s="6"/>
      <c r="W2336" s="6"/>
      <c r="X2336" s="6"/>
      <c r="Y2336" s="6"/>
      <c r="Z2336" s="6"/>
    </row>
    <row r="2337" spans="1:26" ht="15.75" customHeight="1" x14ac:dyDescent="0.3">
      <c r="A2337" s="10" t="s">
        <v>18</v>
      </c>
      <c r="B2337" s="10">
        <v>1958</v>
      </c>
      <c r="C2337" s="10" t="s">
        <v>4710</v>
      </c>
      <c r="D2337" s="10">
        <v>27</v>
      </c>
      <c r="E2337" s="10">
        <v>2</v>
      </c>
      <c r="F2337" s="24">
        <v>49577.66</v>
      </c>
      <c r="G2337" s="10" t="s">
        <v>4695</v>
      </c>
      <c r="H2337" s="10" t="s">
        <v>4695</v>
      </c>
      <c r="I2337" s="10" t="s">
        <v>4708</v>
      </c>
      <c r="J2337" s="17">
        <f t="shared" si="18"/>
        <v>21363</v>
      </c>
      <c r="K2337" s="10">
        <f t="shared" ca="1" si="19"/>
        <v>67</v>
      </c>
      <c r="L2337" s="6"/>
      <c r="M2337" s="6"/>
      <c r="N2337" s="6"/>
      <c r="O2337" s="6"/>
      <c r="P2337" s="6"/>
      <c r="Q2337" s="6"/>
      <c r="R2337" s="6"/>
      <c r="S2337" s="6"/>
      <c r="T2337" s="6"/>
      <c r="U2337" s="6"/>
      <c r="V2337" s="6"/>
      <c r="W2337" s="6"/>
      <c r="X2337" s="6"/>
      <c r="Y2337" s="6"/>
      <c r="Z2337" s="6"/>
    </row>
    <row r="2338" spans="1:26" ht="15.75" customHeight="1" x14ac:dyDescent="0.3">
      <c r="A2338" s="10" t="s">
        <v>16</v>
      </c>
      <c r="B2338" s="10">
        <v>1994</v>
      </c>
      <c r="C2338" s="10" t="s">
        <v>4715</v>
      </c>
      <c r="D2338" s="10">
        <v>27</v>
      </c>
      <c r="E2338" s="10">
        <v>1</v>
      </c>
      <c r="F2338" s="24">
        <v>51194.559999999998</v>
      </c>
      <c r="G2338" s="10" t="s">
        <v>4694</v>
      </c>
      <c r="H2338" s="10" t="s">
        <v>4696</v>
      </c>
      <c r="I2338" s="10" t="s">
        <v>4716</v>
      </c>
      <c r="J2338" s="17">
        <f t="shared" si="18"/>
        <v>34634</v>
      </c>
      <c r="K2338" s="10">
        <f t="shared" ca="1" si="19"/>
        <v>31</v>
      </c>
      <c r="L2338" s="6"/>
      <c r="M2338" s="6"/>
      <c r="N2338" s="6"/>
      <c r="O2338" s="6"/>
      <c r="P2338" s="6"/>
      <c r="Q2338" s="6"/>
      <c r="R2338" s="6"/>
      <c r="S2338" s="6"/>
      <c r="T2338" s="6"/>
      <c r="U2338" s="6"/>
      <c r="V2338" s="6"/>
      <c r="W2338" s="6"/>
      <c r="X2338" s="6"/>
      <c r="Y2338" s="6"/>
      <c r="Z2338" s="6"/>
    </row>
    <row r="2339" spans="1:26" ht="15.75" customHeight="1" x14ac:dyDescent="0.3">
      <c r="A2339" s="10" t="s">
        <v>14</v>
      </c>
      <c r="B2339" s="10">
        <v>1962</v>
      </c>
      <c r="C2339" s="10" t="s">
        <v>4714</v>
      </c>
      <c r="D2339" s="10">
        <v>4</v>
      </c>
      <c r="E2339" s="10">
        <v>0</v>
      </c>
      <c r="F2339" s="24">
        <v>52590.83</v>
      </c>
      <c r="G2339" s="10" t="s">
        <v>4694</v>
      </c>
      <c r="H2339" s="10" t="s">
        <v>4696</v>
      </c>
      <c r="I2339" s="10" t="s">
        <v>4716</v>
      </c>
      <c r="J2339" s="17">
        <f t="shared" si="18"/>
        <v>22862</v>
      </c>
      <c r="K2339" s="10">
        <f t="shared" ca="1" si="19"/>
        <v>63</v>
      </c>
      <c r="L2339" s="6"/>
      <c r="M2339" s="6"/>
      <c r="N2339" s="6"/>
      <c r="O2339" s="6"/>
      <c r="P2339" s="6"/>
      <c r="Q2339" s="6"/>
      <c r="R2339" s="6"/>
      <c r="S2339" s="6"/>
      <c r="T2339" s="6"/>
      <c r="U2339" s="6"/>
      <c r="V2339" s="6"/>
      <c r="W2339" s="6"/>
      <c r="X2339" s="6"/>
      <c r="Y2339" s="6"/>
      <c r="Z2339" s="6"/>
    </row>
    <row r="2340" spans="1:26" ht="15.75" customHeight="1" x14ac:dyDescent="0.3">
      <c r="A2340" s="10" t="s">
        <v>12</v>
      </c>
      <c r="B2340" s="10">
        <v>1989</v>
      </c>
      <c r="C2340" s="10" t="s">
        <v>4710</v>
      </c>
      <c r="D2340" s="10">
        <v>19</v>
      </c>
      <c r="E2340" s="10">
        <v>0</v>
      </c>
      <c r="F2340" s="24">
        <v>55135.4</v>
      </c>
      <c r="G2340" s="10" t="s">
        <v>4694</v>
      </c>
      <c r="H2340" s="10" t="s">
        <v>4695</v>
      </c>
      <c r="I2340" s="10" t="s">
        <v>4712</v>
      </c>
      <c r="J2340" s="17">
        <f t="shared" si="18"/>
        <v>32678</v>
      </c>
      <c r="K2340" s="10">
        <f t="shared" ca="1" si="19"/>
        <v>36</v>
      </c>
      <c r="L2340" s="6"/>
      <c r="M2340" s="6"/>
      <c r="N2340" s="6"/>
      <c r="O2340" s="6"/>
      <c r="P2340" s="6"/>
      <c r="Q2340" s="6"/>
      <c r="R2340" s="6"/>
      <c r="S2340" s="6"/>
      <c r="T2340" s="6"/>
      <c r="U2340" s="6"/>
      <c r="V2340" s="6"/>
      <c r="W2340" s="6"/>
      <c r="X2340" s="6"/>
      <c r="Y2340" s="6"/>
      <c r="Z2340" s="6"/>
    </row>
    <row r="2341" spans="1:26" ht="15.75" customHeight="1" x14ac:dyDescent="0.3">
      <c r="A2341" s="10" t="s">
        <v>10</v>
      </c>
      <c r="B2341" s="10">
        <v>1991</v>
      </c>
      <c r="C2341" s="10" t="s">
        <v>4710</v>
      </c>
      <c r="D2341" s="10">
        <v>6</v>
      </c>
      <c r="E2341" s="10">
        <v>1</v>
      </c>
      <c r="F2341" s="24">
        <v>58571.07</v>
      </c>
      <c r="G2341" s="10" t="s">
        <v>4694</v>
      </c>
      <c r="H2341" s="10" t="s">
        <v>4696</v>
      </c>
      <c r="I2341" s="10" t="s">
        <v>4723</v>
      </c>
      <c r="J2341" s="17">
        <f t="shared" si="18"/>
        <v>33395</v>
      </c>
      <c r="K2341" s="10">
        <f t="shared" ca="1" si="19"/>
        <v>34</v>
      </c>
      <c r="L2341" s="6"/>
      <c r="M2341" s="6"/>
      <c r="N2341" s="6"/>
      <c r="O2341" s="6"/>
      <c r="P2341" s="6"/>
      <c r="Q2341" s="6"/>
      <c r="R2341" s="6"/>
      <c r="S2341" s="6"/>
      <c r="T2341" s="6"/>
      <c r="U2341" s="6"/>
      <c r="V2341" s="6"/>
      <c r="W2341" s="6"/>
      <c r="X2341" s="6"/>
      <c r="Y2341" s="6"/>
      <c r="Z2341" s="6"/>
    </row>
    <row r="2342" spans="1:26" ht="15.75" customHeight="1" x14ac:dyDescent="0.3">
      <c r="A2342" s="10" t="s">
        <v>8</v>
      </c>
      <c r="B2342" s="10">
        <v>1970</v>
      </c>
      <c r="C2342" s="10" t="s">
        <v>4711</v>
      </c>
      <c r="D2342" s="10">
        <v>11</v>
      </c>
      <c r="E2342" s="10">
        <v>3</v>
      </c>
      <c r="F2342" s="24">
        <v>60021.4</v>
      </c>
      <c r="G2342" s="10" t="s">
        <v>4694</v>
      </c>
      <c r="H2342" s="10" t="s">
        <v>4694</v>
      </c>
      <c r="I2342" s="10" t="s">
        <v>4712</v>
      </c>
      <c r="J2342" s="17">
        <f t="shared" si="18"/>
        <v>25822</v>
      </c>
      <c r="K2342" s="10">
        <f t="shared" ca="1" si="19"/>
        <v>55</v>
      </c>
      <c r="L2342" s="6"/>
      <c r="M2342" s="6"/>
      <c r="N2342" s="6"/>
      <c r="O2342" s="6"/>
      <c r="P2342" s="6"/>
      <c r="Q2342" s="6"/>
      <c r="R2342" s="6"/>
      <c r="S2342" s="6"/>
      <c r="T2342" s="6"/>
      <c r="U2342" s="6"/>
      <c r="V2342" s="6"/>
      <c r="W2342" s="6"/>
      <c r="X2342" s="6"/>
      <c r="Y2342" s="6"/>
      <c r="Z2342" s="6"/>
    </row>
    <row r="2343" spans="1:26" ht="15.75" customHeight="1" x14ac:dyDescent="0.3">
      <c r="A2343" s="10" t="s">
        <v>6</v>
      </c>
      <c r="B2343" s="10">
        <v>1977</v>
      </c>
      <c r="C2343" s="10" t="s">
        <v>4710</v>
      </c>
      <c r="D2343" s="10">
        <v>8</v>
      </c>
      <c r="E2343" s="10">
        <v>0</v>
      </c>
      <c r="F2343" s="24">
        <v>62592.87</v>
      </c>
      <c r="G2343" s="10" t="s">
        <v>4695</v>
      </c>
      <c r="H2343" s="10" t="s">
        <v>4696</v>
      </c>
      <c r="I2343" s="10" t="s">
        <v>4708</v>
      </c>
      <c r="J2343" s="17">
        <f t="shared" si="18"/>
        <v>28284</v>
      </c>
      <c r="K2343" s="10">
        <f t="shared" ca="1" si="19"/>
        <v>48</v>
      </c>
      <c r="L2343" s="6"/>
      <c r="M2343" s="6"/>
      <c r="N2343" s="6"/>
      <c r="O2343" s="6"/>
      <c r="P2343" s="6"/>
      <c r="Q2343" s="6"/>
      <c r="R2343" s="6"/>
      <c r="S2343" s="6"/>
      <c r="T2343" s="6"/>
      <c r="U2343" s="6"/>
      <c r="V2343" s="6"/>
      <c r="W2343" s="6"/>
      <c r="X2343" s="6"/>
      <c r="Y2343" s="6"/>
      <c r="Z2343" s="6"/>
    </row>
    <row r="2344" spans="1:26" ht="15.75" customHeight="1" x14ac:dyDescent="0.3">
      <c r="A2344" s="10" t="s">
        <v>4</v>
      </c>
      <c r="B2344" s="10">
        <v>1968</v>
      </c>
      <c r="C2344" s="10" t="s">
        <v>4715</v>
      </c>
      <c r="D2344" s="10">
        <v>12</v>
      </c>
      <c r="E2344" s="10">
        <v>0</v>
      </c>
      <c r="F2344" s="24">
        <v>63770.43</v>
      </c>
      <c r="G2344" s="10" t="s">
        <v>4694</v>
      </c>
      <c r="H2344" s="10" t="s">
        <v>4696</v>
      </c>
      <c r="I2344" s="10" t="s">
        <v>4708</v>
      </c>
      <c r="J2344" s="17">
        <f t="shared" si="18"/>
        <v>25123</v>
      </c>
      <c r="K2344" s="10">
        <f t="shared" ca="1" si="19"/>
        <v>57</v>
      </c>
      <c r="L2344" s="6"/>
      <c r="M2344" s="6"/>
      <c r="N2344" s="6"/>
      <c r="O2344" s="6"/>
      <c r="P2344" s="6"/>
      <c r="Q2344" s="6"/>
      <c r="R2344" s="6"/>
      <c r="S2344" s="6"/>
      <c r="T2344" s="6"/>
      <c r="U2344" s="6"/>
      <c r="V2344" s="6"/>
      <c r="W2344" s="6"/>
      <c r="X2344" s="6"/>
      <c r="Y2344" s="6"/>
      <c r="Z2344" s="6"/>
    </row>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 Names</vt:lpstr>
      <vt:lpstr>Donut Pivotchart</vt:lpstr>
      <vt:lpstr>Pivot piechart and slicer</vt:lpstr>
      <vt:lpstr>Medical Examinations</vt:lpstr>
      <vt:lpstr>Hospitalisation Details WITH XL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K.Aishwarya</dc:creator>
  <cp:lastModifiedBy>Aishwarya K</cp:lastModifiedBy>
  <dcterms:created xsi:type="dcterms:W3CDTF">2025-11-28T10:27:16Z</dcterms:created>
  <dcterms:modified xsi:type="dcterms:W3CDTF">2025-11-29T07:50:02Z</dcterms:modified>
</cp:coreProperties>
</file>