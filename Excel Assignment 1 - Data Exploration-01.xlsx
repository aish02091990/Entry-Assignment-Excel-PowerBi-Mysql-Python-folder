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.Aishwarya\Desktop\Aishwarya.K\"/>
    </mc:Choice>
  </mc:AlternateContent>
  <xr:revisionPtr revIDLastSave="0" documentId="8_{D7F98D27-A381-4A59-8EFA-A3EFCBF306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2" i="2"/>
  <c r="C23" i="3"/>
  <c r="M4" i="2"/>
  <c r="M2" i="2"/>
  <c r="M3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L3" i="2"/>
  <c r="L2" i="2"/>
  <c r="C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G12" i="2"/>
  <c r="G8" i="2"/>
  <c r="G4" i="2"/>
  <c r="G19" i="2"/>
  <c r="G26" i="2"/>
  <c r="G18" i="2"/>
  <c r="G32" i="2"/>
  <c r="G25" i="2"/>
  <c r="G17" i="2"/>
  <c r="G31" i="2"/>
  <c r="G24" i="2"/>
  <c r="G16" i="2"/>
  <c r="G3" i="2"/>
  <c r="G15" i="2"/>
  <c r="G30" i="2"/>
  <c r="G14" i="2"/>
  <c r="G35" i="2"/>
  <c r="G23" i="2"/>
  <c r="G13" i="2"/>
  <c r="G2" i="2"/>
  <c r="G11" i="2"/>
  <c r="G10" i="2"/>
  <c r="G29" i="2"/>
  <c r="G22" i="2"/>
  <c r="G9" i="2"/>
  <c r="G34" i="2"/>
  <c r="G28" i="2"/>
  <c r="G21" i="2"/>
  <c r="G7" i="2"/>
  <c r="G33" i="2"/>
  <c r="G6" i="2"/>
  <c r="G27" i="2"/>
  <c r="G20" i="2"/>
  <c r="G5" i="2"/>
</calcChain>
</file>

<file path=xl/sharedStrings.xml><?xml version="1.0" encoding="utf-8"?>
<sst xmlns="http://schemas.openxmlformats.org/spreadsheetml/2006/main" count="261" uniqueCount="138">
  <si>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</si>
  <si>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</si>
  <si>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</si>
  <si>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</si>
  <si>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</si>
  <si>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</si>
  <si>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</si>
  <si>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</si>
  <si>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</si>
  <si>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</si>
  <si>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</si>
  <si>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</si>
  <si>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</si>
  <si>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</si>
  <si>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</si>
  <si>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</si>
  <si>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</si>
  <si>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</si>
  <si>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</si>
  <si>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</si>
  <si>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</si>
  <si>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</si>
  <si>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</si>
  <si>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Range</t>
  </si>
  <si>
    <t>DAY</t>
  </si>
  <si>
    <t>COUNTRY CODE</t>
  </si>
  <si>
    <t>MONTH</t>
  </si>
  <si>
    <t>UPPER</t>
  </si>
  <si>
    <t>LOWER</t>
  </si>
  <si>
    <t>PROPER</t>
  </si>
  <si>
    <t>MID</t>
  </si>
  <si>
    <t>21-AUG-CA</t>
  </si>
  <si>
    <t>Laptop Bag</t>
  </si>
  <si>
    <t>Samsonite</t>
  </si>
  <si>
    <t>Accessories</t>
  </si>
  <si>
    <t>LAPTOP BAG</t>
  </si>
  <si>
    <t>09-JUL-FR</t>
  </si>
  <si>
    <t>Watch</t>
  </si>
  <si>
    <t>laptop bag</t>
  </si>
  <si>
    <t>28-JAN-US</t>
  </si>
  <si>
    <t>Laptop</t>
  </si>
  <si>
    <t>Dell</t>
  </si>
  <si>
    <t>Electronics</t>
  </si>
  <si>
    <t>11-APR-US</t>
  </si>
  <si>
    <t>Smartphone</t>
  </si>
  <si>
    <t>Samsung</t>
  </si>
  <si>
    <t>07-JUN-UK</t>
  </si>
  <si>
    <t>Headphones</t>
  </si>
  <si>
    <t>Sony</t>
  </si>
  <si>
    <t>05-SEP-UK</t>
  </si>
  <si>
    <t>Tablet</t>
  </si>
  <si>
    <t>Apple</t>
  </si>
  <si>
    <t>17-JUN-IN</t>
  </si>
  <si>
    <t>HP</t>
  </si>
  <si>
    <t>18-FEB-CA</t>
  </si>
  <si>
    <t>Smartwatch</t>
  </si>
  <si>
    <t>Fitbit</t>
  </si>
  <si>
    <t>16-APR-ES</t>
  </si>
  <si>
    <t>Bose</t>
  </si>
  <si>
    <t>20-AUG-CN</t>
  </si>
  <si>
    <t>Huawei</t>
  </si>
  <si>
    <t>27-JAN-IT</t>
  </si>
  <si>
    <t>Asus</t>
  </si>
  <si>
    <t>14-MAY-RU</t>
  </si>
  <si>
    <t>Camera</t>
  </si>
  <si>
    <t>Nikon</t>
  </si>
  <si>
    <t>19-JUL-BR</t>
  </si>
  <si>
    <t>Fitness Tracker</t>
  </si>
  <si>
    <t>Xiaomi</t>
  </si>
  <si>
    <t>29-SEP-CA</t>
  </si>
  <si>
    <t>Google</t>
  </si>
  <si>
    <t>24-MAY-CA</t>
  </si>
  <si>
    <t>Garmin</t>
  </si>
  <si>
    <t>15-FEB-US</t>
  </si>
  <si>
    <t>Sneakers</t>
  </si>
  <si>
    <t>Nike</t>
  </si>
  <si>
    <t>Fashion</t>
  </si>
  <si>
    <t>19-JUL-UK</t>
  </si>
  <si>
    <t>T-shirt</t>
  </si>
  <si>
    <t>Adidas</t>
  </si>
  <si>
    <t>25-NOV-AU</t>
  </si>
  <si>
    <t>01-MAR-UK</t>
  </si>
  <si>
    <t>Sunglasses</t>
  </si>
  <si>
    <t>Oakley</t>
  </si>
  <si>
    <t>03-JUN-CA</t>
  </si>
  <si>
    <t>Ray-Ban</t>
  </si>
  <si>
    <t>07-MAR-CA</t>
  </si>
  <si>
    <t>Dress</t>
  </si>
  <si>
    <t>Zara</t>
  </si>
  <si>
    <t>02-DEC-CA</t>
  </si>
  <si>
    <t>Jeans</t>
  </si>
  <si>
    <t>Levi's</t>
  </si>
  <si>
    <t>03-MAR-US</t>
  </si>
  <si>
    <t>Coffee Maker</t>
  </si>
  <si>
    <t>Keurig</t>
  </si>
  <si>
    <t>Kitchen</t>
  </si>
  <si>
    <t>23-AUG-UK</t>
  </si>
  <si>
    <t>Blender</t>
  </si>
  <si>
    <t>Ninja</t>
  </si>
  <si>
    <t>08-DEC-DE</t>
  </si>
  <si>
    <t>Nespresso</t>
  </si>
  <si>
    <t>09-JAN-CA</t>
  </si>
  <si>
    <t>Microwave</t>
  </si>
  <si>
    <t>Panasonic</t>
  </si>
  <si>
    <t>11-JUL-CA</t>
  </si>
  <si>
    <t>Vitamix</t>
  </si>
  <si>
    <t>13-APR-CA</t>
  </si>
  <si>
    <t>Toaster</t>
  </si>
  <si>
    <t>Hamilton</t>
  </si>
  <si>
    <t>22-MAY-US</t>
  </si>
  <si>
    <t>Backpack</t>
  </si>
  <si>
    <t>North Face</t>
  </si>
  <si>
    <t>Outdoor</t>
  </si>
  <si>
    <t>14-OCT-UK</t>
  </si>
  <si>
    <t>Hiking Boots</t>
  </si>
  <si>
    <t>Timberland</t>
  </si>
  <si>
    <t>14-AUG-US</t>
  </si>
  <si>
    <t>Camping Tent</t>
  </si>
  <si>
    <t>Coleman</t>
  </si>
  <si>
    <t>COUNTA(B2:B35)</t>
  </si>
  <si>
    <t>AVERAGE(D2:D35)</t>
  </si>
  <si>
    <t>MIN(D2:D35)</t>
  </si>
  <si>
    <t>MAX(D2:D35)</t>
  </si>
  <si>
    <t>IF(D18&gt;=500,"HIGH PRICE","STANDARD PRICE")</t>
  </si>
  <si>
    <t>=lf(D2&gt;=500,"high price","standard price")</t>
  </si>
  <si>
    <t>SUMIF(F2:F2,"electronics",F2:F35)</t>
  </si>
  <si>
    <t>COUNTIF(D2:D35,"&lt;=100")</t>
  </si>
  <si>
    <t>=</t>
  </si>
  <si>
    <t>MID(A2,4,6)</t>
  </si>
  <si>
    <t>LOWER()</t>
  </si>
  <si>
    <t>LOWER(B2)</t>
  </si>
  <si>
    <t>UPPER()</t>
  </si>
  <si>
    <t>UPPER(B2)</t>
  </si>
  <si>
    <t>PROPER()</t>
  </si>
  <si>
    <t>PROPER(B3)</t>
  </si>
  <si>
    <t>LEFT(A2)</t>
  </si>
  <si>
    <t>RIGHT(A2)</t>
  </si>
  <si>
    <t>SUM(A2:A39)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</si>
</sst>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14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2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sz val="10"/>
      <color rgb="FF000000"/>
      <name val="Arial"/>
      <charset val="1"/>
    </font>
    <font>
      <b/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8" fillId="0" borderId="0" xfId="0" applyFont="1"/>
    <xf numFmtId="0" fontId="9" fillId="0" borderId="0" xfId="0" applyFont="1"/>
    <xf numFmtId="0" fontId="7" fillId="0" borderId="0" xfId="0" applyFont="1"/>
    <xf numFmtId="49" fontId="9" fillId="0" borderId="0" xfId="0" applyNumberFormat="1" applyFont="1" applyAlignment="1">
      <alignment wrapText="1"/>
    </xf>
    <xf numFmtId="38" fontId="8" fillId="2" borderId="0" xfId="0" applyNumberFormat="1" applyFont="1" applyFill="1" applyAlignment="1">
      <alignment horizontal="center"/>
    </xf>
    <xf numFmtId="38" fontId="9" fillId="0" borderId="0" xfId="0" applyNumberFormat="1" applyFont="1" applyAlignment="1">
      <alignment wrapText="1"/>
    </xf>
    <xf numFmtId="38" fontId="0" fillId="0" borderId="0" xfId="0" applyNumberFormat="1"/>
    <xf numFmtId="0" fontId="10" fillId="0" borderId="0" xfId="0" applyFont="1"/>
    <xf numFmtId="164" fontId="7" fillId="0" borderId="0" xfId="0" applyNumberFormat="1" applyFont="1"/>
    <xf numFmtId="164" fontId="9" fillId="0" borderId="0" xfId="0" applyNumberFormat="1" applyFont="1" applyAlignment="1">
      <alignment wrapText="1"/>
    </xf>
    <xf numFmtId="0" fontId="9" fillId="0" borderId="0" xfId="0" applyFont="1" applyAlignment="1">
      <alignment wrapText="1"/>
    </xf>
    <xf numFmtId="0" fontId="11" fillId="0" borderId="0" xfId="0" applyFont="1"/>
    <xf numFmtId="0" fontId="8" fillId="4" borderId="0" xfId="0" applyFont="1" applyFill="1"/>
    <xf numFmtId="0" fontId="12" fillId="0" borderId="0" xfId="0" applyFont="1"/>
    <xf numFmtId="0" fontId="5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C17" sqref="C17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17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000"/>
  <sheetViews>
    <sheetView tabSelected="1" workbookViewId="0">
      <selection activeCell="J1" sqref="J1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  <col min="7" max="7" width="17" style="16" bestFit="1" customWidth="1"/>
    <col min="8" max="10" width="17" style="16" customWidth="1"/>
    <col min="11" max="15" width="12.6640625" style="16" customWidth="1"/>
  </cols>
  <sheetData>
    <row r="1" spans="1:17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4" t="s">
        <v>23</v>
      </c>
      <c r="H1" s="14" t="s">
        <v>24</v>
      </c>
      <c r="I1" s="14" t="s">
        <v>25</v>
      </c>
      <c r="J1" s="14" t="s">
        <v>26</v>
      </c>
      <c r="K1" s="14" t="s">
        <v>27</v>
      </c>
      <c r="L1" s="14" t="s">
        <v>28</v>
      </c>
      <c r="M1" s="14" t="s">
        <v>29</v>
      </c>
      <c r="N1" s="14" t="s">
        <v>30</v>
      </c>
      <c r="O1" s="14"/>
      <c r="P1" s="6"/>
      <c r="Q1" s="3"/>
    </row>
    <row r="2" spans="1:17" ht="15.75" customHeight="1" x14ac:dyDescent="0.25">
      <c r="A2" s="8" t="s">
        <v>31</v>
      </c>
      <c r="B2" s="8" t="s">
        <v>32</v>
      </c>
      <c r="C2" s="8" t="s">
        <v>33</v>
      </c>
      <c r="D2" s="8">
        <v>50</v>
      </c>
      <c r="E2" s="8">
        <v>35</v>
      </c>
      <c r="F2" s="8" t="s">
        <v>34</v>
      </c>
      <c r="G2" s="15" t="str">
        <f t="shared" ref="G2:G35" si="0">IF(D2&gt;=500,"HIGH PRICE","STANDARD PRICE")</f>
        <v>STANDARD PRICE</v>
      </c>
      <c r="H2" s="15" t="str">
        <f>LEFT(A2,2)</f>
        <v>21</v>
      </c>
      <c r="I2" s="15" t="str">
        <f>RIGHT(A2,2)</f>
        <v>CA</v>
      </c>
      <c r="J2" s="15" t="str">
        <f>MID(A2,4,6)</f>
        <v>AUG-CA</v>
      </c>
      <c r="K2" s="16" t="s">
        <v>35</v>
      </c>
      <c r="L2" s="15" t="str">
        <f>LOWER(B2)</f>
        <v>laptop bag</v>
      </c>
      <c r="M2" s="15" t="str">
        <f>PROPER(B2)</f>
        <v>Laptop Bag</v>
      </c>
      <c r="N2" s="15" t="str">
        <f>MID(B2,2,4)</f>
        <v>apto</v>
      </c>
      <c r="O2" s="15"/>
      <c r="P2" s="10"/>
    </row>
    <row r="3" spans="1:17" ht="15.75" customHeight="1" x14ac:dyDescent="0.25">
      <c r="A3" s="8" t="s">
        <v>31</v>
      </c>
      <c r="B3" s="8" t="s">
        <v>32</v>
      </c>
      <c r="C3" s="8">
        <f>COUNTIF(D2:D35,"&lt;=100")</f>
        <v>12</v>
      </c>
      <c r="D3" s="8">
        <v>50</v>
      </c>
      <c r="E3" s="8">
        <v>35</v>
      </c>
      <c r="F3" s="8" t="s">
        <v>34</v>
      </c>
      <c r="G3" s="15" t="str">
        <f t="shared" si="0"/>
        <v>STANDARD PRICE</v>
      </c>
      <c r="H3" s="15" t="str">
        <f t="shared" ref="H3:H35" si="1">LEFT(A3,2)</f>
        <v>21</v>
      </c>
      <c r="I3" s="15" t="str">
        <f t="shared" ref="I3:I35" si="2">RIGHT(A3,2)</f>
        <v>CA</v>
      </c>
      <c r="J3" s="15" t="str">
        <f t="shared" ref="J3:J35" si="3">MID(A3,4,6)</f>
        <v>AUG-CA</v>
      </c>
      <c r="K3" s="16" t="s">
        <v>35</v>
      </c>
      <c r="L3" s="15" t="str">
        <f>LOWER(B3)</f>
        <v>laptop bag</v>
      </c>
      <c r="M3" s="15" t="str">
        <f>PROPER(B3)</f>
        <v>Laptop Bag</v>
      </c>
      <c r="N3" s="15" t="str">
        <f t="shared" ref="N3:N35" si="4">MID(B3,2,4)</f>
        <v>apto</v>
      </c>
      <c r="O3" s="15"/>
      <c r="P3" s="7"/>
    </row>
    <row r="4" spans="1:17" ht="15.75" customHeight="1" x14ac:dyDescent="0.25">
      <c r="A4" s="8" t="s">
        <v>36</v>
      </c>
      <c r="B4" s="8" t="s">
        <v>37</v>
      </c>
      <c r="C4" s="8"/>
      <c r="D4" s="8">
        <v>100</v>
      </c>
      <c r="E4" s="8">
        <v>20</v>
      </c>
      <c r="F4" s="8" t="s">
        <v>34</v>
      </c>
      <c r="G4" s="15" t="str">
        <f t="shared" si="0"/>
        <v>STANDARD PRICE</v>
      </c>
      <c r="H4" s="15" t="str">
        <f t="shared" si="1"/>
        <v>09</v>
      </c>
      <c r="I4" s="15" t="str">
        <f t="shared" si="2"/>
        <v>FR</v>
      </c>
      <c r="J4" s="15" t="str">
        <f t="shared" si="3"/>
        <v>JUL-FR</v>
      </c>
      <c r="K4" s="16" t="s">
        <v>35</v>
      </c>
      <c r="L4" s="15" t="s">
        <v>38</v>
      </c>
      <c r="M4" s="15" t="str">
        <f>PROPER(B4)</f>
        <v>Watch</v>
      </c>
      <c r="N4" s="15" t="str">
        <f t="shared" si="4"/>
        <v>atch</v>
      </c>
      <c r="O4" s="15"/>
      <c r="P4" s="7"/>
      <c r="Q4" s="11"/>
    </row>
    <row r="5" spans="1:17" ht="15.75" customHeight="1" x14ac:dyDescent="0.25">
      <c r="A5" s="7" t="s">
        <v>39</v>
      </c>
      <c r="B5" s="7" t="s">
        <v>40</v>
      </c>
      <c r="C5" s="7" t="s">
        <v>41</v>
      </c>
      <c r="D5" s="7">
        <v>1000</v>
      </c>
      <c r="E5" s="7">
        <v>30</v>
      </c>
      <c r="F5" s="7" t="s">
        <v>42</v>
      </c>
      <c r="G5" s="15" t="str">
        <f t="shared" si="0"/>
        <v>HIGH PRICE</v>
      </c>
      <c r="H5" s="15" t="str">
        <f t="shared" si="1"/>
        <v>28</v>
      </c>
      <c r="I5" s="15" t="str">
        <f t="shared" si="2"/>
        <v>US</v>
      </c>
      <c r="J5" s="15" t="str">
        <f t="shared" si="3"/>
        <v>JAN-US</v>
      </c>
      <c r="K5" s="16" t="s">
        <v>35</v>
      </c>
      <c r="L5" s="15" t="s">
        <v>38</v>
      </c>
      <c r="M5" s="15" t="str">
        <f t="shared" ref="M5:M35" si="5">PROPER(B5)</f>
        <v>Laptop</v>
      </c>
      <c r="N5" s="15" t="str">
        <f t="shared" si="4"/>
        <v>apto</v>
      </c>
      <c r="O5" s="15"/>
      <c r="P5" s="10"/>
    </row>
    <row r="6" spans="1:17" ht="15.75" customHeight="1" x14ac:dyDescent="0.25">
      <c r="A6" s="8" t="s">
        <v>43</v>
      </c>
      <c r="B6" s="8" t="s">
        <v>44</v>
      </c>
      <c r="C6" s="8" t="s">
        <v>45</v>
      </c>
      <c r="D6" s="8">
        <v>900</v>
      </c>
      <c r="E6" s="8">
        <v>25</v>
      </c>
      <c r="F6" s="8" t="s">
        <v>42</v>
      </c>
      <c r="G6" s="15" t="str">
        <f t="shared" si="0"/>
        <v>HIGH PRICE</v>
      </c>
      <c r="H6" s="15" t="str">
        <f t="shared" si="1"/>
        <v>11</v>
      </c>
      <c r="I6" s="15" t="str">
        <f t="shared" si="2"/>
        <v>US</v>
      </c>
      <c r="J6" s="15" t="str">
        <f t="shared" si="3"/>
        <v>APR-US</v>
      </c>
      <c r="K6" s="16" t="s">
        <v>35</v>
      </c>
      <c r="L6" s="15" t="s">
        <v>38</v>
      </c>
      <c r="M6" s="15" t="str">
        <f t="shared" si="5"/>
        <v>Smartphone</v>
      </c>
      <c r="N6" s="15" t="str">
        <f t="shared" si="4"/>
        <v>mart</v>
      </c>
      <c r="O6" s="15"/>
      <c r="P6" s="7"/>
    </row>
    <row r="7" spans="1:17" ht="15.75" customHeight="1" x14ac:dyDescent="0.3">
      <c r="A7" s="8" t="s">
        <v>46</v>
      </c>
      <c r="B7" s="8" t="s">
        <v>47</v>
      </c>
      <c r="C7" s="8" t="s">
        <v>48</v>
      </c>
      <c r="D7" s="8">
        <v>200</v>
      </c>
      <c r="E7" s="8">
        <v>45</v>
      </c>
      <c r="F7" s="8" t="s">
        <v>42</v>
      </c>
      <c r="G7" s="15" t="str">
        <f t="shared" si="0"/>
        <v>STANDARD PRICE</v>
      </c>
      <c r="H7" s="15" t="str">
        <f t="shared" si="1"/>
        <v>07</v>
      </c>
      <c r="I7" s="15" t="str">
        <f t="shared" si="2"/>
        <v>UK</v>
      </c>
      <c r="J7" s="15" t="str">
        <f t="shared" si="3"/>
        <v>JUN-UK</v>
      </c>
      <c r="K7" s="16" t="s">
        <v>35</v>
      </c>
      <c r="L7" s="15" t="s">
        <v>38</v>
      </c>
      <c r="M7" s="15" t="str">
        <f t="shared" si="5"/>
        <v>Headphones</v>
      </c>
      <c r="N7" s="15" t="str">
        <f t="shared" si="4"/>
        <v>eadp</v>
      </c>
      <c r="O7" s="15"/>
      <c r="P7" s="7"/>
      <c r="Q7" s="3"/>
    </row>
    <row r="8" spans="1:17" ht="15.75" customHeight="1" x14ac:dyDescent="0.25">
      <c r="A8" s="7" t="s">
        <v>49</v>
      </c>
      <c r="B8" s="7" t="s">
        <v>50</v>
      </c>
      <c r="C8" s="7" t="s">
        <v>51</v>
      </c>
      <c r="D8" s="7">
        <v>500</v>
      </c>
      <c r="E8" s="7">
        <v>50</v>
      </c>
      <c r="F8" s="7" t="s">
        <v>42</v>
      </c>
      <c r="G8" s="15" t="str">
        <f t="shared" si="0"/>
        <v>HIGH PRICE</v>
      </c>
      <c r="H8" s="15" t="str">
        <f t="shared" si="1"/>
        <v>05</v>
      </c>
      <c r="I8" s="15" t="str">
        <f t="shared" si="2"/>
        <v>UK</v>
      </c>
      <c r="J8" s="15" t="str">
        <f t="shared" si="3"/>
        <v>SEP-UK</v>
      </c>
      <c r="K8" s="16" t="s">
        <v>35</v>
      </c>
      <c r="L8" s="15" t="s">
        <v>38</v>
      </c>
      <c r="M8" s="15" t="str">
        <f t="shared" si="5"/>
        <v>Tablet</v>
      </c>
      <c r="N8" s="15" t="str">
        <f t="shared" si="4"/>
        <v>able</v>
      </c>
      <c r="O8" s="15"/>
      <c r="P8" s="10"/>
    </row>
    <row r="9" spans="1:17" ht="15.75" customHeight="1" x14ac:dyDescent="0.25">
      <c r="A9" s="7" t="s">
        <v>52</v>
      </c>
      <c r="B9" s="7" t="s">
        <v>40</v>
      </c>
      <c r="C9" s="7" t="s">
        <v>53</v>
      </c>
      <c r="D9" s="7">
        <v>950</v>
      </c>
      <c r="E9" s="7">
        <v>25</v>
      </c>
      <c r="F9" s="7" t="s">
        <v>42</v>
      </c>
      <c r="G9" s="15" t="str">
        <f t="shared" si="0"/>
        <v>HIGH PRICE</v>
      </c>
      <c r="H9" s="15" t="str">
        <f t="shared" si="1"/>
        <v>17</v>
      </c>
      <c r="I9" s="15" t="str">
        <f t="shared" si="2"/>
        <v>IN</v>
      </c>
      <c r="J9" s="15" t="str">
        <f t="shared" si="3"/>
        <v>JUN-IN</v>
      </c>
      <c r="K9" s="16" t="s">
        <v>35</v>
      </c>
      <c r="L9" s="15" t="s">
        <v>38</v>
      </c>
      <c r="M9" s="15" t="str">
        <f t="shared" si="5"/>
        <v>Laptop</v>
      </c>
      <c r="N9" s="15" t="str">
        <f t="shared" si="4"/>
        <v>apto</v>
      </c>
      <c r="O9" s="15"/>
      <c r="P9" s="7"/>
    </row>
    <row r="10" spans="1:17" ht="15.75" customHeight="1" x14ac:dyDescent="0.25">
      <c r="A10" s="8" t="s">
        <v>54</v>
      </c>
      <c r="B10" s="8" t="s">
        <v>55</v>
      </c>
      <c r="C10" s="8" t="s">
        <v>56</v>
      </c>
      <c r="D10" s="8">
        <v>150</v>
      </c>
      <c r="E10" s="8">
        <v>15</v>
      </c>
      <c r="F10" s="8" t="s">
        <v>42</v>
      </c>
      <c r="G10" s="15" t="str">
        <f t="shared" si="0"/>
        <v>STANDARD PRICE</v>
      </c>
      <c r="H10" s="15" t="str">
        <f t="shared" si="1"/>
        <v>18</v>
      </c>
      <c r="I10" s="15" t="str">
        <f t="shared" si="2"/>
        <v>CA</v>
      </c>
      <c r="J10" s="15" t="str">
        <f t="shared" si="3"/>
        <v>FEB-CA</v>
      </c>
      <c r="K10" s="16" t="s">
        <v>35</v>
      </c>
      <c r="L10" s="15" t="s">
        <v>38</v>
      </c>
      <c r="M10" s="15" t="str">
        <f t="shared" si="5"/>
        <v>Smartwatch</v>
      </c>
      <c r="N10" s="15" t="str">
        <f t="shared" si="4"/>
        <v>mart</v>
      </c>
      <c r="O10" s="15"/>
      <c r="P10" s="7"/>
    </row>
    <row r="11" spans="1:17" ht="15.75" customHeight="1" x14ac:dyDescent="0.25">
      <c r="A11" s="7" t="s">
        <v>57</v>
      </c>
      <c r="B11" s="7" t="s">
        <v>47</v>
      </c>
      <c r="C11" s="7" t="s">
        <v>58</v>
      </c>
      <c r="D11" s="7">
        <v>250</v>
      </c>
      <c r="E11" s="7">
        <v>20</v>
      </c>
      <c r="F11" s="7" t="s">
        <v>42</v>
      </c>
      <c r="G11" s="15" t="str">
        <f t="shared" si="0"/>
        <v>STANDARD PRICE</v>
      </c>
      <c r="H11" s="15" t="str">
        <f t="shared" si="1"/>
        <v>16</v>
      </c>
      <c r="I11" s="15" t="str">
        <f t="shared" si="2"/>
        <v>ES</v>
      </c>
      <c r="J11" s="15" t="str">
        <f t="shared" si="3"/>
        <v>APR-ES</v>
      </c>
      <c r="K11" s="16" t="s">
        <v>35</v>
      </c>
      <c r="L11" s="15" t="s">
        <v>38</v>
      </c>
      <c r="M11" s="15" t="str">
        <f t="shared" si="5"/>
        <v>Headphones</v>
      </c>
      <c r="N11" s="15" t="str">
        <f t="shared" si="4"/>
        <v>eadp</v>
      </c>
      <c r="O11" s="15"/>
      <c r="P11" s="10"/>
    </row>
    <row r="12" spans="1:17" ht="15.75" customHeight="1" x14ac:dyDescent="0.25">
      <c r="A12" s="7" t="s">
        <v>59</v>
      </c>
      <c r="B12" s="7" t="s">
        <v>55</v>
      </c>
      <c r="C12" s="7" t="s">
        <v>60</v>
      </c>
      <c r="D12" s="7">
        <v>160</v>
      </c>
      <c r="E12" s="7">
        <v>15</v>
      </c>
      <c r="F12" s="7" t="s">
        <v>42</v>
      </c>
      <c r="G12" s="15" t="str">
        <f t="shared" si="0"/>
        <v>STANDARD PRICE</v>
      </c>
      <c r="H12" s="15" t="str">
        <f t="shared" si="1"/>
        <v>20</v>
      </c>
      <c r="I12" s="15" t="str">
        <f t="shared" si="2"/>
        <v>CN</v>
      </c>
      <c r="J12" s="15" t="str">
        <f t="shared" si="3"/>
        <v>AUG-CN</v>
      </c>
      <c r="K12" s="16" t="s">
        <v>35</v>
      </c>
      <c r="L12" s="15" t="s">
        <v>38</v>
      </c>
      <c r="M12" s="15" t="str">
        <f t="shared" si="5"/>
        <v>Smartwatch</v>
      </c>
      <c r="N12" s="15" t="str">
        <f t="shared" si="4"/>
        <v>mart</v>
      </c>
      <c r="O12" s="15"/>
      <c r="P12" s="7"/>
    </row>
    <row r="13" spans="1:17" ht="15.75" customHeight="1" x14ac:dyDescent="0.25">
      <c r="A13" s="8" t="s">
        <v>61</v>
      </c>
      <c r="B13" s="8" t="s">
        <v>40</v>
      </c>
      <c r="C13" s="8" t="s">
        <v>62</v>
      </c>
      <c r="D13" s="8">
        <v>980</v>
      </c>
      <c r="E13" s="8">
        <v>10</v>
      </c>
      <c r="F13" s="8" t="s">
        <v>42</v>
      </c>
      <c r="G13" s="15" t="str">
        <f t="shared" si="0"/>
        <v>HIGH PRICE</v>
      </c>
      <c r="H13" s="15" t="str">
        <f t="shared" si="1"/>
        <v>27</v>
      </c>
      <c r="I13" s="15" t="str">
        <f t="shared" si="2"/>
        <v>IT</v>
      </c>
      <c r="J13" s="15" t="str">
        <f t="shared" si="3"/>
        <v>JAN-IT</v>
      </c>
      <c r="K13" s="16" t="s">
        <v>35</v>
      </c>
      <c r="L13" s="23" t="s">
        <v>38</v>
      </c>
      <c r="M13" s="15" t="str">
        <f t="shared" si="5"/>
        <v>Laptop</v>
      </c>
      <c r="N13" s="15" t="str">
        <f t="shared" si="4"/>
        <v>apto</v>
      </c>
      <c r="O13" s="15"/>
      <c r="P13" s="12"/>
    </row>
    <row r="14" spans="1:17" ht="15.75" customHeight="1" x14ac:dyDescent="0.25">
      <c r="A14" s="7" t="s">
        <v>63</v>
      </c>
      <c r="B14" s="7" t="s">
        <v>64</v>
      </c>
      <c r="C14" s="7" t="s">
        <v>65</v>
      </c>
      <c r="D14" s="7">
        <v>700</v>
      </c>
      <c r="E14" s="7">
        <v>50</v>
      </c>
      <c r="F14" s="7" t="s">
        <v>42</v>
      </c>
      <c r="G14" s="15" t="str">
        <f t="shared" si="0"/>
        <v>HIGH PRICE</v>
      </c>
      <c r="H14" s="15" t="str">
        <f t="shared" si="1"/>
        <v>14</v>
      </c>
      <c r="I14" s="15" t="str">
        <f t="shared" si="2"/>
        <v>RU</v>
      </c>
      <c r="J14" s="15" t="str">
        <f t="shared" si="3"/>
        <v>MAY-RU</v>
      </c>
      <c r="K14" s="16" t="s">
        <v>35</v>
      </c>
      <c r="L14" s="23" t="s">
        <v>38</v>
      </c>
      <c r="M14" s="15" t="str">
        <f t="shared" si="5"/>
        <v>Camera</v>
      </c>
      <c r="N14" s="15" t="str">
        <f t="shared" si="4"/>
        <v>amer</v>
      </c>
      <c r="O14" s="15"/>
      <c r="P14" s="10"/>
    </row>
    <row r="15" spans="1:17" ht="15.75" customHeight="1" x14ac:dyDescent="0.25">
      <c r="A15" s="7" t="s">
        <v>66</v>
      </c>
      <c r="B15" s="7" t="s">
        <v>67</v>
      </c>
      <c r="C15" s="7" t="s">
        <v>68</v>
      </c>
      <c r="D15" s="7">
        <v>150</v>
      </c>
      <c r="E15" s="7">
        <v>30</v>
      </c>
      <c r="F15" s="7" t="s">
        <v>42</v>
      </c>
      <c r="G15" s="15" t="str">
        <f t="shared" si="0"/>
        <v>STANDARD PRICE</v>
      </c>
      <c r="H15" s="15" t="str">
        <f t="shared" si="1"/>
        <v>19</v>
      </c>
      <c r="I15" s="15" t="str">
        <f t="shared" si="2"/>
        <v>BR</v>
      </c>
      <c r="J15" s="15" t="str">
        <f t="shared" si="3"/>
        <v>JUL-BR</v>
      </c>
      <c r="K15" s="16" t="s">
        <v>35</v>
      </c>
      <c r="L15" s="23" t="s">
        <v>38</v>
      </c>
      <c r="M15" s="15" t="str">
        <f t="shared" si="5"/>
        <v>Fitness Tracker</v>
      </c>
      <c r="N15" s="15" t="str">
        <f t="shared" si="4"/>
        <v>itne</v>
      </c>
      <c r="O15" s="15"/>
      <c r="P15" s="7"/>
    </row>
    <row r="16" spans="1:17" ht="15.75" customHeight="1" x14ac:dyDescent="0.3">
      <c r="A16" s="7" t="s">
        <v>69</v>
      </c>
      <c r="B16" s="7" t="s">
        <v>44</v>
      </c>
      <c r="C16" s="7" t="s">
        <v>70</v>
      </c>
      <c r="D16" s="7">
        <v>800</v>
      </c>
      <c r="E16" s="7">
        <v>45</v>
      </c>
      <c r="F16" s="7" t="s">
        <v>42</v>
      </c>
      <c r="G16" s="15" t="str">
        <f t="shared" si="0"/>
        <v>HIGH PRICE</v>
      </c>
      <c r="H16" s="15" t="str">
        <f t="shared" si="1"/>
        <v>29</v>
      </c>
      <c r="I16" s="15" t="str">
        <f t="shared" si="2"/>
        <v>CA</v>
      </c>
      <c r="J16" s="15" t="str">
        <f t="shared" si="3"/>
        <v>SEP-CA</v>
      </c>
      <c r="K16" s="16" t="s">
        <v>35</v>
      </c>
      <c r="L16" s="23" t="s">
        <v>38</v>
      </c>
      <c r="M16" s="15" t="str">
        <f t="shared" si="5"/>
        <v>Smartphone</v>
      </c>
      <c r="N16" s="15" t="str">
        <f t="shared" si="4"/>
        <v>mart</v>
      </c>
      <c r="O16" s="15"/>
      <c r="P16" s="7"/>
      <c r="Q16" s="3"/>
    </row>
    <row r="17" spans="1:19" ht="15.75" customHeight="1" x14ac:dyDescent="0.25">
      <c r="A17" s="8" t="s">
        <v>57</v>
      </c>
      <c r="B17" s="8" t="s">
        <v>47</v>
      </c>
      <c r="C17" s="8" t="s">
        <v>58</v>
      </c>
      <c r="D17" s="8">
        <v>230</v>
      </c>
      <c r="E17" s="8">
        <v>20</v>
      </c>
      <c r="F17" s="8" t="s">
        <v>42</v>
      </c>
      <c r="G17" s="15" t="str">
        <f t="shared" si="0"/>
        <v>STANDARD PRICE</v>
      </c>
      <c r="H17" s="15" t="str">
        <f t="shared" si="1"/>
        <v>16</v>
      </c>
      <c r="I17" s="15" t="str">
        <f t="shared" si="2"/>
        <v>ES</v>
      </c>
      <c r="J17" s="15" t="str">
        <f t="shared" si="3"/>
        <v>APR-ES</v>
      </c>
      <c r="K17" s="16" t="s">
        <v>35</v>
      </c>
      <c r="L17" s="23" t="s">
        <v>38</v>
      </c>
      <c r="M17" s="15" t="str">
        <f t="shared" si="5"/>
        <v>Headphones</v>
      </c>
      <c r="N17" s="15" t="str">
        <f t="shared" si="4"/>
        <v>eadp</v>
      </c>
      <c r="O17" s="15"/>
      <c r="P17" s="10"/>
      <c r="S17" s="13"/>
    </row>
    <row r="18" spans="1:19" ht="15.75" customHeight="1" x14ac:dyDescent="0.25">
      <c r="A18" s="7" t="s">
        <v>71</v>
      </c>
      <c r="B18" s="7" t="s">
        <v>67</v>
      </c>
      <c r="C18" s="7" t="s">
        <v>72</v>
      </c>
      <c r="D18" s="7">
        <v>130</v>
      </c>
      <c r="E18" s="7">
        <v>5</v>
      </c>
      <c r="F18" s="7" t="s">
        <v>42</v>
      </c>
      <c r="G18" s="15" t="str">
        <f t="shared" si="0"/>
        <v>STANDARD PRICE</v>
      </c>
      <c r="H18" s="15" t="str">
        <f t="shared" si="1"/>
        <v>24</v>
      </c>
      <c r="I18" s="15" t="str">
        <f t="shared" si="2"/>
        <v>CA</v>
      </c>
      <c r="J18" s="15" t="str">
        <f t="shared" si="3"/>
        <v>MAY-CA</v>
      </c>
      <c r="K18" s="16" t="s">
        <v>35</v>
      </c>
      <c r="L18" s="23" t="s">
        <v>38</v>
      </c>
      <c r="M18" s="15" t="str">
        <f t="shared" si="5"/>
        <v>Fitness Tracker</v>
      </c>
      <c r="N18" s="15" t="str">
        <f t="shared" si="4"/>
        <v>itne</v>
      </c>
      <c r="O18" s="15"/>
      <c r="P18" s="7"/>
    </row>
    <row r="19" spans="1:19" ht="15.75" customHeight="1" x14ac:dyDescent="0.25">
      <c r="A19" s="7" t="s">
        <v>52</v>
      </c>
      <c r="B19" s="7" t="s">
        <v>40</v>
      </c>
      <c r="C19" s="7" t="s">
        <v>53</v>
      </c>
      <c r="D19" s="7">
        <v>950</v>
      </c>
      <c r="E19" s="7">
        <v>25</v>
      </c>
      <c r="F19" s="7" t="s">
        <v>42</v>
      </c>
      <c r="G19" s="15" t="str">
        <f t="shared" si="0"/>
        <v>HIGH PRICE</v>
      </c>
      <c r="H19" s="15" t="str">
        <f t="shared" si="1"/>
        <v>17</v>
      </c>
      <c r="I19" s="15" t="str">
        <f t="shared" si="2"/>
        <v>IN</v>
      </c>
      <c r="J19" s="15" t="str">
        <f t="shared" si="3"/>
        <v>JUN-IN</v>
      </c>
      <c r="K19" s="16" t="s">
        <v>35</v>
      </c>
      <c r="L19" s="23" t="s">
        <v>38</v>
      </c>
      <c r="M19" s="15" t="str">
        <f t="shared" si="5"/>
        <v>Laptop</v>
      </c>
      <c r="N19" s="15" t="str">
        <f t="shared" si="4"/>
        <v>apto</v>
      </c>
      <c r="O19" s="15"/>
      <c r="P19" s="7"/>
    </row>
    <row r="20" spans="1:19" ht="15.75" customHeight="1" x14ac:dyDescent="0.25">
      <c r="A20" s="8" t="s">
        <v>73</v>
      </c>
      <c r="B20" s="8" t="s">
        <v>74</v>
      </c>
      <c r="C20" s="8" t="s">
        <v>75</v>
      </c>
      <c r="D20" s="8">
        <v>80</v>
      </c>
      <c r="E20" s="8">
        <v>15</v>
      </c>
      <c r="F20" s="8" t="s">
        <v>76</v>
      </c>
      <c r="G20" s="15" t="str">
        <f t="shared" si="0"/>
        <v>STANDARD PRICE</v>
      </c>
      <c r="H20" s="15" t="str">
        <f t="shared" si="1"/>
        <v>15</v>
      </c>
      <c r="I20" s="15" t="str">
        <f t="shared" si="2"/>
        <v>US</v>
      </c>
      <c r="J20" s="15" t="str">
        <f t="shared" si="3"/>
        <v>FEB-US</v>
      </c>
      <c r="K20" s="16" t="s">
        <v>35</v>
      </c>
      <c r="L20" s="23" t="s">
        <v>38</v>
      </c>
      <c r="M20" s="15" t="str">
        <f t="shared" si="5"/>
        <v>Sneakers</v>
      </c>
      <c r="N20" s="15" t="str">
        <f t="shared" si="4"/>
        <v>neak</v>
      </c>
      <c r="O20" s="15"/>
      <c r="P20" s="21"/>
      <c r="R20" s="18"/>
      <c r="S20" s="18"/>
    </row>
    <row r="21" spans="1:19" ht="15.75" customHeight="1" x14ac:dyDescent="0.25">
      <c r="A21" s="7" t="s">
        <v>77</v>
      </c>
      <c r="B21" s="7" t="s">
        <v>78</v>
      </c>
      <c r="C21" s="7" t="s">
        <v>79</v>
      </c>
      <c r="D21" s="7">
        <v>30</v>
      </c>
      <c r="E21" s="7">
        <v>5</v>
      </c>
      <c r="F21" s="7" t="s">
        <v>76</v>
      </c>
      <c r="G21" s="15" t="str">
        <f t="shared" si="0"/>
        <v>STANDARD PRICE</v>
      </c>
      <c r="H21" s="15" t="str">
        <f t="shared" si="1"/>
        <v>19</v>
      </c>
      <c r="I21" s="15" t="str">
        <f t="shared" si="2"/>
        <v>UK</v>
      </c>
      <c r="J21" s="15" t="str">
        <f t="shared" si="3"/>
        <v>JUL-UK</v>
      </c>
      <c r="K21" s="16" t="s">
        <v>35</v>
      </c>
      <c r="L21" s="23" t="s">
        <v>38</v>
      </c>
      <c r="M21" s="15" t="str">
        <f t="shared" si="5"/>
        <v>T-Shirt</v>
      </c>
      <c r="N21" s="15" t="str">
        <f t="shared" si="4"/>
        <v>-shi</v>
      </c>
      <c r="O21" s="15"/>
      <c r="P21" s="20"/>
    </row>
    <row r="22" spans="1:19" ht="15.75" customHeight="1" x14ac:dyDescent="0.3">
      <c r="A22" s="8" t="s">
        <v>80</v>
      </c>
      <c r="B22" s="8" t="s">
        <v>74</v>
      </c>
      <c r="C22" s="8" t="s">
        <v>79</v>
      </c>
      <c r="D22" s="8">
        <v>90</v>
      </c>
      <c r="E22" s="8">
        <v>40</v>
      </c>
      <c r="F22" s="8" t="s">
        <v>76</v>
      </c>
      <c r="G22" s="15" t="str">
        <f t="shared" si="0"/>
        <v>STANDARD PRICE</v>
      </c>
      <c r="H22" s="15" t="str">
        <f t="shared" si="1"/>
        <v>25</v>
      </c>
      <c r="I22" s="15" t="str">
        <f t="shared" si="2"/>
        <v>AU</v>
      </c>
      <c r="J22" s="15" t="str">
        <f t="shared" si="3"/>
        <v>NOV-AU</v>
      </c>
      <c r="K22" s="16" t="s">
        <v>35</v>
      </c>
      <c r="L22" s="23" t="s">
        <v>38</v>
      </c>
      <c r="M22" s="15" t="str">
        <f t="shared" si="5"/>
        <v>Sneakers</v>
      </c>
      <c r="N22" s="15" t="str">
        <f t="shared" si="4"/>
        <v>neak</v>
      </c>
      <c r="O22" s="15"/>
      <c r="P22" s="7"/>
      <c r="Q22" s="3"/>
    </row>
    <row r="23" spans="1:19" ht="15.75" customHeight="1" x14ac:dyDescent="0.25">
      <c r="A23" s="7" t="s">
        <v>81</v>
      </c>
      <c r="B23" s="7" t="s">
        <v>82</v>
      </c>
      <c r="C23" s="7" t="s">
        <v>83</v>
      </c>
      <c r="D23" s="7">
        <v>150</v>
      </c>
      <c r="E23" s="7">
        <v>15</v>
      </c>
      <c r="F23" s="7" t="s">
        <v>76</v>
      </c>
      <c r="G23" s="15" t="str">
        <f t="shared" si="0"/>
        <v>STANDARD PRICE</v>
      </c>
      <c r="H23" s="15" t="str">
        <f t="shared" si="1"/>
        <v>01</v>
      </c>
      <c r="I23" s="15" t="str">
        <f t="shared" si="2"/>
        <v>UK</v>
      </c>
      <c r="J23" s="15" t="str">
        <f t="shared" si="3"/>
        <v>MAR-UK</v>
      </c>
      <c r="K23" s="16" t="s">
        <v>35</v>
      </c>
      <c r="L23" s="23" t="s">
        <v>38</v>
      </c>
      <c r="M23" s="15" t="str">
        <f t="shared" si="5"/>
        <v>Sunglasses</v>
      </c>
      <c r="N23" s="15" t="str">
        <f t="shared" si="4"/>
        <v>ungl</v>
      </c>
      <c r="O23" s="15"/>
      <c r="P23" s="21"/>
      <c r="Q23" s="11"/>
      <c r="R23" s="11"/>
    </row>
    <row r="24" spans="1:19" ht="15.75" customHeight="1" x14ac:dyDescent="0.25">
      <c r="A24" s="8" t="s">
        <v>84</v>
      </c>
      <c r="B24" s="8" t="s">
        <v>82</v>
      </c>
      <c r="C24" s="8" t="s">
        <v>85</v>
      </c>
      <c r="D24" s="8">
        <v>130</v>
      </c>
      <c r="E24" s="8">
        <v>25</v>
      </c>
      <c r="F24" s="8" t="s">
        <v>76</v>
      </c>
      <c r="G24" s="15" t="str">
        <f t="shared" si="0"/>
        <v>STANDARD PRICE</v>
      </c>
      <c r="H24" s="15" t="str">
        <f t="shared" si="1"/>
        <v>03</v>
      </c>
      <c r="I24" s="15" t="str">
        <f t="shared" si="2"/>
        <v>CA</v>
      </c>
      <c r="J24" s="15" t="str">
        <f t="shared" si="3"/>
        <v>JUN-CA</v>
      </c>
      <c r="K24" s="16" t="s">
        <v>35</v>
      </c>
      <c r="L24" s="23" t="s">
        <v>38</v>
      </c>
      <c r="M24" s="15" t="str">
        <f t="shared" si="5"/>
        <v>Sunglasses</v>
      </c>
      <c r="N24" s="15" t="str">
        <f t="shared" si="4"/>
        <v>ungl</v>
      </c>
      <c r="O24" s="15"/>
      <c r="P24" s="11"/>
    </row>
    <row r="25" spans="1:19" ht="15.75" customHeight="1" x14ac:dyDescent="0.25">
      <c r="A25" s="7" t="s">
        <v>86</v>
      </c>
      <c r="B25" s="7" t="s">
        <v>87</v>
      </c>
      <c r="C25" s="7" t="s">
        <v>88</v>
      </c>
      <c r="D25" s="7">
        <v>60</v>
      </c>
      <c r="E25" s="7">
        <v>30</v>
      </c>
      <c r="F25" s="7" t="s">
        <v>76</v>
      </c>
      <c r="G25" s="15" t="str">
        <f t="shared" si="0"/>
        <v>STANDARD PRICE</v>
      </c>
      <c r="H25" s="15" t="str">
        <f t="shared" si="1"/>
        <v>07</v>
      </c>
      <c r="I25" s="15" t="str">
        <f t="shared" si="2"/>
        <v>CA</v>
      </c>
      <c r="J25" s="15" t="str">
        <f t="shared" si="3"/>
        <v>MAR-CA</v>
      </c>
      <c r="K25" s="16" t="s">
        <v>35</v>
      </c>
      <c r="L25" s="15" t="s">
        <v>38</v>
      </c>
      <c r="M25" s="15" t="str">
        <f t="shared" si="5"/>
        <v>Dress</v>
      </c>
      <c r="N25" s="15" t="str">
        <f t="shared" si="4"/>
        <v>ress</v>
      </c>
      <c r="O25" s="15"/>
      <c r="P25" s="22"/>
    </row>
    <row r="26" spans="1:19" ht="15.75" customHeight="1" x14ac:dyDescent="0.25">
      <c r="A26" s="8" t="s">
        <v>89</v>
      </c>
      <c r="B26" s="8" t="s">
        <v>90</v>
      </c>
      <c r="C26" s="8" t="s">
        <v>91</v>
      </c>
      <c r="D26" s="8">
        <v>50</v>
      </c>
      <c r="E26" s="8">
        <v>50</v>
      </c>
      <c r="F26" s="8" t="s">
        <v>76</v>
      </c>
      <c r="G26" s="15" t="str">
        <f t="shared" si="0"/>
        <v>STANDARD PRICE</v>
      </c>
      <c r="H26" s="15" t="str">
        <f t="shared" si="1"/>
        <v>02</v>
      </c>
      <c r="I26" s="15" t="str">
        <f t="shared" si="2"/>
        <v>CA</v>
      </c>
      <c r="J26" s="15" t="str">
        <f t="shared" si="3"/>
        <v>DEC-CA</v>
      </c>
      <c r="K26" s="16" t="s">
        <v>35</v>
      </c>
      <c r="L26" s="15" t="s">
        <v>38</v>
      </c>
      <c r="M26" s="15" t="str">
        <f t="shared" si="5"/>
        <v>Jeans</v>
      </c>
      <c r="N26" s="15" t="str">
        <f t="shared" si="4"/>
        <v>eans</v>
      </c>
      <c r="O26" s="15"/>
      <c r="P26" s="7"/>
    </row>
    <row r="27" spans="1:19" ht="15.75" customHeight="1" x14ac:dyDescent="0.25">
      <c r="A27" s="7" t="s">
        <v>92</v>
      </c>
      <c r="B27" s="7" t="s">
        <v>93</v>
      </c>
      <c r="C27" s="7" t="s">
        <v>94</v>
      </c>
      <c r="D27" s="7">
        <v>130</v>
      </c>
      <c r="E27" s="7">
        <v>40</v>
      </c>
      <c r="F27" s="7" t="s">
        <v>95</v>
      </c>
      <c r="G27" s="15" t="str">
        <f t="shared" si="0"/>
        <v>STANDARD PRICE</v>
      </c>
      <c r="H27" s="15" t="str">
        <f t="shared" si="1"/>
        <v>03</v>
      </c>
      <c r="I27" s="15" t="str">
        <f t="shared" si="2"/>
        <v>US</v>
      </c>
      <c r="J27" s="15" t="str">
        <f t="shared" si="3"/>
        <v>MAR-US</v>
      </c>
      <c r="K27" s="16" t="s">
        <v>35</v>
      </c>
      <c r="L27" s="15" t="s">
        <v>38</v>
      </c>
      <c r="M27" s="15" t="str">
        <f t="shared" si="5"/>
        <v>Coffee Maker</v>
      </c>
      <c r="N27" s="15" t="str">
        <f t="shared" si="4"/>
        <v>offe</v>
      </c>
      <c r="O27" s="15"/>
      <c r="P27" s="11"/>
    </row>
    <row r="28" spans="1:19" ht="15.75" customHeight="1" x14ac:dyDescent="0.25">
      <c r="A28" s="8" t="s">
        <v>96</v>
      </c>
      <c r="B28" s="8" t="s">
        <v>97</v>
      </c>
      <c r="C28" s="8" t="s">
        <v>98</v>
      </c>
      <c r="D28" s="8">
        <v>90</v>
      </c>
      <c r="E28" s="8">
        <v>35</v>
      </c>
      <c r="F28" s="8" t="s">
        <v>95</v>
      </c>
      <c r="G28" s="15" t="str">
        <f t="shared" si="0"/>
        <v>STANDARD PRICE</v>
      </c>
      <c r="H28" s="15" t="str">
        <f t="shared" si="1"/>
        <v>23</v>
      </c>
      <c r="I28" s="15" t="str">
        <f t="shared" si="2"/>
        <v>UK</v>
      </c>
      <c r="J28" s="15" t="str">
        <f t="shared" si="3"/>
        <v>AUG-UK</v>
      </c>
      <c r="K28" s="16" t="s">
        <v>35</v>
      </c>
      <c r="L28" s="19" t="s">
        <v>38</v>
      </c>
      <c r="M28" s="15" t="str">
        <f t="shared" si="5"/>
        <v>Blender</v>
      </c>
      <c r="N28" s="15" t="str">
        <f t="shared" si="4"/>
        <v>lend</v>
      </c>
      <c r="O28" s="19"/>
      <c r="P28" s="10"/>
    </row>
    <row r="29" spans="1:19" ht="15.75" customHeight="1" x14ac:dyDescent="0.25">
      <c r="A29" s="7" t="s">
        <v>99</v>
      </c>
      <c r="B29" s="7" t="s">
        <v>93</v>
      </c>
      <c r="C29" s="7" t="s">
        <v>100</v>
      </c>
      <c r="D29" s="7">
        <v>120</v>
      </c>
      <c r="E29" s="7">
        <v>35</v>
      </c>
      <c r="F29" s="7" t="s">
        <v>95</v>
      </c>
      <c r="G29" s="15" t="str">
        <f t="shared" si="0"/>
        <v>STANDARD PRICE</v>
      </c>
      <c r="H29" s="15" t="str">
        <f t="shared" si="1"/>
        <v>08</v>
      </c>
      <c r="I29" s="15" t="str">
        <f t="shared" si="2"/>
        <v>DE</v>
      </c>
      <c r="J29" s="15" t="str">
        <f t="shared" si="3"/>
        <v>DEC-DE</v>
      </c>
      <c r="K29" s="16" t="s">
        <v>35</v>
      </c>
      <c r="L29" s="15" t="s">
        <v>38</v>
      </c>
      <c r="M29" s="15" t="str">
        <f t="shared" si="5"/>
        <v>Coffee Maker</v>
      </c>
      <c r="N29" s="15" t="str">
        <f t="shared" si="4"/>
        <v>offe</v>
      </c>
      <c r="O29" s="15"/>
      <c r="P29" s="9"/>
    </row>
    <row r="30" spans="1:19" ht="15.75" customHeight="1" x14ac:dyDescent="0.25">
      <c r="A30" s="8" t="s">
        <v>101</v>
      </c>
      <c r="B30" s="8" t="s">
        <v>102</v>
      </c>
      <c r="C30" s="8" t="s">
        <v>103</v>
      </c>
      <c r="D30" s="8">
        <v>80</v>
      </c>
      <c r="E30" s="8">
        <v>20</v>
      </c>
      <c r="F30" s="8" t="s">
        <v>95</v>
      </c>
      <c r="G30" s="15" t="str">
        <f t="shared" si="0"/>
        <v>STANDARD PRICE</v>
      </c>
      <c r="H30" s="15" t="str">
        <f t="shared" si="1"/>
        <v>09</v>
      </c>
      <c r="I30" s="15" t="str">
        <f t="shared" si="2"/>
        <v>CA</v>
      </c>
      <c r="J30" s="15" t="str">
        <f t="shared" si="3"/>
        <v>JAN-CA</v>
      </c>
      <c r="K30" s="16" t="s">
        <v>35</v>
      </c>
      <c r="L30" s="15" t="s">
        <v>38</v>
      </c>
      <c r="M30" s="15" t="str">
        <f t="shared" si="5"/>
        <v>Microwave</v>
      </c>
      <c r="N30" s="15" t="str">
        <f t="shared" si="4"/>
        <v>icro</v>
      </c>
      <c r="O30" s="15"/>
      <c r="P30" s="11"/>
    </row>
    <row r="31" spans="1:19" ht="15.75" customHeight="1" x14ac:dyDescent="0.25">
      <c r="A31" s="7" t="s">
        <v>104</v>
      </c>
      <c r="B31" s="7" t="s">
        <v>97</v>
      </c>
      <c r="C31" s="7" t="s">
        <v>105</v>
      </c>
      <c r="D31" s="7">
        <v>400</v>
      </c>
      <c r="E31" s="7">
        <v>40</v>
      </c>
      <c r="F31" s="7" t="s">
        <v>95</v>
      </c>
      <c r="G31" s="15" t="str">
        <f t="shared" si="0"/>
        <v>STANDARD PRICE</v>
      </c>
      <c r="H31" s="15" t="str">
        <f t="shared" si="1"/>
        <v>11</v>
      </c>
      <c r="I31" s="15" t="str">
        <f t="shared" si="2"/>
        <v>CA</v>
      </c>
      <c r="J31" s="15" t="str">
        <f t="shared" si="3"/>
        <v>JUL-CA</v>
      </c>
      <c r="K31" s="16" t="s">
        <v>35</v>
      </c>
      <c r="L31" s="15" t="s">
        <v>38</v>
      </c>
      <c r="M31" s="15" t="str">
        <f t="shared" si="5"/>
        <v>Blender</v>
      </c>
      <c r="N31" s="15" t="str">
        <f t="shared" si="4"/>
        <v>lend</v>
      </c>
      <c r="O31" s="15"/>
      <c r="P31" s="10"/>
    </row>
    <row r="32" spans="1:19" ht="15.75" customHeight="1" x14ac:dyDescent="0.25">
      <c r="A32" s="8" t="s">
        <v>106</v>
      </c>
      <c r="B32" s="8" t="s">
        <v>107</v>
      </c>
      <c r="C32" s="8" t="s">
        <v>108</v>
      </c>
      <c r="D32" s="8">
        <v>40</v>
      </c>
      <c r="E32" s="8">
        <v>10</v>
      </c>
      <c r="F32" s="8" t="s">
        <v>95</v>
      </c>
      <c r="G32" s="15" t="str">
        <f t="shared" si="0"/>
        <v>STANDARD PRICE</v>
      </c>
      <c r="H32" s="15" t="str">
        <f t="shared" si="1"/>
        <v>13</v>
      </c>
      <c r="I32" s="15" t="str">
        <f t="shared" si="2"/>
        <v>CA</v>
      </c>
      <c r="J32" s="15" t="str">
        <f t="shared" si="3"/>
        <v>APR-CA</v>
      </c>
      <c r="K32" s="16" t="s">
        <v>35</v>
      </c>
      <c r="L32" s="15" t="s">
        <v>38</v>
      </c>
      <c r="M32" s="15" t="str">
        <f t="shared" si="5"/>
        <v>Toaster</v>
      </c>
      <c r="N32" s="15" t="str">
        <f t="shared" si="4"/>
        <v>oast</v>
      </c>
      <c r="O32" s="15"/>
      <c r="P32" s="7"/>
    </row>
    <row r="33" spans="1:16" ht="15.75" customHeight="1" x14ac:dyDescent="0.25">
      <c r="A33" s="7" t="s">
        <v>109</v>
      </c>
      <c r="B33" s="7" t="s">
        <v>110</v>
      </c>
      <c r="C33" s="7" t="s">
        <v>111</v>
      </c>
      <c r="D33" s="7">
        <v>70</v>
      </c>
      <c r="E33" s="7">
        <v>20</v>
      </c>
      <c r="F33" s="7" t="s">
        <v>112</v>
      </c>
      <c r="G33" s="15" t="str">
        <f t="shared" si="0"/>
        <v>STANDARD PRICE</v>
      </c>
      <c r="H33" s="15" t="str">
        <f t="shared" si="1"/>
        <v>22</v>
      </c>
      <c r="I33" s="15" t="str">
        <f t="shared" si="2"/>
        <v>US</v>
      </c>
      <c r="J33" s="15" t="str">
        <f t="shared" si="3"/>
        <v>MAY-US</v>
      </c>
      <c r="K33" s="16" t="s">
        <v>35</v>
      </c>
      <c r="L33" s="15" t="s">
        <v>38</v>
      </c>
      <c r="M33" s="15" t="str">
        <f t="shared" si="5"/>
        <v>Backpack</v>
      </c>
      <c r="N33" s="15" t="str">
        <f t="shared" si="4"/>
        <v>ackp</v>
      </c>
      <c r="O33" s="15"/>
      <c r="P33" s="7"/>
    </row>
    <row r="34" spans="1:16" ht="15.75" customHeight="1" x14ac:dyDescent="0.25">
      <c r="A34" s="8" t="s">
        <v>113</v>
      </c>
      <c r="B34" s="8" t="s">
        <v>114</v>
      </c>
      <c r="C34" s="8" t="s">
        <v>115</v>
      </c>
      <c r="D34" s="8">
        <v>130</v>
      </c>
      <c r="E34" s="8">
        <v>10</v>
      </c>
      <c r="F34" s="8" t="s">
        <v>112</v>
      </c>
      <c r="G34" s="15" t="str">
        <f t="shared" si="0"/>
        <v>STANDARD PRICE</v>
      </c>
      <c r="H34" s="15" t="str">
        <f t="shared" si="1"/>
        <v>14</v>
      </c>
      <c r="I34" s="15" t="str">
        <f t="shared" si="2"/>
        <v>UK</v>
      </c>
      <c r="J34" s="15" t="str">
        <f t="shared" si="3"/>
        <v>OCT-UK</v>
      </c>
      <c r="K34" s="16" t="s">
        <v>35</v>
      </c>
      <c r="L34" s="15" t="s">
        <v>38</v>
      </c>
      <c r="M34" s="15" t="str">
        <f t="shared" si="5"/>
        <v>Hiking Boots</v>
      </c>
      <c r="N34" s="15" t="str">
        <f t="shared" si="4"/>
        <v>ikin</v>
      </c>
      <c r="O34" s="15"/>
      <c r="P34" s="7"/>
    </row>
    <row r="35" spans="1:16" ht="15.75" customHeight="1" x14ac:dyDescent="0.25">
      <c r="A35" s="8" t="s">
        <v>116</v>
      </c>
      <c r="B35" s="8" t="s">
        <v>117</v>
      </c>
      <c r="C35" s="8" t="s">
        <v>118</v>
      </c>
      <c r="D35" s="8">
        <v>200</v>
      </c>
      <c r="E35" s="8">
        <v>10</v>
      </c>
      <c r="F35" s="8" t="s">
        <v>112</v>
      </c>
      <c r="G35" s="15" t="str">
        <f t="shared" si="0"/>
        <v>STANDARD PRICE</v>
      </c>
      <c r="H35" s="15" t="str">
        <f t="shared" si="1"/>
        <v>14</v>
      </c>
      <c r="I35" s="15" t="str">
        <f t="shared" si="2"/>
        <v>US</v>
      </c>
      <c r="J35" s="15" t="str">
        <f t="shared" si="3"/>
        <v>AUG-US</v>
      </c>
      <c r="K35" s="16" t="s">
        <v>35</v>
      </c>
      <c r="L35" s="15" t="s">
        <v>38</v>
      </c>
      <c r="M35" s="15" t="str">
        <f t="shared" si="5"/>
        <v>Camping Tent</v>
      </c>
      <c r="N35" s="15" t="str">
        <f t="shared" si="4"/>
        <v>ampi</v>
      </c>
      <c r="O35" s="15"/>
      <c r="P35" s="7"/>
    </row>
    <row r="36" spans="1:16" ht="15.75" customHeight="1" x14ac:dyDescent="0.25"/>
    <row r="37" spans="1:16" ht="15.75" customHeight="1" x14ac:dyDescent="0.25"/>
    <row r="38" spans="1:16" ht="15.75" customHeight="1" x14ac:dyDescent="0.25"/>
    <row r="39" spans="1:16" ht="15.75" customHeight="1" x14ac:dyDescent="0.25"/>
    <row r="40" spans="1:16" ht="15.75" customHeight="1" x14ac:dyDescent="0.25"/>
    <row r="41" spans="1:16" ht="15.75" customHeight="1" x14ac:dyDescent="0.25"/>
    <row r="42" spans="1:16" ht="15.75" customHeight="1" x14ac:dyDescent="0.25"/>
    <row r="43" spans="1:16" ht="15.75" customHeight="1" x14ac:dyDescent="0.25"/>
    <row r="44" spans="1:16" ht="15.75" customHeight="1" x14ac:dyDescent="0.25"/>
    <row r="45" spans="1:16" ht="15.75" customHeight="1" x14ac:dyDescent="0.25"/>
    <row r="46" spans="1:16" ht="15.75" customHeight="1" x14ac:dyDescent="0.25"/>
    <row r="47" spans="1:16" ht="15.75" customHeight="1" x14ac:dyDescent="0.25"/>
    <row r="48" spans="1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A2:G35">
    <sortCondition ref="F1:F35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A282-12A1-4454-BE8E-7CCD53EE6D77}">
  <dimension ref="A1:D36"/>
  <sheetViews>
    <sheetView workbookViewId="0">
      <selection activeCell="O16" sqref="O16"/>
    </sheetView>
  </sheetViews>
  <sheetFormatPr defaultRowHeight="13.2" x14ac:dyDescent="0.25"/>
  <cols>
    <col min="1" max="1" width="10" bestFit="1" customWidth="1"/>
    <col min="2" max="2" width="12.109375" bestFit="1" customWidth="1"/>
  </cols>
  <sheetData>
    <row r="1" spans="1:2" ht="15.6" x14ac:dyDescent="0.3">
      <c r="A1" s="6"/>
      <c r="B1" s="3" t="s">
        <v>2</v>
      </c>
    </row>
    <row r="2" spans="1:2" x14ac:dyDescent="0.25">
      <c r="A2" s="10" t="s">
        <v>137</v>
      </c>
    </row>
    <row r="3" spans="1:2" x14ac:dyDescent="0.25">
      <c r="A3" s="7"/>
    </row>
    <row r="4" spans="1:2" x14ac:dyDescent="0.25">
      <c r="A4" s="7"/>
      <c r="B4" s="11" t="s">
        <v>3</v>
      </c>
    </row>
    <row r="5" spans="1:2" x14ac:dyDescent="0.25">
      <c r="A5" s="10" t="s">
        <v>119</v>
      </c>
    </row>
    <row r="6" spans="1:2" x14ac:dyDescent="0.25">
      <c r="A6" s="7"/>
    </row>
    <row r="7" spans="1:2" ht="15.6" x14ac:dyDescent="0.3">
      <c r="A7" s="7"/>
      <c r="B7" s="3" t="s">
        <v>4</v>
      </c>
    </row>
    <row r="8" spans="1:2" x14ac:dyDescent="0.25">
      <c r="A8" s="10" t="s">
        <v>120</v>
      </c>
    </row>
    <row r="9" spans="1:2" x14ac:dyDescent="0.25">
      <c r="A9" s="7"/>
    </row>
    <row r="10" spans="1:2" x14ac:dyDescent="0.25">
      <c r="A10" s="7"/>
      <c r="B10" t="s">
        <v>6</v>
      </c>
    </row>
    <row r="11" spans="1:2" x14ac:dyDescent="0.25">
      <c r="A11" s="10" t="s">
        <v>121</v>
      </c>
    </row>
    <row r="12" spans="1:2" x14ac:dyDescent="0.25">
      <c r="A12" s="7"/>
    </row>
    <row r="13" spans="1:2" x14ac:dyDescent="0.25">
      <c r="A13" s="12"/>
      <c r="B13" t="s">
        <v>7</v>
      </c>
    </row>
    <row r="14" spans="1:2" x14ac:dyDescent="0.25">
      <c r="A14" s="10" t="s">
        <v>122</v>
      </c>
    </row>
    <row r="15" spans="1:2" x14ac:dyDescent="0.25">
      <c r="A15" s="7"/>
    </row>
    <row r="16" spans="1:2" ht="15.6" x14ac:dyDescent="0.3">
      <c r="A16" s="7"/>
      <c r="B16" s="3" t="s">
        <v>9</v>
      </c>
    </row>
    <row r="17" spans="1:4" ht="66" x14ac:dyDescent="0.25">
      <c r="A17" s="10" t="s">
        <v>123</v>
      </c>
      <c r="D17" s="13" t="s">
        <v>124</v>
      </c>
    </row>
    <row r="18" spans="1:4" x14ac:dyDescent="0.25">
      <c r="A18" s="7"/>
    </row>
    <row r="19" spans="1:4" x14ac:dyDescent="0.25">
      <c r="A19" s="7"/>
      <c r="B19" t="s">
        <v>11</v>
      </c>
    </row>
    <row r="20" spans="1:4" x14ac:dyDescent="0.25">
      <c r="A20" s="21" t="s">
        <v>125</v>
      </c>
      <c r="C20" s="18"/>
      <c r="D20" s="18"/>
    </row>
    <row r="21" spans="1:4" x14ac:dyDescent="0.25">
      <c r="A21" s="20"/>
    </row>
    <row r="22" spans="1:4" ht="15.6" x14ac:dyDescent="0.3">
      <c r="A22" s="7"/>
      <c r="B22" s="3" t="s">
        <v>12</v>
      </c>
    </row>
    <row r="23" spans="1:4" x14ac:dyDescent="0.25">
      <c r="A23" s="21" t="s">
        <v>126</v>
      </c>
      <c r="B23" s="11" t="s">
        <v>127</v>
      </c>
      <c r="C23" s="11">
        <f>COUNTIF(D2:D35,"&lt;=100")</f>
        <v>0</v>
      </c>
    </row>
    <row r="24" spans="1:4" x14ac:dyDescent="0.25">
      <c r="A24" s="11" t="s">
        <v>14</v>
      </c>
    </row>
    <row r="25" spans="1:4" x14ac:dyDescent="0.25">
      <c r="A25" s="22" t="s">
        <v>135</v>
      </c>
      <c r="B25">
        <v>21</v>
      </c>
    </row>
    <row r="26" spans="1:4" x14ac:dyDescent="0.25">
      <c r="A26" s="7"/>
    </row>
    <row r="27" spans="1:4" x14ac:dyDescent="0.25">
      <c r="A27" s="11" t="s">
        <v>15</v>
      </c>
    </row>
    <row r="28" spans="1:4" x14ac:dyDescent="0.25">
      <c r="A28" s="10" t="s">
        <v>136</v>
      </c>
    </row>
    <row r="29" spans="1:4" x14ac:dyDescent="0.25">
      <c r="A29" s="9"/>
    </row>
    <row r="30" spans="1:4" x14ac:dyDescent="0.25">
      <c r="A30" s="11" t="s">
        <v>16</v>
      </c>
    </row>
    <row r="31" spans="1:4" x14ac:dyDescent="0.25">
      <c r="A31" s="10" t="s">
        <v>128</v>
      </c>
    </row>
    <row r="32" spans="1:4" x14ac:dyDescent="0.25">
      <c r="A32" s="7"/>
    </row>
    <row r="33" spans="1:2" x14ac:dyDescent="0.25">
      <c r="A33" s="7"/>
    </row>
    <row r="34" spans="1:2" x14ac:dyDescent="0.25">
      <c r="A34" s="24" t="s">
        <v>129</v>
      </c>
      <c r="B34" s="25" t="s">
        <v>130</v>
      </c>
    </row>
    <row r="35" spans="1:2" x14ac:dyDescent="0.25">
      <c r="A35" s="24" t="s">
        <v>131</v>
      </c>
      <c r="B35" s="25" t="s">
        <v>132</v>
      </c>
    </row>
    <row r="36" spans="1:2" x14ac:dyDescent="0.25">
      <c r="A36" s="25" t="s">
        <v>133</v>
      </c>
      <c r="B36" s="25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K.Aishwarya</dc:creator>
  <cp:keywords/>
  <dc:description/>
  <cp:lastModifiedBy>Aishwarya K</cp:lastModifiedBy>
  <cp:revision/>
  <dcterms:created xsi:type="dcterms:W3CDTF">2025-11-02T05:41:32Z</dcterms:created>
  <dcterms:modified xsi:type="dcterms:W3CDTF">2025-11-04T07:49:06Z</dcterms:modified>
  <cp:category/>
  <cp:contentStatus/>
</cp:coreProperties>
</file>